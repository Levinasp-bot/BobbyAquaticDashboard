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2\"/>
    </mc:Choice>
  </mc:AlternateContent>
  <bookViews>
    <workbookView xWindow="0" yWindow="0" windowWidth="19200" windowHeight="719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Penjualan!$A$1:$A$7515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K12" i="13" l="1"/>
  <c r="G12" i="13"/>
  <c r="I12" i="13" s="1"/>
  <c r="F12" i="13"/>
  <c r="H12" i="13" s="1"/>
  <c r="D12" i="13"/>
  <c r="K11" i="13"/>
  <c r="G11" i="13"/>
  <c r="I11" i="13" s="1"/>
  <c r="F11" i="13"/>
  <c r="H11" i="13" s="1"/>
  <c r="D11" i="13"/>
  <c r="K10" i="13"/>
  <c r="G10" i="13"/>
  <c r="I10" i="13" s="1"/>
  <c r="F10" i="13"/>
  <c r="H10" i="13" s="1"/>
  <c r="D10" i="13"/>
  <c r="K9" i="13"/>
  <c r="G9" i="13"/>
  <c r="I9" i="13" s="1"/>
  <c r="J9" i="13" s="1"/>
  <c r="F9" i="13"/>
  <c r="H9" i="13" s="1"/>
  <c r="D9" i="13"/>
  <c r="K8" i="13"/>
  <c r="G8" i="13"/>
  <c r="I8" i="13" s="1"/>
  <c r="F8" i="13"/>
  <c r="H8" i="13" s="1"/>
  <c r="D8" i="13"/>
  <c r="K7" i="13"/>
  <c r="G7" i="13"/>
  <c r="I7" i="13" s="1"/>
  <c r="F7" i="13"/>
  <c r="H7" i="13" s="1"/>
  <c r="D7" i="13"/>
  <c r="K6" i="13"/>
  <c r="G6" i="13"/>
  <c r="I6" i="13" s="1"/>
  <c r="F6" i="13"/>
  <c r="H6" i="13" s="1"/>
  <c r="D6" i="13"/>
  <c r="K5" i="13"/>
  <c r="G5" i="13"/>
  <c r="I5" i="13" s="1"/>
  <c r="F5" i="13"/>
  <c r="H5" i="13" s="1"/>
  <c r="D5" i="13"/>
  <c r="K4" i="13"/>
  <c r="G4" i="13"/>
  <c r="I4" i="13" s="1"/>
  <c r="F4" i="13"/>
  <c r="H4" i="13" s="1"/>
  <c r="D4" i="13"/>
  <c r="K3" i="13"/>
  <c r="H3" i="13"/>
  <c r="G3" i="13"/>
  <c r="I3" i="13" s="1"/>
  <c r="F3" i="13"/>
  <c r="D3" i="13"/>
  <c r="K19" i="13"/>
  <c r="G19" i="13"/>
  <c r="I19" i="13" s="1"/>
  <c r="J19" i="13" s="1"/>
  <c r="F19" i="13"/>
  <c r="H19" i="13" s="1"/>
  <c r="D19" i="13"/>
  <c r="K18" i="13"/>
  <c r="G18" i="13"/>
  <c r="I18" i="13" s="1"/>
  <c r="F18" i="13"/>
  <c r="H18" i="13" s="1"/>
  <c r="D18" i="13"/>
  <c r="K17" i="13"/>
  <c r="G17" i="13"/>
  <c r="I17" i="13" s="1"/>
  <c r="F17" i="13"/>
  <c r="H17" i="13" s="1"/>
  <c r="D17" i="13"/>
  <c r="K16" i="13"/>
  <c r="G16" i="13"/>
  <c r="I16" i="13" s="1"/>
  <c r="F16" i="13"/>
  <c r="H16" i="13" s="1"/>
  <c r="D16" i="13"/>
  <c r="K15" i="13"/>
  <c r="G15" i="13"/>
  <c r="I15" i="13" s="1"/>
  <c r="J15" i="13" s="1"/>
  <c r="F15" i="13"/>
  <c r="H15" i="13" s="1"/>
  <c r="D15" i="13"/>
  <c r="K14" i="13"/>
  <c r="I14" i="13"/>
  <c r="G14" i="13"/>
  <c r="F14" i="13"/>
  <c r="H14" i="13" s="1"/>
  <c r="D14" i="13"/>
  <c r="K13" i="13"/>
  <c r="H13" i="13"/>
  <c r="G13" i="13"/>
  <c r="I13" i="13" s="1"/>
  <c r="F13" i="13"/>
  <c r="D13" i="13"/>
  <c r="K26" i="13"/>
  <c r="G26" i="13"/>
  <c r="I26" i="13" s="1"/>
  <c r="F26" i="13"/>
  <c r="H26" i="13" s="1"/>
  <c r="D26" i="13"/>
  <c r="K25" i="13"/>
  <c r="G25" i="13"/>
  <c r="I25" i="13" s="1"/>
  <c r="F25" i="13"/>
  <c r="H25" i="13" s="1"/>
  <c r="D25" i="13"/>
  <c r="K24" i="13"/>
  <c r="G24" i="13"/>
  <c r="I24" i="13" s="1"/>
  <c r="F24" i="13"/>
  <c r="H24" i="13" s="1"/>
  <c r="D24" i="13"/>
  <c r="K23" i="13"/>
  <c r="H23" i="13"/>
  <c r="G23" i="13"/>
  <c r="I23" i="13" s="1"/>
  <c r="F23" i="13"/>
  <c r="D23" i="13"/>
  <c r="K22" i="13"/>
  <c r="H22" i="13"/>
  <c r="G22" i="13"/>
  <c r="I22" i="13" s="1"/>
  <c r="F22" i="13"/>
  <c r="D22" i="13"/>
  <c r="K21" i="13"/>
  <c r="G21" i="13"/>
  <c r="I21" i="13" s="1"/>
  <c r="F21" i="13"/>
  <c r="H21" i="13" s="1"/>
  <c r="D21" i="13"/>
  <c r="K20" i="13"/>
  <c r="G20" i="13"/>
  <c r="I20" i="13" s="1"/>
  <c r="F20" i="13"/>
  <c r="H20" i="13" s="1"/>
  <c r="D20" i="13"/>
  <c r="K35" i="13"/>
  <c r="G35" i="13"/>
  <c r="I35" i="13" s="1"/>
  <c r="F35" i="13"/>
  <c r="H35" i="13" s="1"/>
  <c r="D35" i="13"/>
  <c r="K34" i="13"/>
  <c r="G34" i="13"/>
  <c r="I34" i="13" s="1"/>
  <c r="F34" i="13"/>
  <c r="H34" i="13" s="1"/>
  <c r="D34" i="13"/>
  <c r="K33" i="13"/>
  <c r="G33" i="13"/>
  <c r="I33" i="13" s="1"/>
  <c r="F33" i="13"/>
  <c r="H33" i="13" s="1"/>
  <c r="D33" i="13"/>
  <c r="K32" i="13"/>
  <c r="G32" i="13"/>
  <c r="I32" i="13" s="1"/>
  <c r="F32" i="13"/>
  <c r="H32" i="13" s="1"/>
  <c r="D32" i="13"/>
  <c r="K31" i="13"/>
  <c r="I31" i="13"/>
  <c r="H31" i="13"/>
  <c r="G31" i="13"/>
  <c r="F31" i="13"/>
  <c r="D31" i="13"/>
  <c r="K30" i="13"/>
  <c r="G30" i="13"/>
  <c r="I30" i="13" s="1"/>
  <c r="F30" i="13"/>
  <c r="H30" i="13" s="1"/>
  <c r="D30" i="13"/>
  <c r="K29" i="13"/>
  <c r="G29" i="13"/>
  <c r="I29" i="13" s="1"/>
  <c r="F29" i="13"/>
  <c r="H29" i="13" s="1"/>
  <c r="D29" i="13"/>
  <c r="K28" i="13"/>
  <c r="G28" i="13"/>
  <c r="I28" i="13" s="1"/>
  <c r="J28" i="13" s="1"/>
  <c r="F28" i="13"/>
  <c r="H28" i="13" s="1"/>
  <c r="D28" i="13"/>
  <c r="K27" i="13"/>
  <c r="G27" i="13"/>
  <c r="I27" i="13" s="1"/>
  <c r="J27" i="13" s="1"/>
  <c r="F27" i="13"/>
  <c r="H27" i="13" s="1"/>
  <c r="D27" i="13"/>
  <c r="K48" i="13"/>
  <c r="G48" i="13"/>
  <c r="I48" i="13" s="1"/>
  <c r="F48" i="13"/>
  <c r="H48" i="13" s="1"/>
  <c r="D48" i="13"/>
  <c r="K47" i="13"/>
  <c r="G47" i="13"/>
  <c r="I47" i="13" s="1"/>
  <c r="F47" i="13"/>
  <c r="H47" i="13" s="1"/>
  <c r="D47" i="13"/>
  <c r="K46" i="13"/>
  <c r="G46" i="13"/>
  <c r="I46" i="13" s="1"/>
  <c r="J46" i="13" s="1"/>
  <c r="F46" i="13"/>
  <c r="H46" i="13" s="1"/>
  <c r="D46" i="13"/>
  <c r="K45" i="13"/>
  <c r="H45" i="13"/>
  <c r="G45" i="13"/>
  <c r="I45" i="13" s="1"/>
  <c r="F45" i="13"/>
  <c r="D45" i="13"/>
  <c r="K44" i="13"/>
  <c r="G44" i="13"/>
  <c r="I44" i="13" s="1"/>
  <c r="F44" i="13"/>
  <c r="H44" i="13" s="1"/>
  <c r="D44" i="13"/>
  <c r="K43" i="13"/>
  <c r="G43" i="13"/>
  <c r="I43" i="13" s="1"/>
  <c r="J43" i="13" s="1"/>
  <c r="F43" i="13"/>
  <c r="H43" i="13" s="1"/>
  <c r="D43" i="13"/>
  <c r="K42" i="13"/>
  <c r="H42" i="13"/>
  <c r="G42" i="13"/>
  <c r="I42" i="13" s="1"/>
  <c r="F42" i="13"/>
  <c r="D42" i="13"/>
  <c r="K41" i="13"/>
  <c r="G41" i="13"/>
  <c r="I41" i="13" s="1"/>
  <c r="F41" i="13"/>
  <c r="H41" i="13" s="1"/>
  <c r="D41" i="13"/>
  <c r="K40" i="13"/>
  <c r="G40" i="13"/>
  <c r="I40" i="13" s="1"/>
  <c r="F40" i="13"/>
  <c r="H40" i="13" s="1"/>
  <c r="D40" i="13"/>
  <c r="K39" i="13"/>
  <c r="G39" i="13"/>
  <c r="I39" i="13" s="1"/>
  <c r="F39" i="13"/>
  <c r="H39" i="13" s="1"/>
  <c r="D39" i="13"/>
  <c r="K38" i="13"/>
  <c r="H38" i="13"/>
  <c r="G38" i="13"/>
  <c r="I38" i="13" s="1"/>
  <c r="J38" i="13" s="1"/>
  <c r="F38" i="13"/>
  <c r="D38" i="13"/>
  <c r="K37" i="13"/>
  <c r="G37" i="13"/>
  <c r="I37" i="13" s="1"/>
  <c r="F37" i="13"/>
  <c r="H37" i="13" s="1"/>
  <c r="D37" i="13"/>
  <c r="K36" i="13"/>
  <c r="G36" i="13"/>
  <c r="I36" i="13" s="1"/>
  <c r="F36" i="13"/>
  <c r="H36" i="13" s="1"/>
  <c r="D36" i="13"/>
  <c r="K52" i="13"/>
  <c r="I52" i="13"/>
  <c r="J52" i="13" s="1"/>
  <c r="G52" i="13"/>
  <c r="F52" i="13"/>
  <c r="H52" i="13" s="1"/>
  <c r="D52" i="13"/>
  <c r="K51" i="13"/>
  <c r="I51" i="13"/>
  <c r="G51" i="13"/>
  <c r="F51" i="13"/>
  <c r="H51" i="13" s="1"/>
  <c r="D51" i="13"/>
  <c r="K50" i="13"/>
  <c r="G50" i="13"/>
  <c r="I50" i="13" s="1"/>
  <c r="F50" i="13"/>
  <c r="H50" i="13" s="1"/>
  <c r="D50" i="13"/>
  <c r="K49" i="13"/>
  <c r="G49" i="13"/>
  <c r="I49" i="13" s="1"/>
  <c r="F49" i="13"/>
  <c r="H49" i="13" s="1"/>
  <c r="D49" i="13"/>
  <c r="K60" i="13"/>
  <c r="G60" i="13"/>
  <c r="I60" i="13" s="1"/>
  <c r="F60" i="13"/>
  <c r="H60" i="13" s="1"/>
  <c r="D60" i="13"/>
  <c r="K59" i="13"/>
  <c r="I59" i="13"/>
  <c r="G59" i="13"/>
  <c r="F59" i="13"/>
  <c r="H59" i="13" s="1"/>
  <c r="D59" i="13"/>
  <c r="K58" i="13"/>
  <c r="G58" i="13"/>
  <c r="I58" i="13" s="1"/>
  <c r="F58" i="13"/>
  <c r="H58" i="13" s="1"/>
  <c r="D58" i="13"/>
  <c r="K57" i="13"/>
  <c r="G57" i="13"/>
  <c r="I57" i="13" s="1"/>
  <c r="F57" i="13"/>
  <c r="H57" i="13" s="1"/>
  <c r="D57" i="13"/>
  <c r="K56" i="13"/>
  <c r="I56" i="13"/>
  <c r="G56" i="13"/>
  <c r="F56" i="13"/>
  <c r="H56" i="13" s="1"/>
  <c r="J56" i="13" s="1"/>
  <c r="D56" i="13"/>
  <c r="K55" i="13"/>
  <c r="G55" i="13"/>
  <c r="I55" i="13" s="1"/>
  <c r="F55" i="13"/>
  <c r="H55" i="13" s="1"/>
  <c r="D55" i="13"/>
  <c r="K54" i="13"/>
  <c r="G54" i="13"/>
  <c r="I54" i="13" s="1"/>
  <c r="F54" i="13"/>
  <c r="H54" i="13" s="1"/>
  <c r="D54" i="13"/>
  <c r="K53" i="13"/>
  <c r="G53" i="13"/>
  <c r="I53" i="13" s="1"/>
  <c r="F53" i="13"/>
  <c r="H53" i="13" s="1"/>
  <c r="D53" i="13"/>
  <c r="K68" i="13"/>
  <c r="I68" i="13"/>
  <c r="J68" i="13" s="1"/>
  <c r="G68" i="13"/>
  <c r="F68" i="13"/>
  <c r="H68" i="13" s="1"/>
  <c r="D68" i="13"/>
  <c r="K67" i="13"/>
  <c r="H67" i="13"/>
  <c r="G67" i="13"/>
  <c r="I67" i="13" s="1"/>
  <c r="F67" i="13"/>
  <c r="D67" i="13"/>
  <c r="K66" i="13"/>
  <c r="G66" i="13"/>
  <c r="I66" i="13" s="1"/>
  <c r="F66" i="13"/>
  <c r="H66" i="13" s="1"/>
  <c r="D66" i="13"/>
  <c r="K65" i="13"/>
  <c r="G65" i="13"/>
  <c r="I65" i="13" s="1"/>
  <c r="F65" i="13"/>
  <c r="H65" i="13" s="1"/>
  <c r="D65" i="13"/>
  <c r="K64" i="13"/>
  <c r="G64" i="13"/>
  <c r="I64" i="13" s="1"/>
  <c r="F64" i="13"/>
  <c r="H64" i="13" s="1"/>
  <c r="D64" i="13"/>
  <c r="K63" i="13"/>
  <c r="H63" i="13"/>
  <c r="G63" i="13"/>
  <c r="I63" i="13" s="1"/>
  <c r="J63" i="13" s="1"/>
  <c r="F63" i="13"/>
  <c r="D63" i="13"/>
  <c r="K62" i="13"/>
  <c r="G62" i="13"/>
  <c r="I62" i="13" s="1"/>
  <c r="F62" i="13"/>
  <c r="H62" i="13" s="1"/>
  <c r="D62" i="13"/>
  <c r="K61" i="13"/>
  <c r="G61" i="13"/>
  <c r="I61" i="13" s="1"/>
  <c r="F61" i="13"/>
  <c r="H61" i="13" s="1"/>
  <c r="D61" i="13"/>
  <c r="K75" i="13"/>
  <c r="G75" i="13"/>
  <c r="I75" i="13" s="1"/>
  <c r="F75" i="13"/>
  <c r="H75" i="13" s="1"/>
  <c r="D75" i="13"/>
  <c r="K74" i="13"/>
  <c r="I74" i="13"/>
  <c r="G74" i="13"/>
  <c r="F74" i="13"/>
  <c r="H74" i="13" s="1"/>
  <c r="D74" i="13"/>
  <c r="K73" i="13"/>
  <c r="G73" i="13"/>
  <c r="I73" i="13" s="1"/>
  <c r="F73" i="13"/>
  <c r="H73" i="13" s="1"/>
  <c r="D73" i="13"/>
  <c r="K72" i="13"/>
  <c r="G72" i="13"/>
  <c r="I72" i="13" s="1"/>
  <c r="F72" i="13"/>
  <c r="H72" i="13" s="1"/>
  <c r="D72" i="13"/>
  <c r="K71" i="13"/>
  <c r="G71" i="13"/>
  <c r="I71" i="13" s="1"/>
  <c r="J71" i="13" s="1"/>
  <c r="F71" i="13"/>
  <c r="H71" i="13" s="1"/>
  <c r="D71" i="13"/>
  <c r="K70" i="13"/>
  <c r="I70" i="13"/>
  <c r="G70" i="13"/>
  <c r="F70" i="13"/>
  <c r="H70" i="13" s="1"/>
  <c r="D70" i="13"/>
  <c r="K69" i="13"/>
  <c r="G69" i="13"/>
  <c r="I69" i="13" s="1"/>
  <c r="F69" i="13"/>
  <c r="H69" i="13" s="1"/>
  <c r="D69" i="13"/>
  <c r="K79" i="13"/>
  <c r="G79" i="13"/>
  <c r="I79" i="13" s="1"/>
  <c r="J79" i="13" s="1"/>
  <c r="F79" i="13"/>
  <c r="H79" i="13" s="1"/>
  <c r="D79" i="13"/>
  <c r="K78" i="13"/>
  <c r="G78" i="13"/>
  <c r="I78" i="13" s="1"/>
  <c r="J78" i="13" s="1"/>
  <c r="F78" i="13"/>
  <c r="H78" i="13" s="1"/>
  <c r="D78" i="13"/>
  <c r="K77" i="13"/>
  <c r="G77" i="13"/>
  <c r="I77" i="13" s="1"/>
  <c r="F77" i="13"/>
  <c r="H77" i="13" s="1"/>
  <c r="D77" i="13"/>
  <c r="K76" i="13"/>
  <c r="H76" i="13"/>
  <c r="G76" i="13"/>
  <c r="I76" i="13" s="1"/>
  <c r="F76" i="13"/>
  <c r="D76" i="13"/>
  <c r="K82" i="13"/>
  <c r="G82" i="13"/>
  <c r="I82" i="13" s="1"/>
  <c r="J82" i="13" s="1"/>
  <c r="F82" i="13"/>
  <c r="H82" i="13" s="1"/>
  <c r="D82" i="13"/>
  <c r="K81" i="13"/>
  <c r="G81" i="13"/>
  <c r="I81" i="13" s="1"/>
  <c r="J81" i="13" s="1"/>
  <c r="F81" i="13"/>
  <c r="H81" i="13" s="1"/>
  <c r="D81" i="13"/>
  <c r="K80" i="13"/>
  <c r="G80" i="13"/>
  <c r="I80" i="13" s="1"/>
  <c r="J80" i="13" s="1"/>
  <c r="F80" i="13"/>
  <c r="H80" i="13" s="1"/>
  <c r="D80" i="13"/>
  <c r="K88" i="13"/>
  <c r="G88" i="13"/>
  <c r="I88" i="13" s="1"/>
  <c r="F88" i="13"/>
  <c r="H88" i="13" s="1"/>
  <c r="D88" i="13"/>
  <c r="K87" i="13"/>
  <c r="G87" i="13"/>
  <c r="I87" i="13" s="1"/>
  <c r="F87" i="13"/>
  <c r="H87" i="13" s="1"/>
  <c r="D87" i="13"/>
  <c r="K86" i="13"/>
  <c r="G86" i="13"/>
  <c r="I86" i="13" s="1"/>
  <c r="J86" i="13" s="1"/>
  <c r="F86" i="13"/>
  <c r="H86" i="13" s="1"/>
  <c r="D86" i="13"/>
  <c r="K85" i="13"/>
  <c r="H85" i="13"/>
  <c r="G85" i="13"/>
  <c r="I85" i="13" s="1"/>
  <c r="F85" i="13"/>
  <c r="D85" i="13"/>
  <c r="K84" i="13"/>
  <c r="I84" i="13"/>
  <c r="G84" i="13"/>
  <c r="F84" i="13"/>
  <c r="H84" i="13" s="1"/>
  <c r="D84" i="13"/>
  <c r="K83" i="13"/>
  <c r="G83" i="13"/>
  <c r="I83" i="13" s="1"/>
  <c r="F83" i="13"/>
  <c r="H83" i="13" s="1"/>
  <c r="D83" i="13"/>
  <c r="K93" i="13"/>
  <c r="G93" i="13"/>
  <c r="I93" i="13" s="1"/>
  <c r="J93" i="13" s="1"/>
  <c r="F93" i="13"/>
  <c r="H93" i="13" s="1"/>
  <c r="D93" i="13"/>
  <c r="K92" i="13"/>
  <c r="G92" i="13"/>
  <c r="I92" i="13" s="1"/>
  <c r="F92" i="13"/>
  <c r="H92" i="13" s="1"/>
  <c r="D92" i="13"/>
  <c r="K91" i="13"/>
  <c r="G91" i="13"/>
  <c r="I91" i="13" s="1"/>
  <c r="F91" i="13"/>
  <c r="H91" i="13" s="1"/>
  <c r="D91" i="13"/>
  <c r="K90" i="13"/>
  <c r="G90" i="13"/>
  <c r="I90" i="13" s="1"/>
  <c r="F90" i="13"/>
  <c r="H90" i="13" s="1"/>
  <c r="D90" i="13"/>
  <c r="K89" i="13"/>
  <c r="G89" i="13"/>
  <c r="I89" i="13" s="1"/>
  <c r="F89" i="13"/>
  <c r="H89" i="13" s="1"/>
  <c r="D89" i="13"/>
  <c r="K99" i="13"/>
  <c r="I99" i="13"/>
  <c r="J99" i="13" s="1"/>
  <c r="G99" i="13"/>
  <c r="F99" i="13"/>
  <c r="H99" i="13" s="1"/>
  <c r="D99" i="13"/>
  <c r="K98" i="13"/>
  <c r="H98" i="13"/>
  <c r="G98" i="13"/>
  <c r="I98" i="13" s="1"/>
  <c r="F98" i="13"/>
  <c r="D98" i="13"/>
  <c r="K97" i="13"/>
  <c r="G97" i="13"/>
  <c r="I97" i="13" s="1"/>
  <c r="F97" i="13"/>
  <c r="H97" i="13" s="1"/>
  <c r="D97" i="13"/>
  <c r="K96" i="13"/>
  <c r="G96" i="13"/>
  <c r="I96" i="13" s="1"/>
  <c r="J96" i="13" s="1"/>
  <c r="F96" i="13"/>
  <c r="H96" i="13" s="1"/>
  <c r="D96" i="13"/>
  <c r="K95" i="13"/>
  <c r="G95" i="13"/>
  <c r="I95" i="13" s="1"/>
  <c r="J95" i="13" s="1"/>
  <c r="F95" i="13"/>
  <c r="H95" i="13" s="1"/>
  <c r="D95" i="13"/>
  <c r="K94" i="13"/>
  <c r="G94" i="13"/>
  <c r="I94" i="13" s="1"/>
  <c r="F94" i="13"/>
  <c r="H94" i="13" s="1"/>
  <c r="D94" i="13"/>
  <c r="K108" i="13"/>
  <c r="G108" i="13"/>
  <c r="I108" i="13" s="1"/>
  <c r="F108" i="13"/>
  <c r="H108" i="13" s="1"/>
  <c r="D108" i="13"/>
  <c r="K107" i="13"/>
  <c r="G107" i="13"/>
  <c r="I107" i="13" s="1"/>
  <c r="J107" i="13" s="1"/>
  <c r="F107" i="13"/>
  <c r="H107" i="13" s="1"/>
  <c r="D107" i="13"/>
  <c r="K106" i="13"/>
  <c r="G106" i="13"/>
  <c r="I106" i="13" s="1"/>
  <c r="J106" i="13" s="1"/>
  <c r="F106" i="13"/>
  <c r="H106" i="13" s="1"/>
  <c r="D106" i="13"/>
  <c r="K105" i="13"/>
  <c r="I105" i="13"/>
  <c r="H105" i="13"/>
  <c r="G105" i="13"/>
  <c r="F105" i="13"/>
  <c r="D105" i="13"/>
  <c r="K104" i="13"/>
  <c r="G104" i="13"/>
  <c r="I104" i="13" s="1"/>
  <c r="F104" i="13"/>
  <c r="H104" i="13" s="1"/>
  <c r="D104" i="13"/>
  <c r="K103" i="13"/>
  <c r="G103" i="13"/>
  <c r="I103" i="13" s="1"/>
  <c r="F103" i="13"/>
  <c r="H103" i="13" s="1"/>
  <c r="D103" i="13"/>
  <c r="K102" i="13"/>
  <c r="G102" i="13"/>
  <c r="I102" i="13" s="1"/>
  <c r="F102" i="13"/>
  <c r="H102" i="13" s="1"/>
  <c r="D102" i="13"/>
  <c r="K101" i="13"/>
  <c r="G101" i="13"/>
  <c r="I101" i="13" s="1"/>
  <c r="F101" i="13"/>
  <c r="H101" i="13" s="1"/>
  <c r="D101" i="13"/>
  <c r="K100" i="13"/>
  <c r="G100" i="13"/>
  <c r="I100" i="13" s="1"/>
  <c r="F100" i="13"/>
  <c r="H100" i="13" s="1"/>
  <c r="D100" i="13"/>
  <c r="K113" i="13"/>
  <c r="G113" i="13"/>
  <c r="I113" i="13" s="1"/>
  <c r="F113" i="13"/>
  <c r="H113" i="13" s="1"/>
  <c r="D113" i="13"/>
  <c r="K112" i="13"/>
  <c r="G112" i="13"/>
  <c r="I112" i="13" s="1"/>
  <c r="F112" i="13"/>
  <c r="H112" i="13" s="1"/>
  <c r="D112" i="13"/>
  <c r="K111" i="13"/>
  <c r="H111" i="13"/>
  <c r="G111" i="13"/>
  <c r="I111" i="13" s="1"/>
  <c r="F111" i="13"/>
  <c r="D111" i="13"/>
  <c r="K110" i="13"/>
  <c r="G110" i="13"/>
  <c r="I110" i="13" s="1"/>
  <c r="J110" i="13" s="1"/>
  <c r="F110" i="13"/>
  <c r="H110" i="13" s="1"/>
  <c r="D110" i="13"/>
  <c r="K109" i="13"/>
  <c r="G109" i="13"/>
  <c r="I109" i="13" s="1"/>
  <c r="J109" i="13" s="1"/>
  <c r="F109" i="13"/>
  <c r="H109" i="13" s="1"/>
  <c r="D109" i="13"/>
  <c r="K121" i="13"/>
  <c r="G121" i="13"/>
  <c r="I121" i="13" s="1"/>
  <c r="J121" i="13" s="1"/>
  <c r="F121" i="13"/>
  <c r="H121" i="13" s="1"/>
  <c r="D121" i="13"/>
  <c r="K120" i="13"/>
  <c r="I120" i="13"/>
  <c r="G120" i="13"/>
  <c r="F120" i="13"/>
  <c r="H120" i="13" s="1"/>
  <c r="D120" i="13"/>
  <c r="K119" i="13"/>
  <c r="G119" i="13"/>
  <c r="I119" i="13" s="1"/>
  <c r="F119" i="13"/>
  <c r="H119" i="13" s="1"/>
  <c r="D119" i="13"/>
  <c r="K118" i="13"/>
  <c r="G118" i="13"/>
  <c r="I118" i="13" s="1"/>
  <c r="F118" i="13"/>
  <c r="H118" i="13" s="1"/>
  <c r="D118" i="13"/>
  <c r="K117" i="13"/>
  <c r="G117" i="13"/>
  <c r="I117" i="13" s="1"/>
  <c r="F117" i="13"/>
  <c r="H117" i="13" s="1"/>
  <c r="D117" i="13"/>
  <c r="K116" i="13"/>
  <c r="G116" i="13"/>
  <c r="I116" i="13" s="1"/>
  <c r="F116" i="13"/>
  <c r="H116" i="13" s="1"/>
  <c r="D116" i="13"/>
  <c r="K115" i="13"/>
  <c r="G115" i="13"/>
  <c r="I115" i="13" s="1"/>
  <c r="F115" i="13"/>
  <c r="H115" i="13" s="1"/>
  <c r="D115" i="13"/>
  <c r="K114" i="13"/>
  <c r="G114" i="13"/>
  <c r="I114" i="13" s="1"/>
  <c r="F114" i="13"/>
  <c r="H114" i="13" s="1"/>
  <c r="D114" i="13"/>
  <c r="K127" i="13"/>
  <c r="G127" i="13"/>
  <c r="I127" i="13" s="1"/>
  <c r="F127" i="13"/>
  <c r="H127" i="13" s="1"/>
  <c r="D127" i="13"/>
  <c r="K126" i="13"/>
  <c r="G126" i="13"/>
  <c r="I126" i="13" s="1"/>
  <c r="F126" i="13"/>
  <c r="H126" i="13" s="1"/>
  <c r="D126" i="13"/>
  <c r="K125" i="13"/>
  <c r="G125" i="13"/>
  <c r="I125" i="13" s="1"/>
  <c r="F125" i="13"/>
  <c r="H125" i="13" s="1"/>
  <c r="D125" i="13"/>
  <c r="K124" i="13"/>
  <c r="G124" i="13"/>
  <c r="I124" i="13" s="1"/>
  <c r="F124" i="13"/>
  <c r="H124" i="13" s="1"/>
  <c r="D124" i="13"/>
  <c r="K123" i="13"/>
  <c r="G123" i="13"/>
  <c r="I123" i="13" s="1"/>
  <c r="J123" i="13" s="1"/>
  <c r="F123" i="13"/>
  <c r="H123" i="13" s="1"/>
  <c r="D123" i="13"/>
  <c r="K122" i="13"/>
  <c r="I122" i="13"/>
  <c r="G122" i="13"/>
  <c r="F122" i="13"/>
  <c r="H122" i="13" s="1"/>
  <c r="D122" i="13"/>
  <c r="K135" i="13"/>
  <c r="G135" i="13"/>
  <c r="I135" i="13" s="1"/>
  <c r="F135" i="13"/>
  <c r="H135" i="13" s="1"/>
  <c r="D135" i="13"/>
  <c r="K134" i="13"/>
  <c r="G134" i="13"/>
  <c r="I134" i="13" s="1"/>
  <c r="J134" i="13" s="1"/>
  <c r="F134" i="13"/>
  <c r="H134" i="13" s="1"/>
  <c r="D134" i="13"/>
  <c r="K133" i="13"/>
  <c r="I133" i="13"/>
  <c r="G133" i="13"/>
  <c r="F133" i="13"/>
  <c r="H133" i="13" s="1"/>
  <c r="D133" i="13"/>
  <c r="K132" i="13"/>
  <c r="G132" i="13"/>
  <c r="I132" i="13" s="1"/>
  <c r="F132" i="13"/>
  <c r="H132" i="13" s="1"/>
  <c r="D132" i="13"/>
  <c r="K131" i="13"/>
  <c r="G131" i="13"/>
  <c r="I131" i="13" s="1"/>
  <c r="F131" i="13"/>
  <c r="H131" i="13" s="1"/>
  <c r="D131" i="13"/>
  <c r="K130" i="13"/>
  <c r="G130" i="13"/>
  <c r="I130" i="13" s="1"/>
  <c r="F130" i="13"/>
  <c r="H130" i="13" s="1"/>
  <c r="D130" i="13"/>
  <c r="K129" i="13"/>
  <c r="G129" i="13"/>
  <c r="I129" i="13" s="1"/>
  <c r="F129" i="13"/>
  <c r="H129" i="13" s="1"/>
  <c r="D129" i="13"/>
  <c r="K128" i="13"/>
  <c r="G128" i="13"/>
  <c r="I128" i="13" s="1"/>
  <c r="F128" i="13"/>
  <c r="H128" i="13" s="1"/>
  <c r="D128" i="13"/>
  <c r="K139" i="13"/>
  <c r="H139" i="13"/>
  <c r="G139" i="13"/>
  <c r="I139" i="13" s="1"/>
  <c r="F139" i="13"/>
  <c r="D139" i="13"/>
  <c r="K138" i="13"/>
  <c r="G138" i="13"/>
  <c r="I138" i="13" s="1"/>
  <c r="J138" i="13" s="1"/>
  <c r="F138" i="13"/>
  <c r="H138" i="13" s="1"/>
  <c r="D138" i="13"/>
  <c r="K137" i="13"/>
  <c r="I137" i="13"/>
  <c r="J137" i="13" s="1"/>
  <c r="G137" i="13"/>
  <c r="F137" i="13"/>
  <c r="H137" i="13" s="1"/>
  <c r="D137" i="13"/>
  <c r="K136" i="13"/>
  <c r="G136" i="13"/>
  <c r="I136" i="13" s="1"/>
  <c r="F136" i="13"/>
  <c r="H136" i="13" s="1"/>
  <c r="D136" i="13"/>
  <c r="K144" i="13"/>
  <c r="G144" i="13"/>
  <c r="I144" i="13" s="1"/>
  <c r="F144" i="13"/>
  <c r="H144" i="13" s="1"/>
  <c r="D144" i="13"/>
  <c r="K143" i="13"/>
  <c r="G143" i="13"/>
  <c r="I143" i="13" s="1"/>
  <c r="F143" i="13"/>
  <c r="H143" i="13" s="1"/>
  <c r="D143" i="13"/>
  <c r="K142" i="13"/>
  <c r="G142" i="13"/>
  <c r="I142" i="13" s="1"/>
  <c r="J142" i="13" s="1"/>
  <c r="F142" i="13"/>
  <c r="H142" i="13" s="1"/>
  <c r="D142" i="13"/>
  <c r="K141" i="13"/>
  <c r="G141" i="13"/>
  <c r="I141" i="13" s="1"/>
  <c r="F141" i="13"/>
  <c r="H141" i="13" s="1"/>
  <c r="D141" i="13"/>
  <c r="K140" i="13"/>
  <c r="H140" i="13"/>
  <c r="G140" i="13"/>
  <c r="I140" i="13" s="1"/>
  <c r="F140" i="13"/>
  <c r="D140" i="13"/>
  <c r="K148" i="13"/>
  <c r="J148" i="13"/>
  <c r="G148" i="13"/>
  <c r="I148" i="13" s="1"/>
  <c r="F148" i="13"/>
  <c r="H148" i="13" s="1"/>
  <c r="D148" i="13"/>
  <c r="K147" i="13"/>
  <c r="G147" i="13"/>
  <c r="I147" i="13" s="1"/>
  <c r="F147" i="13"/>
  <c r="H147" i="13" s="1"/>
  <c r="D147" i="13"/>
  <c r="K146" i="13"/>
  <c r="G146" i="13"/>
  <c r="I146" i="13" s="1"/>
  <c r="F146" i="13"/>
  <c r="H146" i="13" s="1"/>
  <c r="D146" i="13"/>
  <c r="K145" i="13"/>
  <c r="G145" i="13"/>
  <c r="I145" i="13" s="1"/>
  <c r="F145" i="13"/>
  <c r="H145" i="13" s="1"/>
  <c r="D145" i="13"/>
  <c r="K155" i="13"/>
  <c r="G155" i="13"/>
  <c r="I155" i="13" s="1"/>
  <c r="F155" i="13"/>
  <c r="H155" i="13" s="1"/>
  <c r="D155" i="13"/>
  <c r="K154" i="13"/>
  <c r="G154" i="13"/>
  <c r="I154" i="13" s="1"/>
  <c r="J154" i="13" s="1"/>
  <c r="F154" i="13"/>
  <c r="H154" i="13" s="1"/>
  <c r="D154" i="13"/>
  <c r="K153" i="13"/>
  <c r="H153" i="13"/>
  <c r="G153" i="13"/>
  <c r="I153" i="13" s="1"/>
  <c r="F153" i="13"/>
  <c r="D153" i="13"/>
  <c r="K152" i="13"/>
  <c r="H152" i="13"/>
  <c r="G152" i="13"/>
  <c r="I152" i="13" s="1"/>
  <c r="F152" i="13"/>
  <c r="D152" i="13"/>
  <c r="K151" i="13"/>
  <c r="G151" i="13"/>
  <c r="I151" i="13" s="1"/>
  <c r="F151" i="13"/>
  <c r="H151" i="13" s="1"/>
  <c r="D151" i="13"/>
  <c r="K150" i="13"/>
  <c r="G150" i="13"/>
  <c r="I150" i="13" s="1"/>
  <c r="F150" i="13"/>
  <c r="H150" i="13" s="1"/>
  <c r="D150" i="13"/>
  <c r="K149" i="13"/>
  <c r="G149" i="13"/>
  <c r="I149" i="13" s="1"/>
  <c r="F149" i="13"/>
  <c r="H149" i="13" s="1"/>
  <c r="D149" i="13"/>
  <c r="K161" i="13"/>
  <c r="G161" i="13"/>
  <c r="I161" i="13" s="1"/>
  <c r="F161" i="13"/>
  <c r="H161" i="13" s="1"/>
  <c r="D161" i="13"/>
  <c r="K160" i="13"/>
  <c r="G160" i="13"/>
  <c r="I160" i="13" s="1"/>
  <c r="F160" i="13"/>
  <c r="H160" i="13" s="1"/>
  <c r="D160" i="13"/>
  <c r="K159" i="13"/>
  <c r="G159" i="13"/>
  <c r="I159" i="13" s="1"/>
  <c r="J159" i="13" s="1"/>
  <c r="F159" i="13"/>
  <c r="H159" i="13" s="1"/>
  <c r="D159" i="13"/>
  <c r="K158" i="13"/>
  <c r="G158" i="13"/>
  <c r="I158" i="13" s="1"/>
  <c r="F158" i="13"/>
  <c r="H158" i="13" s="1"/>
  <c r="D158" i="13"/>
  <c r="K157" i="13"/>
  <c r="I157" i="13"/>
  <c r="H157" i="13"/>
  <c r="G157" i="13"/>
  <c r="F157" i="13"/>
  <c r="D157" i="13"/>
  <c r="K156" i="13"/>
  <c r="G156" i="13"/>
  <c r="I156" i="13" s="1"/>
  <c r="F156" i="13"/>
  <c r="H156" i="13" s="1"/>
  <c r="D156" i="13"/>
  <c r="K167" i="13"/>
  <c r="G167" i="13"/>
  <c r="I167" i="13" s="1"/>
  <c r="J167" i="13" s="1"/>
  <c r="F167" i="13"/>
  <c r="H167" i="13" s="1"/>
  <c r="D167" i="13"/>
  <c r="K166" i="13"/>
  <c r="G166" i="13"/>
  <c r="I166" i="13" s="1"/>
  <c r="F166" i="13"/>
  <c r="H166" i="13" s="1"/>
  <c r="D166" i="13"/>
  <c r="K165" i="13"/>
  <c r="G165" i="13"/>
  <c r="I165" i="13" s="1"/>
  <c r="F165" i="13"/>
  <c r="H165" i="13" s="1"/>
  <c r="D165" i="13"/>
  <c r="K164" i="13"/>
  <c r="G164" i="13"/>
  <c r="I164" i="13" s="1"/>
  <c r="F164" i="13"/>
  <c r="H164" i="13" s="1"/>
  <c r="D164" i="13"/>
  <c r="K163" i="13"/>
  <c r="G163" i="13"/>
  <c r="I163" i="13" s="1"/>
  <c r="J163" i="13" s="1"/>
  <c r="F163" i="13"/>
  <c r="H163" i="13" s="1"/>
  <c r="D163" i="13"/>
  <c r="K162" i="13"/>
  <c r="I162" i="13"/>
  <c r="G162" i="13"/>
  <c r="F162" i="13"/>
  <c r="H162" i="13" s="1"/>
  <c r="D162" i="13"/>
  <c r="K174" i="13"/>
  <c r="H174" i="13"/>
  <c r="G174" i="13"/>
  <c r="I174" i="13" s="1"/>
  <c r="F174" i="13"/>
  <c r="D174" i="13"/>
  <c r="K173" i="13"/>
  <c r="G173" i="13"/>
  <c r="I173" i="13" s="1"/>
  <c r="F173" i="13"/>
  <c r="H173" i="13" s="1"/>
  <c r="D173" i="13"/>
  <c r="K172" i="13"/>
  <c r="G172" i="13"/>
  <c r="I172" i="13" s="1"/>
  <c r="J172" i="13" s="1"/>
  <c r="F172" i="13"/>
  <c r="H172" i="13" s="1"/>
  <c r="D172" i="13"/>
  <c r="K171" i="13"/>
  <c r="I171" i="13"/>
  <c r="G171" i="13"/>
  <c r="F171" i="13"/>
  <c r="H171" i="13" s="1"/>
  <c r="D171" i="13"/>
  <c r="K170" i="13"/>
  <c r="G170" i="13"/>
  <c r="I170" i="13" s="1"/>
  <c r="F170" i="13"/>
  <c r="H170" i="13" s="1"/>
  <c r="D170" i="13"/>
  <c r="K169" i="13"/>
  <c r="G169" i="13"/>
  <c r="I169" i="13" s="1"/>
  <c r="F169" i="13"/>
  <c r="H169" i="13" s="1"/>
  <c r="D169" i="13"/>
  <c r="K168" i="13"/>
  <c r="G168" i="13"/>
  <c r="I168" i="13" s="1"/>
  <c r="F168" i="13"/>
  <c r="H168" i="13" s="1"/>
  <c r="D168" i="13"/>
  <c r="K180" i="13"/>
  <c r="G180" i="13"/>
  <c r="I180" i="13" s="1"/>
  <c r="F180" i="13"/>
  <c r="H180" i="13" s="1"/>
  <c r="D180" i="13"/>
  <c r="K179" i="13"/>
  <c r="H179" i="13"/>
  <c r="G179" i="13"/>
  <c r="I179" i="13" s="1"/>
  <c r="F179" i="13"/>
  <c r="D179" i="13"/>
  <c r="K178" i="13"/>
  <c r="H178" i="13"/>
  <c r="G178" i="13"/>
  <c r="I178" i="13" s="1"/>
  <c r="F178" i="13"/>
  <c r="D178" i="13"/>
  <c r="K177" i="13"/>
  <c r="G177" i="13"/>
  <c r="I177" i="13" s="1"/>
  <c r="F177" i="13"/>
  <c r="H177" i="13" s="1"/>
  <c r="D177" i="13"/>
  <c r="K176" i="13"/>
  <c r="G176" i="13"/>
  <c r="I176" i="13" s="1"/>
  <c r="F176" i="13"/>
  <c r="H176" i="13" s="1"/>
  <c r="D176" i="13"/>
  <c r="K175" i="13"/>
  <c r="G175" i="13"/>
  <c r="I175" i="13" s="1"/>
  <c r="F175" i="13"/>
  <c r="H175" i="13" s="1"/>
  <c r="D175" i="13"/>
  <c r="K190" i="13"/>
  <c r="G190" i="13"/>
  <c r="I190" i="13" s="1"/>
  <c r="F190" i="13"/>
  <c r="H190" i="13" s="1"/>
  <c r="J190" i="13" s="1"/>
  <c r="D190" i="13"/>
  <c r="K189" i="13"/>
  <c r="G189" i="13"/>
  <c r="I189" i="13" s="1"/>
  <c r="J189" i="13" s="1"/>
  <c r="F189" i="13"/>
  <c r="H189" i="13" s="1"/>
  <c r="D189" i="13"/>
  <c r="K188" i="13"/>
  <c r="I188" i="13"/>
  <c r="G188" i="13"/>
  <c r="F188" i="13"/>
  <c r="H188" i="13" s="1"/>
  <c r="D188" i="13"/>
  <c r="K187" i="13"/>
  <c r="H187" i="13"/>
  <c r="G187" i="13"/>
  <c r="I187" i="13" s="1"/>
  <c r="F187" i="13"/>
  <c r="D187" i="13"/>
  <c r="K186" i="13"/>
  <c r="G186" i="13"/>
  <c r="I186" i="13" s="1"/>
  <c r="F186" i="13"/>
  <c r="H186" i="13" s="1"/>
  <c r="D186" i="13"/>
  <c r="K185" i="13"/>
  <c r="G185" i="13"/>
  <c r="I185" i="13" s="1"/>
  <c r="J185" i="13" s="1"/>
  <c r="F185" i="13"/>
  <c r="H185" i="13" s="1"/>
  <c r="D185" i="13"/>
  <c r="K184" i="13"/>
  <c r="I184" i="13"/>
  <c r="G184" i="13"/>
  <c r="F184" i="13"/>
  <c r="H184" i="13" s="1"/>
  <c r="D184" i="13"/>
  <c r="K183" i="13"/>
  <c r="G183" i="13"/>
  <c r="I183" i="13" s="1"/>
  <c r="F183" i="13"/>
  <c r="H183" i="13" s="1"/>
  <c r="D183" i="13"/>
  <c r="K182" i="13"/>
  <c r="G182" i="13"/>
  <c r="I182" i="13" s="1"/>
  <c r="F182" i="13"/>
  <c r="H182" i="13" s="1"/>
  <c r="D182" i="13"/>
  <c r="K181" i="13"/>
  <c r="G181" i="13"/>
  <c r="I181" i="13" s="1"/>
  <c r="F181" i="13"/>
  <c r="H181" i="13" s="1"/>
  <c r="D181" i="13"/>
  <c r="K199" i="13"/>
  <c r="G199" i="13"/>
  <c r="I199" i="13" s="1"/>
  <c r="F199" i="13"/>
  <c r="H199" i="13" s="1"/>
  <c r="D199" i="13"/>
  <c r="K198" i="13"/>
  <c r="G198" i="13"/>
  <c r="I198" i="13" s="1"/>
  <c r="F198" i="13"/>
  <c r="H198" i="13" s="1"/>
  <c r="D198" i="13"/>
  <c r="K197" i="13"/>
  <c r="H197" i="13"/>
  <c r="G197" i="13"/>
  <c r="I197" i="13" s="1"/>
  <c r="F197" i="13"/>
  <c r="D197" i="13"/>
  <c r="K196" i="13"/>
  <c r="G196" i="13"/>
  <c r="I196" i="13" s="1"/>
  <c r="F196" i="13"/>
  <c r="H196" i="13" s="1"/>
  <c r="D196" i="13"/>
  <c r="K195" i="13"/>
  <c r="G195" i="13"/>
  <c r="I195" i="13" s="1"/>
  <c r="F195" i="13"/>
  <c r="H195" i="13" s="1"/>
  <c r="D195" i="13"/>
  <c r="K194" i="13"/>
  <c r="H194" i="13"/>
  <c r="G194" i="13"/>
  <c r="I194" i="13" s="1"/>
  <c r="F194" i="13"/>
  <c r="D194" i="13"/>
  <c r="K193" i="13"/>
  <c r="G193" i="13"/>
  <c r="I193" i="13" s="1"/>
  <c r="J193" i="13" s="1"/>
  <c r="F193" i="13"/>
  <c r="H193" i="13" s="1"/>
  <c r="D193" i="13"/>
  <c r="K192" i="13"/>
  <c r="I192" i="13"/>
  <c r="G192" i="13"/>
  <c r="F192" i="13"/>
  <c r="H192" i="13" s="1"/>
  <c r="D192" i="13"/>
  <c r="K191" i="13"/>
  <c r="G191" i="13"/>
  <c r="I191" i="13" s="1"/>
  <c r="F191" i="13"/>
  <c r="H191" i="13" s="1"/>
  <c r="D191" i="13"/>
  <c r="K203" i="13"/>
  <c r="G203" i="13"/>
  <c r="I203" i="13" s="1"/>
  <c r="F203" i="13"/>
  <c r="H203" i="13" s="1"/>
  <c r="D203" i="13"/>
  <c r="K202" i="13"/>
  <c r="G202" i="13"/>
  <c r="I202" i="13" s="1"/>
  <c r="J202" i="13" s="1"/>
  <c r="F202" i="13"/>
  <c r="H202" i="13" s="1"/>
  <c r="D202" i="13"/>
  <c r="K201" i="13"/>
  <c r="I201" i="13"/>
  <c r="J201" i="13" s="1"/>
  <c r="G201" i="13"/>
  <c r="F201" i="13"/>
  <c r="H201" i="13" s="1"/>
  <c r="D201" i="13"/>
  <c r="K200" i="13"/>
  <c r="G200" i="13"/>
  <c r="I200" i="13" s="1"/>
  <c r="F200" i="13"/>
  <c r="H200" i="13" s="1"/>
  <c r="D200" i="13"/>
  <c r="K212" i="13"/>
  <c r="H212" i="13"/>
  <c r="G212" i="13"/>
  <c r="I212" i="13" s="1"/>
  <c r="F212" i="13"/>
  <c r="D212" i="13"/>
  <c r="K211" i="13"/>
  <c r="G211" i="13"/>
  <c r="I211" i="13" s="1"/>
  <c r="J211" i="13" s="1"/>
  <c r="F211" i="13"/>
  <c r="H211" i="13" s="1"/>
  <c r="D211" i="13"/>
  <c r="K210" i="13"/>
  <c r="I210" i="13"/>
  <c r="G210" i="13"/>
  <c r="F210" i="13"/>
  <c r="H210" i="13" s="1"/>
  <c r="D210" i="13"/>
  <c r="K209" i="13"/>
  <c r="G209" i="13"/>
  <c r="I209" i="13" s="1"/>
  <c r="F209" i="13"/>
  <c r="H209" i="13" s="1"/>
  <c r="J209" i="13" s="1"/>
  <c r="D209" i="13"/>
  <c r="K208" i="13"/>
  <c r="G208" i="13"/>
  <c r="I208" i="13" s="1"/>
  <c r="F208" i="13"/>
  <c r="H208" i="13" s="1"/>
  <c r="D208" i="13"/>
  <c r="K207" i="13"/>
  <c r="G207" i="13"/>
  <c r="I207" i="13" s="1"/>
  <c r="J207" i="13" s="1"/>
  <c r="F207" i="13"/>
  <c r="H207" i="13" s="1"/>
  <c r="D207" i="13"/>
  <c r="K206" i="13"/>
  <c r="I206" i="13"/>
  <c r="J206" i="13" s="1"/>
  <c r="G206" i="13"/>
  <c r="F206" i="13"/>
  <c r="H206" i="13" s="1"/>
  <c r="D206" i="13"/>
  <c r="K205" i="13"/>
  <c r="G205" i="13"/>
  <c r="I205" i="13" s="1"/>
  <c r="F205" i="13"/>
  <c r="H205" i="13" s="1"/>
  <c r="D205" i="13"/>
  <c r="K204" i="13"/>
  <c r="H204" i="13"/>
  <c r="G204" i="13"/>
  <c r="I204" i="13" s="1"/>
  <c r="F204" i="13"/>
  <c r="D204" i="13"/>
  <c r="K217" i="13"/>
  <c r="G217" i="13"/>
  <c r="I217" i="13" s="1"/>
  <c r="J217" i="13" s="1"/>
  <c r="F217" i="13"/>
  <c r="H217" i="13" s="1"/>
  <c r="D217" i="13"/>
  <c r="K216" i="13"/>
  <c r="I216" i="13"/>
  <c r="G216" i="13"/>
  <c r="F216" i="13"/>
  <c r="H216" i="13" s="1"/>
  <c r="D216" i="13"/>
  <c r="K215" i="13"/>
  <c r="G215" i="13"/>
  <c r="I215" i="13" s="1"/>
  <c r="F215" i="13"/>
  <c r="H215" i="13" s="1"/>
  <c r="J215" i="13" s="1"/>
  <c r="D215" i="13"/>
  <c r="K214" i="13"/>
  <c r="G214" i="13"/>
  <c r="I214" i="13" s="1"/>
  <c r="F214" i="13"/>
  <c r="H214" i="13" s="1"/>
  <c r="D214" i="13"/>
  <c r="K213" i="13"/>
  <c r="G213" i="13"/>
  <c r="I213" i="13" s="1"/>
  <c r="J213" i="13" s="1"/>
  <c r="F213" i="13"/>
  <c r="H213" i="13" s="1"/>
  <c r="D213" i="13"/>
  <c r="K225" i="13"/>
  <c r="I225" i="13"/>
  <c r="J225" i="13" s="1"/>
  <c r="G225" i="13"/>
  <c r="F225" i="13"/>
  <c r="H225" i="13" s="1"/>
  <c r="D225" i="13"/>
  <c r="K224" i="13"/>
  <c r="H224" i="13"/>
  <c r="G224" i="13"/>
  <c r="I224" i="13" s="1"/>
  <c r="F224" i="13"/>
  <c r="D224" i="13"/>
  <c r="K223" i="13"/>
  <c r="G223" i="13"/>
  <c r="I223" i="13" s="1"/>
  <c r="F223" i="13"/>
  <c r="H223" i="13" s="1"/>
  <c r="D223" i="13"/>
  <c r="K222" i="13"/>
  <c r="G222" i="13"/>
  <c r="I222" i="13" s="1"/>
  <c r="F222" i="13"/>
  <c r="H222" i="13" s="1"/>
  <c r="D222" i="13"/>
  <c r="K221" i="13"/>
  <c r="G221" i="13"/>
  <c r="I221" i="13" s="1"/>
  <c r="F221" i="13"/>
  <c r="H221" i="13" s="1"/>
  <c r="D221" i="13"/>
  <c r="K220" i="13"/>
  <c r="H220" i="13"/>
  <c r="J220" i="13" s="1"/>
  <c r="G220" i="13"/>
  <c r="I220" i="13" s="1"/>
  <c r="F220" i="13"/>
  <c r="D220" i="13"/>
  <c r="K219" i="13"/>
  <c r="H219" i="13"/>
  <c r="G219" i="13"/>
  <c r="I219" i="13" s="1"/>
  <c r="F219" i="13"/>
  <c r="D219" i="13"/>
  <c r="K218" i="13"/>
  <c r="G218" i="13"/>
  <c r="I218" i="13" s="1"/>
  <c r="J218" i="13" s="1"/>
  <c r="F218" i="13"/>
  <c r="H218" i="13" s="1"/>
  <c r="D218" i="13"/>
  <c r="K232" i="13"/>
  <c r="I232" i="13"/>
  <c r="G232" i="13"/>
  <c r="F232" i="13"/>
  <c r="H232" i="13" s="1"/>
  <c r="D232" i="13"/>
  <c r="K231" i="13"/>
  <c r="G231" i="13"/>
  <c r="I231" i="13" s="1"/>
  <c r="F231" i="13"/>
  <c r="H231" i="13" s="1"/>
  <c r="J231" i="13" s="1"/>
  <c r="D231" i="13"/>
  <c r="K230" i="13"/>
  <c r="G230" i="13"/>
  <c r="I230" i="13" s="1"/>
  <c r="F230" i="13"/>
  <c r="H230" i="13" s="1"/>
  <c r="D230" i="13"/>
  <c r="K229" i="13"/>
  <c r="G229" i="13"/>
  <c r="I229" i="13" s="1"/>
  <c r="J229" i="13" s="1"/>
  <c r="F229" i="13"/>
  <c r="H229" i="13" s="1"/>
  <c r="D229" i="13"/>
  <c r="K228" i="13"/>
  <c r="I228" i="13"/>
  <c r="J228" i="13" s="1"/>
  <c r="G228" i="13"/>
  <c r="F228" i="13"/>
  <c r="H228" i="13" s="1"/>
  <c r="D228" i="13"/>
  <c r="K227" i="13"/>
  <c r="G227" i="13"/>
  <c r="I227" i="13" s="1"/>
  <c r="F227" i="13"/>
  <c r="H227" i="13" s="1"/>
  <c r="D227" i="13"/>
  <c r="K226" i="13"/>
  <c r="H226" i="13"/>
  <c r="G226" i="13"/>
  <c r="I226" i="13" s="1"/>
  <c r="F226" i="13"/>
  <c r="D226" i="13"/>
  <c r="K237" i="13"/>
  <c r="G237" i="13"/>
  <c r="I237" i="13" s="1"/>
  <c r="J237" i="13" s="1"/>
  <c r="F237" i="13"/>
  <c r="H237" i="13" s="1"/>
  <c r="D237" i="13"/>
  <c r="K236" i="13"/>
  <c r="I236" i="13"/>
  <c r="G236" i="13"/>
  <c r="F236" i="13"/>
  <c r="H236" i="13" s="1"/>
  <c r="D236" i="13"/>
  <c r="K235" i="13"/>
  <c r="G235" i="13"/>
  <c r="I235" i="13" s="1"/>
  <c r="F235" i="13"/>
  <c r="H235" i="13" s="1"/>
  <c r="D235" i="13"/>
  <c r="K234" i="13"/>
  <c r="H234" i="13"/>
  <c r="G234" i="13"/>
  <c r="I234" i="13" s="1"/>
  <c r="F234" i="13"/>
  <c r="D234" i="13"/>
  <c r="K233" i="13"/>
  <c r="G233" i="13"/>
  <c r="I233" i="13" s="1"/>
  <c r="J233" i="13" s="1"/>
  <c r="F233" i="13"/>
  <c r="H233" i="13" s="1"/>
  <c r="D233" i="13"/>
  <c r="K242" i="13"/>
  <c r="I242" i="13"/>
  <c r="G242" i="13"/>
  <c r="F242" i="13"/>
  <c r="H242" i="13" s="1"/>
  <c r="D242" i="13"/>
  <c r="K241" i="13"/>
  <c r="G241" i="13"/>
  <c r="I241" i="13" s="1"/>
  <c r="F241" i="13"/>
  <c r="H241" i="13" s="1"/>
  <c r="J241" i="13" s="1"/>
  <c r="D241" i="13"/>
  <c r="K240" i="13"/>
  <c r="G240" i="13"/>
  <c r="I240" i="13" s="1"/>
  <c r="F240" i="13"/>
  <c r="H240" i="13" s="1"/>
  <c r="D240" i="13"/>
  <c r="K239" i="13"/>
  <c r="G239" i="13"/>
  <c r="I239" i="13" s="1"/>
  <c r="J239" i="13" s="1"/>
  <c r="F239" i="13"/>
  <c r="H239" i="13" s="1"/>
  <c r="D239" i="13"/>
  <c r="K238" i="13"/>
  <c r="I238" i="13"/>
  <c r="G238" i="13"/>
  <c r="F238" i="13"/>
  <c r="H238" i="13" s="1"/>
  <c r="D238" i="13"/>
  <c r="K254" i="13"/>
  <c r="G254" i="13"/>
  <c r="I254" i="13" s="1"/>
  <c r="F254" i="13"/>
  <c r="H254" i="13" s="1"/>
  <c r="D254" i="13"/>
  <c r="K253" i="13"/>
  <c r="H253" i="13"/>
  <c r="G253" i="13"/>
  <c r="I253" i="13" s="1"/>
  <c r="F253" i="13"/>
  <c r="D253" i="13"/>
  <c r="K252" i="13"/>
  <c r="G252" i="13"/>
  <c r="I252" i="13" s="1"/>
  <c r="J252" i="13" s="1"/>
  <c r="F252" i="13"/>
  <c r="H252" i="13" s="1"/>
  <c r="D252" i="13"/>
  <c r="K251" i="13"/>
  <c r="I251" i="13"/>
  <c r="G251" i="13"/>
  <c r="F251" i="13"/>
  <c r="H251" i="13" s="1"/>
  <c r="D251" i="13"/>
  <c r="K250" i="13"/>
  <c r="G250" i="13"/>
  <c r="I250" i="13" s="1"/>
  <c r="F250" i="13"/>
  <c r="H250" i="13" s="1"/>
  <c r="J250" i="13" s="1"/>
  <c r="D250" i="13"/>
  <c r="K249" i="13"/>
  <c r="G249" i="13"/>
  <c r="I249" i="13" s="1"/>
  <c r="F249" i="13"/>
  <c r="H249" i="13" s="1"/>
  <c r="D249" i="13"/>
  <c r="K248" i="13"/>
  <c r="G248" i="13"/>
  <c r="I248" i="13" s="1"/>
  <c r="F248" i="13"/>
  <c r="H248" i="13" s="1"/>
  <c r="D248" i="13"/>
  <c r="K247" i="13"/>
  <c r="G247" i="13"/>
  <c r="I247" i="13" s="1"/>
  <c r="F247" i="13"/>
  <c r="H247" i="13" s="1"/>
  <c r="D247" i="13"/>
  <c r="K246" i="13"/>
  <c r="G246" i="13"/>
  <c r="I246" i="13" s="1"/>
  <c r="F246" i="13"/>
  <c r="H246" i="13" s="1"/>
  <c r="D246" i="13"/>
  <c r="K245" i="13"/>
  <c r="G245" i="13"/>
  <c r="I245" i="13" s="1"/>
  <c r="F245" i="13"/>
  <c r="H245" i="13" s="1"/>
  <c r="D245" i="13"/>
  <c r="K244" i="13"/>
  <c r="G244" i="13"/>
  <c r="I244" i="13" s="1"/>
  <c r="J244" i="13" s="1"/>
  <c r="F244" i="13"/>
  <c r="H244" i="13" s="1"/>
  <c r="D244" i="13"/>
  <c r="K243" i="13"/>
  <c r="I243" i="13"/>
  <c r="G243" i="13"/>
  <c r="F243" i="13"/>
  <c r="H243" i="13" s="1"/>
  <c r="D243" i="13"/>
  <c r="K259" i="13"/>
  <c r="G259" i="13"/>
  <c r="I259" i="13" s="1"/>
  <c r="F259" i="13"/>
  <c r="H259" i="13" s="1"/>
  <c r="D259" i="13"/>
  <c r="K258" i="13"/>
  <c r="H258" i="13"/>
  <c r="G258" i="13"/>
  <c r="I258" i="13" s="1"/>
  <c r="F258" i="13"/>
  <c r="D258" i="13"/>
  <c r="K257" i="13"/>
  <c r="G257" i="13"/>
  <c r="I257" i="13" s="1"/>
  <c r="J257" i="13" s="1"/>
  <c r="F257" i="13"/>
  <c r="H257" i="13" s="1"/>
  <c r="D257" i="13"/>
  <c r="K256" i="13"/>
  <c r="I256" i="13"/>
  <c r="G256" i="13"/>
  <c r="F256" i="13"/>
  <c r="H256" i="13" s="1"/>
  <c r="D256" i="13"/>
  <c r="K255" i="13"/>
  <c r="G255" i="13"/>
  <c r="I255" i="13" s="1"/>
  <c r="F255" i="13"/>
  <c r="H255" i="13" s="1"/>
  <c r="J255" i="13" s="1"/>
  <c r="D255" i="13"/>
  <c r="K266" i="13"/>
  <c r="G266" i="13"/>
  <c r="I266" i="13" s="1"/>
  <c r="F266" i="13"/>
  <c r="H266" i="13" s="1"/>
  <c r="D266" i="13"/>
  <c r="K265" i="13"/>
  <c r="G265" i="13"/>
  <c r="I265" i="13" s="1"/>
  <c r="J265" i="13" s="1"/>
  <c r="F265" i="13"/>
  <c r="H265" i="13" s="1"/>
  <c r="D265" i="13"/>
  <c r="K264" i="13"/>
  <c r="I264" i="13"/>
  <c r="J264" i="13" s="1"/>
  <c r="G264" i="13"/>
  <c r="F264" i="13"/>
  <c r="H264" i="13" s="1"/>
  <c r="D264" i="13"/>
  <c r="K263" i="13"/>
  <c r="G263" i="13"/>
  <c r="I263" i="13" s="1"/>
  <c r="F263" i="13"/>
  <c r="H263" i="13" s="1"/>
  <c r="D263" i="13"/>
  <c r="K262" i="13"/>
  <c r="H262" i="13"/>
  <c r="G262" i="13"/>
  <c r="I262" i="13" s="1"/>
  <c r="F262" i="13"/>
  <c r="D262" i="13"/>
  <c r="K261" i="13"/>
  <c r="G261" i="13"/>
  <c r="I261" i="13" s="1"/>
  <c r="J261" i="13" s="1"/>
  <c r="F261" i="13"/>
  <c r="H261" i="13" s="1"/>
  <c r="D261" i="13"/>
  <c r="K260" i="13"/>
  <c r="I260" i="13"/>
  <c r="G260" i="13"/>
  <c r="F260" i="13"/>
  <c r="H260" i="13" s="1"/>
  <c r="D260" i="13"/>
  <c r="K275" i="13"/>
  <c r="G275" i="13"/>
  <c r="I275" i="13" s="1"/>
  <c r="F275" i="13"/>
  <c r="H275" i="13" s="1"/>
  <c r="J275" i="13" s="1"/>
  <c r="D275" i="13"/>
  <c r="K274" i="13"/>
  <c r="G274" i="13"/>
  <c r="I274" i="13" s="1"/>
  <c r="J274" i="13" s="1"/>
  <c r="F274" i="13"/>
  <c r="H274" i="13" s="1"/>
  <c r="D274" i="13"/>
  <c r="K273" i="13"/>
  <c r="J273" i="13"/>
  <c r="G273" i="13"/>
  <c r="I273" i="13" s="1"/>
  <c r="F273" i="13"/>
  <c r="H273" i="13" s="1"/>
  <c r="D273" i="13"/>
  <c r="K272" i="13"/>
  <c r="I272" i="13"/>
  <c r="G272" i="13"/>
  <c r="F272" i="13"/>
  <c r="H272" i="13" s="1"/>
  <c r="D272" i="13"/>
  <c r="K271" i="13"/>
  <c r="G271" i="13"/>
  <c r="I271" i="13" s="1"/>
  <c r="F271" i="13"/>
  <c r="H271" i="13" s="1"/>
  <c r="D271" i="13"/>
  <c r="K270" i="13"/>
  <c r="G270" i="13"/>
  <c r="I270" i="13" s="1"/>
  <c r="F270" i="13"/>
  <c r="H270" i="13" s="1"/>
  <c r="D270" i="13"/>
  <c r="K269" i="13"/>
  <c r="G269" i="13"/>
  <c r="I269" i="13" s="1"/>
  <c r="J269" i="13" s="1"/>
  <c r="F269" i="13"/>
  <c r="H269" i="13" s="1"/>
  <c r="D269" i="13"/>
  <c r="K268" i="13"/>
  <c r="I268" i="13"/>
  <c r="G268" i="13"/>
  <c r="F268" i="13"/>
  <c r="H268" i="13" s="1"/>
  <c r="D268" i="13"/>
  <c r="K267" i="13"/>
  <c r="H267" i="13"/>
  <c r="G267" i="13"/>
  <c r="I267" i="13" s="1"/>
  <c r="F267" i="13"/>
  <c r="D267" i="13"/>
  <c r="K279" i="13"/>
  <c r="G279" i="13"/>
  <c r="I279" i="13" s="1"/>
  <c r="F279" i="13"/>
  <c r="H279" i="13" s="1"/>
  <c r="D279" i="13"/>
  <c r="K278" i="13"/>
  <c r="G278" i="13"/>
  <c r="I278" i="13" s="1"/>
  <c r="F278" i="13"/>
  <c r="H278" i="13" s="1"/>
  <c r="D278" i="13"/>
  <c r="K277" i="13"/>
  <c r="G277" i="13"/>
  <c r="I277" i="13" s="1"/>
  <c r="F277" i="13"/>
  <c r="H277" i="13" s="1"/>
  <c r="D277" i="13"/>
  <c r="K276" i="13"/>
  <c r="H276" i="13"/>
  <c r="G276" i="13"/>
  <c r="I276" i="13" s="1"/>
  <c r="F276" i="13"/>
  <c r="D276" i="13"/>
  <c r="K291" i="13"/>
  <c r="H291" i="13"/>
  <c r="G291" i="13"/>
  <c r="I291" i="13" s="1"/>
  <c r="F291" i="13"/>
  <c r="D291" i="13"/>
  <c r="K290" i="13"/>
  <c r="G290" i="13"/>
  <c r="I290" i="13" s="1"/>
  <c r="F290" i="13"/>
  <c r="H290" i="13" s="1"/>
  <c r="D290" i="13"/>
  <c r="K289" i="13"/>
  <c r="G289" i="13"/>
  <c r="I289" i="13" s="1"/>
  <c r="J289" i="13" s="1"/>
  <c r="F289" i="13"/>
  <c r="H289" i="13" s="1"/>
  <c r="D289" i="13"/>
  <c r="K288" i="13"/>
  <c r="G288" i="13"/>
  <c r="I288" i="13" s="1"/>
  <c r="F288" i="13"/>
  <c r="H288" i="13" s="1"/>
  <c r="D288" i="13"/>
  <c r="K287" i="13"/>
  <c r="G287" i="13"/>
  <c r="I287" i="13" s="1"/>
  <c r="J287" i="13" s="1"/>
  <c r="F287" i="13"/>
  <c r="H287" i="13" s="1"/>
  <c r="D287" i="13"/>
  <c r="K286" i="13"/>
  <c r="H286" i="13"/>
  <c r="G286" i="13"/>
  <c r="I286" i="13" s="1"/>
  <c r="F286" i="13"/>
  <c r="D286" i="13"/>
  <c r="K285" i="13"/>
  <c r="I285" i="13"/>
  <c r="J285" i="13" s="1"/>
  <c r="G285" i="13"/>
  <c r="F285" i="13"/>
  <c r="H285" i="13" s="1"/>
  <c r="D285" i="13"/>
  <c r="K284" i="13"/>
  <c r="G284" i="13"/>
  <c r="I284" i="13" s="1"/>
  <c r="F284" i="13"/>
  <c r="H284" i="13" s="1"/>
  <c r="D284" i="13"/>
  <c r="K283" i="13"/>
  <c r="G283" i="13"/>
  <c r="I283" i="13" s="1"/>
  <c r="F283" i="13"/>
  <c r="H283" i="13" s="1"/>
  <c r="D283" i="13"/>
  <c r="K282" i="13"/>
  <c r="G282" i="13"/>
  <c r="I282" i="13" s="1"/>
  <c r="F282" i="13"/>
  <c r="H282" i="13" s="1"/>
  <c r="D282" i="13"/>
  <c r="K281" i="13"/>
  <c r="G281" i="13"/>
  <c r="I281" i="13" s="1"/>
  <c r="F281" i="13"/>
  <c r="H281" i="13" s="1"/>
  <c r="D281" i="13"/>
  <c r="K280" i="13"/>
  <c r="I280" i="13"/>
  <c r="H280" i="13"/>
  <c r="J280" i="13" s="1"/>
  <c r="G280" i="13"/>
  <c r="F280" i="13"/>
  <c r="D280" i="13"/>
  <c r="K302" i="13"/>
  <c r="G302" i="13"/>
  <c r="I302" i="13" s="1"/>
  <c r="F302" i="13"/>
  <c r="H302" i="13" s="1"/>
  <c r="D302" i="13"/>
  <c r="K301" i="13"/>
  <c r="G301" i="13"/>
  <c r="I301" i="13" s="1"/>
  <c r="F301" i="13"/>
  <c r="H301" i="13" s="1"/>
  <c r="D301" i="13"/>
  <c r="K300" i="13"/>
  <c r="G300" i="13"/>
  <c r="I300" i="13" s="1"/>
  <c r="F300" i="13"/>
  <c r="H300" i="13" s="1"/>
  <c r="D300" i="13"/>
  <c r="K299" i="13"/>
  <c r="G299" i="13"/>
  <c r="I299" i="13" s="1"/>
  <c r="F299" i="13"/>
  <c r="H299" i="13" s="1"/>
  <c r="D299" i="13"/>
  <c r="K298" i="13"/>
  <c r="G298" i="13"/>
  <c r="I298" i="13" s="1"/>
  <c r="F298" i="13"/>
  <c r="H298" i="13" s="1"/>
  <c r="D298" i="13"/>
  <c r="K297" i="13"/>
  <c r="H297" i="13"/>
  <c r="J297" i="13" s="1"/>
  <c r="G297" i="13"/>
  <c r="I297" i="13" s="1"/>
  <c r="F297" i="13"/>
  <c r="D297" i="13"/>
  <c r="K296" i="13"/>
  <c r="G296" i="13"/>
  <c r="I296" i="13" s="1"/>
  <c r="J296" i="13" s="1"/>
  <c r="F296" i="13"/>
  <c r="H296" i="13" s="1"/>
  <c r="D296" i="13"/>
  <c r="K295" i="13"/>
  <c r="I295" i="13"/>
  <c r="G295" i="13"/>
  <c r="F295" i="13"/>
  <c r="H295" i="13" s="1"/>
  <c r="D295" i="13"/>
  <c r="K294" i="13"/>
  <c r="G294" i="13"/>
  <c r="I294" i="13" s="1"/>
  <c r="F294" i="13"/>
  <c r="H294" i="13" s="1"/>
  <c r="D294" i="13"/>
  <c r="K293" i="13"/>
  <c r="G293" i="13"/>
  <c r="I293" i="13" s="1"/>
  <c r="F293" i="13"/>
  <c r="H293" i="13" s="1"/>
  <c r="D293" i="13"/>
  <c r="K292" i="13"/>
  <c r="G292" i="13"/>
  <c r="I292" i="13" s="1"/>
  <c r="J292" i="13" s="1"/>
  <c r="F292" i="13"/>
  <c r="H292" i="13" s="1"/>
  <c r="D292" i="13"/>
  <c r="K308" i="13"/>
  <c r="I308" i="13"/>
  <c r="G308" i="13"/>
  <c r="F308" i="13"/>
  <c r="H308" i="13" s="1"/>
  <c r="D308" i="13"/>
  <c r="K307" i="13"/>
  <c r="G307" i="13"/>
  <c r="I307" i="13" s="1"/>
  <c r="F307" i="13"/>
  <c r="H307" i="13" s="1"/>
  <c r="D307" i="13"/>
  <c r="K306" i="13"/>
  <c r="G306" i="13"/>
  <c r="I306" i="13" s="1"/>
  <c r="F306" i="13"/>
  <c r="H306" i="13" s="1"/>
  <c r="D306" i="13"/>
  <c r="K305" i="13"/>
  <c r="G305" i="13"/>
  <c r="I305" i="13" s="1"/>
  <c r="F305" i="13"/>
  <c r="H305" i="13" s="1"/>
  <c r="D305" i="13"/>
  <c r="K304" i="13"/>
  <c r="G304" i="13"/>
  <c r="I304" i="13" s="1"/>
  <c r="F304" i="13"/>
  <c r="H304" i="13" s="1"/>
  <c r="D304" i="13"/>
  <c r="K303" i="13"/>
  <c r="I303" i="13"/>
  <c r="H303" i="13"/>
  <c r="G303" i="13"/>
  <c r="F303" i="13"/>
  <c r="D303" i="13"/>
  <c r="K313" i="13"/>
  <c r="G313" i="13"/>
  <c r="I313" i="13" s="1"/>
  <c r="F313" i="13"/>
  <c r="H313" i="13" s="1"/>
  <c r="D313" i="13"/>
  <c r="K312" i="13"/>
  <c r="G312" i="13"/>
  <c r="I312" i="13" s="1"/>
  <c r="F312" i="13"/>
  <c r="H312" i="13" s="1"/>
  <c r="D312" i="13"/>
  <c r="K311" i="13"/>
  <c r="G311" i="13"/>
  <c r="I311" i="13" s="1"/>
  <c r="F311" i="13"/>
  <c r="H311" i="13" s="1"/>
  <c r="D311" i="13"/>
  <c r="K310" i="13"/>
  <c r="G310" i="13"/>
  <c r="I310" i="13" s="1"/>
  <c r="F310" i="13"/>
  <c r="H310" i="13" s="1"/>
  <c r="D310" i="13"/>
  <c r="K309" i="13"/>
  <c r="H309" i="13"/>
  <c r="G309" i="13"/>
  <c r="I309" i="13" s="1"/>
  <c r="F309" i="13"/>
  <c r="D309" i="13"/>
  <c r="K320" i="13"/>
  <c r="G320" i="13"/>
  <c r="I320" i="13" s="1"/>
  <c r="J320" i="13" s="1"/>
  <c r="F320" i="13"/>
  <c r="H320" i="13" s="1"/>
  <c r="D320" i="13"/>
  <c r="K319" i="13"/>
  <c r="I319" i="13"/>
  <c r="G319" i="13"/>
  <c r="F319" i="13"/>
  <c r="H319" i="13" s="1"/>
  <c r="D319" i="13"/>
  <c r="K318" i="13"/>
  <c r="G318" i="13"/>
  <c r="I318" i="13" s="1"/>
  <c r="F318" i="13"/>
  <c r="H318" i="13" s="1"/>
  <c r="D318" i="13"/>
  <c r="K317" i="13"/>
  <c r="G317" i="13"/>
  <c r="I317" i="13" s="1"/>
  <c r="F317" i="13"/>
  <c r="H317" i="13" s="1"/>
  <c r="J317" i="13" s="1"/>
  <c r="D317" i="13"/>
  <c r="K316" i="13"/>
  <c r="G316" i="13"/>
  <c r="I316" i="13" s="1"/>
  <c r="F316" i="13"/>
  <c r="H316" i="13" s="1"/>
  <c r="D316" i="13"/>
  <c r="K315" i="13"/>
  <c r="G315" i="13"/>
  <c r="I315" i="13" s="1"/>
  <c r="F315" i="13"/>
  <c r="H315" i="13" s="1"/>
  <c r="D315" i="13"/>
  <c r="K314" i="13"/>
  <c r="G314" i="13"/>
  <c r="I314" i="13" s="1"/>
  <c r="F314" i="13"/>
  <c r="H314" i="13" s="1"/>
  <c r="D314" i="13"/>
  <c r="K325" i="13"/>
  <c r="G325" i="13"/>
  <c r="I325" i="13" s="1"/>
  <c r="F325" i="13"/>
  <c r="H325" i="13" s="1"/>
  <c r="D325" i="13"/>
  <c r="K324" i="13"/>
  <c r="G324" i="13"/>
  <c r="I324" i="13" s="1"/>
  <c r="F324" i="13"/>
  <c r="H324" i="13" s="1"/>
  <c r="D324" i="13"/>
  <c r="K323" i="13"/>
  <c r="G323" i="13"/>
  <c r="I323" i="13" s="1"/>
  <c r="F323" i="13"/>
  <c r="H323" i="13" s="1"/>
  <c r="J323" i="13" s="1"/>
  <c r="D323" i="13"/>
  <c r="K322" i="13"/>
  <c r="H322" i="13"/>
  <c r="G322" i="13"/>
  <c r="I322" i="13" s="1"/>
  <c r="J322" i="13" s="1"/>
  <c r="F322" i="13"/>
  <c r="D322" i="13"/>
  <c r="K321" i="13"/>
  <c r="H321" i="13"/>
  <c r="G321" i="13"/>
  <c r="I321" i="13" s="1"/>
  <c r="F321" i="13"/>
  <c r="D321" i="13"/>
  <c r="K329" i="13"/>
  <c r="G329" i="13"/>
  <c r="I329" i="13" s="1"/>
  <c r="F329" i="13"/>
  <c r="H329" i="13" s="1"/>
  <c r="D329" i="13"/>
  <c r="K328" i="13"/>
  <c r="G328" i="13"/>
  <c r="I328" i="13" s="1"/>
  <c r="F328" i="13"/>
  <c r="H328" i="13" s="1"/>
  <c r="D328" i="13"/>
  <c r="K327" i="13"/>
  <c r="G327" i="13"/>
  <c r="I327" i="13" s="1"/>
  <c r="F327" i="13"/>
  <c r="H327" i="13" s="1"/>
  <c r="D327" i="13"/>
  <c r="K326" i="13"/>
  <c r="G326" i="13"/>
  <c r="I326" i="13" s="1"/>
  <c r="F326" i="13"/>
  <c r="H326" i="13" s="1"/>
  <c r="J326" i="13" s="1"/>
  <c r="D326" i="13"/>
  <c r="K334" i="13"/>
  <c r="G334" i="13"/>
  <c r="I334" i="13" s="1"/>
  <c r="F334" i="13"/>
  <c r="H334" i="13" s="1"/>
  <c r="D334" i="13"/>
  <c r="K333" i="13"/>
  <c r="G333" i="13"/>
  <c r="I333" i="13" s="1"/>
  <c r="F333" i="13"/>
  <c r="H333" i="13" s="1"/>
  <c r="D333" i="13"/>
  <c r="K332" i="13"/>
  <c r="G332" i="13"/>
  <c r="I332" i="13" s="1"/>
  <c r="F332" i="13"/>
  <c r="H332" i="13" s="1"/>
  <c r="D332" i="13"/>
  <c r="K331" i="13"/>
  <c r="G331" i="13"/>
  <c r="I331" i="13" s="1"/>
  <c r="F331" i="13"/>
  <c r="H331" i="13" s="1"/>
  <c r="D331" i="13"/>
  <c r="K330" i="13"/>
  <c r="G330" i="13"/>
  <c r="I330" i="13" s="1"/>
  <c r="J330" i="13" s="1"/>
  <c r="F330" i="13"/>
  <c r="H330" i="13" s="1"/>
  <c r="D330" i="13"/>
  <c r="K343" i="13"/>
  <c r="I343" i="13"/>
  <c r="G343" i="13"/>
  <c r="F343" i="13"/>
  <c r="H343" i="13" s="1"/>
  <c r="D343" i="13"/>
  <c r="K342" i="13"/>
  <c r="G342" i="13"/>
  <c r="I342" i="13" s="1"/>
  <c r="F342" i="13"/>
  <c r="H342" i="13" s="1"/>
  <c r="D342" i="13"/>
  <c r="K341" i="13"/>
  <c r="G341" i="13"/>
  <c r="I341" i="13" s="1"/>
  <c r="F341" i="13"/>
  <c r="H341" i="13" s="1"/>
  <c r="D341" i="13"/>
  <c r="K340" i="13"/>
  <c r="G340" i="13"/>
  <c r="I340" i="13" s="1"/>
  <c r="J340" i="13" s="1"/>
  <c r="F340" i="13"/>
  <c r="H340" i="13" s="1"/>
  <c r="D340" i="13"/>
  <c r="K339" i="13"/>
  <c r="H339" i="13"/>
  <c r="G339" i="13"/>
  <c r="I339" i="13" s="1"/>
  <c r="F339" i="13"/>
  <c r="D339" i="13"/>
  <c r="K338" i="13"/>
  <c r="I338" i="13"/>
  <c r="G338" i="13"/>
  <c r="F338" i="13"/>
  <c r="H338" i="13" s="1"/>
  <c r="D338" i="13"/>
  <c r="K337" i="13"/>
  <c r="G337" i="13"/>
  <c r="I337" i="13" s="1"/>
  <c r="F337" i="13"/>
  <c r="H337" i="13" s="1"/>
  <c r="D337" i="13"/>
  <c r="K336" i="13"/>
  <c r="G336" i="13"/>
  <c r="I336" i="13" s="1"/>
  <c r="F336" i="13"/>
  <c r="H336" i="13" s="1"/>
  <c r="D336" i="13"/>
  <c r="K335" i="13"/>
  <c r="H335" i="13"/>
  <c r="G335" i="13"/>
  <c r="I335" i="13" s="1"/>
  <c r="F335" i="13"/>
  <c r="D335" i="13"/>
  <c r="K348" i="13"/>
  <c r="G348" i="13"/>
  <c r="I348" i="13" s="1"/>
  <c r="F348" i="13"/>
  <c r="H348" i="13" s="1"/>
  <c r="D348" i="13"/>
  <c r="K347" i="13"/>
  <c r="H347" i="13"/>
  <c r="G347" i="13"/>
  <c r="I347" i="13" s="1"/>
  <c r="F347" i="13"/>
  <c r="D347" i="13"/>
  <c r="K346" i="13"/>
  <c r="G346" i="13"/>
  <c r="I346" i="13" s="1"/>
  <c r="J346" i="13" s="1"/>
  <c r="F346" i="13"/>
  <c r="H346" i="13" s="1"/>
  <c r="D346" i="13"/>
  <c r="K345" i="13"/>
  <c r="I345" i="13"/>
  <c r="G345" i="13"/>
  <c r="F345" i="13"/>
  <c r="H345" i="13" s="1"/>
  <c r="D345" i="13"/>
  <c r="K344" i="13"/>
  <c r="G344" i="13"/>
  <c r="I344" i="13" s="1"/>
  <c r="F344" i="13"/>
  <c r="H344" i="13" s="1"/>
  <c r="D344" i="13"/>
  <c r="K357" i="13"/>
  <c r="G357" i="13"/>
  <c r="I357" i="13" s="1"/>
  <c r="F357" i="13"/>
  <c r="H357" i="13" s="1"/>
  <c r="J357" i="13" s="1"/>
  <c r="D357" i="13"/>
  <c r="K356" i="13"/>
  <c r="G356" i="13"/>
  <c r="I356" i="13" s="1"/>
  <c r="F356" i="13"/>
  <c r="H356" i="13" s="1"/>
  <c r="D356" i="13"/>
  <c r="K355" i="13"/>
  <c r="G355" i="13"/>
  <c r="I355" i="13" s="1"/>
  <c r="F355" i="13"/>
  <c r="H355" i="13" s="1"/>
  <c r="D355" i="13"/>
  <c r="K354" i="13"/>
  <c r="G354" i="13"/>
  <c r="I354" i="13" s="1"/>
  <c r="F354" i="13"/>
  <c r="H354" i="13" s="1"/>
  <c r="D354" i="13"/>
  <c r="K353" i="13"/>
  <c r="G353" i="13"/>
  <c r="I353" i="13" s="1"/>
  <c r="F353" i="13"/>
  <c r="H353" i="13" s="1"/>
  <c r="D353" i="13"/>
  <c r="K352" i="13"/>
  <c r="G352" i="13"/>
  <c r="I352" i="13" s="1"/>
  <c r="F352" i="13"/>
  <c r="H352" i="13" s="1"/>
  <c r="D352" i="13"/>
  <c r="K351" i="13"/>
  <c r="G351" i="13"/>
  <c r="I351" i="13" s="1"/>
  <c r="F351" i="13"/>
  <c r="H351" i="13" s="1"/>
  <c r="D351" i="13"/>
  <c r="K350" i="13"/>
  <c r="H350" i="13"/>
  <c r="G350" i="13"/>
  <c r="I350" i="13" s="1"/>
  <c r="F350" i="13"/>
  <c r="D350" i="13"/>
  <c r="K349" i="13"/>
  <c r="G349" i="13"/>
  <c r="I349" i="13" s="1"/>
  <c r="F349" i="13"/>
  <c r="H349" i="13" s="1"/>
  <c r="D349" i="13"/>
  <c r="K365" i="13"/>
  <c r="G365" i="13"/>
  <c r="I365" i="13" s="1"/>
  <c r="F365" i="13"/>
  <c r="H365" i="13" s="1"/>
  <c r="D365" i="13"/>
  <c r="K364" i="13"/>
  <c r="H364" i="13"/>
  <c r="G364" i="13"/>
  <c r="I364" i="13" s="1"/>
  <c r="F364" i="13"/>
  <c r="D364" i="13"/>
  <c r="K363" i="13"/>
  <c r="H363" i="13"/>
  <c r="G363" i="13"/>
  <c r="I363" i="13" s="1"/>
  <c r="F363" i="13"/>
  <c r="D363" i="13"/>
  <c r="K362" i="13"/>
  <c r="G362" i="13"/>
  <c r="I362" i="13" s="1"/>
  <c r="F362" i="13"/>
  <c r="H362" i="13" s="1"/>
  <c r="D362" i="13"/>
  <c r="K361" i="13"/>
  <c r="G361" i="13"/>
  <c r="I361" i="13" s="1"/>
  <c r="F361" i="13"/>
  <c r="H361" i="13" s="1"/>
  <c r="D361" i="13"/>
  <c r="K360" i="13"/>
  <c r="G360" i="13"/>
  <c r="I360" i="13" s="1"/>
  <c r="F360" i="13"/>
  <c r="H360" i="13" s="1"/>
  <c r="D360" i="13"/>
  <c r="K359" i="13"/>
  <c r="G359" i="13"/>
  <c r="I359" i="13" s="1"/>
  <c r="F359" i="13"/>
  <c r="H359" i="13" s="1"/>
  <c r="D359" i="13"/>
  <c r="K358" i="13"/>
  <c r="G358" i="13"/>
  <c r="I358" i="13" s="1"/>
  <c r="F358" i="13"/>
  <c r="H358" i="13" s="1"/>
  <c r="D358" i="13"/>
  <c r="K373" i="13"/>
  <c r="G373" i="13"/>
  <c r="I373" i="13" s="1"/>
  <c r="F373" i="13"/>
  <c r="H373" i="13" s="1"/>
  <c r="D373" i="13"/>
  <c r="K372" i="13"/>
  <c r="G372" i="13"/>
  <c r="I372" i="13" s="1"/>
  <c r="F372" i="13"/>
  <c r="H372" i="13" s="1"/>
  <c r="D372" i="13"/>
  <c r="K371" i="13"/>
  <c r="I371" i="13"/>
  <c r="H371" i="13"/>
  <c r="G371" i="13"/>
  <c r="F371" i="13"/>
  <c r="D371" i="13"/>
  <c r="K370" i="13"/>
  <c r="G370" i="13"/>
  <c r="I370" i="13" s="1"/>
  <c r="F370" i="13"/>
  <c r="H370" i="13" s="1"/>
  <c r="D370" i="13"/>
  <c r="K369" i="13"/>
  <c r="G369" i="13"/>
  <c r="I369" i="13" s="1"/>
  <c r="F369" i="13"/>
  <c r="H369" i="13" s="1"/>
  <c r="D369" i="13"/>
  <c r="K368" i="13"/>
  <c r="G368" i="13"/>
  <c r="I368" i="13" s="1"/>
  <c r="F368" i="13"/>
  <c r="H368" i="13" s="1"/>
  <c r="D368" i="13"/>
  <c r="K367" i="13"/>
  <c r="G367" i="13"/>
  <c r="I367" i="13" s="1"/>
  <c r="J367" i="13" s="1"/>
  <c r="F367" i="13"/>
  <c r="H367" i="13" s="1"/>
  <c r="D367" i="13"/>
  <c r="K366" i="13"/>
  <c r="H366" i="13"/>
  <c r="G366" i="13"/>
  <c r="I366" i="13" s="1"/>
  <c r="F366" i="13"/>
  <c r="D366" i="13"/>
  <c r="K383" i="13"/>
  <c r="I383" i="13"/>
  <c r="G383" i="13"/>
  <c r="F383" i="13"/>
  <c r="H383" i="13" s="1"/>
  <c r="D383" i="13"/>
  <c r="K382" i="13"/>
  <c r="G382" i="13"/>
  <c r="I382" i="13" s="1"/>
  <c r="F382" i="13"/>
  <c r="H382" i="13" s="1"/>
  <c r="D382" i="13"/>
  <c r="K381" i="13"/>
  <c r="G381" i="13"/>
  <c r="I381" i="13" s="1"/>
  <c r="F381" i="13"/>
  <c r="H381" i="13" s="1"/>
  <c r="D381" i="13"/>
  <c r="K380" i="13"/>
  <c r="J380" i="13"/>
  <c r="G380" i="13"/>
  <c r="I380" i="13" s="1"/>
  <c r="F380" i="13"/>
  <c r="H380" i="13" s="1"/>
  <c r="D380" i="13"/>
  <c r="K379" i="13"/>
  <c r="G379" i="13"/>
  <c r="I379" i="13" s="1"/>
  <c r="F379" i="13"/>
  <c r="H379" i="13" s="1"/>
  <c r="D379" i="13"/>
  <c r="K378" i="13"/>
  <c r="G378" i="13"/>
  <c r="I378" i="13" s="1"/>
  <c r="F378" i="13"/>
  <c r="H378" i="13" s="1"/>
  <c r="D378" i="13"/>
  <c r="K377" i="13"/>
  <c r="H377" i="13"/>
  <c r="G377" i="13"/>
  <c r="I377" i="13" s="1"/>
  <c r="F377" i="13"/>
  <c r="D377" i="13"/>
  <c r="K376" i="13"/>
  <c r="G376" i="13"/>
  <c r="I376" i="13" s="1"/>
  <c r="J376" i="13" s="1"/>
  <c r="F376" i="13"/>
  <c r="H376" i="13" s="1"/>
  <c r="D376" i="13"/>
  <c r="K375" i="13"/>
  <c r="I375" i="13"/>
  <c r="G375" i="13"/>
  <c r="F375" i="13"/>
  <c r="H375" i="13" s="1"/>
  <c r="D375" i="13"/>
  <c r="K374" i="13"/>
  <c r="G374" i="13"/>
  <c r="I374" i="13" s="1"/>
  <c r="F374" i="13"/>
  <c r="H374" i="13" s="1"/>
  <c r="D374" i="13"/>
  <c r="K391" i="13"/>
  <c r="G391" i="13"/>
  <c r="I391" i="13" s="1"/>
  <c r="F391" i="13"/>
  <c r="H391" i="13" s="1"/>
  <c r="D391" i="13"/>
  <c r="K390" i="13"/>
  <c r="G390" i="13"/>
  <c r="I390" i="13" s="1"/>
  <c r="J390" i="13" s="1"/>
  <c r="F390" i="13"/>
  <c r="H390" i="13" s="1"/>
  <c r="D390" i="13"/>
  <c r="K389" i="13"/>
  <c r="I389" i="13"/>
  <c r="G389" i="13"/>
  <c r="F389" i="13"/>
  <c r="H389" i="13" s="1"/>
  <c r="D389" i="13"/>
  <c r="K388" i="13"/>
  <c r="G388" i="13"/>
  <c r="I388" i="13" s="1"/>
  <c r="F388" i="13"/>
  <c r="H388" i="13" s="1"/>
  <c r="D388" i="13"/>
  <c r="K387" i="13"/>
  <c r="H387" i="13"/>
  <c r="G387" i="13"/>
  <c r="I387" i="13" s="1"/>
  <c r="F387" i="13"/>
  <c r="D387" i="13"/>
  <c r="K386" i="13"/>
  <c r="G386" i="13"/>
  <c r="I386" i="13" s="1"/>
  <c r="J386" i="13" s="1"/>
  <c r="F386" i="13"/>
  <c r="H386" i="13" s="1"/>
  <c r="D386" i="13"/>
  <c r="K385" i="13"/>
  <c r="I385" i="13"/>
  <c r="G385" i="13"/>
  <c r="F385" i="13"/>
  <c r="H385" i="13" s="1"/>
  <c r="D385" i="13"/>
  <c r="K384" i="13"/>
  <c r="G384" i="13"/>
  <c r="I384" i="13" s="1"/>
  <c r="F384" i="13"/>
  <c r="H384" i="13" s="1"/>
  <c r="D384" i="13"/>
  <c r="K400" i="13"/>
  <c r="G400" i="13"/>
  <c r="I400" i="13" s="1"/>
  <c r="F400" i="13"/>
  <c r="H400" i="13" s="1"/>
  <c r="D400" i="13"/>
  <c r="K399" i="13"/>
  <c r="G399" i="13"/>
  <c r="I399" i="13" s="1"/>
  <c r="J399" i="13" s="1"/>
  <c r="F399" i="13"/>
  <c r="H399" i="13" s="1"/>
  <c r="D399" i="13"/>
  <c r="K398" i="13"/>
  <c r="I398" i="13"/>
  <c r="G398" i="13"/>
  <c r="F398" i="13"/>
  <c r="H398" i="13" s="1"/>
  <c r="D398" i="13"/>
  <c r="K397" i="13"/>
  <c r="G397" i="13"/>
  <c r="I397" i="13" s="1"/>
  <c r="F397" i="13"/>
  <c r="H397" i="13" s="1"/>
  <c r="D397" i="13"/>
  <c r="K396" i="13"/>
  <c r="H396" i="13"/>
  <c r="G396" i="13"/>
  <c r="I396" i="13" s="1"/>
  <c r="F396" i="13"/>
  <c r="D396" i="13"/>
  <c r="K395" i="13"/>
  <c r="G395" i="13"/>
  <c r="I395" i="13" s="1"/>
  <c r="J395" i="13" s="1"/>
  <c r="F395" i="13"/>
  <c r="H395" i="13" s="1"/>
  <c r="D395" i="13"/>
  <c r="K394" i="13"/>
  <c r="I394" i="13"/>
  <c r="G394" i="13"/>
  <c r="F394" i="13"/>
  <c r="H394" i="13" s="1"/>
  <c r="D394" i="13"/>
  <c r="K393" i="13"/>
  <c r="G393" i="13"/>
  <c r="I393" i="13" s="1"/>
  <c r="F393" i="13"/>
  <c r="H393" i="13" s="1"/>
  <c r="D393" i="13"/>
  <c r="K392" i="13"/>
  <c r="G392" i="13"/>
  <c r="I392" i="13" s="1"/>
  <c r="F392" i="13"/>
  <c r="H392" i="13" s="1"/>
  <c r="D392" i="13"/>
  <c r="K402" i="13"/>
  <c r="G402" i="13"/>
  <c r="I402" i="13" s="1"/>
  <c r="J402" i="13" s="1"/>
  <c r="F402" i="13"/>
  <c r="H402" i="13" s="1"/>
  <c r="D402" i="13"/>
  <c r="K401" i="13"/>
  <c r="I401" i="13"/>
  <c r="G401" i="13"/>
  <c r="F401" i="13"/>
  <c r="H401" i="13" s="1"/>
  <c r="D401" i="13"/>
  <c r="K407" i="13"/>
  <c r="G407" i="13"/>
  <c r="I407" i="13" s="1"/>
  <c r="F407" i="13"/>
  <c r="H407" i="13" s="1"/>
  <c r="D407" i="13"/>
  <c r="K406" i="13"/>
  <c r="H406" i="13"/>
  <c r="G406" i="13"/>
  <c r="I406" i="13" s="1"/>
  <c r="F406" i="13"/>
  <c r="D406" i="13"/>
  <c r="K405" i="13"/>
  <c r="G405" i="13"/>
  <c r="I405" i="13" s="1"/>
  <c r="J405" i="13" s="1"/>
  <c r="F405" i="13"/>
  <c r="H405" i="13" s="1"/>
  <c r="D405" i="13"/>
  <c r="K404" i="13"/>
  <c r="I404" i="13"/>
  <c r="G404" i="13"/>
  <c r="F404" i="13"/>
  <c r="H404" i="13" s="1"/>
  <c r="D404" i="13"/>
  <c r="K403" i="13"/>
  <c r="G403" i="13"/>
  <c r="I403" i="13" s="1"/>
  <c r="F403" i="13"/>
  <c r="H403" i="13" s="1"/>
  <c r="D403" i="13"/>
  <c r="K413" i="13"/>
  <c r="G413" i="13"/>
  <c r="I413" i="13" s="1"/>
  <c r="F413" i="13"/>
  <c r="H413" i="13" s="1"/>
  <c r="D413" i="13"/>
  <c r="K412" i="13"/>
  <c r="G412" i="13"/>
  <c r="I412" i="13" s="1"/>
  <c r="J412" i="13" s="1"/>
  <c r="F412" i="13"/>
  <c r="H412" i="13" s="1"/>
  <c r="D412" i="13"/>
  <c r="K411" i="13"/>
  <c r="I411" i="13"/>
  <c r="G411" i="13"/>
  <c r="F411" i="13"/>
  <c r="H411" i="13" s="1"/>
  <c r="D411" i="13"/>
  <c r="K410" i="13"/>
  <c r="G410" i="13"/>
  <c r="I410" i="13" s="1"/>
  <c r="F410" i="13"/>
  <c r="H410" i="13" s="1"/>
  <c r="D410" i="13"/>
  <c r="K409" i="13"/>
  <c r="H409" i="13"/>
  <c r="G409" i="13"/>
  <c r="I409" i="13" s="1"/>
  <c r="F409" i="13"/>
  <c r="D409" i="13"/>
  <c r="K408" i="13"/>
  <c r="G408" i="13"/>
  <c r="I408" i="13" s="1"/>
  <c r="J408" i="13" s="1"/>
  <c r="F408" i="13"/>
  <c r="H408" i="13" s="1"/>
  <c r="D408" i="13"/>
  <c r="K417" i="13"/>
  <c r="I417" i="13"/>
  <c r="G417" i="13"/>
  <c r="F417" i="13"/>
  <c r="H417" i="13" s="1"/>
  <c r="D417" i="13"/>
  <c r="K416" i="13"/>
  <c r="G416" i="13"/>
  <c r="I416" i="13" s="1"/>
  <c r="F416" i="13"/>
  <c r="H416" i="13" s="1"/>
  <c r="D416" i="13"/>
  <c r="K415" i="13"/>
  <c r="G415" i="13"/>
  <c r="I415" i="13" s="1"/>
  <c r="F415" i="13"/>
  <c r="H415" i="13" s="1"/>
  <c r="D415" i="13"/>
  <c r="K414" i="13"/>
  <c r="G414" i="13"/>
  <c r="I414" i="13" s="1"/>
  <c r="J414" i="13" s="1"/>
  <c r="F414" i="13"/>
  <c r="H414" i="13" s="1"/>
  <c r="D414" i="13"/>
  <c r="K426" i="13"/>
  <c r="I426" i="13"/>
  <c r="G426" i="13"/>
  <c r="F426" i="13"/>
  <c r="H426" i="13" s="1"/>
  <c r="D426" i="13"/>
  <c r="K425" i="13"/>
  <c r="G425" i="13"/>
  <c r="I425" i="13" s="1"/>
  <c r="J425" i="13" s="1"/>
  <c r="F425" i="13"/>
  <c r="H425" i="13" s="1"/>
  <c r="D425" i="13"/>
  <c r="K424" i="13"/>
  <c r="G424" i="13"/>
  <c r="I424" i="13" s="1"/>
  <c r="F424" i="13"/>
  <c r="H424" i="13" s="1"/>
  <c r="D424" i="13"/>
  <c r="K423" i="13"/>
  <c r="G423" i="13"/>
  <c r="I423" i="13" s="1"/>
  <c r="F423" i="13"/>
  <c r="H423" i="13" s="1"/>
  <c r="D423" i="13"/>
  <c r="K422" i="13"/>
  <c r="G422" i="13"/>
  <c r="I422" i="13" s="1"/>
  <c r="F422" i="13"/>
  <c r="H422" i="13" s="1"/>
  <c r="D422" i="13"/>
  <c r="K421" i="13"/>
  <c r="I421" i="13"/>
  <c r="J421" i="13" s="1"/>
  <c r="G421" i="13"/>
  <c r="F421" i="13"/>
  <c r="H421" i="13" s="1"/>
  <c r="D421" i="13"/>
  <c r="K420" i="13"/>
  <c r="G420" i="13"/>
  <c r="I420" i="13" s="1"/>
  <c r="F420" i="13"/>
  <c r="H420" i="13" s="1"/>
  <c r="D420" i="13"/>
  <c r="K419" i="13"/>
  <c r="G419" i="13"/>
  <c r="I419" i="13" s="1"/>
  <c r="F419" i="13"/>
  <c r="H419" i="13" s="1"/>
  <c r="D419" i="13"/>
  <c r="K418" i="13"/>
  <c r="G418" i="13"/>
  <c r="I418" i="13" s="1"/>
  <c r="F418" i="13"/>
  <c r="H418" i="13" s="1"/>
  <c r="D418" i="13"/>
  <c r="K433" i="13"/>
  <c r="G433" i="13"/>
  <c r="I433" i="13" s="1"/>
  <c r="J433" i="13" s="1"/>
  <c r="F433" i="13"/>
  <c r="H433" i="13" s="1"/>
  <c r="D433" i="13"/>
  <c r="K432" i="13"/>
  <c r="G432" i="13"/>
  <c r="I432" i="13" s="1"/>
  <c r="F432" i="13"/>
  <c r="H432" i="13" s="1"/>
  <c r="D432" i="13"/>
  <c r="K431" i="13"/>
  <c r="G431" i="13"/>
  <c r="I431" i="13" s="1"/>
  <c r="F431" i="13"/>
  <c r="H431" i="13" s="1"/>
  <c r="D431" i="13"/>
  <c r="K430" i="13"/>
  <c r="G430" i="13"/>
  <c r="I430" i="13" s="1"/>
  <c r="F430" i="13"/>
  <c r="H430" i="13" s="1"/>
  <c r="D430" i="13"/>
  <c r="K429" i="13"/>
  <c r="G429" i="13"/>
  <c r="I429" i="13" s="1"/>
  <c r="F429" i="13"/>
  <c r="H429" i="13" s="1"/>
  <c r="D429" i="13"/>
  <c r="K428" i="13"/>
  <c r="H428" i="13"/>
  <c r="G428" i="13"/>
  <c r="I428" i="13" s="1"/>
  <c r="F428" i="13"/>
  <c r="D428" i="13"/>
  <c r="K427" i="13"/>
  <c r="G427" i="13"/>
  <c r="I427" i="13" s="1"/>
  <c r="F427" i="13"/>
  <c r="H427" i="13" s="1"/>
  <c r="D427" i="13"/>
  <c r="K440" i="13"/>
  <c r="G440" i="13"/>
  <c r="I440" i="13" s="1"/>
  <c r="F440" i="13"/>
  <c r="H440" i="13" s="1"/>
  <c r="D440" i="13"/>
  <c r="K439" i="13"/>
  <c r="H439" i="13"/>
  <c r="G439" i="13"/>
  <c r="I439" i="13" s="1"/>
  <c r="F439" i="13"/>
  <c r="D439" i="13"/>
  <c r="K438" i="13"/>
  <c r="G438" i="13"/>
  <c r="I438" i="13" s="1"/>
  <c r="F438" i="13"/>
  <c r="H438" i="13" s="1"/>
  <c r="D438" i="13"/>
  <c r="K437" i="13"/>
  <c r="G437" i="13"/>
  <c r="I437" i="13" s="1"/>
  <c r="F437" i="13"/>
  <c r="H437" i="13" s="1"/>
  <c r="D437" i="13"/>
  <c r="K436" i="13"/>
  <c r="G436" i="13"/>
  <c r="I436" i="13" s="1"/>
  <c r="F436" i="13"/>
  <c r="H436" i="13" s="1"/>
  <c r="D436" i="13"/>
  <c r="K435" i="13"/>
  <c r="G435" i="13"/>
  <c r="I435" i="13" s="1"/>
  <c r="F435" i="13"/>
  <c r="H435" i="13" s="1"/>
  <c r="D435" i="13"/>
  <c r="K434" i="13"/>
  <c r="H434" i="13"/>
  <c r="G434" i="13"/>
  <c r="I434" i="13" s="1"/>
  <c r="F434" i="13"/>
  <c r="D434" i="13"/>
  <c r="K447" i="13"/>
  <c r="G447" i="13"/>
  <c r="I447" i="13" s="1"/>
  <c r="F447" i="13"/>
  <c r="H447" i="13" s="1"/>
  <c r="D447" i="13"/>
  <c r="K446" i="13"/>
  <c r="G446" i="13"/>
  <c r="I446" i="13" s="1"/>
  <c r="F446" i="13"/>
  <c r="H446" i="13" s="1"/>
  <c r="D446" i="13"/>
  <c r="K445" i="13"/>
  <c r="H445" i="13"/>
  <c r="G445" i="13"/>
  <c r="I445" i="13" s="1"/>
  <c r="F445" i="13"/>
  <c r="D445" i="13"/>
  <c r="K444" i="13"/>
  <c r="G444" i="13"/>
  <c r="I444" i="13" s="1"/>
  <c r="F444" i="13"/>
  <c r="H444" i="13" s="1"/>
  <c r="D444" i="13"/>
  <c r="K443" i="13"/>
  <c r="G443" i="13"/>
  <c r="I443" i="13" s="1"/>
  <c r="F443" i="13"/>
  <c r="H443" i="13" s="1"/>
  <c r="D443" i="13"/>
  <c r="K442" i="13"/>
  <c r="G442" i="13"/>
  <c r="I442" i="13" s="1"/>
  <c r="F442" i="13"/>
  <c r="H442" i="13" s="1"/>
  <c r="D442" i="13"/>
  <c r="K441" i="13"/>
  <c r="G441" i="13"/>
  <c r="I441" i="13" s="1"/>
  <c r="F441" i="13"/>
  <c r="H441" i="13" s="1"/>
  <c r="D441" i="13"/>
  <c r="K455" i="13"/>
  <c r="H455" i="13"/>
  <c r="G455" i="13"/>
  <c r="I455" i="13" s="1"/>
  <c r="F455" i="13"/>
  <c r="D455" i="13"/>
  <c r="K454" i="13"/>
  <c r="G454" i="13"/>
  <c r="I454" i="13" s="1"/>
  <c r="F454" i="13"/>
  <c r="H454" i="13" s="1"/>
  <c r="D454" i="13"/>
  <c r="K453" i="13"/>
  <c r="G453" i="13"/>
  <c r="I453" i="13" s="1"/>
  <c r="F453" i="13"/>
  <c r="H453" i="13" s="1"/>
  <c r="D453" i="13"/>
  <c r="K452" i="13"/>
  <c r="H452" i="13"/>
  <c r="G452" i="13"/>
  <c r="I452" i="13" s="1"/>
  <c r="F452" i="13"/>
  <c r="D452" i="13"/>
  <c r="K451" i="13"/>
  <c r="G451" i="13"/>
  <c r="I451" i="13" s="1"/>
  <c r="F451" i="13"/>
  <c r="H451" i="13" s="1"/>
  <c r="D451" i="13"/>
  <c r="K450" i="13"/>
  <c r="G450" i="13"/>
  <c r="I450" i="13" s="1"/>
  <c r="F450" i="13"/>
  <c r="H450" i="13" s="1"/>
  <c r="D450" i="13"/>
  <c r="K449" i="13"/>
  <c r="G449" i="13"/>
  <c r="I449" i="13" s="1"/>
  <c r="F449" i="13"/>
  <c r="H449" i="13" s="1"/>
  <c r="D449" i="13"/>
  <c r="K448" i="13"/>
  <c r="H448" i="13"/>
  <c r="G448" i="13"/>
  <c r="I448" i="13" s="1"/>
  <c r="F448" i="13"/>
  <c r="D448" i="13"/>
  <c r="K465" i="13"/>
  <c r="G465" i="13"/>
  <c r="I465" i="13" s="1"/>
  <c r="F465" i="13"/>
  <c r="H465" i="13" s="1"/>
  <c r="D465" i="13"/>
  <c r="K464" i="13"/>
  <c r="G464" i="13"/>
  <c r="I464" i="13" s="1"/>
  <c r="F464" i="13"/>
  <c r="H464" i="13" s="1"/>
  <c r="D464" i="13"/>
  <c r="K463" i="13"/>
  <c r="G463" i="13"/>
  <c r="I463" i="13" s="1"/>
  <c r="F463" i="13"/>
  <c r="H463" i="13" s="1"/>
  <c r="D463" i="13"/>
  <c r="K462" i="13"/>
  <c r="I462" i="13"/>
  <c r="G462" i="13"/>
  <c r="F462" i="13"/>
  <c r="H462" i="13" s="1"/>
  <c r="D462" i="13"/>
  <c r="K461" i="13"/>
  <c r="G461" i="13"/>
  <c r="I461" i="13" s="1"/>
  <c r="F461" i="13"/>
  <c r="H461" i="13" s="1"/>
  <c r="D461" i="13"/>
  <c r="K460" i="13"/>
  <c r="G460" i="13"/>
  <c r="I460" i="13" s="1"/>
  <c r="F460" i="13"/>
  <c r="H460" i="13" s="1"/>
  <c r="D460" i="13"/>
  <c r="K459" i="13"/>
  <c r="G459" i="13"/>
  <c r="I459" i="13" s="1"/>
  <c r="F459" i="13"/>
  <c r="H459" i="13" s="1"/>
  <c r="D459" i="13"/>
  <c r="K458" i="13"/>
  <c r="H458" i="13"/>
  <c r="G458" i="13"/>
  <c r="I458" i="13" s="1"/>
  <c r="F458" i="13"/>
  <c r="D458" i="13"/>
  <c r="K457" i="13"/>
  <c r="G457" i="13"/>
  <c r="I457" i="13" s="1"/>
  <c r="F457" i="13"/>
  <c r="H457" i="13" s="1"/>
  <c r="D457" i="13"/>
  <c r="K456" i="13"/>
  <c r="G456" i="13"/>
  <c r="I456" i="13" s="1"/>
  <c r="F456" i="13"/>
  <c r="H456" i="13" s="1"/>
  <c r="D456" i="13"/>
  <c r="K469" i="13"/>
  <c r="G469" i="13"/>
  <c r="I469" i="13" s="1"/>
  <c r="F469" i="13"/>
  <c r="H469" i="13" s="1"/>
  <c r="D469" i="13"/>
  <c r="K468" i="13"/>
  <c r="I468" i="13"/>
  <c r="G468" i="13"/>
  <c r="F468" i="13"/>
  <c r="H468" i="13" s="1"/>
  <c r="D468" i="13"/>
  <c r="K467" i="13"/>
  <c r="G467" i="13"/>
  <c r="I467" i="13" s="1"/>
  <c r="F467" i="13"/>
  <c r="H467" i="13" s="1"/>
  <c r="D467" i="13"/>
  <c r="K466" i="13"/>
  <c r="G466" i="13"/>
  <c r="I466" i="13" s="1"/>
  <c r="F466" i="13"/>
  <c r="H466" i="13" s="1"/>
  <c r="D466" i="13"/>
  <c r="K480" i="13"/>
  <c r="G480" i="13"/>
  <c r="I480" i="13" s="1"/>
  <c r="J480" i="13" s="1"/>
  <c r="F480" i="13"/>
  <c r="H480" i="13" s="1"/>
  <c r="D480" i="13"/>
  <c r="K479" i="13"/>
  <c r="I479" i="13"/>
  <c r="G479" i="13"/>
  <c r="F479" i="13"/>
  <c r="H479" i="13" s="1"/>
  <c r="D479" i="13"/>
  <c r="K478" i="13"/>
  <c r="G478" i="13"/>
  <c r="I478" i="13" s="1"/>
  <c r="F478" i="13"/>
  <c r="H478" i="13" s="1"/>
  <c r="D478" i="13"/>
  <c r="K477" i="13"/>
  <c r="G477" i="13"/>
  <c r="I477" i="13" s="1"/>
  <c r="F477" i="13"/>
  <c r="H477" i="13" s="1"/>
  <c r="D477" i="13"/>
  <c r="K476" i="13"/>
  <c r="G476" i="13"/>
  <c r="I476" i="13" s="1"/>
  <c r="F476" i="13"/>
  <c r="H476" i="13" s="1"/>
  <c r="D476" i="13"/>
  <c r="K475" i="13"/>
  <c r="G475" i="13"/>
  <c r="I475" i="13" s="1"/>
  <c r="F475" i="13"/>
  <c r="H475" i="13" s="1"/>
  <c r="D475" i="13"/>
  <c r="K474" i="13"/>
  <c r="G474" i="13"/>
  <c r="I474" i="13" s="1"/>
  <c r="F474" i="13"/>
  <c r="H474" i="13" s="1"/>
  <c r="D474" i="13"/>
  <c r="K473" i="13"/>
  <c r="H473" i="13"/>
  <c r="G473" i="13"/>
  <c r="I473" i="13" s="1"/>
  <c r="F473" i="13"/>
  <c r="D473" i="13"/>
  <c r="K472" i="13"/>
  <c r="G472" i="13"/>
  <c r="I472" i="13" s="1"/>
  <c r="F472" i="13"/>
  <c r="H472" i="13" s="1"/>
  <c r="D472" i="13"/>
  <c r="K471" i="13"/>
  <c r="G471" i="13"/>
  <c r="I471" i="13" s="1"/>
  <c r="J471" i="13" s="1"/>
  <c r="F471" i="13"/>
  <c r="H471" i="13" s="1"/>
  <c r="D471" i="13"/>
  <c r="K470" i="13"/>
  <c r="G470" i="13"/>
  <c r="I470" i="13" s="1"/>
  <c r="F470" i="13"/>
  <c r="H470" i="13" s="1"/>
  <c r="D470" i="13"/>
  <c r="K489" i="13"/>
  <c r="G489" i="13"/>
  <c r="I489" i="13" s="1"/>
  <c r="F489" i="13"/>
  <c r="H489" i="13" s="1"/>
  <c r="D489" i="13"/>
  <c r="K488" i="13"/>
  <c r="G488" i="13"/>
  <c r="I488" i="13" s="1"/>
  <c r="F488" i="13"/>
  <c r="H488" i="13" s="1"/>
  <c r="D488" i="13"/>
  <c r="K487" i="13"/>
  <c r="G487" i="13"/>
  <c r="I487" i="13" s="1"/>
  <c r="J487" i="13" s="1"/>
  <c r="F487" i="13"/>
  <c r="H487" i="13" s="1"/>
  <c r="D487" i="13"/>
  <c r="K486" i="13"/>
  <c r="I486" i="13"/>
  <c r="G486" i="13"/>
  <c r="F486" i="13"/>
  <c r="H486" i="13" s="1"/>
  <c r="D486" i="13"/>
  <c r="K485" i="13"/>
  <c r="G485" i="13"/>
  <c r="I485" i="13" s="1"/>
  <c r="F485" i="13"/>
  <c r="H485" i="13" s="1"/>
  <c r="D485" i="13"/>
  <c r="K484" i="13"/>
  <c r="G484" i="13"/>
  <c r="I484" i="13" s="1"/>
  <c r="F484" i="13"/>
  <c r="H484" i="13" s="1"/>
  <c r="D484" i="13"/>
  <c r="K483" i="13"/>
  <c r="G483" i="13"/>
  <c r="I483" i="13" s="1"/>
  <c r="F483" i="13"/>
  <c r="H483" i="13" s="1"/>
  <c r="D483" i="13"/>
  <c r="K482" i="13"/>
  <c r="H482" i="13"/>
  <c r="G482" i="13"/>
  <c r="I482" i="13" s="1"/>
  <c r="F482" i="13"/>
  <c r="D482" i="13"/>
  <c r="K481" i="13"/>
  <c r="I481" i="13"/>
  <c r="G481" i="13"/>
  <c r="F481" i="13"/>
  <c r="H481" i="13" s="1"/>
  <c r="D481" i="13"/>
  <c r="K496" i="13"/>
  <c r="G496" i="13"/>
  <c r="I496" i="13" s="1"/>
  <c r="F496" i="13"/>
  <c r="H496" i="13" s="1"/>
  <c r="D496" i="13"/>
  <c r="K495" i="13"/>
  <c r="G495" i="13"/>
  <c r="I495" i="13" s="1"/>
  <c r="F495" i="13"/>
  <c r="H495" i="13" s="1"/>
  <c r="D495" i="13"/>
  <c r="K494" i="13"/>
  <c r="G494" i="13"/>
  <c r="I494" i="13" s="1"/>
  <c r="F494" i="13"/>
  <c r="H494" i="13" s="1"/>
  <c r="D494" i="13"/>
  <c r="K493" i="13"/>
  <c r="G493" i="13"/>
  <c r="I493" i="13" s="1"/>
  <c r="F493" i="13"/>
  <c r="H493" i="13" s="1"/>
  <c r="D493" i="13"/>
  <c r="K492" i="13"/>
  <c r="H492" i="13"/>
  <c r="G492" i="13"/>
  <c r="I492" i="13" s="1"/>
  <c r="F492" i="13"/>
  <c r="D492" i="13"/>
  <c r="K491" i="13"/>
  <c r="G491" i="13"/>
  <c r="I491" i="13" s="1"/>
  <c r="J491" i="13" s="1"/>
  <c r="F491" i="13"/>
  <c r="H491" i="13" s="1"/>
  <c r="D491" i="13"/>
  <c r="K490" i="13"/>
  <c r="H490" i="13"/>
  <c r="G490" i="13"/>
  <c r="I490" i="13" s="1"/>
  <c r="F490" i="13"/>
  <c r="D490" i="13"/>
  <c r="K502" i="13"/>
  <c r="G502" i="13"/>
  <c r="I502" i="13" s="1"/>
  <c r="F502" i="13"/>
  <c r="H502" i="13" s="1"/>
  <c r="D502" i="13"/>
  <c r="K501" i="13"/>
  <c r="G501" i="13"/>
  <c r="I501" i="13" s="1"/>
  <c r="F501" i="13"/>
  <c r="H501" i="13" s="1"/>
  <c r="D501" i="13"/>
  <c r="K500" i="13"/>
  <c r="G500" i="13"/>
  <c r="I500" i="13" s="1"/>
  <c r="J500" i="13" s="1"/>
  <c r="F500" i="13"/>
  <c r="H500" i="13" s="1"/>
  <c r="D500" i="13"/>
  <c r="K499" i="13"/>
  <c r="I499" i="13"/>
  <c r="G499" i="13"/>
  <c r="F499" i="13"/>
  <c r="H499" i="13" s="1"/>
  <c r="J499" i="13" s="1"/>
  <c r="D499" i="13"/>
  <c r="K498" i="13"/>
  <c r="H498" i="13"/>
  <c r="G498" i="13"/>
  <c r="I498" i="13" s="1"/>
  <c r="J498" i="13" s="1"/>
  <c r="F498" i="13"/>
  <c r="D498" i="13"/>
  <c r="K497" i="13"/>
  <c r="H497" i="13"/>
  <c r="G497" i="13"/>
  <c r="I497" i="13" s="1"/>
  <c r="F497" i="13"/>
  <c r="D497" i="13"/>
  <c r="K512" i="13"/>
  <c r="G512" i="13"/>
  <c r="I512" i="13" s="1"/>
  <c r="F512" i="13"/>
  <c r="H512" i="13" s="1"/>
  <c r="D512" i="13"/>
  <c r="K511" i="13"/>
  <c r="G511" i="13"/>
  <c r="I511" i="13" s="1"/>
  <c r="F511" i="13"/>
  <c r="H511" i="13" s="1"/>
  <c r="D511" i="13"/>
  <c r="K510" i="13"/>
  <c r="G510" i="13"/>
  <c r="I510" i="13" s="1"/>
  <c r="F510" i="13"/>
  <c r="H510" i="13" s="1"/>
  <c r="D510" i="13"/>
  <c r="K509" i="13"/>
  <c r="G509" i="13"/>
  <c r="I509" i="13" s="1"/>
  <c r="F509" i="13"/>
  <c r="H509" i="13" s="1"/>
  <c r="D509" i="13"/>
  <c r="K508" i="13"/>
  <c r="G508" i="13"/>
  <c r="I508" i="13" s="1"/>
  <c r="F508" i="13"/>
  <c r="H508" i="13" s="1"/>
  <c r="D508" i="13"/>
  <c r="K507" i="13"/>
  <c r="H507" i="13"/>
  <c r="G507" i="13"/>
  <c r="I507" i="13" s="1"/>
  <c r="F507" i="13"/>
  <c r="D507" i="13"/>
  <c r="K506" i="13"/>
  <c r="I506" i="13"/>
  <c r="G506" i="13"/>
  <c r="F506" i="13"/>
  <c r="H506" i="13" s="1"/>
  <c r="D506" i="13"/>
  <c r="K505" i="13"/>
  <c r="G505" i="13"/>
  <c r="I505" i="13" s="1"/>
  <c r="F505" i="13"/>
  <c r="H505" i="13" s="1"/>
  <c r="D505" i="13"/>
  <c r="K504" i="13"/>
  <c r="G504" i="13"/>
  <c r="I504" i="13" s="1"/>
  <c r="F504" i="13"/>
  <c r="H504" i="13" s="1"/>
  <c r="D504" i="13"/>
  <c r="K503" i="13"/>
  <c r="G503" i="13"/>
  <c r="I503" i="13" s="1"/>
  <c r="F503" i="13"/>
  <c r="H503" i="13" s="1"/>
  <c r="J503" i="13" s="1"/>
  <c r="D503" i="13"/>
  <c r="K523" i="13"/>
  <c r="G523" i="13"/>
  <c r="I523" i="13" s="1"/>
  <c r="F523" i="13"/>
  <c r="H523" i="13" s="1"/>
  <c r="D523" i="13"/>
  <c r="K522" i="13"/>
  <c r="H522" i="13"/>
  <c r="G522" i="13"/>
  <c r="I522" i="13" s="1"/>
  <c r="J522" i="13" s="1"/>
  <c r="F522" i="13"/>
  <c r="D522" i="13"/>
  <c r="K521" i="13"/>
  <c r="G521" i="13"/>
  <c r="I521" i="13" s="1"/>
  <c r="J521" i="13" s="1"/>
  <c r="F521" i="13"/>
  <c r="H521" i="13" s="1"/>
  <c r="D521" i="13"/>
  <c r="K520" i="13"/>
  <c r="I520" i="13"/>
  <c r="G520" i="13"/>
  <c r="F520" i="13"/>
  <c r="H520" i="13" s="1"/>
  <c r="D520" i="13"/>
  <c r="K519" i="13"/>
  <c r="G519" i="13"/>
  <c r="I519" i="13" s="1"/>
  <c r="F519" i="13"/>
  <c r="H519" i="13" s="1"/>
  <c r="D519" i="13"/>
  <c r="K518" i="13"/>
  <c r="G518" i="13"/>
  <c r="I518" i="13" s="1"/>
  <c r="F518" i="13"/>
  <c r="H518" i="13" s="1"/>
  <c r="D518" i="13"/>
  <c r="K517" i="13"/>
  <c r="G517" i="13"/>
  <c r="I517" i="13" s="1"/>
  <c r="F517" i="13"/>
  <c r="H517" i="13" s="1"/>
  <c r="D517" i="13"/>
  <c r="K516" i="13"/>
  <c r="G516" i="13"/>
  <c r="I516" i="13" s="1"/>
  <c r="F516" i="13"/>
  <c r="H516" i="13" s="1"/>
  <c r="J516" i="13" s="1"/>
  <c r="D516" i="13"/>
  <c r="K515" i="13"/>
  <c r="I515" i="13"/>
  <c r="H515" i="13"/>
  <c r="G515" i="13"/>
  <c r="F515" i="13"/>
  <c r="D515" i="13"/>
  <c r="K514" i="13"/>
  <c r="G514" i="13"/>
  <c r="I514" i="13" s="1"/>
  <c r="F514" i="13"/>
  <c r="H514" i="13" s="1"/>
  <c r="D514" i="13"/>
  <c r="K513" i="13"/>
  <c r="G513" i="13"/>
  <c r="I513" i="13" s="1"/>
  <c r="F513" i="13"/>
  <c r="H513" i="13" s="1"/>
  <c r="D513" i="13"/>
  <c r="K528" i="13"/>
  <c r="G528" i="13"/>
  <c r="I528" i="13" s="1"/>
  <c r="F528" i="13"/>
  <c r="H528" i="13" s="1"/>
  <c r="D528" i="13"/>
  <c r="K527" i="13"/>
  <c r="I527" i="13"/>
  <c r="G527" i="13"/>
  <c r="F527" i="13"/>
  <c r="H527" i="13" s="1"/>
  <c r="D527" i="13"/>
  <c r="K526" i="13"/>
  <c r="G526" i="13"/>
  <c r="I526" i="13" s="1"/>
  <c r="F526" i="13"/>
  <c r="H526" i="13" s="1"/>
  <c r="D526" i="13"/>
  <c r="K525" i="13"/>
  <c r="G525" i="13"/>
  <c r="I525" i="13" s="1"/>
  <c r="F525" i="13"/>
  <c r="H525" i="13" s="1"/>
  <c r="D525" i="13"/>
  <c r="K524" i="13"/>
  <c r="G524" i="13"/>
  <c r="I524" i="13" s="1"/>
  <c r="F524" i="13"/>
  <c r="H524" i="13" s="1"/>
  <c r="D524" i="13"/>
  <c r="K540" i="13"/>
  <c r="G540" i="13"/>
  <c r="I540" i="13" s="1"/>
  <c r="F540" i="13"/>
  <c r="H540" i="13" s="1"/>
  <c r="D540" i="13"/>
  <c r="K539" i="13"/>
  <c r="H539" i="13"/>
  <c r="J539" i="13" s="1"/>
  <c r="G539" i="13"/>
  <c r="I539" i="13" s="1"/>
  <c r="F539" i="13"/>
  <c r="D539" i="13"/>
  <c r="K538" i="13"/>
  <c r="G538" i="13"/>
  <c r="I538" i="13" s="1"/>
  <c r="F538" i="13"/>
  <c r="H538" i="13" s="1"/>
  <c r="D538" i="13"/>
  <c r="K537" i="13"/>
  <c r="G537" i="13"/>
  <c r="I537" i="13" s="1"/>
  <c r="F537" i="13"/>
  <c r="H537" i="13" s="1"/>
  <c r="D537" i="13"/>
  <c r="K536" i="13"/>
  <c r="G536" i="13"/>
  <c r="I536" i="13" s="1"/>
  <c r="F536" i="13"/>
  <c r="H536" i="13" s="1"/>
  <c r="D536" i="13"/>
  <c r="K535" i="13"/>
  <c r="G535" i="13"/>
  <c r="I535" i="13" s="1"/>
  <c r="F535" i="13"/>
  <c r="H535" i="13" s="1"/>
  <c r="D535" i="13"/>
  <c r="K534" i="13"/>
  <c r="G534" i="13"/>
  <c r="I534" i="13" s="1"/>
  <c r="F534" i="13"/>
  <c r="H534" i="13" s="1"/>
  <c r="D534" i="13"/>
  <c r="K533" i="13"/>
  <c r="G533" i="13"/>
  <c r="I533" i="13" s="1"/>
  <c r="F533" i="13"/>
  <c r="H533" i="13" s="1"/>
  <c r="D533" i="13"/>
  <c r="K532" i="13"/>
  <c r="H532" i="13"/>
  <c r="G532" i="13"/>
  <c r="I532" i="13" s="1"/>
  <c r="J532" i="13" s="1"/>
  <c r="F532" i="13"/>
  <c r="D532" i="13"/>
  <c r="K531" i="13"/>
  <c r="H531" i="13"/>
  <c r="G531" i="13"/>
  <c r="I531" i="13" s="1"/>
  <c r="F531" i="13"/>
  <c r="D531" i="13"/>
  <c r="K530" i="13"/>
  <c r="G530" i="13"/>
  <c r="I530" i="13" s="1"/>
  <c r="F530" i="13"/>
  <c r="H530" i="13" s="1"/>
  <c r="D530" i="13"/>
  <c r="K529" i="13"/>
  <c r="G529" i="13"/>
  <c r="I529" i="13" s="1"/>
  <c r="J529" i="13" s="1"/>
  <c r="F529" i="13"/>
  <c r="H529" i="13" s="1"/>
  <c r="D529" i="13"/>
  <c r="K547" i="13"/>
  <c r="H547" i="13"/>
  <c r="G547" i="13"/>
  <c r="I547" i="13" s="1"/>
  <c r="F547" i="13"/>
  <c r="D547" i="13"/>
  <c r="K546" i="13"/>
  <c r="G546" i="13"/>
  <c r="I546" i="13" s="1"/>
  <c r="F546" i="13"/>
  <c r="H546" i="13" s="1"/>
  <c r="D546" i="13"/>
  <c r="K545" i="13"/>
  <c r="G545" i="13"/>
  <c r="I545" i="13" s="1"/>
  <c r="F545" i="13"/>
  <c r="H545" i="13" s="1"/>
  <c r="D545" i="13"/>
  <c r="K544" i="13"/>
  <c r="I544" i="13"/>
  <c r="G544" i="13"/>
  <c r="F544" i="13"/>
  <c r="H544" i="13" s="1"/>
  <c r="D544" i="13"/>
  <c r="K543" i="13"/>
  <c r="G543" i="13"/>
  <c r="I543" i="13" s="1"/>
  <c r="F543" i="13"/>
  <c r="H543" i="13" s="1"/>
  <c r="D543" i="13"/>
  <c r="K542" i="13"/>
  <c r="G542" i="13"/>
  <c r="I542" i="13" s="1"/>
  <c r="F542" i="13"/>
  <c r="H542" i="13" s="1"/>
  <c r="D542" i="13"/>
  <c r="K541" i="13"/>
  <c r="G541" i="13"/>
  <c r="I541" i="13" s="1"/>
  <c r="F541" i="13"/>
  <c r="H541" i="13" s="1"/>
  <c r="D541" i="13"/>
  <c r="K552" i="13"/>
  <c r="G552" i="13"/>
  <c r="I552" i="13" s="1"/>
  <c r="F552" i="13"/>
  <c r="H552" i="13" s="1"/>
  <c r="D552" i="13"/>
  <c r="K551" i="13"/>
  <c r="G551" i="13"/>
  <c r="I551" i="13" s="1"/>
  <c r="F551" i="13"/>
  <c r="H551" i="13" s="1"/>
  <c r="D551" i="13"/>
  <c r="K550" i="13"/>
  <c r="H550" i="13"/>
  <c r="G550" i="13"/>
  <c r="I550" i="13" s="1"/>
  <c r="F550" i="13"/>
  <c r="D550" i="13"/>
  <c r="K549" i="13"/>
  <c r="G549" i="13"/>
  <c r="I549" i="13" s="1"/>
  <c r="F549" i="13"/>
  <c r="H549" i="13" s="1"/>
  <c r="D549" i="13"/>
  <c r="K548" i="13"/>
  <c r="G548" i="13"/>
  <c r="I548" i="13" s="1"/>
  <c r="F548" i="13"/>
  <c r="H548" i="13" s="1"/>
  <c r="D548" i="13"/>
  <c r="K560" i="13"/>
  <c r="G560" i="13"/>
  <c r="I560" i="13" s="1"/>
  <c r="J560" i="13" s="1"/>
  <c r="F560" i="13"/>
  <c r="H560" i="13" s="1"/>
  <c r="D560" i="13"/>
  <c r="K559" i="13"/>
  <c r="H559" i="13"/>
  <c r="G559" i="13"/>
  <c r="I559" i="13" s="1"/>
  <c r="F559" i="13"/>
  <c r="D559" i="13"/>
  <c r="K558" i="13"/>
  <c r="G558" i="13"/>
  <c r="I558" i="13" s="1"/>
  <c r="F558" i="13"/>
  <c r="H558" i="13" s="1"/>
  <c r="D558" i="13"/>
  <c r="K557" i="13"/>
  <c r="G557" i="13"/>
  <c r="I557" i="13" s="1"/>
  <c r="F557" i="13"/>
  <c r="H557" i="13" s="1"/>
  <c r="D557" i="13"/>
  <c r="K556" i="13"/>
  <c r="G556" i="13"/>
  <c r="I556" i="13" s="1"/>
  <c r="F556" i="13"/>
  <c r="H556" i="13" s="1"/>
  <c r="D556" i="13"/>
  <c r="K555" i="13"/>
  <c r="H555" i="13"/>
  <c r="G555" i="13"/>
  <c r="I555" i="13" s="1"/>
  <c r="F555" i="13"/>
  <c r="D555" i="13"/>
  <c r="K554" i="13"/>
  <c r="G554" i="13"/>
  <c r="I554" i="13" s="1"/>
  <c r="F554" i="13"/>
  <c r="H554" i="13" s="1"/>
  <c r="D554" i="13"/>
  <c r="K553" i="13"/>
  <c r="I553" i="13"/>
  <c r="G553" i="13"/>
  <c r="F553" i="13"/>
  <c r="H553" i="13" s="1"/>
  <c r="D553" i="13"/>
  <c r="K572" i="13"/>
  <c r="G572" i="13"/>
  <c r="I572" i="13" s="1"/>
  <c r="F572" i="13"/>
  <c r="H572" i="13" s="1"/>
  <c r="D572" i="13"/>
  <c r="K571" i="13"/>
  <c r="G571" i="13"/>
  <c r="I571" i="13" s="1"/>
  <c r="F571" i="13"/>
  <c r="H571" i="13" s="1"/>
  <c r="D571" i="13"/>
  <c r="K570" i="13"/>
  <c r="G570" i="13"/>
  <c r="I570" i="13" s="1"/>
  <c r="F570" i="13"/>
  <c r="H570" i="13" s="1"/>
  <c r="D570" i="13"/>
  <c r="K569" i="13"/>
  <c r="G569" i="13"/>
  <c r="I569" i="13" s="1"/>
  <c r="F569" i="13"/>
  <c r="H569" i="13" s="1"/>
  <c r="D569" i="13"/>
  <c r="K568" i="13"/>
  <c r="I568" i="13"/>
  <c r="H568" i="13"/>
  <c r="G568" i="13"/>
  <c r="F568" i="13"/>
  <c r="D568" i="13"/>
  <c r="K567" i="13"/>
  <c r="G567" i="13"/>
  <c r="I567" i="13" s="1"/>
  <c r="F567" i="13"/>
  <c r="H567" i="13" s="1"/>
  <c r="D567" i="13"/>
  <c r="K566" i="13"/>
  <c r="G566" i="13"/>
  <c r="I566" i="13" s="1"/>
  <c r="F566" i="13"/>
  <c r="H566" i="13" s="1"/>
  <c r="D566" i="13"/>
  <c r="K565" i="13"/>
  <c r="G565" i="13"/>
  <c r="I565" i="13" s="1"/>
  <c r="F565" i="13"/>
  <c r="H565" i="13" s="1"/>
  <c r="D565" i="13"/>
  <c r="K564" i="13"/>
  <c r="G564" i="13"/>
  <c r="I564" i="13" s="1"/>
  <c r="F564" i="13"/>
  <c r="H564" i="13" s="1"/>
  <c r="D564" i="13"/>
  <c r="K563" i="13"/>
  <c r="G563" i="13"/>
  <c r="I563" i="13" s="1"/>
  <c r="F563" i="13"/>
  <c r="H563" i="13" s="1"/>
  <c r="D563" i="13"/>
  <c r="K562" i="13"/>
  <c r="G562" i="13"/>
  <c r="I562" i="13" s="1"/>
  <c r="F562" i="13"/>
  <c r="H562" i="13" s="1"/>
  <c r="D562" i="13"/>
  <c r="K561" i="13"/>
  <c r="G561" i="13"/>
  <c r="I561" i="13" s="1"/>
  <c r="J561" i="13" s="1"/>
  <c r="F561" i="13"/>
  <c r="H561" i="13" s="1"/>
  <c r="D561" i="13"/>
  <c r="K579" i="13"/>
  <c r="I579" i="13"/>
  <c r="G579" i="13"/>
  <c r="F579" i="13"/>
  <c r="H579" i="13" s="1"/>
  <c r="D579" i="13"/>
  <c r="K578" i="13"/>
  <c r="G578" i="13"/>
  <c r="I578" i="13" s="1"/>
  <c r="F578" i="13"/>
  <c r="H578" i="13" s="1"/>
  <c r="D578" i="13"/>
  <c r="K577" i="13"/>
  <c r="G577" i="13"/>
  <c r="I577" i="13" s="1"/>
  <c r="F577" i="13"/>
  <c r="H577" i="13" s="1"/>
  <c r="D577" i="13"/>
  <c r="K576" i="13"/>
  <c r="G576" i="13"/>
  <c r="I576" i="13" s="1"/>
  <c r="J576" i="13" s="1"/>
  <c r="F576" i="13"/>
  <c r="H576" i="13" s="1"/>
  <c r="D576" i="13"/>
  <c r="K575" i="13"/>
  <c r="I575" i="13"/>
  <c r="G575" i="13"/>
  <c r="F575" i="13"/>
  <c r="H575" i="13" s="1"/>
  <c r="D575" i="13"/>
  <c r="K574" i="13"/>
  <c r="G574" i="13"/>
  <c r="I574" i="13" s="1"/>
  <c r="F574" i="13"/>
  <c r="H574" i="13" s="1"/>
  <c r="D574" i="13"/>
  <c r="K573" i="13"/>
  <c r="G573" i="13"/>
  <c r="I573" i="13" s="1"/>
  <c r="J573" i="13" s="1"/>
  <c r="F573" i="13"/>
  <c r="H573" i="13" s="1"/>
  <c r="D573" i="13"/>
  <c r="K588" i="13"/>
  <c r="G588" i="13"/>
  <c r="I588" i="13" s="1"/>
  <c r="J588" i="13" s="1"/>
  <c r="F588" i="13"/>
  <c r="H588" i="13" s="1"/>
  <c r="D588" i="13"/>
  <c r="K587" i="13"/>
  <c r="G587" i="13"/>
  <c r="I587" i="13" s="1"/>
  <c r="F587" i="13"/>
  <c r="H587" i="13" s="1"/>
  <c r="D587" i="13"/>
  <c r="K586" i="13"/>
  <c r="H586" i="13"/>
  <c r="G586" i="13"/>
  <c r="I586" i="13" s="1"/>
  <c r="F586" i="13"/>
  <c r="D586" i="13"/>
  <c r="K585" i="13"/>
  <c r="G585" i="13"/>
  <c r="I585" i="13" s="1"/>
  <c r="F585" i="13"/>
  <c r="H585" i="13" s="1"/>
  <c r="J585" i="13" s="1"/>
  <c r="D585" i="13"/>
  <c r="K584" i="13"/>
  <c r="G584" i="13"/>
  <c r="I584" i="13" s="1"/>
  <c r="F584" i="13"/>
  <c r="H584" i="13" s="1"/>
  <c r="D584" i="13"/>
  <c r="K583" i="13"/>
  <c r="G583" i="13"/>
  <c r="I583" i="13" s="1"/>
  <c r="F583" i="13"/>
  <c r="H583" i="13" s="1"/>
  <c r="D583" i="13"/>
  <c r="K582" i="13"/>
  <c r="G582" i="13"/>
  <c r="I582" i="13" s="1"/>
  <c r="F582" i="13"/>
  <c r="H582" i="13" s="1"/>
  <c r="D582" i="13"/>
  <c r="K581" i="13"/>
  <c r="G581" i="13"/>
  <c r="I581" i="13" s="1"/>
  <c r="J581" i="13" s="1"/>
  <c r="F581" i="13"/>
  <c r="H581" i="13" s="1"/>
  <c r="D581" i="13"/>
  <c r="K580" i="13"/>
  <c r="I580" i="13"/>
  <c r="G580" i="13"/>
  <c r="F580" i="13"/>
  <c r="H580" i="13" s="1"/>
  <c r="D580" i="13"/>
  <c r="K598" i="13"/>
  <c r="H598" i="13"/>
  <c r="G598" i="13"/>
  <c r="I598" i="13" s="1"/>
  <c r="F598" i="13"/>
  <c r="D598" i="13"/>
  <c r="K597" i="13"/>
  <c r="G597" i="13"/>
  <c r="I597" i="13" s="1"/>
  <c r="F597" i="13"/>
  <c r="H597" i="13" s="1"/>
  <c r="D597" i="13"/>
  <c r="K596" i="13"/>
  <c r="G596" i="13"/>
  <c r="I596" i="13" s="1"/>
  <c r="J596" i="13" s="1"/>
  <c r="F596" i="13"/>
  <c r="H596" i="13" s="1"/>
  <c r="D596" i="13"/>
  <c r="K595" i="13"/>
  <c r="I595" i="13"/>
  <c r="G595" i="13"/>
  <c r="F595" i="13"/>
  <c r="H595" i="13" s="1"/>
  <c r="D595" i="13"/>
  <c r="K594" i="13"/>
  <c r="G594" i="13"/>
  <c r="I594" i="13" s="1"/>
  <c r="F594" i="13"/>
  <c r="H594" i="13" s="1"/>
  <c r="D594" i="13"/>
  <c r="K593" i="13"/>
  <c r="G593" i="13"/>
  <c r="I593" i="13" s="1"/>
  <c r="F593" i="13"/>
  <c r="H593" i="13" s="1"/>
  <c r="D593" i="13"/>
  <c r="K592" i="13"/>
  <c r="G592" i="13"/>
  <c r="I592" i="13" s="1"/>
  <c r="F592" i="13"/>
  <c r="H592" i="13" s="1"/>
  <c r="D592" i="13"/>
  <c r="K591" i="13"/>
  <c r="G591" i="13"/>
  <c r="I591" i="13" s="1"/>
  <c r="F591" i="13"/>
  <c r="H591" i="13" s="1"/>
  <c r="D591" i="13"/>
  <c r="K590" i="13"/>
  <c r="G590" i="13"/>
  <c r="I590" i="13" s="1"/>
  <c r="F590" i="13"/>
  <c r="H590" i="13" s="1"/>
  <c r="D590" i="13"/>
  <c r="K589" i="13"/>
  <c r="H589" i="13"/>
  <c r="G589" i="13"/>
  <c r="I589" i="13" s="1"/>
  <c r="F589" i="13"/>
  <c r="D589" i="13"/>
  <c r="K604" i="13"/>
  <c r="G604" i="13"/>
  <c r="I604" i="13" s="1"/>
  <c r="J604" i="13" s="1"/>
  <c r="F604" i="13"/>
  <c r="H604" i="13" s="1"/>
  <c r="D604" i="13"/>
  <c r="K603" i="13"/>
  <c r="G603" i="13"/>
  <c r="I603" i="13" s="1"/>
  <c r="J603" i="13" s="1"/>
  <c r="F603" i="13"/>
  <c r="H603" i="13" s="1"/>
  <c r="D603" i="13"/>
  <c r="K602" i="13"/>
  <c r="H602" i="13"/>
  <c r="G602" i="13"/>
  <c r="I602" i="13" s="1"/>
  <c r="F602" i="13"/>
  <c r="D602" i="13"/>
  <c r="K601" i="13"/>
  <c r="G601" i="13"/>
  <c r="I601" i="13" s="1"/>
  <c r="F601" i="13"/>
  <c r="H601" i="13" s="1"/>
  <c r="J601" i="13" s="1"/>
  <c r="D601" i="13"/>
  <c r="K600" i="13"/>
  <c r="G600" i="13"/>
  <c r="I600" i="13" s="1"/>
  <c r="F600" i="13"/>
  <c r="H600" i="13" s="1"/>
  <c r="D600" i="13"/>
  <c r="K599" i="13"/>
  <c r="G599" i="13"/>
  <c r="I599" i="13" s="1"/>
  <c r="F599" i="13"/>
  <c r="H599" i="13" s="1"/>
  <c r="D599" i="13"/>
  <c r="K615" i="13"/>
  <c r="G615" i="13"/>
  <c r="I615" i="13" s="1"/>
  <c r="F615" i="13"/>
  <c r="H615" i="13" s="1"/>
  <c r="D615" i="13"/>
  <c r="K614" i="13"/>
  <c r="G614" i="13"/>
  <c r="I614" i="13" s="1"/>
  <c r="F614" i="13"/>
  <c r="H614" i="13" s="1"/>
  <c r="D614" i="13"/>
  <c r="K613" i="13"/>
  <c r="G613" i="13"/>
  <c r="I613" i="13" s="1"/>
  <c r="J613" i="13" s="1"/>
  <c r="F613" i="13"/>
  <c r="H613" i="13" s="1"/>
  <c r="D613" i="13"/>
  <c r="K612" i="13"/>
  <c r="I612" i="13"/>
  <c r="G612" i="13"/>
  <c r="F612" i="13"/>
  <c r="H612" i="13" s="1"/>
  <c r="D612" i="13"/>
  <c r="K611" i="13"/>
  <c r="G611" i="13"/>
  <c r="I611" i="13" s="1"/>
  <c r="F611" i="13"/>
  <c r="H611" i="13" s="1"/>
  <c r="D611" i="13"/>
  <c r="K610" i="13"/>
  <c r="G610" i="13"/>
  <c r="I610" i="13" s="1"/>
  <c r="F610" i="13"/>
  <c r="H610" i="13" s="1"/>
  <c r="D610" i="13"/>
  <c r="K609" i="13"/>
  <c r="G609" i="13"/>
  <c r="I609" i="13" s="1"/>
  <c r="F609" i="13"/>
  <c r="H609" i="13" s="1"/>
  <c r="D609" i="13"/>
  <c r="K608" i="13"/>
  <c r="I608" i="13"/>
  <c r="H608" i="13"/>
  <c r="G608" i="13"/>
  <c r="F608" i="13"/>
  <c r="D608" i="13"/>
  <c r="K607" i="13"/>
  <c r="G607" i="13"/>
  <c r="I607" i="13" s="1"/>
  <c r="F607" i="13"/>
  <c r="H607" i="13" s="1"/>
  <c r="D607" i="13"/>
  <c r="K606" i="13"/>
  <c r="G606" i="13"/>
  <c r="I606" i="13" s="1"/>
  <c r="F606" i="13"/>
  <c r="H606" i="13" s="1"/>
  <c r="D606" i="13"/>
  <c r="K605" i="13"/>
  <c r="G605" i="13"/>
  <c r="I605" i="13" s="1"/>
  <c r="F605" i="13"/>
  <c r="H605" i="13" s="1"/>
  <c r="D605" i="13"/>
  <c r="K626" i="13"/>
  <c r="G626" i="13"/>
  <c r="I626" i="13" s="1"/>
  <c r="F626" i="13"/>
  <c r="H626" i="13" s="1"/>
  <c r="D626" i="13"/>
  <c r="K625" i="13"/>
  <c r="G625" i="13"/>
  <c r="I625" i="13" s="1"/>
  <c r="F625" i="13"/>
  <c r="H625" i="13" s="1"/>
  <c r="D625" i="13"/>
  <c r="K624" i="13"/>
  <c r="G624" i="13"/>
  <c r="I624" i="13" s="1"/>
  <c r="F624" i="13"/>
  <c r="H624" i="13" s="1"/>
  <c r="D624" i="13"/>
  <c r="K623" i="13"/>
  <c r="G623" i="13"/>
  <c r="I623" i="13" s="1"/>
  <c r="F623" i="13"/>
  <c r="H623" i="13" s="1"/>
  <c r="D623" i="13"/>
  <c r="K622" i="13"/>
  <c r="G622" i="13"/>
  <c r="I622" i="13" s="1"/>
  <c r="F622" i="13"/>
  <c r="H622" i="13" s="1"/>
  <c r="D622" i="13"/>
  <c r="K621" i="13"/>
  <c r="G621" i="13"/>
  <c r="I621" i="13" s="1"/>
  <c r="F621" i="13"/>
  <c r="H621" i="13" s="1"/>
  <c r="D621" i="13"/>
  <c r="K620" i="13"/>
  <c r="H620" i="13"/>
  <c r="G620" i="13"/>
  <c r="I620" i="13" s="1"/>
  <c r="F620" i="13"/>
  <c r="D620" i="13"/>
  <c r="K619" i="13"/>
  <c r="G619" i="13"/>
  <c r="I619" i="13" s="1"/>
  <c r="F619" i="13"/>
  <c r="H619" i="13" s="1"/>
  <c r="D619" i="13"/>
  <c r="K618" i="13"/>
  <c r="G618" i="13"/>
  <c r="I618" i="13" s="1"/>
  <c r="F618" i="13"/>
  <c r="H618" i="13" s="1"/>
  <c r="D618" i="13"/>
  <c r="K617" i="13"/>
  <c r="I617" i="13"/>
  <c r="J617" i="13" s="1"/>
  <c r="G617" i="13"/>
  <c r="F617" i="13"/>
  <c r="H617" i="13" s="1"/>
  <c r="D617" i="13"/>
  <c r="K616" i="13"/>
  <c r="G616" i="13"/>
  <c r="I616" i="13" s="1"/>
  <c r="F616" i="13"/>
  <c r="H616" i="13" s="1"/>
  <c r="D616" i="13"/>
  <c r="K630" i="13"/>
  <c r="G630" i="13"/>
  <c r="I630" i="13" s="1"/>
  <c r="F630" i="13"/>
  <c r="H630" i="13" s="1"/>
  <c r="D630" i="13"/>
  <c r="K629" i="13"/>
  <c r="G629" i="13"/>
  <c r="I629" i="13" s="1"/>
  <c r="F629" i="13"/>
  <c r="H629" i="13" s="1"/>
  <c r="D629" i="13"/>
  <c r="K628" i="13"/>
  <c r="G628" i="13"/>
  <c r="I628" i="13" s="1"/>
  <c r="F628" i="13"/>
  <c r="H628" i="13" s="1"/>
  <c r="D628" i="13"/>
  <c r="K627" i="13"/>
  <c r="G627" i="13"/>
  <c r="I627" i="13" s="1"/>
  <c r="F627" i="13"/>
  <c r="H627" i="13" s="1"/>
  <c r="D627" i="13"/>
  <c r="K631" i="13"/>
  <c r="G631" i="13"/>
  <c r="I631" i="13" s="1"/>
  <c r="F631" i="13"/>
  <c r="H631" i="13" s="1"/>
  <c r="D631" i="13"/>
  <c r="K640" i="13"/>
  <c r="G640" i="13"/>
  <c r="I640" i="13" s="1"/>
  <c r="F640" i="13"/>
  <c r="H640" i="13" s="1"/>
  <c r="D640" i="13"/>
  <c r="K639" i="13"/>
  <c r="G639" i="13"/>
  <c r="I639" i="13" s="1"/>
  <c r="F639" i="13"/>
  <c r="H639" i="13" s="1"/>
  <c r="D639" i="13"/>
  <c r="K638" i="13"/>
  <c r="H638" i="13"/>
  <c r="G638" i="13"/>
  <c r="I638" i="13" s="1"/>
  <c r="F638" i="13"/>
  <c r="D638" i="13"/>
  <c r="K637" i="13"/>
  <c r="G637" i="13"/>
  <c r="I637" i="13" s="1"/>
  <c r="F637" i="13"/>
  <c r="H637" i="13" s="1"/>
  <c r="D637" i="13"/>
  <c r="K636" i="13"/>
  <c r="G636" i="13"/>
  <c r="I636" i="13" s="1"/>
  <c r="F636" i="13"/>
  <c r="H636" i="13" s="1"/>
  <c r="D636" i="13"/>
  <c r="K635" i="13"/>
  <c r="H635" i="13"/>
  <c r="G635" i="13"/>
  <c r="I635" i="13" s="1"/>
  <c r="F635" i="13"/>
  <c r="D635" i="13"/>
  <c r="K634" i="13"/>
  <c r="G634" i="13"/>
  <c r="I634" i="13" s="1"/>
  <c r="F634" i="13"/>
  <c r="H634" i="13" s="1"/>
  <c r="D634" i="13"/>
  <c r="K633" i="13"/>
  <c r="G633" i="13"/>
  <c r="I633" i="13" s="1"/>
  <c r="F633" i="13"/>
  <c r="H633" i="13" s="1"/>
  <c r="D633" i="13"/>
  <c r="K632" i="13"/>
  <c r="G632" i="13"/>
  <c r="I632" i="13" s="1"/>
  <c r="F632" i="13"/>
  <c r="H632" i="13" s="1"/>
  <c r="D632" i="13"/>
  <c r="K647" i="13"/>
  <c r="H647" i="13"/>
  <c r="G647" i="13"/>
  <c r="I647" i="13" s="1"/>
  <c r="J647" i="13" s="1"/>
  <c r="F647" i="13"/>
  <c r="D647" i="13"/>
  <c r="K646" i="13"/>
  <c r="G646" i="13"/>
  <c r="I646" i="13" s="1"/>
  <c r="F646" i="13"/>
  <c r="H646" i="13" s="1"/>
  <c r="D646" i="13"/>
  <c r="K645" i="13"/>
  <c r="G645" i="13"/>
  <c r="I645" i="13" s="1"/>
  <c r="F645" i="13"/>
  <c r="H645" i="13" s="1"/>
  <c r="D645" i="13"/>
  <c r="K644" i="13"/>
  <c r="G644" i="13"/>
  <c r="I644" i="13" s="1"/>
  <c r="F644" i="13"/>
  <c r="H644" i="13" s="1"/>
  <c r="D644" i="13"/>
  <c r="K643" i="13"/>
  <c r="I643" i="13"/>
  <c r="J643" i="13" s="1"/>
  <c r="G643" i="13"/>
  <c r="F643" i="13"/>
  <c r="H643" i="13" s="1"/>
  <c r="D643" i="13"/>
  <c r="K642" i="13"/>
  <c r="G642" i="13"/>
  <c r="I642" i="13" s="1"/>
  <c r="F642" i="13"/>
  <c r="H642" i="13" s="1"/>
  <c r="D642" i="13"/>
  <c r="K641" i="13"/>
  <c r="G641" i="13"/>
  <c r="I641" i="13" s="1"/>
  <c r="F641" i="13"/>
  <c r="H641" i="13" s="1"/>
  <c r="D641" i="13"/>
  <c r="K655" i="13"/>
  <c r="G655" i="13"/>
  <c r="I655" i="13" s="1"/>
  <c r="F655" i="13"/>
  <c r="H655" i="13" s="1"/>
  <c r="D655" i="13"/>
  <c r="K654" i="13"/>
  <c r="G654" i="13"/>
  <c r="I654" i="13" s="1"/>
  <c r="F654" i="13"/>
  <c r="H654" i="13" s="1"/>
  <c r="D654" i="13"/>
  <c r="K653" i="13"/>
  <c r="H653" i="13"/>
  <c r="G653" i="13"/>
  <c r="I653" i="13" s="1"/>
  <c r="F653" i="13"/>
  <c r="D653" i="13"/>
  <c r="K652" i="13"/>
  <c r="G652" i="13"/>
  <c r="I652" i="13" s="1"/>
  <c r="F652" i="13"/>
  <c r="H652" i="13" s="1"/>
  <c r="D652" i="13"/>
  <c r="K651" i="13"/>
  <c r="G651" i="13"/>
  <c r="I651" i="13" s="1"/>
  <c r="F651" i="13"/>
  <c r="H651" i="13" s="1"/>
  <c r="D651" i="13"/>
  <c r="K650" i="13"/>
  <c r="H650" i="13"/>
  <c r="G650" i="13"/>
  <c r="I650" i="13" s="1"/>
  <c r="F650" i="13"/>
  <c r="D650" i="13"/>
  <c r="K649" i="13"/>
  <c r="G649" i="13"/>
  <c r="I649" i="13" s="1"/>
  <c r="F649" i="13"/>
  <c r="H649" i="13" s="1"/>
  <c r="D649" i="13"/>
  <c r="K648" i="13"/>
  <c r="G648" i="13"/>
  <c r="I648" i="13" s="1"/>
  <c r="F648" i="13"/>
  <c r="H648" i="13" s="1"/>
  <c r="D648" i="13"/>
  <c r="K662" i="13"/>
  <c r="G662" i="13"/>
  <c r="I662" i="13" s="1"/>
  <c r="F662" i="13"/>
  <c r="H662" i="13" s="1"/>
  <c r="D662" i="13"/>
  <c r="K661" i="13"/>
  <c r="H661" i="13"/>
  <c r="G661" i="13"/>
  <c r="I661" i="13" s="1"/>
  <c r="J661" i="13" s="1"/>
  <c r="F661" i="13"/>
  <c r="D661" i="13"/>
  <c r="K660" i="13"/>
  <c r="G660" i="13"/>
  <c r="I660" i="13" s="1"/>
  <c r="F660" i="13"/>
  <c r="H660" i="13" s="1"/>
  <c r="D660" i="13"/>
  <c r="K659" i="13"/>
  <c r="G659" i="13"/>
  <c r="I659" i="13" s="1"/>
  <c r="F659" i="13"/>
  <c r="H659" i="13" s="1"/>
  <c r="D659" i="13"/>
  <c r="K658" i="13"/>
  <c r="G658" i="13"/>
  <c r="I658" i="13" s="1"/>
  <c r="F658" i="13"/>
  <c r="H658" i="13" s="1"/>
  <c r="D658" i="13"/>
  <c r="K657" i="13"/>
  <c r="I657" i="13"/>
  <c r="J657" i="13" s="1"/>
  <c r="G657" i="13"/>
  <c r="F657" i="13"/>
  <c r="H657" i="13" s="1"/>
  <c r="D657" i="13"/>
  <c r="K656" i="13"/>
  <c r="G656" i="13"/>
  <c r="I656" i="13" s="1"/>
  <c r="F656" i="13"/>
  <c r="H656" i="13" s="1"/>
  <c r="D656" i="13"/>
  <c r="K670" i="13"/>
  <c r="G670" i="13"/>
  <c r="I670" i="13" s="1"/>
  <c r="F670" i="13"/>
  <c r="H670" i="13" s="1"/>
  <c r="D670" i="13"/>
  <c r="K669" i="13"/>
  <c r="G669" i="13"/>
  <c r="I669" i="13" s="1"/>
  <c r="F669" i="13"/>
  <c r="H669" i="13" s="1"/>
  <c r="D669" i="13"/>
  <c r="K668" i="13"/>
  <c r="H668" i="13"/>
  <c r="G668" i="13"/>
  <c r="I668" i="13" s="1"/>
  <c r="F668" i="13"/>
  <c r="D668" i="13"/>
  <c r="K667" i="13"/>
  <c r="H667" i="13"/>
  <c r="G667" i="13"/>
  <c r="I667" i="13" s="1"/>
  <c r="F667" i="13"/>
  <c r="D667" i="13"/>
  <c r="K666" i="13"/>
  <c r="G666" i="13"/>
  <c r="I666" i="13" s="1"/>
  <c r="F666" i="13"/>
  <c r="H666" i="13" s="1"/>
  <c r="D666" i="13"/>
  <c r="K665" i="13"/>
  <c r="G665" i="13"/>
  <c r="I665" i="13" s="1"/>
  <c r="F665" i="13"/>
  <c r="H665" i="13" s="1"/>
  <c r="D665" i="13"/>
  <c r="K664" i="13"/>
  <c r="G664" i="13"/>
  <c r="I664" i="13" s="1"/>
  <c r="F664" i="13"/>
  <c r="H664" i="13" s="1"/>
  <c r="D664" i="13"/>
  <c r="K663" i="13"/>
  <c r="G663" i="13"/>
  <c r="I663" i="13" s="1"/>
  <c r="F663" i="13"/>
  <c r="H663" i="13" s="1"/>
  <c r="D663" i="13"/>
  <c r="K678" i="13"/>
  <c r="G678" i="13"/>
  <c r="I678" i="13" s="1"/>
  <c r="F678" i="13"/>
  <c r="H678" i="13" s="1"/>
  <c r="D678" i="13"/>
  <c r="K677" i="13"/>
  <c r="G677" i="13"/>
  <c r="I677" i="13" s="1"/>
  <c r="F677" i="13"/>
  <c r="H677" i="13" s="1"/>
  <c r="D677" i="13"/>
  <c r="K676" i="13"/>
  <c r="I676" i="13"/>
  <c r="J676" i="13" s="1"/>
  <c r="H676" i="13"/>
  <c r="G676" i="13"/>
  <c r="F676" i="13"/>
  <c r="D676" i="13"/>
  <c r="K675" i="13"/>
  <c r="G675" i="13"/>
  <c r="I675" i="13" s="1"/>
  <c r="F675" i="13"/>
  <c r="H675" i="13" s="1"/>
  <c r="D675" i="13"/>
  <c r="K674" i="13"/>
  <c r="G674" i="13"/>
  <c r="I674" i="13" s="1"/>
  <c r="F674" i="13"/>
  <c r="H674" i="13" s="1"/>
  <c r="D674" i="13"/>
  <c r="K673" i="13"/>
  <c r="G673" i="13"/>
  <c r="I673" i="13" s="1"/>
  <c r="F673" i="13"/>
  <c r="H673" i="13" s="1"/>
  <c r="D673" i="13"/>
  <c r="K672" i="13"/>
  <c r="G672" i="13"/>
  <c r="I672" i="13" s="1"/>
  <c r="J672" i="13" s="1"/>
  <c r="F672" i="13"/>
  <c r="H672" i="13" s="1"/>
  <c r="D672" i="13"/>
  <c r="K671" i="13"/>
  <c r="G671" i="13"/>
  <c r="I671" i="13" s="1"/>
  <c r="F671" i="13"/>
  <c r="H671" i="13" s="1"/>
  <c r="D671" i="13"/>
  <c r="K684" i="13"/>
  <c r="G684" i="13"/>
  <c r="I684" i="13" s="1"/>
  <c r="F684" i="13"/>
  <c r="H684" i="13" s="1"/>
  <c r="D684" i="13"/>
  <c r="K683" i="13"/>
  <c r="G683" i="13"/>
  <c r="I683" i="13" s="1"/>
  <c r="F683" i="13"/>
  <c r="H683" i="13" s="1"/>
  <c r="D683" i="13"/>
  <c r="K682" i="13"/>
  <c r="G682" i="13"/>
  <c r="I682" i="13" s="1"/>
  <c r="F682" i="13"/>
  <c r="H682" i="13" s="1"/>
  <c r="D682" i="13"/>
  <c r="K681" i="13"/>
  <c r="H681" i="13"/>
  <c r="G681" i="13"/>
  <c r="I681" i="13" s="1"/>
  <c r="F681" i="13"/>
  <c r="D681" i="13"/>
  <c r="K680" i="13"/>
  <c r="G680" i="13"/>
  <c r="I680" i="13" s="1"/>
  <c r="F680" i="13"/>
  <c r="H680" i="13" s="1"/>
  <c r="D680" i="13"/>
  <c r="K679" i="13"/>
  <c r="G679" i="13"/>
  <c r="I679" i="13" s="1"/>
  <c r="F679" i="13"/>
  <c r="H679" i="13" s="1"/>
  <c r="D679" i="13"/>
  <c r="K689" i="13"/>
  <c r="H689" i="13"/>
  <c r="G689" i="13"/>
  <c r="I689" i="13" s="1"/>
  <c r="F689" i="13"/>
  <c r="D689" i="13"/>
  <c r="K688" i="13"/>
  <c r="G688" i="13"/>
  <c r="I688" i="13" s="1"/>
  <c r="F688" i="13"/>
  <c r="H688" i="13" s="1"/>
  <c r="D688" i="13"/>
  <c r="K687" i="13"/>
  <c r="G687" i="13"/>
  <c r="I687" i="13" s="1"/>
  <c r="F687" i="13"/>
  <c r="H687" i="13" s="1"/>
  <c r="D687" i="13"/>
  <c r="K686" i="13"/>
  <c r="G686" i="13"/>
  <c r="I686" i="13" s="1"/>
  <c r="F686" i="13"/>
  <c r="H686" i="13" s="1"/>
  <c r="D686" i="13"/>
  <c r="K685" i="13"/>
  <c r="H685" i="13"/>
  <c r="G685" i="13"/>
  <c r="I685" i="13" s="1"/>
  <c r="J685" i="13" s="1"/>
  <c r="F685" i="13"/>
  <c r="D685" i="13"/>
  <c r="K699" i="13"/>
  <c r="G699" i="13"/>
  <c r="I699" i="13" s="1"/>
  <c r="F699" i="13"/>
  <c r="H699" i="13" s="1"/>
  <c r="D699" i="13"/>
  <c r="K698" i="13"/>
  <c r="G698" i="13"/>
  <c r="I698" i="13" s="1"/>
  <c r="F698" i="13"/>
  <c r="H698" i="13" s="1"/>
  <c r="D698" i="13"/>
  <c r="K697" i="13"/>
  <c r="G697" i="13"/>
  <c r="I697" i="13" s="1"/>
  <c r="F697" i="13"/>
  <c r="H697" i="13" s="1"/>
  <c r="D697" i="13"/>
  <c r="K696" i="13"/>
  <c r="G696" i="13"/>
  <c r="I696" i="13" s="1"/>
  <c r="F696" i="13"/>
  <c r="H696" i="13" s="1"/>
  <c r="D696" i="13"/>
  <c r="K695" i="13"/>
  <c r="G695" i="13"/>
  <c r="I695" i="13" s="1"/>
  <c r="F695" i="13"/>
  <c r="H695" i="13" s="1"/>
  <c r="D695" i="13"/>
  <c r="K694" i="13"/>
  <c r="G694" i="13"/>
  <c r="I694" i="13" s="1"/>
  <c r="F694" i="13"/>
  <c r="H694" i="13" s="1"/>
  <c r="D694" i="13"/>
  <c r="K693" i="13"/>
  <c r="G693" i="13"/>
  <c r="I693" i="13" s="1"/>
  <c r="F693" i="13"/>
  <c r="H693" i="13" s="1"/>
  <c r="D693" i="13"/>
  <c r="K692" i="13"/>
  <c r="H692" i="13"/>
  <c r="G692" i="13"/>
  <c r="I692" i="13" s="1"/>
  <c r="F692" i="13"/>
  <c r="D692" i="13"/>
  <c r="K691" i="13"/>
  <c r="H691" i="13"/>
  <c r="G691" i="13"/>
  <c r="I691" i="13" s="1"/>
  <c r="F691" i="13"/>
  <c r="D691" i="13"/>
  <c r="K690" i="13"/>
  <c r="G690" i="13"/>
  <c r="I690" i="13" s="1"/>
  <c r="F690" i="13"/>
  <c r="H690" i="13" s="1"/>
  <c r="D690" i="13"/>
  <c r="K704" i="13"/>
  <c r="G704" i="13"/>
  <c r="I704" i="13" s="1"/>
  <c r="F704" i="13"/>
  <c r="H704" i="13" s="1"/>
  <c r="D704" i="13"/>
  <c r="K703" i="13"/>
  <c r="G703" i="13"/>
  <c r="I703" i="13" s="1"/>
  <c r="F703" i="13"/>
  <c r="H703" i="13" s="1"/>
  <c r="D703" i="13"/>
  <c r="K702" i="13"/>
  <c r="G702" i="13"/>
  <c r="I702" i="13" s="1"/>
  <c r="F702" i="13"/>
  <c r="H702" i="13" s="1"/>
  <c r="D702" i="13"/>
  <c r="K701" i="13"/>
  <c r="G701" i="13"/>
  <c r="I701" i="13" s="1"/>
  <c r="F701" i="13"/>
  <c r="H701" i="13" s="1"/>
  <c r="D701" i="13"/>
  <c r="K700" i="13"/>
  <c r="G700" i="13"/>
  <c r="I700" i="13" s="1"/>
  <c r="F700" i="13"/>
  <c r="H700" i="13" s="1"/>
  <c r="D700" i="13"/>
  <c r="K711" i="13"/>
  <c r="I711" i="13"/>
  <c r="J711" i="13" s="1"/>
  <c r="H711" i="13"/>
  <c r="G711" i="13"/>
  <c r="F711" i="13"/>
  <c r="D711" i="13"/>
  <c r="K710" i="13"/>
  <c r="G710" i="13"/>
  <c r="I710" i="13" s="1"/>
  <c r="F710" i="13"/>
  <c r="H710" i="13" s="1"/>
  <c r="D710" i="13"/>
  <c r="K709" i="13"/>
  <c r="G709" i="13"/>
  <c r="I709" i="13" s="1"/>
  <c r="F709" i="13"/>
  <c r="H709" i="13" s="1"/>
  <c r="D709" i="13"/>
  <c r="K708" i="13"/>
  <c r="G708" i="13"/>
  <c r="I708" i="13" s="1"/>
  <c r="F708" i="13"/>
  <c r="H708" i="13" s="1"/>
  <c r="D708" i="13"/>
  <c r="K707" i="13"/>
  <c r="G707" i="13"/>
  <c r="I707" i="13" s="1"/>
  <c r="F707" i="13"/>
  <c r="H707" i="13" s="1"/>
  <c r="D707" i="13"/>
  <c r="K706" i="13"/>
  <c r="G706" i="13"/>
  <c r="I706" i="13" s="1"/>
  <c r="F706" i="13"/>
  <c r="H706" i="13" s="1"/>
  <c r="D706" i="13"/>
  <c r="K705" i="13"/>
  <c r="G705" i="13"/>
  <c r="I705" i="13" s="1"/>
  <c r="F705" i="13"/>
  <c r="H705" i="13" s="1"/>
  <c r="D705" i="13"/>
  <c r="K719" i="13"/>
  <c r="G719" i="13"/>
  <c r="I719" i="13" s="1"/>
  <c r="F719" i="13"/>
  <c r="H719" i="13" s="1"/>
  <c r="D719" i="13"/>
  <c r="K718" i="13"/>
  <c r="G718" i="13"/>
  <c r="I718" i="13" s="1"/>
  <c r="F718" i="13"/>
  <c r="H718" i="13" s="1"/>
  <c r="D718" i="13"/>
  <c r="K717" i="13"/>
  <c r="H717" i="13"/>
  <c r="G717" i="13"/>
  <c r="I717" i="13" s="1"/>
  <c r="F717" i="13"/>
  <c r="D717" i="13"/>
  <c r="K716" i="13"/>
  <c r="G716" i="13"/>
  <c r="I716" i="13" s="1"/>
  <c r="F716" i="13"/>
  <c r="H716" i="13" s="1"/>
  <c r="D716" i="13"/>
  <c r="K715" i="13"/>
  <c r="G715" i="13"/>
  <c r="I715" i="13" s="1"/>
  <c r="F715" i="13"/>
  <c r="H715" i="13" s="1"/>
  <c r="D715" i="13"/>
  <c r="K714" i="13"/>
  <c r="G714" i="13"/>
  <c r="I714" i="13" s="1"/>
  <c r="F714" i="13"/>
  <c r="H714" i="13" s="1"/>
  <c r="D714" i="13"/>
  <c r="K713" i="13"/>
  <c r="G713" i="13"/>
  <c r="I713" i="13" s="1"/>
  <c r="F713" i="13"/>
  <c r="H713" i="13" s="1"/>
  <c r="D713" i="13"/>
  <c r="K712" i="13"/>
  <c r="G712" i="13"/>
  <c r="I712" i="13" s="1"/>
  <c r="F712" i="13"/>
  <c r="H712" i="13" s="1"/>
  <c r="D712" i="13"/>
  <c r="K722" i="13"/>
  <c r="G722" i="13"/>
  <c r="I722" i="13" s="1"/>
  <c r="J722" i="13" s="1"/>
  <c r="F722" i="13"/>
  <c r="H722" i="13" s="1"/>
  <c r="D722" i="13"/>
  <c r="K721" i="13"/>
  <c r="G721" i="13"/>
  <c r="I721" i="13" s="1"/>
  <c r="J721" i="13" s="1"/>
  <c r="F721" i="13"/>
  <c r="H721" i="13" s="1"/>
  <c r="D721" i="13"/>
  <c r="K720" i="13"/>
  <c r="H720" i="13"/>
  <c r="G720" i="13"/>
  <c r="I720" i="13" s="1"/>
  <c r="F720" i="13"/>
  <c r="D720" i="13"/>
  <c r="K727" i="13"/>
  <c r="G727" i="13"/>
  <c r="I727" i="13" s="1"/>
  <c r="F727" i="13"/>
  <c r="H727" i="13" s="1"/>
  <c r="D727" i="13"/>
  <c r="K726" i="13"/>
  <c r="G726" i="13"/>
  <c r="I726" i="13" s="1"/>
  <c r="F726" i="13"/>
  <c r="H726" i="13" s="1"/>
  <c r="D726" i="13"/>
  <c r="K725" i="13"/>
  <c r="G725" i="13"/>
  <c r="I725" i="13" s="1"/>
  <c r="F725" i="13"/>
  <c r="H725" i="13" s="1"/>
  <c r="D725" i="13"/>
  <c r="K724" i="13"/>
  <c r="I724" i="13"/>
  <c r="G724" i="13"/>
  <c r="F724" i="13"/>
  <c r="H724" i="13" s="1"/>
  <c r="D724" i="13"/>
  <c r="K723" i="13"/>
  <c r="G723" i="13"/>
  <c r="I723" i="13" s="1"/>
  <c r="F723" i="13"/>
  <c r="H723" i="13" s="1"/>
  <c r="D723" i="13"/>
  <c r="K735" i="13"/>
  <c r="G735" i="13"/>
  <c r="I735" i="13" s="1"/>
  <c r="F735" i="13"/>
  <c r="H735" i="13" s="1"/>
  <c r="D735" i="13"/>
  <c r="K734" i="13"/>
  <c r="G734" i="13"/>
  <c r="I734" i="13" s="1"/>
  <c r="F734" i="13"/>
  <c r="H734" i="13" s="1"/>
  <c r="D734" i="13"/>
  <c r="K733" i="13"/>
  <c r="G733" i="13"/>
  <c r="I733" i="13" s="1"/>
  <c r="F733" i="13"/>
  <c r="H733" i="13" s="1"/>
  <c r="J733" i="13" s="1"/>
  <c r="D733" i="13"/>
  <c r="K732" i="13"/>
  <c r="G732" i="13"/>
  <c r="I732" i="13" s="1"/>
  <c r="F732" i="13"/>
  <c r="H732" i="13" s="1"/>
  <c r="D732" i="13"/>
  <c r="K731" i="13"/>
  <c r="G731" i="13"/>
  <c r="I731" i="13" s="1"/>
  <c r="F731" i="13"/>
  <c r="H731" i="13" s="1"/>
  <c r="D731" i="13"/>
  <c r="K730" i="13"/>
  <c r="G730" i="13"/>
  <c r="I730" i="13" s="1"/>
  <c r="F730" i="13"/>
  <c r="H730" i="13" s="1"/>
  <c r="D730" i="13"/>
  <c r="K729" i="13"/>
  <c r="I729" i="13"/>
  <c r="G729" i="13"/>
  <c r="F729" i="13"/>
  <c r="H729" i="13" s="1"/>
  <c r="D729" i="13"/>
  <c r="K728" i="13"/>
  <c r="G728" i="13"/>
  <c r="I728" i="13" s="1"/>
  <c r="F728" i="13"/>
  <c r="H728" i="13" s="1"/>
  <c r="D728" i="13"/>
  <c r="K742" i="13"/>
  <c r="G742" i="13"/>
  <c r="I742" i="13" s="1"/>
  <c r="F742" i="13"/>
  <c r="H742" i="13" s="1"/>
  <c r="J742" i="13" s="1"/>
  <c r="D742" i="13"/>
  <c r="K741" i="13"/>
  <c r="G741" i="13"/>
  <c r="I741" i="13" s="1"/>
  <c r="F741" i="13"/>
  <c r="H741" i="13" s="1"/>
  <c r="D741" i="13"/>
  <c r="K740" i="13"/>
  <c r="G740" i="13"/>
  <c r="I740" i="13" s="1"/>
  <c r="F740" i="13"/>
  <c r="H740" i="13" s="1"/>
  <c r="D740" i="13"/>
  <c r="K739" i="13"/>
  <c r="H739" i="13"/>
  <c r="G739" i="13"/>
  <c r="I739" i="13" s="1"/>
  <c r="J739" i="13" s="1"/>
  <c r="F739" i="13"/>
  <c r="D739" i="13"/>
  <c r="K738" i="13"/>
  <c r="J738" i="13"/>
  <c r="G738" i="13"/>
  <c r="I738" i="13" s="1"/>
  <c r="F738" i="13"/>
  <c r="H738" i="13" s="1"/>
  <c r="D738" i="13"/>
  <c r="K737" i="13"/>
  <c r="I737" i="13"/>
  <c r="G737" i="13"/>
  <c r="F737" i="13"/>
  <c r="H737" i="13" s="1"/>
  <c r="D737" i="13"/>
  <c r="K736" i="13"/>
  <c r="G736" i="13"/>
  <c r="I736" i="13" s="1"/>
  <c r="F736" i="13"/>
  <c r="H736" i="13" s="1"/>
  <c r="D736" i="13"/>
  <c r="K747" i="13"/>
  <c r="G747" i="13"/>
  <c r="I747" i="13" s="1"/>
  <c r="J747" i="13" s="1"/>
  <c r="F747" i="13"/>
  <c r="H747" i="13" s="1"/>
  <c r="D747" i="13"/>
  <c r="K746" i="13"/>
  <c r="G746" i="13"/>
  <c r="I746" i="13" s="1"/>
  <c r="J746" i="13" s="1"/>
  <c r="F746" i="13"/>
  <c r="H746" i="13" s="1"/>
  <c r="D746" i="13"/>
  <c r="K745" i="13"/>
  <c r="I745" i="13"/>
  <c r="G745" i="13"/>
  <c r="F745" i="13"/>
  <c r="H745" i="13" s="1"/>
  <c r="D745" i="13"/>
  <c r="K744" i="13"/>
  <c r="G744" i="13"/>
  <c r="I744" i="13" s="1"/>
  <c r="F744" i="13"/>
  <c r="H744" i="13" s="1"/>
  <c r="D744" i="13"/>
  <c r="K743" i="13"/>
  <c r="G743" i="13"/>
  <c r="I743" i="13" s="1"/>
  <c r="F743" i="13"/>
  <c r="H743" i="13" s="1"/>
  <c r="D743" i="13"/>
  <c r="K754" i="13"/>
  <c r="G754" i="13"/>
  <c r="I754" i="13" s="1"/>
  <c r="F754" i="13"/>
  <c r="H754" i="13" s="1"/>
  <c r="D754" i="13"/>
  <c r="K753" i="13"/>
  <c r="G753" i="13"/>
  <c r="I753" i="13" s="1"/>
  <c r="F753" i="13"/>
  <c r="H753" i="13" s="1"/>
  <c r="D753" i="13"/>
  <c r="K752" i="13"/>
  <c r="G752" i="13"/>
  <c r="I752" i="13" s="1"/>
  <c r="F752" i="13"/>
  <c r="H752" i="13" s="1"/>
  <c r="D752" i="13"/>
  <c r="K751" i="13"/>
  <c r="G751" i="13"/>
  <c r="I751" i="13" s="1"/>
  <c r="F751" i="13"/>
  <c r="H751" i="13" s="1"/>
  <c r="D751" i="13"/>
  <c r="K750" i="13"/>
  <c r="G750" i="13"/>
  <c r="I750" i="13" s="1"/>
  <c r="F750" i="13"/>
  <c r="H750" i="13" s="1"/>
  <c r="D750" i="13"/>
  <c r="K749" i="13"/>
  <c r="G749" i="13"/>
  <c r="I749" i="13" s="1"/>
  <c r="J749" i="13" s="1"/>
  <c r="F749" i="13"/>
  <c r="H749" i="13" s="1"/>
  <c r="D749" i="13"/>
  <c r="K748" i="13"/>
  <c r="G748" i="13"/>
  <c r="I748" i="13" s="1"/>
  <c r="F748" i="13"/>
  <c r="H748" i="13" s="1"/>
  <c r="D748" i="13"/>
  <c r="K763" i="13"/>
  <c r="G763" i="13"/>
  <c r="I763" i="13" s="1"/>
  <c r="F763" i="13"/>
  <c r="H763" i="13" s="1"/>
  <c r="D763" i="13"/>
  <c r="K762" i="13"/>
  <c r="G762" i="13"/>
  <c r="I762" i="13" s="1"/>
  <c r="J762" i="13" s="1"/>
  <c r="F762" i="13"/>
  <c r="H762" i="13" s="1"/>
  <c r="D762" i="13"/>
  <c r="K761" i="13"/>
  <c r="I761" i="13"/>
  <c r="G761" i="13"/>
  <c r="F761" i="13"/>
  <c r="H761" i="13" s="1"/>
  <c r="D761" i="13"/>
  <c r="K760" i="13"/>
  <c r="G760" i="13"/>
  <c r="I760" i="13" s="1"/>
  <c r="F760" i="13"/>
  <c r="H760" i="13" s="1"/>
  <c r="D760" i="13"/>
  <c r="K759" i="13"/>
  <c r="G759" i="13"/>
  <c r="I759" i="13" s="1"/>
  <c r="F759" i="13"/>
  <c r="H759" i="13" s="1"/>
  <c r="D759" i="13"/>
  <c r="K758" i="13"/>
  <c r="G758" i="13"/>
  <c r="I758" i="13" s="1"/>
  <c r="J758" i="13" s="1"/>
  <c r="F758" i="13"/>
  <c r="H758" i="13" s="1"/>
  <c r="D758" i="13"/>
  <c r="K757" i="13"/>
  <c r="I757" i="13"/>
  <c r="G757" i="13"/>
  <c r="F757" i="13"/>
  <c r="H757" i="13" s="1"/>
  <c r="D757" i="13"/>
  <c r="K756" i="13"/>
  <c r="H756" i="13"/>
  <c r="G756" i="13"/>
  <c r="I756" i="13" s="1"/>
  <c r="F756" i="13"/>
  <c r="D756" i="13"/>
  <c r="K755" i="13"/>
  <c r="G755" i="13"/>
  <c r="I755" i="13" s="1"/>
  <c r="J755" i="13" s="1"/>
  <c r="F755" i="13"/>
  <c r="H755" i="13" s="1"/>
  <c r="D755" i="13"/>
  <c r="K772" i="13"/>
  <c r="G772" i="13"/>
  <c r="I772" i="13" s="1"/>
  <c r="J772" i="13" s="1"/>
  <c r="F772" i="13"/>
  <c r="H772" i="13" s="1"/>
  <c r="D772" i="13"/>
  <c r="K771" i="13"/>
  <c r="I771" i="13"/>
  <c r="G771" i="13"/>
  <c r="F771" i="13"/>
  <c r="H771" i="13" s="1"/>
  <c r="D771" i="13"/>
  <c r="K770" i="13"/>
  <c r="H770" i="13"/>
  <c r="G770" i="13"/>
  <c r="I770" i="13" s="1"/>
  <c r="J770" i="13" s="1"/>
  <c r="F770" i="13"/>
  <c r="D770" i="13"/>
  <c r="K769" i="13"/>
  <c r="G769" i="13"/>
  <c r="I769" i="13" s="1"/>
  <c r="F769" i="13"/>
  <c r="H769" i="13" s="1"/>
  <c r="D769" i="13"/>
  <c r="K768" i="13"/>
  <c r="G768" i="13"/>
  <c r="I768" i="13" s="1"/>
  <c r="F768" i="13"/>
  <c r="H768" i="13" s="1"/>
  <c r="D768" i="13"/>
  <c r="K767" i="13"/>
  <c r="G767" i="13"/>
  <c r="I767" i="13" s="1"/>
  <c r="F767" i="13"/>
  <c r="H767" i="13" s="1"/>
  <c r="D767" i="13"/>
  <c r="K766" i="13"/>
  <c r="H766" i="13"/>
  <c r="G766" i="13"/>
  <c r="I766" i="13" s="1"/>
  <c r="F766" i="13"/>
  <c r="D766" i="13"/>
  <c r="K765" i="13"/>
  <c r="H765" i="13"/>
  <c r="G765" i="13"/>
  <c r="I765" i="13" s="1"/>
  <c r="F765" i="13"/>
  <c r="D765" i="13"/>
  <c r="K764" i="13"/>
  <c r="G764" i="13"/>
  <c r="I764" i="13" s="1"/>
  <c r="F764" i="13"/>
  <c r="H764" i="13" s="1"/>
  <c r="D764" i="13"/>
  <c r="K780" i="13"/>
  <c r="G780" i="13"/>
  <c r="I780" i="13" s="1"/>
  <c r="F780" i="13"/>
  <c r="H780" i="13" s="1"/>
  <c r="D780" i="13"/>
  <c r="K779" i="13"/>
  <c r="G779" i="13"/>
  <c r="I779" i="13" s="1"/>
  <c r="F779" i="13"/>
  <c r="H779" i="13" s="1"/>
  <c r="D779" i="13"/>
  <c r="K778" i="13"/>
  <c r="G778" i="13"/>
  <c r="I778" i="13" s="1"/>
  <c r="F778" i="13"/>
  <c r="H778" i="13" s="1"/>
  <c r="D778" i="13"/>
  <c r="K777" i="13"/>
  <c r="G777" i="13"/>
  <c r="I777" i="13" s="1"/>
  <c r="F777" i="13"/>
  <c r="H777" i="13" s="1"/>
  <c r="D777" i="13"/>
  <c r="K776" i="13"/>
  <c r="G776" i="13"/>
  <c r="I776" i="13" s="1"/>
  <c r="J776" i="13" s="1"/>
  <c r="F776" i="13"/>
  <c r="H776" i="13" s="1"/>
  <c r="D776" i="13"/>
  <c r="K775" i="13"/>
  <c r="I775" i="13"/>
  <c r="G775" i="13"/>
  <c r="F775" i="13"/>
  <c r="H775" i="13" s="1"/>
  <c r="D775" i="13"/>
  <c r="K774" i="13"/>
  <c r="G774" i="13"/>
  <c r="I774" i="13" s="1"/>
  <c r="F774" i="13"/>
  <c r="H774" i="13" s="1"/>
  <c r="D774" i="13"/>
  <c r="K773" i="13"/>
  <c r="G773" i="13"/>
  <c r="I773" i="13" s="1"/>
  <c r="F773" i="13"/>
  <c r="H773" i="13" s="1"/>
  <c r="D773" i="13"/>
  <c r="K792" i="13"/>
  <c r="G792" i="13"/>
  <c r="I792" i="13" s="1"/>
  <c r="J792" i="13" s="1"/>
  <c r="F792" i="13"/>
  <c r="H792" i="13" s="1"/>
  <c r="D792" i="13"/>
  <c r="K791" i="13"/>
  <c r="G791" i="13"/>
  <c r="I791" i="13" s="1"/>
  <c r="F791" i="13"/>
  <c r="H791" i="13" s="1"/>
  <c r="D791" i="13"/>
  <c r="K790" i="13"/>
  <c r="G790" i="13"/>
  <c r="I790" i="13" s="1"/>
  <c r="F790" i="13"/>
  <c r="H790" i="13" s="1"/>
  <c r="D790" i="13"/>
  <c r="K789" i="13"/>
  <c r="G789" i="13"/>
  <c r="I789" i="13" s="1"/>
  <c r="F789" i="13"/>
  <c r="H789" i="13" s="1"/>
  <c r="J789" i="13" s="1"/>
  <c r="D789" i="13"/>
  <c r="K788" i="13"/>
  <c r="G788" i="13"/>
  <c r="I788" i="13" s="1"/>
  <c r="F788" i="13"/>
  <c r="H788" i="13" s="1"/>
  <c r="D788" i="13"/>
  <c r="K787" i="13"/>
  <c r="H787" i="13"/>
  <c r="G787" i="13"/>
  <c r="I787" i="13" s="1"/>
  <c r="J787" i="13" s="1"/>
  <c r="F787" i="13"/>
  <c r="D787" i="13"/>
  <c r="K786" i="13"/>
  <c r="H786" i="13"/>
  <c r="G786" i="13"/>
  <c r="I786" i="13" s="1"/>
  <c r="F786" i="13"/>
  <c r="D786" i="13"/>
  <c r="K785" i="13"/>
  <c r="G785" i="13"/>
  <c r="I785" i="13" s="1"/>
  <c r="F785" i="13"/>
  <c r="H785" i="13" s="1"/>
  <c r="D785" i="13"/>
  <c r="K784" i="13"/>
  <c r="G784" i="13"/>
  <c r="I784" i="13" s="1"/>
  <c r="F784" i="13"/>
  <c r="H784" i="13" s="1"/>
  <c r="D784" i="13"/>
  <c r="K783" i="13"/>
  <c r="G783" i="13"/>
  <c r="I783" i="13" s="1"/>
  <c r="F783" i="13"/>
  <c r="H783" i="13" s="1"/>
  <c r="D783" i="13"/>
  <c r="K782" i="13"/>
  <c r="G782" i="13"/>
  <c r="I782" i="13" s="1"/>
  <c r="F782" i="13"/>
  <c r="H782" i="13" s="1"/>
  <c r="D782" i="13"/>
  <c r="K781" i="13"/>
  <c r="G781" i="13"/>
  <c r="I781" i="13" s="1"/>
  <c r="F781" i="13"/>
  <c r="H781" i="13" s="1"/>
  <c r="D781" i="13"/>
  <c r="K801" i="13"/>
  <c r="G801" i="13"/>
  <c r="I801" i="13" s="1"/>
  <c r="J801" i="13" s="1"/>
  <c r="F801" i="13"/>
  <c r="H801" i="13" s="1"/>
  <c r="D801" i="13"/>
  <c r="K800" i="13"/>
  <c r="I800" i="13"/>
  <c r="G800" i="13"/>
  <c r="F800" i="13"/>
  <c r="H800" i="13" s="1"/>
  <c r="D800" i="13"/>
  <c r="K799" i="13"/>
  <c r="G799" i="13"/>
  <c r="I799" i="13" s="1"/>
  <c r="F799" i="13"/>
  <c r="H799" i="13" s="1"/>
  <c r="D799" i="13"/>
  <c r="K798" i="13"/>
  <c r="G798" i="13"/>
  <c r="I798" i="13" s="1"/>
  <c r="F798" i="13"/>
  <c r="H798" i="13" s="1"/>
  <c r="D798" i="13"/>
  <c r="K797" i="13"/>
  <c r="I797" i="13"/>
  <c r="J797" i="13" s="1"/>
  <c r="G797" i="13"/>
  <c r="F797" i="13"/>
  <c r="H797" i="13" s="1"/>
  <c r="D797" i="13"/>
  <c r="K796" i="13"/>
  <c r="G796" i="13"/>
  <c r="I796" i="13" s="1"/>
  <c r="F796" i="13"/>
  <c r="H796" i="13" s="1"/>
  <c r="D796" i="13"/>
  <c r="K795" i="13"/>
  <c r="G795" i="13"/>
  <c r="I795" i="13" s="1"/>
  <c r="F795" i="13"/>
  <c r="H795" i="13" s="1"/>
  <c r="D795" i="13"/>
  <c r="K794" i="13"/>
  <c r="J794" i="13"/>
  <c r="G794" i="13"/>
  <c r="I794" i="13" s="1"/>
  <c r="F794" i="13"/>
  <c r="H794" i="13" s="1"/>
  <c r="D794" i="13"/>
  <c r="K793" i="13"/>
  <c r="G793" i="13"/>
  <c r="I793" i="13" s="1"/>
  <c r="F793" i="13"/>
  <c r="H793" i="13" s="1"/>
  <c r="D793" i="13"/>
  <c r="K809" i="13"/>
  <c r="H809" i="13"/>
  <c r="G809" i="13"/>
  <c r="I809" i="13" s="1"/>
  <c r="J809" i="13" s="1"/>
  <c r="F809" i="13"/>
  <c r="D809" i="13"/>
  <c r="K808" i="13"/>
  <c r="G808" i="13"/>
  <c r="I808" i="13" s="1"/>
  <c r="F808" i="13"/>
  <c r="H808" i="13" s="1"/>
  <c r="D808" i="13"/>
  <c r="K807" i="13"/>
  <c r="G807" i="13"/>
  <c r="I807" i="13" s="1"/>
  <c r="F807" i="13"/>
  <c r="H807" i="13" s="1"/>
  <c r="D807" i="13"/>
  <c r="K806" i="13"/>
  <c r="G806" i="13"/>
  <c r="I806" i="13" s="1"/>
  <c r="F806" i="13"/>
  <c r="H806" i="13" s="1"/>
  <c r="D806" i="13"/>
  <c r="K805" i="13"/>
  <c r="I805" i="13"/>
  <c r="H805" i="13"/>
  <c r="G805" i="13"/>
  <c r="F805" i="13"/>
  <c r="D805" i="13"/>
  <c r="K804" i="13"/>
  <c r="G804" i="13"/>
  <c r="I804" i="13" s="1"/>
  <c r="F804" i="13"/>
  <c r="H804" i="13" s="1"/>
  <c r="D804" i="13"/>
  <c r="K803" i="13"/>
  <c r="G803" i="13"/>
  <c r="I803" i="13" s="1"/>
  <c r="F803" i="13"/>
  <c r="H803" i="13" s="1"/>
  <c r="D803" i="13"/>
  <c r="K802" i="13"/>
  <c r="G802" i="13"/>
  <c r="I802" i="13" s="1"/>
  <c r="F802" i="13"/>
  <c r="H802" i="13" s="1"/>
  <c r="D802" i="13"/>
  <c r="K820" i="13"/>
  <c r="G820" i="13"/>
  <c r="I820" i="13" s="1"/>
  <c r="F820" i="13"/>
  <c r="H820" i="13" s="1"/>
  <c r="D820" i="13"/>
  <c r="K819" i="13"/>
  <c r="G819" i="13"/>
  <c r="I819" i="13" s="1"/>
  <c r="F819" i="13"/>
  <c r="H819" i="13" s="1"/>
  <c r="D819" i="13"/>
  <c r="K818" i="13"/>
  <c r="G818" i="13"/>
  <c r="I818" i="13" s="1"/>
  <c r="F818" i="13"/>
  <c r="H818" i="13" s="1"/>
  <c r="D818" i="13"/>
  <c r="K817" i="13"/>
  <c r="I817" i="13"/>
  <c r="G817" i="13"/>
  <c r="F817" i="13"/>
  <c r="H817" i="13" s="1"/>
  <c r="D817" i="13"/>
  <c r="K816" i="13"/>
  <c r="G816" i="13"/>
  <c r="I816" i="13" s="1"/>
  <c r="F816" i="13"/>
  <c r="H816" i="13" s="1"/>
  <c r="D816" i="13"/>
  <c r="K815" i="13"/>
  <c r="H815" i="13"/>
  <c r="G815" i="13"/>
  <c r="I815" i="13" s="1"/>
  <c r="F815" i="13"/>
  <c r="D815" i="13"/>
  <c r="K814" i="13"/>
  <c r="J814" i="13"/>
  <c r="G814" i="13"/>
  <c r="I814" i="13" s="1"/>
  <c r="F814" i="13"/>
  <c r="H814" i="13" s="1"/>
  <c r="D814" i="13"/>
  <c r="K813" i="13"/>
  <c r="G813" i="13"/>
  <c r="I813" i="13" s="1"/>
  <c r="F813" i="13"/>
  <c r="H813" i="13" s="1"/>
  <c r="D813" i="13"/>
  <c r="K812" i="13"/>
  <c r="G812" i="13"/>
  <c r="I812" i="13" s="1"/>
  <c r="F812" i="13"/>
  <c r="H812" i="13" s="1"/>
  <c r="D812" i="13"/>
  <c r="K811" i="13"/>
  <c r="G811" i="13"/>
  <c r="I811" i="13" s="1"/>
  <c r="F811" i="13"/>
  <c r="H811" i="13" s="1"/>
  <c r="D811" i="13"/>
  <c r="K810" i="13"/>
  <c r="G810" i="13"/>
  <c r="I810" i="13" s="1"/>
  <c r="F810" i="13"/>
  <c r="H810" i="13" s="1"/>
  <c r="D810" i="13"/>
  <c r="K830" i="13"/>
  <c r="G830" i="13"/>
  <c r="I830" i="13" s="1"/>
  <c r="F830" i="13"/>
  <c r="H830" i="13" s="1"/>
  <c r="D830" i="13"/>
  <c r="K829" i="13"/>
  <c r="I829" i="13"/>
  <c r="H829" i="13"/>
  <c r="G829" i="13"/>
  <c r="F829" i="13"/>
  <c r="D829" i="13"/>
  <c r="K828" i="13"/>
  <c r="G828" i="13"/>
  <c r="I828" i="13" s="1"/>
  <c r="F828" i="13"/>
  <c r="H828" i="13" s="1"/>
  <c r="D828" i="13"/>
  <c r="K827" i="13"/>
  <c r="G827" i="13"/>
  <c r="I827" i="13" s="1"/>
  <c r="F827" i="13"/>
  <c r="H827" i="13" s="1"/>
  <c r="D827" i="13"/>
  <c r="K826" i="13"/>
  <c r="H826" i="13"/>
  <c r="G826" i="13"/>
  <c r="I826" i="13" s="1"/>
  <c r="F826" i="13"/>
  <c r="D826" i="13"/>
  <c r="K825" i="13"/>
  <c r="G825" i="13"/>
  <c r="I825" i="13" s="1"/>
  <c r="F825" i="13"/>
  <c r="H825" i="13" s="1"/>
  <c r="D825" i="13"/>
  <c r="K824" i="13"/>
  <c r="G824" i="13"/>
  <c r="I824" i="13" s="1"/>
  <c r="F824" i="13"/>
  <c r="H824" i="13" s="1"/>
  <c r="D824" i="13"/>
  <c r="K823" i="13"/>
  <c r="H823" i="13"/>
  <c r="G823" i="13"/>
  <c r="I823" i="13" s="1"/>
  <c r="J823" i="13" s="1"/>
  <c r="F823" i="13"/>
  <c r="D823" i="13"/>
  <c r="K822" i="13"/>
  <c r="G822" i="13"/>
  <c r="I822" i="13" s="1"/>
  <c r="F822" i="13"/>
  <c r="H822" i="13" s="1"/>
  <c r="D822" i="13"/>
  <c r="K821" i="13"/>
  <c r="G821" i="13"/>
  <c r="I821" i="13" s="1"/>
  <c r="F821" i="13"/>
  <c r="H821" i="13" s="1"/>
  <c r="D821" i="13"/>
  <c r="K836" i="13"/>
  <c r="G836" i="13"/>
  <c r="I836" i="13" s="1"/>
  <c r="F836" i="13"/>
  <c r="H836" i="13" s="1"/>
  <c r="D836" i="13"/>
  <c r="K835" i="13"/>
  <c r="G835" i="13"/>
  <c r="I835" i="13" s="1"/>
  <c r="F835" i="13"/>
  <c r="H835" i="13" s="1"/>
  <c r="D835" i="13"/>
  <c r="K834" i="13"/>
  <c r="H834" i="13"/>
  <c r="G834" i="13"/>
  <c r="I834" i="13" s="1"/>
  <c r="F834" i="13"/>
  <c r="D834" i="13"/>
  <c r="K833" i="13"/>
  <c r="G833" i="13"/>
  <c r="I833" i="13" s="1"/>
  <c r="F833" i="13"/>
  <c r="H833" i="13" s="1"/>
  <c r="D833" i="13"/>
  <c r="K832" i="13"/>
  <c r="G832" i="13"/>
  <c r="I832" i="13" s="1"/>
  <c r="F832" i="13"/>
  <c r="H832" i="13" s="1"/>
  <c r="J832" i="13" s="1"/>
  <c r="D832" i="13"/>
  <c r="K831" i="13"/>
  <c r="H831" i="13"/>
  <c r="G831" i="13"/>
  <c r="I831" i="13" s="1"/>
  <c r="J831" i="13" s="1"/>
  <c r="F831" i="13"/>
  <c r="D831" i="13"/>
  <c r="K847" i="13"/>
  <c r="G847" i="13"/>
  <c r="I847" i="13" s="1"/>
  <c r="F847" i="13"/>
  <c r="H847" i="13" s="1"/>
  <c r="D847" i="13"/>
  <c r="K846" i="13"/>
  <c r="G846" i="13"/>
  <c r="I846" i="13" s="1"/>
  <c r="F846" i="13"/>
  <c r="H846" i="13" s="1"/>
  <c r="D846" i="13"/>
  <c r="K845" i="13"/>
  <c r="G845" i="13"/>
  <c r="I845" i="13" s="1"/>
  <c r="F845" i="13"/>
  <c r="H845" i="13" s="1"/>
  <c r="D845" i="13"/>
  <c r="K844" i="13"/>
  <c r="G844" i="13"/>
  <c r="I844" i="13" s="1"/>
  <c r="F844" i="13"/>
  <c r="H844" i="13" s="1"/>
  <c r="D844" i="13"/>
  <c r="K843" i="13"/>
  <c r="H843" i="13"/>
  <c r="G843" i="13"/>
  <c r="I843" i="13" s="1"/>
  <c r="F843" i="13"/>
  <c r="D843" i="13"/>
  <c r="K842" i="13"/>
  <c r="G842" i="13"/>
  <c r="I842" i="13" s="1"/>
  <c r="F842" i="13"/>
  <c r="H842" i="13" s="1"/>
  <c r="D842" i="13"/>
  <c r="K841" i="13"/>
  <c r="G841" i="13"/>
  <c r="I841" i="13" s="1"/>
  <c r="F841" i="13"/>
  <c r="H841" i="13" s="1"/>
  <c r="J841" i="13" s="1"/>
  <c r="D841" i="13"/>
  <c r="K840" i="13"/>
  <c r="H840" i="13"/>
  <c r="G840" i="13"/>
  <c r="I840" i="13" s="1"/>
  <c r="J840" i="13" s="1"/>
  <c r="F840" i="13"/>
  <c r="D840" i="13"/>
  <c r="K839" i="13"/>
  <c r="G839" i="13"/>
  <c r="I839" i="13" s="1"/>
  <c r="F839" i="13"/>
  <c r="H839" i="13" s="1"/>
  <c r="D839" i="13"/>
  <c r="K838" i="13"/>
  <c r="G838" i="13"/>
  <c r="I838" i="13" s="1"/>
  <c r="F838" i="13"/>
  <c r="H838" i="13" s="1"/>
  <c r="D838" i="13"/>
  <c r="K837" i="13"/>
  <c r="G837" i="13"/>
  <c r="I837" i="13" s="1"/>
  <c r="F837" i="13"/>
  <c r="H837" i="13" s="1"/>
  <c r="D837" i="13"/>
  <c r="K857" i="13"/>
  <c r="G857" i="13"/>
  <c r="I857" i="13" s="1"/>
  <c r="F857" i="13"/>
  <c r="H857" i="13" s="1"/>
  <c r="D857" i="13"/>
  <c r="K856" i="13"/>
  <c r="H856" i="13"/>
  <c r="G856" i="13"/>
  <c r="I856" i="13" s="1"/>
  <c r="F856" i="13"/>
  <c r="D856" i="13"/>
  <c r="K855" i="13"/>
  <c r="G855" i="13"/>
  <c r="I855" i="13" s="1"/>
  <c r="F855" i="13"/>
  <c r="H855" i="13" s="1"/>
  <c r="D855" i="13"/>
  <c r="K854" i="13"/>
  <c r="G854" i="13"/>
  <c r="I854" i="13" s="1"/>
  <c r="F854" i="13"/>
  <c r="H854" i="13" s="1"/>
  <c r="J854" i="13" s="1"/>
  <c r="D854" i="13"/>
  <c r="K853" i="13"/>
  <c r="H853" i="13"/>
  <c r="G853" i="13"/>
  <c r="I853" i="13" s="1"/>
  <c r="J853" i="13" s="1"/>
  <c r="F853" i="13"/>
  <c r="D853" i="13"/>
  <c r="K852" i="13"/>
  <c r="G852" i="13"/>
  <c r="I852" i="13" s="1"/>
  <c r="F852" i="13"/>
  <c r="H852" i="13" s="1"/>
  <c r="D852" i="13"/>
  <c r="K851" i="13"/>
  <c r="G851" i="13"/>
  <c r="I851" i="13" s="1"/>
  <c r="F851" i="13"/>
  <c r="H851" i="13" s="1"/>
  <c r="D851" i="13"/>
  <c r="K850" i="13"/>
  <c r="G850" i="13"/>
  <c r="I850" i="13" s="1"/>
  <c r="F850" i="13"/>
  <c r="H850" i="13" s="1"/>
  <c r="D850" i="13"/>
  <c r="K849" i="13"/>
  <c r="G849" i="13"/>
  <c r="I849" i="13" s="1"/>
  <c r="F849" i="13"/>
  <c r="H849" i="13" s="1"/>
  <c r="D849" i="13"/>
  <c r="K848" i="13"/>
  <c r="H848" i="13"/>
  <c r="G848" i="13"/>
  <c r="I848" i="13" s="1"/>
  <c r="F848" i="13"/>
  <c r="D848" i="13"/>
  <c r="K867" i="13"/>
  <c r="G867" i="13"/>
  <c r="I867" i="13" s="1"/>
  <c r="F867" i="13"/>
  <c r="H867" i="13" s="1"/>
  <c r="D867" i="13"/>
  <c r="K866" i="13"/>
  <c r="G866" i="13"/>
  <c r="I866" i="13" s="1"/>
  <c r="F866" i="13"/>
  <c r="H866" i="13" s="1"/>
  <c r="D866" i="13"/>
  <c r="K865" i="13"/>
  <c r="H865" i="13"/>
  <c r="G865" i="13"/>
  <c r="I865" i="13" s="1"/>
  <c r="F865" i="13"/>
  <c r="D865" i="13"/>
  <c r="K864" i="13"/>
  <c r="G864" i="13"/>
  <c r="I864" i="13" s="1"/>
  <c r="F864" i="13"/>
  <c r="H864" i="13" s="1"/>
  <c r="D864" i="13"/>
  <c r="K863" i="13"/>
  <c r="G863" i="13"/>
  <c r="I863" i="13" s="1"/>
  <c r="F863" i="13"/>
  <c r="H863" i="13" s="1"/>
  <c r="D863" i="13"/>
  <c r="K862" i="13"/>
  <c r="G862" i="13"/>
  <c r="I862" i="13" s="1"/>
  <c r="F862" i="13"/>
  <c r="H862" i="13" s="1"/>
  <c r="D862" i="13"/>
  <c r="K861" i="13"/>
  <c r="G861" i="13"/>
  <c r="I861" i="13" s="1"/>
  <c r="F861" i="13"/>
  <c r="H861" i="13" s="1"/>
  <c r="D861" i="13"/>
  <c r="K860" i="13"/>
  <c r="H860" i="13"/>
  <c r="G860" i="13"/>
  <c r="I860" i="13" s="1"/>
  <c r="F860" i="13"/>
  <c r="D860" i="13"/>
  <c r="K859" i="13"/>
  <c r="G859" i="13"/>
  <c r="I859" i="13" s="1"/>
  <c r="F859" i="13"/>
  <c r="H859" i="13" s="1"/>
  <c r="D859" i="13"/>
  <c r="K858" i="13"/>
  <c r="G858" i="13"/>
  <c r="I858" i="13" s="1"/>
  <c r="F858" i="13"/>
  <c r="H858" i="13" s="1"/>
  <c r="D858" i="13"/>
  <c r="K876" i="13"/>
  <c r="H876" i="13"/>
  <c r="G876" i="13"/>
  <c r="I876" i="13" s="1"/>
  <c r="F876" i="13"/>
  <c r="D876" i="13"/>
  <c r="K875" i="13"/>
  <c r="G875" i="13"/>
  <c r="I875" i="13" s="1"/>
  <c r="F875" i="13"/>
  <c r="H875" i="13" s="1"/>
  <c r="D875" i="13"/>
  <c r="K874" i="13"/>
  <c r="G874" i="13"/>
  <c r="I874" i="13" s="1"/>
  <c r="F874" i="13"/>
  <c r="H874" i="13" s="1"/>
  <c r="D874" i="13"/>
  <c r="K873" i="13"/>
  <c r="G873" i="13"/>
  <c r="I873" i="13" s="1"/>
  <c r="F873" i="13"/>
  <c r="H873" i="13" s="1"/>
  <c r="D873" i="13"/>
  <c r="K872" i="13"/>
  <c r="G872" i="13"/>
  <c r="I872" i="13" s="1"/>
  <c r="F872" i="13"/>
  <c r="H872" i="13" s="1"/>
  <c r="D872" i="13"/>
  <c r="K871" i="13"/>
  <c r="H871" i="13"/>
  <c r="G871" i="13"/>
  <c r="I871" i="13" s="1"/>
  <c r="F871" i="13"/>
  <c r="D871" i="13"/>
  <c r="K870" i="13"/>
  <c r="G870" i="13"/>
  <c r="I870" i="13" s="1"/>
  <c r="F870" i="13"/>
  <c r="H870" i="13" s="1"/>
  <c r="D870" i="13"/>
  <c r="K869" i="13"/>
  <c r="G869" i="13"/>
  <c r="I869" i="13" s="1"/>
  <c r="F869" i="13"/>
  <c r="H869" i="13" s="1"/>
  <c r="D869" i="13"/>
  <c r="K868" i="13"/>
  <c r="H868" i="13"/>
  <c r="G868" i="13"/>
  <c r="I868" i="13" s="1"/>
  <c r="F868" i="13"/>
  <c r="D868" i="13"/>
  <c r="K886" i="13"/>
  <c r="G886" i="13"/>
  <c r="I886" i="13" s="1"/>
  <c r="F886" i="13"/>
  <c r="H886" i="13" s="1"/>
  <c r="D886" i="13"/>
  <c r="K885" i="13"/>
  <c r="G885" i="13"/>
  <c r="I885" i="13" s="1"/>
  <c r="F885" i="13"/>
  <c r="H885" i="13" s="1"/>
  <c r="D885" i="13"/>
  <c r="K884" i="13"/>
  <c r="G884" i="13"/>
  <c r="I884" i="13" s="1"/>
  <c r="F884" i="13"/>
  <c r="H884" i="13" s="1"/>
  <c r="D884" i="13"/>
  <c r="K883" i="13"/>
  <c r="G883" i="13"/>
  <c r="I883" i="13" s="1"/>
  <c r="F883" i="13"/>
  <c r="H883" i="13" s="1"/>
  <c r="D883" i="13"/>
  <c r="K882" i="13"/>
  <c r="H882" i="13"/>
  <c r="G882" i="13"/>
  <c r="I882" i="13" s="1"/>
  <c r="F882" i="13"/>
  <c r="D882" i="13"/>
  <c r="K881" i="13"/>
  <c r="G881" i="13"/>
  <c r="I881" i="13" s="1"/>
  <c r="F881" i="13"/>
  <c r="H881" i="13" s="1"/>
  <c r="D881" i="13"/>
  <c r="K880" i="13"/>
  <c r="G880" i="13"/>
  <c r="I880" i="13" s="1"/>
  <c r="F880" i="13"/>
  <c r="H880" i="13" s="1"/>
  <c r="D880" i="13"/>
  <c r="K879" i="13"/>
  <c r="H879" i="13"/>
  <c r="G879" i="13"/>
  <c r="I879" i="13" s="1"/>
  <c r="J879" i="13" s="1"/>
  <c r="F879" i="13"/>
  <c r="D879" i="13"/>
  <c r="K878" i="13"/>
  <c r="G878" i="13"/>
  <c r="I878" i="13" s="1"/>
  <c r="F878" i="13"/>
  <c r="H878" i="13" s="1"/>
  <c r="D878" i="13"/>
  <c r="K877" i="13"/>
  <c r="G877" i="13"/>
  <c r="I877" i="13" s="1"/>
  <c r="F877" i="13"/>
  <c r="H877" i="13" s="1"/>
  <c r="D877" i="13"/>
  <c r="K891" i="13"/>
  <c r="G891" i="13"/>
  <c r="I891" i="13" s="1"/>
  <c r="F891" i="13"/>
  <c r="H891" i="13" s="1"/>
  <c r="J891" i="13" s="1"/>
  <c r="D891" i="13"/>
  <c r="K890" i="13"/>
  <c r="G890" i="13"/>
  <c r="I890" i="13" s="1"/>
  <c r="F890" i="13"/>
  <c r="H890" i="13" s="1"/>
  <c r="D890" i="13"/>
  <c r="K889" i="13"/>
  <c r="H889" i="13"/>
  <c r="G889" i="13"/>
  <c r="I889" i="13" s="1"/>
  <c r="F889" i="13"/>
  <c r="D889" i="13"/>
  <c r="K888" i="13"/>
  <c r="G888" i="13"/>
  <c r="I888" i="13" s="1"/>
  <c r="F888" i="13"/>
  <c r="H888" i="13" s="1"/>
  <c r="D888" i="13"/>
  <c r="K887" i="13"/>
  <c r="G887" i="13"/>
  <c r="I887" i="13" s="1"/>
  <c r="F887" i="13"/>
  <c r="H887" i="13" s="1"/>
  <c r="D887" i="13"/>
  <c r="K900" i="13"/>
  <c r="I900" i="13"/>
  <c r="G900" i="13"/>
  <c r="F900" i="13"/>
  <c r="H900" i="13" s="1"/>
  <c r="D900" i="13"/>
  <c r="K899" i="13"/>
  <c r="G899" i="13"/>
  <c r="I899" i="13" s="1"/>
  <c r="F899" i="13"/>
  <c r="H899" i="13" s="1"/>
  <c r="D899" i="13"/>
  <c r="K898" i="13"/>
  <c r="G898" i="13"/>
  <c r="I898" i="13" s="1"/>
  <c r="F898" i="13"/>
  <c r="H898" i="13" s="1"/>
  <c r="D898" i="13"/>
  <c r="K897" i="13"/>
  <c r="G897" i="13"/>
  <c r="I897" i="13" s="1"/>
  <c r="F897" i="13"/>
  <c r="H897" i="13" s="1"/>
  <c r="D897" i="13"/>
  <c r="K896" i="13"/>
  <c r="H896" i="13"/>
  <c r="G896" i="13"/>
  <c r="I896" i="13" s="1"/>
  <c r="J896" i="13" s="1"/>
  <c r="F896" i="13"/>
  <c r="D896" i="13"/>
  <c r="K895" i="13"/>
  <c r="G895" i="13"/>
  <c r="I895" i="13" s="1"/>
  <c r="F895" i="13"/>
  <c r="H895" i="13" s="1"/>
  <c r="D895" i="13"/>
  <c r="K894" i="13"/>
  <c r="G894" i="13"/>
  <c r="I894" i="13" s="1"/>
  <c r="F894" i="13"/>
  <c r="H894" i="13" s="1"/>
  <c r="D894" i="13"/>
  <c r="K893" i="13"/>
  <c r="G893" i="13"/>
  <c r="I893" i="13" s="1"/>
  <c r="F893" i="13"/>
  <c r="H893" i="13" s="1"/>
  <c r="D893" i="13"/>
  <c r="K892" i="13"/>
  <c r="I892" i="13"/>
  <c r="G892" i="13"/>
  <c r="F892" i="13"/>
  <c r="H892" i="13" s="1"/>
  <c r="D892" i="13"/>
  <c r="K906" i="13"/>
  <c r="G906" i="13"/>
  <c r="I906" i="13" s="1"/>
  <c r="F906" i="13"/>
  <c r="H906" i="13" s="1"/>
  <c r="D906" i="13"/>
  <c r="K905" i="13"/>
  <c r="G905" i="13"/>
  <c r="I905" i="13" s="1"/>
  <c r="F905" i="13"/>
  <c r="H905" i="13" s="1"/>
  <c r="D905" i="13"/>
  <c r="K904" i="13"/>
  <c r="G904" i="13"/>
  <c r="I904" i="13" s="1"/>
  <c r="F904" i="13"/>
  <c r="H904" i="13" s="1"/>
  <c r="D904" i="13"/>
  <c r="K903" i="13"/>
  <c r="H903" i="13"/>
  <c r="G903" i="13"/>
  <c r="I903" i="13" s="1"/>
  <c r="J903" i="13" s="1"/>
  <c r="F903" i="13"/>
  <c r="D903" i="13"/>
  <c r="K902" i="13"/>
  <c r="G902" i="13"/>
  <c r="I902" i="13" s="1"/>
  <c r="F902" i="13"/>
  <c r="H902" i="13" s="1"/>
  <c r="D902" i="13"/>
  <c r="K901" i="13"/>
  <c r="G901" i="13"/>
  <c r="I901" i="13" s="1"/>
  <c r="F901" i="13"/>
  <c r="H901" i="13" s="1"/>
  <c r="D901" i="13"/>
  <c r="K916" i="13"/>
  <c r="G916" i="13"/>
  <c r="I916" i="13" s="1"/>
  <c r="F916" i="13"/>
  <c r="H916" i="13" s="1"/>
  <c r="D916" i="13"/>
  <c r="K915" i="13"/>
  <c r="I915" i="13"/>
  <c r="G915" i="13"/>
  <c r="F915" i="13"/>
  <c r="H915" i="13" s="1"/>
  <c r="D915" i="13"/>
  <c r="K914" i="13"/>
  <c r="G914" i="13"/>
  <c r="I914" i="13" s="1"/>
  <c r="F914" i="13"/>
  <c r="H914" i="13" s="1"/>
  <c r="D914" i="13"/>
  <c r="K913" i="13"/>
  <c r="G913" i="13"/>
  <c r="I913" i="13" s="1"/>
  <c r="F913" i="13"/>
  <c r="H913" i="13" s="1"/>
  <c r="D913" i="13"/>
  <c r="K912" i="13"/>
  <c r="G912" i="13"/>
  <c r="I912" i="13" s="1"/>
  <c r="F912" i="13"/>
  <c r="H912" i="13" s="1"/>
  <c r="D912" i="13"/>
  <c r="K911" i="13"/>
  <c r="H911" i="13"/>
  <c r="G911" i="13"/>
  <c r="I911" i="13" s="1"/>
  <c r="J911" i="13" s="1"/>
  <c r="F911" i="13"/>
  <c r="D911" i="13"/>
  <c r="K910" i="13"/>
  <c r="G910" i="13"/>
  <c r="I910" i="13" s="1"/>
  <c r="F910" i="13"/>
  <c r="H910" i="13" s="1"/>
  <c r="D910" i="13"/>
  <c r="K909" i="13"/>
  <c r="G909" i="13"/>
  <c r="I909" i="13" s="1"/>
  <c r="F909" i="13"/>
  <c r="H909" i="13" s="1"/>
  <c r="D909" i="13"/>
  <c r="K908" i="13"/>
  <c r="G908" i="13"/>
  <c r="I908" i="13" s="1"/>
  <c r="F908" i="13"/>
  <c r="H908" i="13" s="1"/>
  <c r="D908" i="13"/>
  <c r="K907" i="13"/>
  <c r="I907" i="13"/>
  <c r="G907" i="13"/>
  <c r="F907" i="13"/>
  <c r="H907" i="13" s="1"/>
  <c r="D907" i="13"/>
  <c r="K926" i="13"/>
  <c r="G926" i="13"/>
  <c r="I926" i="13" s="1"/>
  <c r="F926" i="13"/>
  <c r="H926" i="13" s="1"/>
  <c r="D926" i="13"/>
  <c r="K925" i="13"/>
  <c r="G925" i="13"/>
  <c r="I925" i="13" s="1"/>
  <c r="F925" i="13"/>
  <c r="H925" i="13" s="1"/>
  <c r="D925" i="13"/>
  <c r="K924" i="13"/>
  <c r="G924" i="13"/>
  <c r="I924" i="13" s="1"/>
  <c r="F924" i="13"/>
  <c r="H924" i="13" s="1"/>
  <c r="D924" i="13"/>
  <c r="K923" i="13"/>
  <c r="H923" i="13"/>
  <c r="G923" i="13"/>
  <c r="I923" i="13" s="1"/>
  <c r="J923" i="13" s="1"/>
  <c r="F923" i="13"/>
  <c r="D923" i="13"/>
  <c r="K922" i="13"/>
  <c r="G922" i="13"/>
  <c r="I922" i="13" s="1"/>
  <c r="F922" i="13"/>
  <c r="H922" i="13" s="1"/>
  <c r="D922" i="13"/>
  <c r="K921" i="13"/>
  <c r="G921" i="13"/>
  <c r="I921" i="13" s="1"/>
  <c r="F921" i="13"/>
  <c r="H921" i="13" s="1"/>
  <c r="D921" i="13"/>
  <c r="K920" i="13"/>
  <c r="G920" i="13"/>
  <c r="I920" i="13" s="1"/>
  <c r="F920" i="13"/>
  <c r="H920" i="13" s="1"/>
  <c r="D920" i="13"/>
  <c r="K919" i="13"/>
  <c r="H919" i="13"/>
  <c r="G919" i="13"/>
  <c r="I919" i="13" s="1"/>
  <c r="F919" i="13"/>
  <c r="D919" i="13"/>
  <c r="K918" i="13"/>
  <c r="G918" i="13"/>
  <c r="I918" i="13" s="1"/>
  <c r="F918" i="13"/>
  <c r="H918" i="13" s="1"/>
  <c r="D918" i="13"/>
  <c r="K917" i="13"/>
  <c r="G917" i="13"/>
  <c r="I917" i="13" s="1"/>
  <c r="F917" i="13"/>
  <c r="H917" i="13" s="1"/>
  <c r="D917" i="13"/>
  <c r="K931" i="13"/>
  <c r="I931" i="13"/>
  <c r="G931" i="13"/>
  <c r="F931" i="13"/>
  <c r="H931" i="13" s="1"/>
  <c r="J931" i="13" s="1"/>
  <c r="D931" i="13"/>
  <c r="K930" i="13"/>
  <c r="G930" i="13"/>
  <c r="I930" i="13" s="1"/>
  <c r="F930" i="13"/>
  <c r="H930" i="13" s="1"/>
  <c r="D930" i="13"/>
  <c r="K929" i="13"/>
  <c r="G929" i="13"/>
  <c r="I929" i="13" s="1"/>
  <c r="F929" i="13"/>
  <c r="H929" i="13" s="1"/>
  <c r="D929" i="13"/>
  <c r="K928" i="13"/>
  <c r="G928" i="13"/>
  <c r="I928" i="13" s="1"/>
  <c r="F928" i="13"/>
  <c r="H928" i="13" s="1"/>
  <c r="D928" i="13"/>
  <c r="K927" i="13"/>
  <c r="I927" i="13"/>
  <c r="G927" i="13"/>
  <c r="F927" i="13"/>
  <c r="H927" i="13" s="1"/>
  <c r="D927" i="13"/>
  <c r="K937" i="13"/>
  <c r="G937" i="13"/>
  <c r="I937" i="13" s="1"/>
  <c r="F937" i="13"/>
  <c r="H937" i="13" s="1"/>
  <c r="D937" i="13"/>
  <c r="K936" i="13"/>
  <c r="G936" i="13"/>
  <c r="I936" i="13" s="1"/>
  <c r="F936" i="13"/>
  <c r="H936" i="13" s="1"/>
  <c r="D936" i="13"/>
  <c r="K935" i="13"/>
  <c r="G935" i="13"/>
  <c r="I935" i="13" s="1"/>
  <c r="F935" i="13"/>
  <c r="H935" i="13" s="1"/>
  <c r="D935" i="13"/>
  <c r="K934" i="13"/>
  <c r="I934" i="13"/>
  <c r="G934" i="13"/>
  <c r="F934" i="13"/>
  <c r="H934" i="13" s="1"/>
  <c r="J934" i="13" s="1"/>
  <c r="D934" i="13"/>
  <c r="K933" i="13"/>
  <c r="G933" i="13"/>
  <c r="I933" i="13" s="1"/>
  <c r="F933" i="13"/>
  <c r="H933" i="13" s="1"/>
  <c r="D933" i="13"/>
  <c r="K932" i="13"/>
  <c r="G932" i="13"/>
  <c r="I932" i="13" s="1"/>
  <c r="F932" i="13"/>
  <c r="H932" i="13" s="1"/>
  <c r="D932" i="13"/>
  <c r="K945" i="13"/>
  <c r="G945" i="13"/>
  <c r="I945" i="13" s="1"/>
  <c r="F945" i="13"/>
  <c r="H945" i="13" s="1"/>
  <c r="D945" i="13"/>
  <c r="K944" i="13"/>
  <c r="I944" i="13"/>
  <c r="G944" i="13"/>
  <c r="F944" i="13"/>
  <c r="H944" i="13" s="1"/>
  <c r="D944" i="13"/>
  <c r="K943" i="13"/>
  <c r="G943" i="13"/>
  <c r="I943" i="13" s="1"/>
  <c r="F943" i="13"/>
  <c r="H943" i="13" s="1"/>
  <c r="D943" i="13"/>
  <c r="K942" i="13"/>
  <c r="G942" i="13"/>
  <c r="I942" i="13" s="1"/>
  <c r="F942" i="13"/>
  <c r="H942" i="13" s="1"/>
  <c r="D942" i="13"/>
  <c r="K941" i="13"/>
  <c r="G941" i="13"/>
  <c r="I941" i="13" s="1"/>
  <c r="F941" i="13"/>
  <c r="H941" i="13" s="1"/>
  <c r="D941" i="13"/>
  <c r="K940" i="13"/>
  <c r="I940" i="13"/>
  <c r="G940" i="13"/>
  <c r="F940" i="13"/>
  <c r="H940" i="13" s="1"/>
  <c r="J940" i="13" s="1"/>
  <c r="D940" i="13"/>
  <c r="K939" i="13"/>
  <c r="G939" i="13"/>
  <c r="I939" i="13" s="1"/>
  <c r="F939" i="13"/>
  <c r="H939" i="13" s="1"/>
  <c r="D939" i="13"/>
  <c r="K938" i="13"/>
  <c r="G938" i="13"/>
  <c r="I938" i="13" s="1"/>
  <c r="F938" i="13"/>
  <c r="H938" i="13" s="1"/>
  <c r="D938" i="13"/>
  <c r="K951" i="13"/>
  <c r="G951" i="13"/>
  <c r="I951" i="13" s="1"/>
  <c r="F951" i="13"/>
  <c r="H951" i="13" s="1"/>
  <c r="D951" i="13"/>
  <c r="K950" i="13"/>
  <c r="I950" i="13"/>
  <c r="G950" i="13"/>
  <c r="F950" i="13"/>
  <c r="H950" i="13" s="1"/>
  <c r="D950" i="13"/>
  <c r="K949" i="13"/>
  <c r="G949" i="13"/>
  <c r="I949" i="13" s="1"/>
  <c r="F949" i="13"/>
  <c r="H949" i="13" s="1"/>
  <c r="D949" i="13"/>
  <c r="K948" i="13"/>
  <c r="G948" i="13"/>
  <c r="I948" i="13" s="1"/>
  <c r="F948" i="13"/>
  <c r="H948" i="13" s="1"/>
  <c r="D948" i="13"/>
  <c r="K947" i="13"/>
  <c r="G947" i="13"/>
  <c r="I947" i="13" s="1"/>
  <c r="F947" i="13"/>
  <c r="H947" i="13" s="1"/>
  <c r="D947" i="13"/>
  <c r="K946" i="13"/>
  <c r="I946" i="13"/>
  <c r="G946" i="13"/>
  <c r="F946" i="13"/>
  <c r="H946" i="13" s="1"/>
  <c r="J946" i="13" s="1"/>
  <c r="D946" i="13"/>
  <c r="K963" i="13"/>
  <c r="G963" i="13"/>
  <c r="I963" i="13" s="1"/>
  <c r="F963" i="13"/>
  <c r="H963" i="13" s="1"/>
  <c r="D963" i="13"/>
  <c r="K962" i="13"/>
  <c r="G962" i="13"/>
  <c r="I962" i="13" s="1"/>
  <c r="F962" i="13"/>
  <c r="H962" i="13" s="1"/>
  <c r="D962" i="13"/>
  <c r="K961" i="13"/>
  <c r="G961" i="13"/>
  <c r="I961" i="13" s="1"/>
  <c r="F961" i="13"/>
  <c r="H961" i="13" s="1"/>
  <c r="D961" i="13"/>
  <c r="K960" i="13"/>
  <c r="I960" i="13"/>
  <c r="G960" i="13"/>
  <c r="F960" i="13"/>
  <c r="H960" i="13" s="1"/>
  <c r="D960" i="13"/>
  <c r="K959" i="13"/>
  <c r="G959" i="13"/>
  <c r="I959" i="13" s="1"/>
  <c r="F959" i="13"/>
  <c r="H959" i="13" s="1"/>
  <c r="D959" i="13"/>
  <c r="K958" i="13"/>
  <c r="G958" i="13"/>
  <c r="I958" i="13" s="1"/>
  <c r="F958" i="13"/>
  <c r="H958" i="13" s="1"/>
  <c r="D958" i="13"/>
  <c r="K957" i="13"/>
  <c r="G957" i="13"/>
  <c r="I957" i="13" s="1"/>
  <c r="F957" i="13"/>
  <c r="H957" i="13" s="1"/>
  <c r="D957" i="13"/>
  <c r="K956" i="13"/>
  <c r="I956" i="13"/>
  <c r="G956" i="13"/>
  <c r="F956" i="13"/>
  <c r="H956" i="13" s="1"/>
  <c r="J956" i="13" s="1"/>
  <c r="D956" i="13"/>
  <c r="K955" i="13"/>
  <c r="G955" i="13"/>
  <c r="I955" i="13" s="1"/>
  <c r="F955" i="13"/>
  <c r="H955" i="13" s="1"/>
  <c r="D955" i="13"/>
  <c r="K954" i="13"/>
  <c r="G954" i="13"/>
  <c r="I954" i="13" s="1"/>
  <c r="F954" i="13"/>
  <c r="H954" i="13" s="1"/>
  <c r="D954" i="13"/>
  <c r="K953" i="13"/>
  <c r="G953" i="13"/>
  <c r="I953" i="13" s="1"/>
  <c r="F953" i="13"/>
  <c r="H953" i="13" s="1"/>
  <c r="D953" i="13"/>
  <c r="K952" i="13"/>
  <c r="I952" i="13"/>
  <c r="G952" i="13"/>
  <c r="F952" i="13"/>
  <c r="H952" i="13" s="1"/>
  <c r="D952" i="13"/>
  <c r="K971" i="13"/>
  <c r="G971" i="13"/>
  <c r="I971" i="13" s="1"/>
  <c r="F971" i="13"/>
  <c r="H971" i="13" s="1"/>
  <c r="D971" i="13"/>
  <c r="K970" i="13"/>
  <c r="G970" i="13"/>
  <c r="I970" i="13" s="1"/>
  <c r="F970" i="13"/>
  <c r="H970" i="13" s="1"/>
  <c r="D970" i="13"/>
  <c r="K969" i="13"/>
  <c r="I969" i="13"/>
  <c r="G969" i="13"/>
  <c r="F969" i="13"/>
  <c r="H969" i="13" s="1"/>
  <c r="D969" i="13"/>
  <c r="K968" i="13"/>
  <c r="I968" i="13"/>
  <c r="G968" i="13"/>
  <c r="F968" i="13"/>
  <c r="H968" i="13" s="1"/>
  <c r="J968" i="13" s="1"/>
  <c r="D968" i="13"/>
  <c r="K967" i="13"/>
  <c r="G967" i="13"/>
  <c r="I967" i="13" s="1"/>
  <c r="F967" i="13"/>
  <c r="H967" i="13" s="1"/>
  <c r="D967" i="13"/>
  <c r="K966" i="13"/>
  <c r="G966" i="13"/>
  <c r="I966" i="13" s="1"/>
  <c r="F966" i="13"/>
  <c r="H966" i="13" s="1"/>
  <c r="D966" i="13"/>
  <c r="K965" i="13"/>
  <c r="G965" i="13"/>
  <c r="I965" i="13" s="1"/>
  <c r="F965" i="13"/>
  <c r="H965" i="13" s="1"/>
  <c r="D965" i="13"/>
  <c r="K964" i="13"/>
  <c r="I964" i="13"/>
  <c r="G964" i="13"/>
  <c r="F964" i="13"/>
  <c r="H964" i="13" s="1"/>
  <c r="D964" i="13"/>
  <c r="K979" i="13"/>
  <c r="G979" i="13"/>
  <c r="I979" i="13" s="1"/>
  <c r="F979" i="13"/>
  <c r="H979" i="13" s="1"/>
  <c r="D979" i="13"/>
  <c r="K978" i="13"/>
  <c r="G978" i="13"/>
  <c r="I978" i="13" s="1"/>
  <c r="F978" i="13"/>
  <c r="H978" i="13" s="1"/>
  <c r="D978" i="13"/>
  <c r="K977" i="13"/>
  <c r="I977" i="13"/>
  <c r="G977" i="13"/>
  <c r="F977" i="13"/>
  <c r="H977" i="13" s="1"/>
  <c r="D977" i="13"/>
  <c r="K976" i="13"/>
  <c r="I976" i="13"/>
  <c r="G976" i="13"/>
  <c r="F976" i="13"/>
  <c r="H976" i="13" s="1"/>
  <c r="J976" i="13" s="1"/>
  <c r="D976" i="13"/>
  <c r="K975" i="13"/>
  <c r="G975" i="13"/>
  <c r="I975" i="13" s="1"/>
  <c r="F975" i="13"/>
  <c r="H975" i="13" s="1"/>
  <c r="D975" i="13"/>
  <c r="K974" i="13"/>
  <c r="G974" i="13"/>
  <c r="I974" i="13" s="1"/>
  <c r="F974" i="13"/>
  <c r="H974" i="13" s="1"/>
  <c r="D974" i="13"/>
  <c r="K973" i="13"/>
  <c r="G973" i="13"/>
  <c r="I973" i="13" s="1"/>
  <c r="F973" i="13"/>
  <c r="H973" i="13" s="1"/>
  <c r="D973" i="13"/>
  <c r="K972" i="13"/>
  <c r="I972" i="13"/>
  <c r="G972" i="13"/>
  <c r="F972" i="13"/>
  <c r="H972" i="13" s="1"/>
  <c r="D972" i="13"/>
  <c r="K985" i="13"/>
  <c r="G985" i="13"/>
  <c r="I985" i="13" s="1"/>
  <c r="F985" i="13"/>
  <c r="H985" i="13" s="1"/>
  <c r="D985" i="13"/>
  <c r="K984" i="13"/>
  <c r="G984" i="13"/>
  <c r="I984" i="13" s="1"/>
  <c r="F984" i="13"/>
  <c r="H984" i="13" s="1"/>
  <c r="D984" i="13"/>
  <c r="K983" i="13"/>
  <c r="I983" i="13"/>
  <c r="G983" i="13"/>
  <c r="F983" i="13"/>
  <c r="H983" i="13" s="1"/>
  <c r="D983" i="13"/>
  <c r="K982" i="13"/>
  <c r="I982" i="13"/>
  <c r="G982" i="13"/>
  <c r="F982" i="13"/>
  <c r="H982" i="13" s="1"/>
  <c r="J982" i="13" s="1"/>
  <c r="D982" i="13"/>
  <c r="K981" i="13"/>
  <c r="G981" i="13"/>
  <c r="I981" i="13" s="1"/>
  <c r="F981" i="13"/>
  <c r="H981" i="13" s="1"/>
  <c r="D981" i="13"/>
  <c r="K980" i="13"/>
  <c r="G980" i="13"/>
  <c r="I980" i="13" s="1"/>
  <c r="F980" i="13"/>
  <c r="H980" i="13" s="1"/>
  <c r="D980" i="13"/>
  <c r="K992" i="13"/>
  <c r="G992" i="13"/>
  <c r="I992" i="13" s="1"/>
  <c r="F992" i="13"/>
  <c r="H992" i="13" s="1"/>
  <c r="D992" i="13"/>
  <c r="K991" i="13"/>
  <c r="I991" i="13"/>
  <c r="G991" i="13"/>
  <c r="F991" i="13"/>
  <c r="H991" i="13" s="1"/>
  <c r="D991" i="13"/>
  <c r="K990" i="13"/>
  <c r="G990" i="13"/>
  <c r="I990" i="13" s="1"/>
  <c r="F990" i="13"/>
  <c r="H990" i="13" s="1"/>
  <c r="D990" i="13"/>
  <c r="K989" i="13"/>
  <c r="G989" i="13"/>
  <c r="I989" i="13" s="1"/>
  <c r="F989" i="13"/>
  <c r="H989" i="13" s="1"/>
  <c r="D989" i="13"/>
  <c r="K988" i="13"/>
  <c r="I988" i="13"/>
  <c r="G988" i="13"/>
  <c r="F988" i="13"/>
  <c r="H988" i="13" s="1"/>
  <c r="D988" i="13"/>
  <c r="K987" i="13"/>
  <c r="I987" i="13"/>
  <c r="G987" i="13"/>
  <c r="F987" i="13"/>
  <c r="H987" i="13" s="1"/>
  <c r="J987" i="13" s="1"/>
  <c r="D987" i="13"/>
  <c r="K986" i="13"/>
  <c r="G986" i="13"/>
  <c r="I986" i="13" s="1"/>
  <c r="F986" i="13"/>
  <c r="H986" i="13" s="1"/>
  <c r="D986" i="13"/>
  <c r="K999" i="13"/>
  <c r="G999" i="13"/>
  <c r="I999" i="13" s="1"/>
  <c r="F999" i="13"/>
  <c r="H999" i="13" s="1"/>
  <c r="D999" i="13"/>
  <c r="K998" i="13"/>
  <c r="G998" i="13"/>
  <c r="I998" i="13" s="1"/>
  <c r="F998" i="13"/>
  <c r="H998" i="13" s="1"/>
  <c r="D998" i="13"/>
  <c r="K997" i="13"/>
  <c r="I997" i="13"/>
  <c r="G997" i="13"/>
  <c r="F997" i="13"/>
  <c r="H997" i="13" s="1"/>
  <c r="D997" i="13"/>
  <c r="K996" i="13"/>
  <c r="G996" i="13"/>
  <c r="I996" i="13" s="1"/>
  <c r="F996" i="13"/>
  <c r="H996" i="13" s="1"/>
  <c r="D996" i="13"/>
  <c r="K995" i="13"/>
  <c r="G995" i="13"/>
  <c r="I995" i="13" s="1"/>
  <c r="F995" i="13"/>
  <c r="H995" i="13" s="1"/>
  <c r="D995" i="13"/>
  <c r="K994" i="13"/>
  <c r="I994" i="13"/>
  <c r="G994" i="13"/>
  <c r="F994" i="13"/>
  <c r="H994" i="13" s="1"/>
  <c r="D994" i="13"/>
  <c r="K993" i="13"/>
  <c r="I993" i="13"/>
  <c r="G993" i="13"/>
  <c r="F993" i="13"/>
  <c r="H993" i="13" s="1"/>
  <c r="J993" i="13" s="1"/>
  <c r="D993" i="13"/>
  <c r="K1005" i="13"/>
  <c r="G1005" i="13"/>
  <c r="I1005" i="13" s="1"/>
  <c r="F1005" i="13"/>
  <c r="H1005" i="13" s="1"/>
  <c r="D1005" i="13"/>
  <c r="K1004" i="13"/>
  <c r="G1004" i="13"/>
  <c r="I1004" i="13" s="1"/>
  <c r="F1004" i="13"/>
  <c r="H1004" i="13" s="1"/>
  <c r="D1004" i="13"/>
  <c r="K1003" i="13"/>
  <c r="G1003" i="13"/>
  <c r="I1003" i="13" s="1"/>
  <c r="F1003" i="13"/>
  <c r="H1003" i="13" s="1"/>
  <c r="D1003" i="13"/>
  <c r="K1002" i="13"/>
  <c r="I1002" i="13"/>
  <c r="G1002" i="13"/>
  <c r="F1002" i="13"/>
  <c r="H1002" i="13" s="1"/>
  <c r="D1002" i="13"/>
  <c r="K1001" i="13"/>
  <c r="G1001" i="13"/>
  <c r="I1001" i="13" s="1"/>
  <c r="F1001" i="13"/>
  <c r="H1001" i="13" s="1"/>
  <c r="D1001" i="13"/>
  <c r="K1000" i="13"/>
  <c r="G1000" i="13"/>
  <c r="I1000" i="13" s="1"/>
  <c r="F1000" i="13"/>
  <c r="H1000" i="13" s="1"/>
  <c r="D1000" i="13"/>
  <c r="K1013" i="13"/>
  <c r="I1013" i="13"/>
  <c r="G1013" i="13"/>
  <c r="F1013" i="13"/>
  <c r="H1013" i="13" s="1"/>
  <c r="D1013" i="13"/>
  <c r="K1012" i="13"/>
  <c r="I1012" i="13"/>
  <c r="G1012" i="13"/>
  <c r="F1012" i="13"/>
  <c r="H1012" i="13" s="1"/>
  <c r="J1012" i="13" s="1"/>
  <c r="D1012" i="13"/>
  <c r="K1011" i="13"/>
  <c r="G1011" i="13"/>
  <c r="I1011" i="13" s="1"/>
  <c r="F1011" i="13"/>
  <c r="H1011" i="13" s="1"/>
  <c r="D1011" i="13"/>
  <c r="K1010" i="13"/>
  <c r="G1010" i="13"/>
  <c r="I1010" i="13" s="1"/>
  <c r="F1010" i="13"/>
  <c r="H1010" i="13" s="1"/>
  <c r="D1010" i="13"/>
  <c r="K1009" i="13"/>
  <c r="G1009" i="13"/>
  <c r="I1009" i="13" s="1"/>
  <c r="F1009" i="13"/>
  <c r="H1009" i="13" s="1"/>
  <c r="D1009" i="13"/>
  <c r="K1008" i="13"/>
  <c r="I1008" i="13"/>
  <c r="G1008" i="13"/>
  <c r="F1008" i="13"/>
  <c r="H1008" i="13" s="1"/>
  <c r="D1008" i="13"/>
  <c r="K1007" i="13"/>
  <c r="G1007" i="13"/>
  <c r="I1007" i="13" s="1"/>
  <c r="F1007" i="13"/>
  <c r="H1007" i="13" s="1"/>
  <c r="D1007" i="13"/>
  <c r="K1006" i="13"/>
  <c r="G1006" i="13"/>
  <c r="I1006" i="13" s="1"/>
  <c r="F1006" i="13"/>
  <c r="H1006" i="13" s="1"/>
  <c r="D1006" i="13"/>
  <c r="K1025" i="13"/>
  <c r="I1025" i="13"/>
  <c r="G1025" i="13"/>
  <c r="F1025" i="13"/>
  <c r="H1025" i="13" s="1"/>
  <c r="D1025" i="13"/>
  <c r="K1024" i="13"/>
  <c r="I1024" i="13"/>
  <c r="G1024" i="13"/>
  <c r="F1024" i="13"/>
  <c r="H1024" i="13" s="1"/>
  <c r="J1024" i="13" s="1"/>
  <c r="D1024" i="13"/>
  <c r="K1023" i="13"/>
  <c r="G1023" i="13"/>
  <c r="I1023" i="13" s="1"/>
  <c r="F1023" i="13"/>
  <c r="H1023" i="13" s="1"/>
  <c r="D1023" i="13"/>
  <c r="K1022" i="13"/>
  <c r="G1022" i="13"/>
  <c r="I1022" i="13" s="1"/>
  <c r="F1022" i="13"/>
  <c r="H1022" i="13" s="1"/>
  <c r="D1022" i="13"/>
  <c r="K1021" i="13"/>
  <c r="G1021" i="13"/>
  <c r="I1021" i="13" s="1"/>
  <c r="F1021" i="13"/>
  <c r="H1021" i="13" s="1"/>
  <c r="D1021" i="13"/>
  <c r="K1020" i="13"/>
  <c r="I1020" i="13"/>
  <c r="G1020" i="13"/>
  <c r="F1020" i="13"/>
  <c r="H1020" i="13" s="1"/>
  <c r="D1020" i="13"/>
  <c r="K1019" i="13"/>
  <c r="G1019" i="13"/>
  <c r="I1019" i="13" s="1"/>
  <c r="F1019" i="13"/>
  <c r="H1019" i="13" s="1"/>
  <c r="D1019" i="13"/>
  <c r="K1018" i="13"/>
  <c r="G1018" i="13"/>
  <c r="I1018" i="13" s="1"/>
  <c r="F1018" i="13"/>
  <c r="H1018" i="13" s="1"/>
  <c r="D1018" i="13"/>
  <c r="K1017" i="13"/>
  <c r="I1017" i="13"/>
  <c r="G1017" i="13"/>
  <c r="F1017" i="13"/>
  <c r="H1017" i="13" s="1"/>
  <c r="D1017" i="13"/>
  <c r="K1016" i="13"/>
  <c r="I1016" i="13"/>
  <c r="G1016" i="13"/>
  <c r="F1016" i="13"/>
  <c r="H1016" i="13" s="1"/>
  <c r="J1016" i="13" s="1"/>
  <c r="D1016" i="13"/>
  <c r="K1015" i="13"/>
  <c r="G1015" i="13"/>
  <c r="I1015" i="13" s="1"/>
  <c r="F1015" i="13"/>
  <c r="H1015" i="13" s="1"/>
  <c r="D1015" i="13"/>
  <c r="K1014" i="13"/>
  <c r="G1014" i="13"/>
  <c r="I1014" i="13" s="1"/>
  <c r="F1014" i="13"/>
  <c r="H1014" i="13" s="1"/>
  <c r="D1014" i="13"/>
  <c r="K1035" i="13"/>
  <c r="G1035" i="13"/>
  <c r="I1035" i="13" s="1"/>
  <c r="F1035" i="13"/>
  <c r="H1035" i="13" s="1"/>
  <c r="D1035" i="13"/>
  <c r="K1034" i="13"/>
  <c r="I1034" i="13"/>
  <c r="G1034" i="13"/>
  <c r="F1034" i="13"/>
  <c r="H1034" i="13" s="1"/>
  <c r="D1034" i="13"/>
  <c r="K1033" i="13"/>
  <c r="G1033" i="13"/>
  <c r="I1033" i="13" s="1"/>
  <c r="F1033" i="13"/>
  <c r="H1033" i="13" s="1"/>
  <c r="D1033" i="13"/>
  <c r="K1032" i="13"/>
  <c r="G1032" i="13"/>
  <c r="I1032" i="13" s="1"/>
  <c r="J1032" i="13" s="1"/>
  <c r="F1032" i="13"/>
  <c r="H1032" i="13" s="1"/>
  <c r="D1032" i="13"/>
  <c r="K1031" i="13"/>
  <c r="I1031" i="13"/>
  <c r="J1031" i="13" s="1"/>
  <c r="G1031" i="13"/>
  <c r="F1031" i="13"/>
  <c r="H1031" i="13" s="1"/>
  <c r="D1031" i="13"/>
  <c r="K1030" i="13"/>
  <c r="I1030" i="13"/>
  <c r="G1030" i="13"/>
  <c r="F1030" i="13"/>
  <c r="H1030" i="13" s="1"/>
  <c r="J1030" i="13" s="1"/>
  <c r="D1030" i="13"/>
  <c r="K1029" i="13"/>
  <c r="G1029" i="13"/>
  <c r="I1029" i="13" s="1"/>
  <c r="F1029" i="13"/>
  <c r="H1029" i="13" s="1"/>
  <c r="D1029" i="13"/>
  <c r="K1028" i="13"/>
  <c r="G1028" i="13"/>
  <c r="I1028" i="13" s="1"/>
  <c r="J1028" i="13" s="1"/>
  <c r="F1028" i="13"/>
  <c r="H1028" i="13" s="1"/>
  <c r="D1028" i="13"/>
  <c r="K1027" i="13"/>
  <c r="I1027" i="13"/>
  <c r="G1027" i="13"/>
  <c r="F1027" i="13"/>
  <c r="H1027" i="13" s="1"/>
  <c r="D1027" i="13"/>
  <c r="K1026" i="13"/>
  <c r="G1026" i="13"/>
  <c r="I1026" i="13" s="1"/>
  <c r="F1026" i="13"/>
  <c r="H1026" i="13" s="1"/>
  <c r="D1026" i="13"/>
  <c r="K1042" i="13"/>
  <c r="H1042" i="13"/>
  <c r="G1042" i="13"/>
  <c r="I1042" i="13" s="1"/>
  <c r="F1042" i="13"/>
  <c r="D1042" i="13"/>
  <c r="K1041" i="13"/>
  <c r="G1041" i="13"/>
  <c r="I1041" i="13" s="1"/>
  <c r="F1041" i="13"/>
  <c r="H1041" i="13" s="1"/>
  <c r="D1041" i="13"/>
  <c r="K1040" i="13"/>
  <c r="I1040" i="13"/>
  <c r="G1040" i="13"/>
  <c r="F1040" i="13"/>
  <c r="H1040" i="13" s="1"/>
  <c r="D1040" i="13"/>
  <c r="K1039" i="13"/>
  <c r="G1039" i="13"/>
  <c r="I1039" i="13" s="1"/>
  <c r="F1039" i="13"/>
  <c r="H1039" i="13" s="1"/>
  <c r="J1039" i="13" s="1"/>
  <c r="D1039" i="13"/>
  <c r="K1038" i="13"/>
  <c r="G1038" i="13"/>
  <c r="I1038" i="13" s="1"/>
  <c r="F1038" i="13"/>
  <c r="H1038" i="13" s="1"/>
  <c r="D1038" i="13"/>
  <c r="K1037" i="13"/>
  <c r="G1037" i="13"/>
  <c r="I1037" i="13" s="1"/>
  <c r="J1037" i="13" s="1"/>
  <c r="F1037" i="13"/>
  <c r="H1037" i="13" s="1"/>
  <c r="D1037" i="13"/>
  <c r="K1036" i="13"/>
  <c r="I1036" i="13"/>
  <c r="J1036" i="13" s="1"/>
  <c r="G1036" i="13"/>
  <c r="F1036" i="13"/>
  <c r="H1036" i="13" s="1"/>
  <c r="D1036" i="13"/>
  <c r="K1048" i="13"/>
  <c r="G1048" i="13"/>
  <c r="I1048" i="13" s="1"/>
  <c r="F1048" i="13"/>
  <c r="H1048" i="13" s="1"/>
  <c r="D1048" i="13"/>
  <c r="K1047" i="13"/>
  <c r="H1047" i="13"/>
  <c r="G1047" i="13"/>
  <c r="I1047" i="13" s="1"/>
  <c r="F1047" i="13"/>
  <c r="D1047" i="13"/>
  <c r="K1046" i="13"/>
  <c r="G1046" i="13"/>
  <c r="I1046" i="13" s="1"/>
  <c r="F1046" i="13"/>
  <c r="H1046" i="13" s="1"/>
  <c r="J1046" i="13" s="1"/>
  <c r="D1046" i="13"/>
  <c r="K1045" i="13"/>
  <c r="G1045" i="13"/>
  <c r="I1045" i="13" s="1"/>
  <c r="F1045" i="13"/>
  <c r="H1045" i="13" s="1"/>
  <c r="D1045" i="13"/>
  <c r="K1044" i="13"/>
  <c r="G1044" i="13"/>
  <c r="I1044" i="13" s="1"/>
  <c r="F1044" i="13"/>
  <c r="H1044" i="13" s="1"/>
  <c r="D1044" i="13"/>
  <c r="K1043" i="13"/>
  <c r="H1043" i="13"/>
  <c r="G1043" i="13"/>
  <c r="I1043" i="13" s="1"/>
  <c r="F1043" i="13"/>
  <c r="D1043" i="13"/>
  <c r="K1053" i="13"/>
  <c r="G1053" i="13"/>
  <c r="I1053" i="13" s="1"/>
  <c r="J1053" i="13" s="1"/>
  <c r="F1053" i="13"/>
  <c r="H1053" i="13" s="1"/>
  <c r="D1053" i="13"/>
  <c r="K1052" i="13"/>
  <c r="G1052" i="13"/>
  <c r="I1052" i="13" s="1"/>
  <c r="F1052" i="13"/>
  <c r="H1052" i="13" s="1"/>
  <c r="D1052" i="13"/>
  <c r="K1051" i="13"/>
  <c r="I1051" i="13"/>
  <c r="G1051" i="13"/>
  <c r="F1051" i="13"/>
  <c r="H1051" i="13" s="1"/>
  <c r="D1051" i="13"/>
  <c r="K1050" i="13"/>
  <c r="G1050" i="13"/>
  <c r="I1050" i="13" s="1"/>
  <c r="F1050" i="13"/>
  <c r="H1050" i="13" s="1"/>
  <c r="D1050" i="13"/>
  <c r="K1049" i="13"/>
  <c r="G1049" i="13"/>
  <c r="I1049" i="13" s="1"/>
  <c r="F1049" i="13"/>
  <c r="H1049" i="13" s="1"/>
  <c r="J1049" i="13" s="1"/>
  <c r="D1049" i="13"/>
  <c r="K1058" i="13"/>
  <c r="G1058" i="13"/>
  <c r="I1058" i="13" s="1"/>
  <c r="F1058" i="13"/>
  <c r="H1058" i="13" s="1"/>
  <c r="D1058" i="13"/>
  <c r="K1057" i="13"/>
  <c r="H1057" i="13"/>
  <c r="G1057" i="13"/>
  <c r="I1057" i="13" s="1"/>
  <c r="F1057" i="13"/>
  <c r="D1057" i="13"/>
  <c r="K1056" i="13"/>
  <c r="G1056" i="13"/>
  <c r="I1056" i="13" s="1"/>
  <c r="F1056" i="13"/>
  <c r="H1056" i="13" s="1"/>
  <c r="D1056" i="13"/>
  <c r="K1055" i="13"/>
  <c r="G1055" i="13"/>
  <c r="I1055" i="13" s="1"/>
  <c r="F1055" i="13"/>
  <c r="H1055" i="13" s="1"/>
  <c r="D1055" i="13"/>
  <c r="K1054" i="13"/>
  <c r="G1054" i="13"/>
  <c r="I1054" i="13" s="1"/>
  <c r="J1054" i="13" s="1"/>
  <c r="F1054" i="13"/>
  <c r="H1054" i="13" s="1"/>
  <c r="D1054" i="13"/>
  <c r="K1065" i="13"/>
  <c r="I1065" i="13"/>
  <c r="G1065" i="13"/>
  <c r="F1065" i="13"/>
  <c r="H1065" i="13" s="1"/>
  <c r="D1065" i="13"/>
  <c r="K1064" i="13"/>
  <c r="G1064" i="13"/>
  <c r="I1064" i="13" s="1"/>
  <c r="F1064" i="13"/>
  <c r="H1064" i="13" s="1"/>
  <c r="D1064" i="13"/>
  <c r="K1063" i="13"/>
  <c r="G1063" i="13"/>
  <c r="I1063" i="13" s="1"/>
  <c r="F1063" i="13"/>
  <c r="H1063" i="13" s="1"/>
  <c r="D1063" i="13"/>
  <c r="K1062" i="13"/>
  <c r="G1062" i="13"/>
  <c r="I1062" i="13" s="1"/>
  <c r="J1062" i="13" s="1"/>
  <c r="F1062" i="13"/>
  <c r="H1062" i="13" s="1"/>
  <c r="D1062" i="13"/>
  <c r="K1061" i="13"/>
  <c r="I1061" i="13"/>
  <c r="G1061" i="13"/>
  <c r="F1061" i="13"/>
  <c r="H1061" i="13" s="1"/>
  <c r="D1061" i="13"/>
  <c r="K1060" i="13"/>
  <c r="G1060" i="13"/>
  <c r="I1060" i="13" s="1"/>
  <c r="F1060" i="13"/>
  <c r="H1060" i="13" s="1"/>
  <c r="D1060" i="13"/>
  <c r="K1059" i="13"/>
  <c r="J1059" i="13"/>
  <c r="G1059" i="13"/>
  <c r="I1059" i="13" s="1"/>
  <c r="F1059" i="13"/>
  <c r="H1059" i="13" s="1"/>
  <c r="D1059" i="13"/>
  <c r="K1072" i="13"/>
  <c r="I1072" i="13"/>
  <c r="G1072" i="13"/>
  <c r="F1072" i="13"/>
  <c r="H1072" i="13" s="1"/>
  <c r="D1072" i="13"/>
  <c r="K1071" i="13"/>
  <c r="G1071" i="13"/>
  <c r="I1071" i="13" s="1"/>
  <c r="F1071" i="13"/>
  <c r="H1071" i="13" s="1"/>
  <c r="J1071" i="13" s="1"/>
  <c r="D1071" i="13"/>
  <c r="K1070" i="13"/>
  <c r="G1070" i="13"/>
  <c r="I1070" i="13" s="1"/>
  <c r="F1070" i="13"/>
  <c r="H1070" i="13" s="1"/>
  <c r="D1070" i="13"/>
  <c r="K1069" i="13"/>
  <c r="G1069" i="13"/>
  <c r="I1069" i="13" s="1"/>
  <c r="F1069" i="13"/>
  <c r="H1069" i="13" s="1"/>
  <c r="D1069" i="13"/>
  <c r="K1068" i="13"/>
  <c r="G1068" i="13"/>
  <c r="I1068" i="13" s="1"/>
  <c r="F1068" i="13"/>
  <c r="H1068" i="13" s="1"/>
  <c r="D1068" i="13"/>
  <c r="K1067" i="13"/>
  <c r="H1067" i="13"/>
  <c r="G1067" i="13"/>
  <c r="I1067" i="13" s="1"/>
  <c r="F1067" i="13"/>
  <c r="D1067" i="13"/>
  <c r="K1066" i="13"/>
  <c r="H1066" i="13"/>
  <c r="G1066" i="13"/>
  <c r="I1066" i="13" s="1"/>
  <c r="F1066" i="13"/>
  <c r="D1066" i="13"/>
  <c r="K1080" i="13"/>
  <c r="G1080" i="13"/>
  <c r="I1080" i="13" s="1"/>
  <c r="J1080" i="13" s="1"/>
  <c r="F1080" i="13"/>
  <c r="H1080" i="13" s="1"/>
  <c r="D1080" i="13"/>
  <c r="K1079" i="13"/>
  <c r="G1079" i="13"/>
  <c r="I1079" i="13" s="1"/>
  <c r="J1079" i="13" s="1"/>
  <c r="F1079" i="13"/>
  <c r="H1079" i="13" s="1"/>
  <c r="D1079" i="13"/>
  <c r="K1078" i="13"/>
  <c r="G1078" i="13"/>
  <c r="I1078" i="13" s="1"/>
  <c r="F1078" i="13"/>
  <c r="H1078" i="13" s="1"/>
  <c r="D1078" i="13"/>
  <c r="K1077" i="13"/>
  <c r="G1077" i="13"/>
  <c r="I1077" i="13" s="1"/>
  <c r="F1077" i="13"/>
  <c r="H1077" i="13" s="1"/>
  <c r="D1077" i="13"/>
  <c r="K1076" i="13"/>
  <c r="G1076" i="13"/>
  <c r="I1076" i="13" s="1"/>
  <c r="F1076" i="13"/>
  <c r="H1076" i="13" s="1"/>
  <c r="D1076" i="13"/>
  <c r="K1075" i="13"/>
  <c r="G1075" i="13"/>
  <c r="I1075" i="13" s="1"/>
  <c r="J1075" i="13" s="1"/>
  <c r="F1075" i="13"/>
  <c r="H1075" i="13" s="1"/>
  <c r="D1075" i="13"/>
  <c r="K1074" i="13"/>
  <c r="I1074" i="13"/>
  <c r="H1074" i="13"/>
  <c r="G1074" i="13"/>
  <c r="F1074" i="13"/>
  <c r="D1074" i="13"/>
  <c r="K1073" i="13"/>
  <c r="G1073" i="13"/>
  <c r="I1073" i="13" s="1"/>
  <c r="F1073" i="13"/>
  <c r="H1073" i="13" s="1"/>
  <c r="D1073" i="13"/>
  <c r="K1082" i="13"/>
  <c r="G1082" i="13"/>
  <c r="I1082" i="13" s="1"/>
  <c r="F1082" i="13"/>
  <c r="H1082" i="13" s="1"/>
  <c r="D1082" i="13"/>
  <c r="K1081" i="13"/>
  <c r="G1081" i="13"/>
  <c r="I1081" i="13" s="1"/>
  <c r="J1081" i="13" s="1"/>
  <c r="F1081" i="13"/>
  <c r="H1081" i="13" s="1"/>
  <c r="D1081" i="13"/>
  <c r="K1096" i="13"/>
  <c r="G1096" i="13"/>
  <c r="I1096" i="13" s="1"/>
  <c r="F1096" i="13"/>
  <c r="H1096" i="13" s="1"/>
  <c r="D1096" i="13"/>
  <c r="K1095" i="13"/>
  <c r="G1095" i="13"/>
  <c r="I1095" i="13" s="1"/>
  <c r="F1095" i="13"/>
  <c r="H1095" i="13" s="1"/>
  <c r="D1095" i="13"/>
  <c r="K1094" i="13"/>
  <c r="G1094" i="13"/>
  <c r="I1094" i="13" s="1"/>
  <c r="F1094" i="13"/>
  <c r="H1094" i="13" s="1"/>
  <c r="D1094" i="13"/>
  <c r="K1093" i="13"/>
  <c r="G1093" i="13"/>
  <c r="I1093" i="13" s="1"/>
  <c r="J1093" i="13" s="1"/>
  <c r="F1093" i="13"/>
  <c r="H1093" i="13" s="1"/>
  <c r="D1093" i="13"/>
  <c r="K1092" i="13"/>
  <c r="I1092" i="13"/>
  <c r="H1092" i="13"/>
  <c r="G1092" i="13"/>
  <c r="F1092" i="13"/>
  <c r="D1092" i="13"/>
  <c r="K1091" i="13"/>
  <c r="G1091" i="13"/>
  <c r="I1091" i="13" s="1"/>
  <c r="F1091" i="13"/>
  <c r="H1091" i="13" s="1"/>
  <c r="D1091" i="13"/>
  <c r="K1090" i="13"/>
  <c r="G1090" i="13"/>
  <c r="I1090" i="13" s="1"/>
  <c r="F1090" i="13"/>
  <c r="H1090" i="13" s="1"/>
  <c r="D1090" i="13"/>
  <c r="K1089" i="13"/>
  <c r="G1089" i="13"/>
  <c r="I1089" i="13" s="1"/>
  <c r="J1089" i="13" s="1"/>
  <c r="F1089" i="13"/>
  <c r="H1089" i="13" s="1"/>
  <c r="D1089" i="13"/>
  <c r="K1088" i="13"/>
  <c r="G1088" i="13"/>
  <c r="I1088" i="13" s="1"/>
  <c r="F1088" i="13"/>
  <c r="H1088" i="13" s="1"/>
  <c r="D1088" i="13"/>
  <c r="K1087" i="13"/>
  <c r="G1087" i="13"/>
  <c r="I1087" i="13" s="1"/>
  <c r="F1087" i="13"/>
  <c r="H1087" i="13" s="1"/>
  <c r="D1087" i="13"/>
  <c r="K1086" i="13"/>
  <c r="G1086" i="13"/>
  <c r="I1086" i="13" s="1"/>
  <c r="F1086" i="13"/>
  <c r="H1086" i="13" s="1"/>
  <c r="D1086" i="13"/>
  <c r="K1085" i="13"/>
  <c r="G1085" i="13"/>
  <c r="I1085" i="13" s="1"/>
  <c r="J1085" i="13" s="1"/>
  <c r="F1085" i="13"/>
  <c r="H1085" i="13" s="1"/>
  <c r="D1085" i="13"/>
  <c r="K1084" i="13"/>
  <c r="I1084" i="13"/>
  <c r="H1084" i="13"/>
  <c r="G1084" i="13"/>
  <c r="F1084" i="13"/>
  <c r="D1084" i="13"/>
  <c r="K1083" i="13"/>
  <c r="G1083" i="13"/>
  <c r="I1083" i="13" s="1"/>
  <c r="F1083" i="13"/>
  <c r="H1083" i="13" s="1"/>
  <c r="D1083" i="13"/>
  <c r="K1102" i="13"/>
  <c r="G1102" i="13"/>
  <c r="I1102" i="13" s="1"/>
  <c r="F1102" i="13"/>
  <c r="H1102" i="13" s="1"/>
  <c r="D1102" i="13"/>
  <c r="K1101" i="13"/>
  <c r="G1101" i="13"/>
  <c r="I1101" i="13" s="1"/>
  <c r="J1101" i="13" s="1"/>
  <c r="F1101" i="13"/>
  <c r="H1101" i="13" s="1"/>
  <c r="D1101" i="13"/>
  <c r="K1100" i="13"/>
  <c r="G1100" i="13"/>
  <c r="I1100" i="13" s="1"/>
  <c r="F1100" i="13"/>
  <c r="H1100" i="13" s="1"/>
  <c r="D1100" i="13"/>
  <c r="K1099" i="13"/>
  <c r="G1099" i="13"/>
  <c r="I1099" i="13" s="1"/>
  <c r="F1099" i="13"/>
  <c r="H1099" i="13" s="1"/>
  <c r="D1099" i="13"/>
  <c r="K1098" i="13"/>
  <c r="G1098" i="13"/>
  <c r="I1098" i="13" s="1"/>
  <c r="F1098" i="13"/>
  <c r="H1098" i="13" s="1"/>
  <c r="D1098" i="13"/>
  <c r="K1097" i="13"/>
  <c r="G1097" i="13"/>
  <c r="I1097" i="13" s="1"/>
  <c r="J1097" i="13" s="1"/>
  <c r="F1097" i="13"/>
  <c r="H1097" i="13" s="1"/>
  <c r="D1097" i="13"/>
  <c r="K1112" i="13"/>
  <c r="I1112" i="13"/>
  <c r="H1112" i="13"/>
  <c r="G1112" i="13"/>
  <c r="F1112" i="13"/>
  <c r="D1112" i="13"/>
  <c r="K1111" i="13"/>
  <c r="G1111" i="13"/>
  <c r="I1111" i="13" s="1"/>
  <c r="F1111" i="13"/>
  <c r="H1111" i="13" s="1"/>
  <c r="D1111" i="13"/>
  <c r="K1110" i="13"/>
  <c r="G1110" i="13"/>
  <c r="I1110" i="13" s="1"/>
  <c r="F1110" i="13"/>
  <c r="H1110" i="13" s="1"/>
  <c r="D1110" i="13"/>
  <c r="K1109" i="13"/>
  <c r="G1109" i="13"/>
  <c r="I1109" i="13" s="1"/>
  <c r="J1109" i="13" s="1"/>
  <c r="F1109" i="13"/>
  <c r="H1109" i="13" s="1"/>
  <c r="D1109" i="13"/>
  <c r="K1108" i="13"/>
  <c r="G1108" i="13"/>
  <c r="I1108" i="13" s="1"/>
  <c r="F1108" i="13"/>
  <c r="H1108" i="13" s="1"/>
  <c r="D1108" i="13"/>
  <c r="K1107" i="13"/>
  <c r="G1107" i="13"/>
  <c r="I1107" i="13" s="1"/>
  <c r="F1107" i="13"/>
  <c r="H1107" i="13" s="1"/>
  <c r="D1107" i="13"/>
  <c r="K1106" i="13"/>
  <c r="G1106" i="13"/>
  <c r="I1106" i="13" s="1"/>
  <c r="F1106" i="13"/>
  <c r="H1106" i="13" s="1"/>
  <c r="D1106" i="13"/>
  <c r="K1105" i="13"/>
  <c r="G1105" i="13"/>
  <c r="I1105" i="13" s="1"/>
  <c r="J1105" i="13" s="1"/>
  <c r="F1105" i="13"/>
  <c r="H1105" i="13" s="1"/>
  <c r="D1105" i="13"/>
  <c r="K1104" i="13"/>
  <c r="I1104" i="13"/>
  <c r="H1104" i="13"/>
  <c r="G1104" i="13"/>
  <c r="F1104" i="13"/>
  <c r="D1104" i="13"/>
  <c r="K1103" i="13"/>
  <c r="G1103" i="13"/>
  <c r="I1103" i="13" s="1"/>
  <c r="F1103" i="13"/>
  <c r="H1103" i="13" s="1"/>
  <c r="D1103" i="13"/>
  <c r="K1116" i="13"/>
  <c r="G1116" i="13"/>
  <c r="I1116" i="13" s="1"/>
  <c r="F1116" i="13"/>
  <c r="H1116" i="13" s="1"/>
  <c r="D1116" i="13"/>
  <c r="K1115" i="13"/>
  <c r="G1115" i="13"/>
  <c r="I1115" i="13" s="1"/>
  <c r="J1115" i="13" s="1"/>
  <c r="F1115" i="13"/>
  <c r="H1115" i="13" s="1"/>
  <c r="D1115" i="13"/>
  <c r="K1114" i="13"/>
  <c r="G1114" i="13"/>
  <c r="I1114" i="13" s="1"/>
  <c r="F1114" i="13"/>
  <c r="H1114" i="13" s="1"/>
  <c r="D1114" i="13"/>
  <c r="K1113" i="13"/>
  <c r="G1113" i="13"/>
  <c r="I1113" i="13" s="1"/>
  <c r="F1113" i="13"/>
  <c r="H1113" i="13" s="1"/>
  <c r="D1113" i="13"/>
  <c r="K1125" i="13"/>
  <c r="G1125" i="13"/>
  <c r="I1125" i="13" s="1"/>
  <c r="F1125" i="13"/>
  <c r="H1125" i="13" s="1"/>
  <c r="D1125" i="13"/>
  <c r="K1124" i="13"/>
  <c r="G1124" i="13"/>
  <c r="I1124" i="13" s="1"/>
  <c r="J1124" i="13" s="1"/>
  <c r="F1124" i="13"/>
  <c r="H1124" i="13" s="1"/>
  <c r="D1124" i="13"/>
  <c r="K1123" i="13"/>
  <c r="I1123" i="13"/>
  <c r="H1123" i="13"/>
  <c r="G1123" i="13"/>
  <c r="F1123" i="13"/>
  <c r="D1123" i="13"/>
  <c r="K1122" i="13"/>
  <c r="G1122" i="13"/>
  <c r="I1122" i="13" s="1"/>
  <c r="F1122" i="13"/>
  <c r="H1122" i="13" s="1"/>
  <c r="D1122" i="13"/>
  <c r="K1121" i="13"/>
  <c r="G1121" i="13"/>
  <c r="I1121" i="13" s="1"/>
  <c r="F1121" i="13"/>
  <c r="H1121" i="13" s="1"/>
  <c r="D1121" i="13"/>
  <c r="K1120" i="13"/>
  <c r="I1120" i="13"/>
  <c r="G1120" i="13"/>
  <c r="F1120" i="13"/>
  <c r="H1120" i="13" s="1"/>
  <c r="D1120" i="13"/>
  <c r="K1119" i="13"/>
  <c r="G1119" i="13"/>
  <c r="I1119" i="13" s="1"/>
  <c r="F1119" i="13"/>
  <c r="H1119" i="13" s="1"/>
  <c r="D1119" i="13"/>
  <c r="K1118" i="13"/>
  <c r="G1118" i="13"/>
  <c r="I1118" i="13" s="1"/>
  <c r="F1118" i="13"/>
  <c r="H1118" i="13" s="1"/>
  <c r="D1118" i="13"/>
  <c r="K1117" i="13"/>
  <c r="G1117" i="13"/>
  <c r="I1117" i="13" s="1"/>
  <c r="F1117" i="13"/>
  <c r="H1117" i="13" s="1"/>
  <c r="D1117" i="13"/>
  <c r="K1132" i="13"/>
  <c r="G1132" i="13"/>
  <c r="I1132" i="13" s="1"/>
  <c r="F1132" i="13"/>
  <c r="H1132" i="13" s="1"/>
  <c r="D1132" i="13"/>
  <c r="K1131" i="13"/>
  <c r="G1131" i="13"/>
  <c r="I1131" i="13" s="1"/>
  <c r="F1131" i="13"/>
  <c r="H1131" i="13" s="1"/>
  <c r="D1131" i="13"/>
  <c r="K1130" i="13"/>
  <c r="I1130" i="13"/>
  <c r="G1130" i="13"/>
  <c r="F1130" i="13"/>
  <c r="H1130" i="13" s="1"/>
  <c r="D1130" i="13"/>
  <c r="K1129" i="13"/>
  <c r="G1129" i="13"/>
  <c r="I1129" i="13" s="1"/>
  <c r="F1129" i="13"/>
  <c r="H1129" i="13" s="1"/>
  <c r="D1129" i="13"/>
  <c r="K1128" i="13"/>
  <c r="G1128" i="13"/>
  <c r="I1128" i="13" s="1"/>
  <c r="F1128" i="13"/>
  <c r="H1128" i="13" s="1"/>
  <c r="D1128" i="13"/>
  <c r="K1127" i="13"/>
  <c r="H1127" i="13"/>
  <c r="G1127" i="13"/>
  <c r="I1127" i="13" s="1"/>
  <c r="J1127" i="13" s="1"/>
  <c r="F1127" i="13"/>
  <c r="D1127" i="13"/>
  <c r="K1126" i="13"/>
  <c r="G1126" i="13"/>
  <c r="I1126" i="13" s="1"/>
  <c r="J1126" i="13" s="1"/>
  <c r="F1126" i="13"/>
  <c r="H1126" i="13" s="1"/>
  <c r="D1126" i="13"/>
  <c r="K1138" i="13"/>
  <c r="G1138" i="13"/>
  <c r="I1138" i="13" s="1"/>
  <c r="F1138" i="13"/>
  <c r="H1138" i="13" s="1"/>
  <c r="D1138" i="13"/>
  <c r="K1137" i="13"/>
  <c r="G1137" i="13"/>
  <c r="I1137" i="13" s="1"/>
  <c r="F1137" i="13"/>
  <c r="H1137" i="13" s="1"/>
  <c r="D1137" i="13"/>
  <c r="K1136" i="13"/>
  <c r="G1136" i="13"/>
  <c r="I1136" i="13" s="1"/>
  <c r="F1136" i="13"/>
  <c r="H1136" i="13" s="1"/>
  <c r="D1136" i="13"/>
  <c r="K1135" i="13"/>
  <c r="G1135" i="13"/>
  <c r="I1135" i="13" s="1"/>
  <c r="F1135" i="13"/>
  <c r="H1135" i="13" s="1"/>
  <c r="D1135" i="13"/>
  <c r="K1134" i="13"/>
  <c r="G1134" i="13"/>
  <c r="I1134" i="13" s="1"/>
  <c r="F1134" i="13"/>
  <c r="H1134" i="13" s="1"/>
  <c r="D1134" i="13"/>
  <c r="K1133" i="13"/>
  <c r="G1133" i="13"/>
  <c r="I1133" i="13" s="1"/>
  <c r="J1133" i="13" s="1"/>
  <c r="F1133" i="13"/>
  <c r="H1133" i="13" s="1"/>
  <c r="D1133" i="13"/>
  <c r="K1146" i="13"/>
  <c r="I1146" i="13"/>
  <c r="J1146" i="13" s="1"/>
  <c r="G1146" i="13"/>
  <c r="F1146" i="13"/>
  <c r="H1146" i="13" s="1"/>
  <c r="D1146" i="13"/>
  <c r="K1145" i="13"/>
  <c r="G1145" i="13"/>
  <c r="I1145" i="13" s="1"/>
  <c r="F1145" i="13"/>
  <c r="H1145" i="13" s="1"/>
  <c r="D1145" i="13"/>
  <c r="K1144" i="13"/>
  <c r="G1144" i="13"/>
  <c r="I1144" i="13" s="1"/>
  <c r="F1144" i="13"/>
  <c r="H1144" i="13" s="1"/>
  <c r="J1144" i="13" s="1"/>
  <c r="D1144" i="13"/>
  <c r="K1143" i="13"/>
  <c r="G1143" i="13"/>
  <c r="I1143" i="13" s="1"/>
  <c r="F1143" i="13"/>
  <c r="H1143" i="13" s="1"/>
  <c r="D1143" i="13"/>
  <c r="K1142" i="13"/>
  <c r="G1142" i="13"/>
  <c r="I1142" i="13" s="1"/>
  <c r="F1142" i="13"/>
  <c r="H1142" i="13" s="1"/>
  <c r="D1142" i="13"/>
  <c r="K1141" i="13"/>
  <c r="H1141" i="13"/>
  <c r="G1141" i="13"/>
  <c r="I1141" i="13" s="1"/>
  <c r="F1141" i="13"/>
  <c r="D1141" i="13"/>
  <c r="K1140" i="13"/>
  <c r="G1140" i="13"/>
  <c r="I1140" i="13" s="1"/>
  <c r="F1140" i="13"/>
  <c r="H1140" i="13" s="1"/>
  <c r="D1140" i="13"/>
  <c r="K1139" i="13"/>
  <c r="I1139" i="13"/>
  <c r="G1139" i="13"/>
  <c r="F1139" i="13"/>
  <c r="H1139" i="13" s="1"/>
  <c r="D1139" i="13"/>
  <c r="K1156" i="13"/>
  <c r="G1156" i="13"/>
  <c r="I1156" i="13" s="1"/>
  <c r="F1156" i="13"/>
  <c r="H1156" i="13" s="1"/>
  <c r="D1156" i="13"/>
  <c r="K1155" i="13"/>
  <c r="H1155" i="13"/>
  <c r="G1155" i="13"/>
  <c r="I1155" i="13" s="1"/>
  <c r="J1155" i="13" s="1"/>
  <c r="F1155" i="13"/>
  <c r="D1155" i="13"/>
  <c r="K1154" i="13"/>
  <c r="G1154" i="13"/>
  <c r="I1154" i="13" s="1"/>
  <c r="F1154" i="13"/>
  <c r="H1154" i="13" s="1"/>
  <c r="D1154" i="13"/>
  <c r="K1153" i="13"/>
  <c r="G1153" i="13"/>
  <c r="I1153" i="13" s="1"/>
  <c r="F1153" i="13"/>
  <c r="H1153" i="13" s="1"/>
  <c r="D1153" i="13"/>
  <c r="K1152" i="13"/>
  <c r="H1152" i="13"/>
  <c r="G1152" i="13"/>
  <c r="I1152" i="13" s="1"/>
  <c r="J1152" i="13" s="1"/>
  <c r="F1152" i="13"/>
  <c r="D1152" i="13"/>
  <c r="K1151" i="13"/>
  <c r="G1151" i="13"/>
  <c r="I1151" i="13" s="1"/>
  <c r="F1151" i="13"/>
  <c r="H1151" i="13" s="1"/>
  <c r="D1151" i="13"/>
  <c r="K1150" i="13"/>
  <c r="G1150" i="13"/>
  <c r="I1150" i="13" s="1"/>
  <c r="F1150" i="13"/>
  <c r="H1150" i="13" s="1"/>
  <c r="D1150" i="13"/>
  <c r="K1149" i="13"/>
  <c r="G1149" i="13"/>
  <c r="I1149" i="13" s="1"/>
  <c r="F1149" i="13"/>
  <c r="H1149" i="13" s="1"/>
  <c r="D1149" i="13"/>
  <c r="K1148" i="13"/>
  <c r="G1148" i="13"/>
  <c r="I1148" i="13" s="1"/>
  <c r="J1148" i="13" s="1"/>
  <c r="F1148" i="13"/>
  <c r="H1148" i="13" s="1"/>
  <c r="D1148" i="13"/>
  <c r="K1147" i="13"/>
  <c r="G1147" i="13"/>
  <c r="I1147" i="13" s="1"/>
  <c r="F1147" i="13"/>
  <c r="H1147" i="13" s="1"/>
  <c r="D1147" i="13"/>
  <c r="K1162" i="13"/>
  <c r="G1162" i="13"/>
  <c r="I1162" i="13" s="1"/>
  <c r="F1162" i="13"/>
  <c r="H1162" i="13" s="1"/>
  <c r="D1162" i="13"/>
  <c r="K1161" i="13"/>
  <c r="G1161" i="13"/>
  <c r="I1161" i="13" s="1"/>
  <c r="F1161" i="13"/>
  <c r="H1161" i="13" s="1"/>
  <c r="D1161" i="13"/>
  <c r="K1160" i="13"/>
  <c r="G1160" i="13"/>
  <c r="I1160" i="13" s="1"/>
  <c r="F1160" i="13"/>
  <c r="H1160" i="13" s="1"/>
  <c r="D1160" i="13"/>
  <c r="K1159" i="13"/>
  <c r="G1159" i="13"/>
  <c r="I1159" i="13" s="1"/>
  <c r="F1159" i="13"/>
  <c r="H1159" i="13" s="1"/>
  <c r="D1159" i="13"/>
  <c r="K1158" i="13"/>
  <c r="G1158" i="13"/>
  <c r="I1158" i="13" s="1"/>
  <c r="F1158" i="13"/>
  <c r="H1158" i="13" s="1"/>
  <c r="D1158" i="13"/>
  <c r="K1157" i="13"/>
  <c r="G1157" i="13"/>
  <c r="I1157" i="13" s="1"/>
  <c r="J1157" i="13" s="1"/>
  <c r="F1157" i="13"/>
  <c r="H1157" i="13" s="1"/>
  <c r="D1157" i="13"/>
  <c r="K1170" i="13"/>
  <c r="I1170" i="13"/>
  <c r="J1170" i="13" s="1"/>
  <c r="G1170" i="13"/>
  <c r="F1170" i="13"/>
  <c r="H1170" i="13" s="1"/>
  <c r="D1170" i="13"/>
  <c r="K1169" i="13"/>
  <c r="H1169" i="13"/>
  <c r="G1169" i="13"/>
  <c r="I1169" i="13" s="1"/>
  <c r="J1169" i="13" s="1"/>
  <c r="F1169" i="13"/>
  <c r="D1169" i="13"/>
  <c r="K1168" i="13"/>
  <c r="G1168" i="13"/>
  <c r="I1168" i="13" s="1"/>
  <c r="F1168" i="13"/>
  <c r="H1168" i="13" s="1"/>
  <c r="D1168" i="13"/>
  <c r="K1167" i="13"/>
  <c r="G1167" i="13"/>
  <c r="I1167" i="13" s="1"/>
  <c r="F1167" i="13"/>
  <c r="H1167" i="13" s="1"/>
  <c r="D1167" i="13"/>
  <c r="K1166" i="13"/>
  <c r="G1166" i="13"/>
  <c r="I1166" i="13" s="1"/>
  <c r="F1166" i="13"/>
  <c r="H1166" i="13" s="1"/>
  <c r="D1166" i="13"/>
  <c r="K1165" i="13"/>
  <c r="H1165" i="13"/>
  <c r="G1165" i="13"/>
  <c r="I1165" i="13" s="1"/>
  <c r="F1165" i="13"/>
  <c r="D1165" i="13"/>
  <c r="K1164" i="13"/>
  <c r="G1164" i="13"/>
  <c r="I1164" i="13" s="1"/>
  <c r="F1164" i="13"/>
  <c r="H1164" i="13" s="1"/>
  <c r="J1164" i="13" s="1"/>
  <c r="D1164" i="13"/>
  <c r="K1163" i="13"/>
  <c r="G1163" i="13"/>
  <c r="I1163" i="13" s="1"/>
  <c r="F1163" i="13"/>
  <c r="H1163" i="13" s="1"/>
  <c r="D1163" i="13"/>
  <c r="K1178" i="13"/>
  <c r="G1178" i="13"/>
  <c r="I1178" i="13" s="1"/>
  <c r="F1178" i="13"/>
  <c r="H1178" i="13" s="1"/>
  <c r="D1178" i="13"/>
  <c r="K1177" i="13"/>
  <c r="H1177" i="13"/>
  <c r="G1177" i="13"/>
  <c r="I1177" i="13" s="1"/>
  <c r="J1177" i="13" s="1"/>
  <c r="F1177" i="13"/>
  <c r="D1177" i="13"/>
  <c r="K1176" i="13"/>
  <c r="G1176" i="13"/>
  <c r="I1176" i="13" s="1"/>
  <c r="F1176" i="13"/>
  <c r="H1176" i="13" s="1"/>
  <c r="D1176" i="13"/>
  <c r="K1175" i="13"/>
  <c r="G1175" i="13"/>
  <c r="I1175" i="13" s="1"/>
  <c r="J1175" i="13" s="1"/>
  <c r="F1175" i="13"/>
  <c r="H1175" i="13" s="1"/>
  <c r="D1175" i="13"/>
  <c r="K1174" i="13"/>
  <c r="I1174" i="13"/>
  <c r="G1174" i="13"/>
  <c r="F1174" i="13"/>
  <c r="H1174" i="13" s="1"/>
  <c r="D1174" i="13"/>
  <c r="K1173" i="13"/>
  <c r="G1173" i="13"/>
  <c r="I1173" i="13" s="1"/>
  <c r="F1173" i="13"/>
  <c r="H1173" i="13" s="1"/>
  <c r="D1173" i="13"/>
  <c r="K1172" i="13"/>
  <c r="G1172" i="13"/>
  <c r="I1172" i="13" s="1"/>
  <c r="F1172" i="13"/>
  <c r="H1172" i="13" s="1"/>
  <c r="D1172" i="13"/>
  <c r="K1171" i="13"/>
  <c r="G1171" i="13"/>
  <c r="I1171" i="13" s="1"/>
  <c r="F1171" i="13"/>
  <c r="H1171" i="13" s="1"/>
  <c r="D1171" i="13"/>
  <c r="K1189" i="13"/>
  <c r="H1189" i="13"/>
  <c r="G1189" i="13"/>
  <c r="I1189" i="13" s="1"/>
  <c r="F1189" i="13"/>
  <c r="D1189" i="13"/>
  <c r="K1188" i="13"/>
  <c r="G1188" i="13"/>
  <c r="I1188" i="13" s="1"/>
  <c r="F1188" i="13"/>
  <c r="H1188" i="13" s="1"/>
  <c r="D1188" i="13"/>
  <c r="K1187" i="13"/>
  <c r="H1187" i="13"/>
  <c r="G1187" i="13"/>
  <c r="I1187" i="13" s="1"/>
  <c r="J1187" i="13" s="1"/>
  <c r="F1187" i="13"/>
  <c r="D1187" i="13"/>
  <c r="K1186" i="13"/>
  <c r="G1186" i="13"/>
  <c r="I1186" i="13" s="1"/>
  <c r="J1186" i="13" s="1"/>
  <c r="F1186" i="13"/>
  <c r="H1186" i="13" s="1"/>
  <c r="D1186" i="13"/>
  <c r="K1185" i="13"/>
  <c r="I1185" i="13"/>
  <c r="G1185" i="13"/>
  <c r="F1185" i="13"/>
  <c r="H1185" i="13" s="1"/>
  <c r="D1185" i="13"/>
  <c r="K1184" i="13"/>
  <c r="G1184" i="13"/>
  <c r="I1184" i="13" s="1"/>
  <c r="F1184" i="13"/>
  <c r="H1184" i="13" s="1"/>
  <c r="D1184" i="13"/>
  <c r="K1183" i="13"/>
  <c r="G1183" i="13"/>
  <c r="I1183" i="13" s="1"/>
  <c r="F1183" i="13"/>
  <c r="H1183" i="13" s="1"/>
  <c r="D1183" i="13"/>
  <c r="K1182" i="13"/>
  <c r="G1182" i="13"/>
  <c r="I1182" i="13" s="1"/>
  <c r="J1182" i="13" s="1"/>
  <c r="F1182" i="13"/>
  <c r="H1182" i="13" s="1"/>
  <c r="D1182" i="13"/>
  <c r="K1181" i="13"/>
  <c r="I1181" i="13"/>
  <c r="G1181" i="13"/>
  <c r="F1181" i="13"/>
  <c r="H1181" i="13" s="1"/>
  <c r="D1181" i="13"/>
  <c r="K1180" i="13"/>
  <c r="G1180" i="13"/>
  <c r="I1180" i="13" s="1"/>
  <c r="F1180" i="13"/>
  <c r="H1180" i="13" s="1"/>
  <c r="D1180" i="13"/>
  <c r="K1179" i="13"/>
  <c r="G1179" i="13"/>
  <c r="I1179" i="13" s="1"/>
  <c r="F1179" i="13"/>
  <c r="H1179" i="13" s="1"/>
  <c r="J1179" i="13" s="1"/>
  <c r="D1179" i="13"/>
  <c r="K1198" i="13"/>
  <c r="G1198" i="13"/>
  <c r="I1198" i="13" s="1"/>
  <c r="F1198" i="13"/>
  <c r="H1198" i="13" s="1"/>
  <c r="D1198" i="13"/>
  <c r="K1197" i="13"/>
  <c r="G1197" i="13"/>
  <c r="I1197" i="13" s="1"/>
  <c r="F1197" i="13"/>
  <c r="H1197" i="13" s="1"/>
  <c r="D1197" i="13"/>
  <c r="K1196" i="13"/>
  <c r="I1196" i="13"/>
  <c r="G1196" i="13"/>
  <c r="F1196" i="13"/>
  <c r="H1196" i="13" s="1"/>
  <c r="D1196" i="13"/>
  <c r="K1195" i="13"/>
  <c r="G1195" i="13"/>
  <c r="I1195" i="13" s="1"/>
  <c r="F1195" i="13"/>
  <c r="H1195" i="13" s="1"/>
  <c r="D1195" i="13"/>
  <c r="K1194" i="13"/>
  <c r="G1194" i="13"/>
  <c r="I1194" i="13" s="1"/>
  <c r="F1194" i="13"/>
  <c r="H1194" i="13" s="1"/>
  <c r="D1194" i="13"/>
  <c r="K1193" i="13"/>
  <c r="G1193" i="13"/>
  <c r="I1193" i="13" s="1"/>
  <c r="J1193" i="13" s="1"/>
  <c r="F1193" i="13"/>
  <c r="H1193" i="13" s="1"/>
  <c r="D1193" i="13"/>
  <c r="K1192" i="13"/>
  <c r="I1192" i="13"/>
  <c r="G1192" i="13"/>
  <c r="F1192" i="13"/>
  <c r="H1192" i="13" s="1"/>
  <c r="D1192" i="13"/>
  <c r="K1191" i="13"/>
  <c r="G1191" i="13"/>
  <c r="I1191" i="13" s="1"/>
  <c r="F1191" i="13"/>
  <c r="H1191" i="13" s="1"/>
  <c r="D1191" i="13"/>
  <c r="K1190" i="13"/>
  <c r="G1190" i="13"/>
  <c r="I1190" i="13" s="1"/>
  <c r="F1190" i="13"/>
  <c r="H1190" i="13" s="1"/>
  <c r="D1190" i="13"/>
  <c r="K1207" i="13"/>
  <c r="I1207" i="13"/>
  <c r="G1207" i="13"/>
  <c r="F1207" i="13"/>
  <c r="H1207" i="13" s="1"/>
  <c r="D1207" i="13"/>
  <c r="K1206" i="13"/>
  <c r="G1206" i="13"/>
  <c r="I1206" i="13" s="1"/>
  <c r="F1206" i="13"/>
  <c r="H1206" i="13" s="1"/>
  <c r="D1206" i="13"/>
  <c r="K1205" i="13"/>
  <c r="G1205" i="13"/>
  <c r="I1205" i="13" s="1"/>
  <c r="F1205" i="13"/>
  <c r="H1205" i="13" s="1"/>
  <c r="J1205" i="13" s="1"/>
  <c r="D1205" i="13"/>
  <c r="K1204" i="13"/>
  <c r="G1204" i="13"/>
  <c r="I1204" i="13" s="1"/>
  <c r="F1204" i="13"/>
  <c r="H1204" i="13" s="1"/>
  <c r="D1204" i="13"/>
  <c r="K1203" i="13"/>
  <c r="G1203" i="13"/>
  <c r="I1203" i="13" s="1"/>
  <c r="F1203" i="13"/>
  <c r="H1203" i="13" s="1"/>
  <c r="D1203" i="13"/>
  <c r="K1202" i="13"/>
  <c r="G1202" i="13"/>
  <c r="I1202" i="13" s="1"/>
  <c r="F1202" i="13"/>
  <c r="H1202" i="13" s="1"/>
  <c r="D1202" i="13"/>
  <c r="K1201" i="13"/>
  <c r="G1201" i="13"/>
  <c r="I1201" i="13" s="1"/>
  <c r="F1201" i="13"/>
  <c r="H1201" i="13" s="1"/>
  <c r="D1201" i="13"/>
  <c r="K1200" i="13"/>
  <c r="G1200" i="13"/>
  <c r="I1200" i="13" s="1"/>
  <c r="F1200" i="13"/>
  <c r="H1200" i="13" s="1"/>
  <c r="D1200" i="13"/>
  <c r="K1199" i="13"/>
  <c r="G1199" i="13"/>
  <c r="I1199" i="13" s="1"/>
  <c r="F1199" i="13"/>
  <c r="H1199" i="13" s="1"/>
  <c r="D1199" i="13"/>
  <c r="K1215" i="13"/>
  <c r="H1215" i="13"/>
  <c r="G1215" i="13"/>
  <c r="I1215" i="13" s="1"/>
  <c r="F1215" i="13"/>
  <c r="D1215" i="13"/>
  <c r="K1214" i="13"/>
  <c r="G1214" i="13"/>
  <c r="I1214" i="13" s="1"/>
  <c r="F1214" i="13"/>
  <c r="H1214" i="13" s="1"/>
  <c r="D1214" i="13"/>
  <c r="K1213" i="13"/>
  <c r="G1213" i="13"/>
  <c r="I1213" i="13" s="1"/>
  <c r="J1213" i="13" s="1"/>
  <c r="F1213" i="13"/>
  <c r="H1213" i="13" s="1"/>
  <c r="D1213" i="13"/>
  <c r="K1212" i="13"/>
  <c r="G1212" i="13"/>
  <c r="I1212" i="13" s="1"/>
  <c r="J1212" i="13" s="1"/>
  <c r="F1212" i="13"/>
  <c r="H1212" i="13" s="1"/>
  <c r="D1212" i="13"/>
  <c r="K1211" i="13"/>
  <c r="H1211" i="13"/>
  <c r="G1211" i="13"/>
  <c r="I1211" i="13" s="1"/>
  <c r="F1211" i="13"/>
  <c r="D1211" i="13"/>
  <c r="K1210" i="13"/>
  <c r="G1210" i="13"/>
  <c r="I1210" i="13" s="1"/>
  <c r="F1210" i="13"/>
  <c r="H1210" i="13" s="1"/>
  <c r="D1210" i="13"/>
  <c r="K1209" i="13"/>
  <c r="G1209" i="13"/>
  <c r="I1209" i="13" s="1"/>
  <c r="F1209" i="13"/>
  <c r="H1209" i="13" s="1"/>
  <c r="D1209" i="13"/>
  <c r="K1208" i="13"/>
  <c r="H1208" i="13"/>
  <c r="G1208" i="13"/>
  <c r="I1208" i="13" s="1"/>
  <c r="F1208" i="13"/>
  <c r="D1208" i="13"/>
  <c r="K1222" i="13"/>
  <c r="G1222" i="13"/>
  <c r="I1222" i="13" s="1"/>
  <c r="F1222" i="13"/>
  <c r="H1222" i="13" s="1"/>
  <c r="D1222" i="13"/>
  <c r="K1221" i="13"/>
  <c r="G1221" i="13"/>
  <c r="I1221" i="13" s="1"/>
  <c r="F1221" i="13"/>
  <c r="H1221" i="13" s="1"/>
  <c r="D1221" i="13"/>
  <c r="K1220" i="13"/>
  <c r="G1220" i="13"/>
  <c r="I1220" i="13" s="1"/>
  <c r="F1220" i="13"/>
  <c r="H1220" i="13" s="1"/>
  <c r="D1220" i="13"/>
  <c r="K1219" i="13"/>
  <c r="G1219" i="13"/>
  <c r="I1219" i="13" s="1"/>
  <c r="J1219" i="13" s="1"/>
  <c r="F1219" i="13"/>
  <c r="H1219" i="13" s="1"/>
  <c r="D1219" i="13"/>
  <c r="K1218" i="13"/>
  <c r="G1218" i="13"/>
  <c r="I1218" i="13" s="1"/>
  <c r="F1218" i="13"/>
  <c r="H1218" i="13" s="1"/>
  <c r="D1218" i="13"/>
  <c r="K1217" i="13"/>
  <c r="G1217" i="13"/>
  <c r="I1217" i="13" s="1"/>
  <c r="F1217" i="13"/>
  <c r="H1217" i="13" s="1"/>
  <c r="D1217" i="13"/>
  <c r="K1216" i="13"/>
  <c r="G1216" i="13"/>
  <c r="I1216" i="13" s="1"/>
  <c r="F1216" i="13"/>
  <c r="H1216" i="13" s="1"/>
  <c r="D1216" i="13"/>
  <c r="K1231" i="13"/>
  <c r="G1231" i="13"/>
  <c r="I1231" i="13" s="1"/>
  <c r="F1231" i="13"/>
  <c r="H1231" i="13" s="1"/>
  <c r="D1231" i="13"/>
  <c r="K1230" i="13"/>
  <c r="G1230" i="13"/>
  <c r="I1230" i="13" s="1"/>
  <c r="F1230" i="13"/>
  <c r="H1230" i="13" s="1"/>
  <c r="D1230" i="13"/>
  <c r="K1229" i="13"/>
  <c r="G1229" i="13"/>
  <c r="I1229" i="13" s="1"/>
  <c r="F1229" i="13"/>
  <c r="H1229" i="13" s="1"/>
  <c r="D1229" i="13"/>
  <c r="K1228" i="13"/>
  <c r="G1228" i="13"/>
  <c r="I1228" i="13" s="1"/>
  <c r="J1228" i="13" s="1"/>
  <c r="F1228" i="13"/>
  <c r="H1228" i="13" s="1"/>
  <c r="D1228" i="13"/>
  <c r="K1227" i="13"/>
  <c r="I1227" i="13"/>
  <c r="G1227" i="13"/>
  <c r="F1227" i="13"/>
  <c r="H1227" i="13" s="1"/>
  <c r="D1227" i="13"/>
  <c r="K1226" i="13"/>
  <c r="G1226" i="13"/>
  <c r="I1226" i="13" s="1"/>
  <c r="F1226" i="13"/>
  <c r="H1226" i="13" s="1"/>
  <c r="D1226" i="13"/>
  <c r="K1225" i="13"/>
  <c r="G1225" i="13"/>
  <c r="I1225" i="13" s="1"/>
  <c r="F1225" i="13"/>
  <c r="H1225" i="13" s="1"/>
  <c r="D1225" i="13"/>
  <c r="K1224" i="13"/>
  <c r="G1224" i="13"/>
  <c r="I1224" i="13" s="1"/>
  <c r="F1224" i="13"/>
  <c r="H1224" i="13" s="1"/>
  <c r="D1224" i="13"/>
  <c r="K1223" i="13"/>
  <c r="G1223" i="13"/>
  <c r="I1223" i="13" s="1"/>
  <c r="F1223" i="13"/>
  <c r="H1223" i="13" s="1"/>
  <c r="D1223" i="13"/>
  <c r="K1241" i="13"/>
  <c r="H1241" i="13"/>
  <c r="G1241" i="13"/>
  <c r="I1241" i="13" s="1"/>
  <c r="J1241" i="13" s="1"/>
  <c r="F1241" i="13"/>
  <c r="D1241" i="13"/>
  <c r="K1240" i="13"/>
  <c r="H1240" i="13"/>
  <c r="J1240" i="13" s="1"/>
  <c r="G1240" i="13"/>
  <c r="I1240" i="13" s="1"/>
  <c r="F1240" i="13"/>
  <c r="D1240" i="13"/>
  <c r="K1239" i="13"/>
  <c r="G1239" i="13"/>
  <c r="I1239" i="13" s="1"/>
  <c r="F1239" i="13"/>
  <c r="H1239" i="13" s="1"/>
  <c r="D1239" i="13"/>
  <c r="K1238" i="13"/>
  <c r="G1238" i="13"/>
  <c r="I1238" i="13" s="1"/>
  <c r="F1238" i="13"/>
  <c r="H1238" i="13" s="1"/>
  <c r="D1238" i="13"/>
  <c r="K1237" i="13"/>
  <c r="G1237" i="13"/>
  <c r="I1237" i="13" s="1"/>
  <c r="F1237" i="13"/>
  <c r="H1237" i="13" s="1"/>
  <c r="D1237" i="13"/>
  <c r="K1236" i="13"/>
  <c r="G1236" i="13"/>
  <c r="I1236" i="13" s="1"/>
  <c r="F1236" i="13"/>
  <c r="H1236" i="13" s="1"/>
  <c r="J1236" i="13" s="1"/>
  <c r="D1236" i="13"/>
  <c r="K1235" i="13"/>
  <c r="G1235" i="13"/>
  <c r="I1235" i="13" s="1"/>
  <c r="F1235" i="13"/>
  <c r="H1235" i="13" s="1"/>
  <c r="D1235" i="13"/>
  <c r="K1234" i="13"/>
  <c r="G1234" i="13"/>
  <c r="I1234" i="13" s="1"/>
  <c r="F1234" i="13"/>
  <c r="H1234" i="13" s="1"/>
  <c r="D1234" i="13"/>
  <c r="K1233" i="13"/>
  <c r="G1233" i="13"/>
  <c r="I1233" i="13" s="1"/>
  <c r="F1233" i="13"/>
  <c r="H1233" i="13" s="1"/>
  <c r="D1233" i="13"/>
  <c r="K1232" i="13"/>
  <c r="G1232" i="13"/>
  <c r="I1232" i="13" s="1"/>
  <c r="F1232" i="13"/>
  <c r="H1232" i="13" s="1"/>
  <c r="D1232" i="13"/>
  <c r="K1253" i="13"/>
  <c r="G1253" i="13"/>
  <c r="I1253" i="13" s="1"/>
  <c r="J1253" i="13" s="1"/>
  <c r="F1253" i="13"/>
  <c r="H1253" i="13" s="1"/>
  <c r="D1253" i="13"/>
  <c r="K1252" i="13"/>
  <c r="H1252" i="13"/>
  <c r="G1252" i="13"/>
  <c r="I1252" i="13" s="1"/>
  <c r="F1252" i="13"/>
  <c r="D1252" i="13"/>
  <c r="K1251" i="13"/>
  <c r="G1251" i="13"/>
  <c r="I1251" i="13" s="1"/>
  <c r="J1251" i="13" s="1"/>
  <c r="F1251" i="13"/>
  <c r="H1251" i="13" s="1"/>
  <c r="D1251" i="13"/>
  <c r="K1250" i="13"/>
  <c r="H1250" i="13"/>
  <c r="G1250" i="13"/>
  <c r="I1250" i="13" s="1"/>
  <c r="F1250" i="13"/>
  <c r="D1250" i="13"/>
  <c r="K1249" i="13"/>
  <c r="G1249" i="13"/>
  <c r="I1249" i="13" s="1"/>
  <c r="F1249" i="13"/>
  <c r="H1249" i="13" s="1"/>
  <c r="D1249" i="13"/>
  <c r="K1248" i="13"/>
  <c r="G1248" i="13"/>
  <c r="I1248" i="13" s="1"/>
  <c r="F1248" i="13"/>
  <c r="H1248" i="13" s="1"/>
  <c r="D1248" i="13"/>
  <c r="K1247" i="13"/>
  <c r="G1247" i="13"/>
  <c r="I1247" i="13" s="1"/>
  <c r="F1247" i="13"/>
  <c r="H1247" i="13" s="1"/>
  <c r="D1247" i="13"/>
  <c r="K1246" i="13"/>
  <c r="G1246" i="13"/>
  <c r="I1246" i="13" s="1"/>
  <c r="F1246" i="13"/>
  <c r="H1246" i="13" s="1"/>
  <c r="D1246" i="13"/>
  <c r="K1245" i="13"/>
  <c r="G1245" i="13"/>
  <c r="I1245" i="13" s="1"/>
  <c r="F1245" i="13"/>
  <c r="H1245" i="13" s="1"/>
  <c r="D1245" i="13"/>
  <c r="K1244" i="13"/>
  <c r="G1244" i="13"/>
  <c r="I1244" i="13" s="1"/>
  <c r="F1244" i="13"/>
  <c r="H1244" i="13" s="1"/>
  <c r="D1244" i="13"/>
  <c r="K1243" i="13"/>
  <c r="G1243" i="13"/>
  <c r="I1243" i="13" s="1"/>
  <c r="F1243" i="13"/>
  <c r="H1243" i="13" s="1"/>
  <c r="D1243" i="13"/>
  <c r="K1242" i="13"/>
  <c r="G1242" i="13"/>
  <c r="I1242" i="13" s="1"/>
  <c r="F1242" i="13"/>
  <c r="H1242" i="13" s="1"/>
  <c r="D1242" i="13"/>
  <c r="K1267" i="13"/>
  <c r="G1267" i="13"/>
  <c r="I1267" i="13" s="1"/>
  <c r="J1267" i="13" s="1"/>
  <c r="F1267" i="13"/>
  <c r="H1267" i="13" s="1"/>
  <c r="D1267" i="13"/>
  <c r="K1266" i="13"/>
  <c r="G1266" i="13"/>
  <c r="I1266" i="13" s="1"/>
  <c r="F1266" i="13"/>
  <c r="H1266" i="13" s="1"/>
  <c r="D1266" i="13"/>
  <c r="K1265" i="13"/>
  <c r="I1265" i="13"/>
  <c r="G1265" i="13"/>
  <c r="F1265" i="13"/>
  <c r="H1265" i="13" s="1"/>
  <c r="D1265" i="13"/>
  <c r="K1264" i="13"/>
  <c r="G1264" i="13"/>
  <c r="I1264" i="13" s="1"/>
  <c r="F1264" i="13"/>
  <c r="H1264" i="13" s="1"/>
  <c r="D1264" i="13"/>
  <c r="K1263" i="13"/>
  <c r="G1263" i="13"/>
  <c r="I1263" i="13" s="1"/>
  <c r="F1263" i="13"/>
  <c r="H1263" i="13" s="1"/>
  <c r="D1263" i="13"/>
  <c r="K1262" i="13"/>
  <c r="G1262" i="13"/>
  <c r="I1262" i="13" s="1"/>
  <c r="F1262" i="13"/>
  <c r="H1262" i="13" s="1"/>
  <c r="D1262" i="13"/>
  <c r="K1261" i="13"/>
  <c r="G1261" i="13"/>
  <c r="I1261" i="13" s="1"/>
  <c r="F1261" i="13"/>
  <c r="H1261" i="13" s="1"/>
  <c r="D1261" i="13"/>
  <c r="K1260" i="13"/>
  <c r="H1260" i="13"/>
  <c r="G1260" i="13"/>
  <c r="I1260" i="13" s="1"/>
  <c r="F1260" i="13"/>
  <c r="D1260" i="13"/>
  <c r="K1259" i="13"/>
  <c r="G1259" i="13"/>
  <c r="I1259" i="13" s="1"/>
  <c r="J1259" i="13" s="1"/>
  <c r="F1259" i="13"/>
  <c r="H1259" i="13" s="1"/>
  <c r="D1259" i="13"/>
  <c r="K1258" i="13"/>
  <c r="I1258" i="13"/>
  <c r="G1258" i="13"/>
  <c r="F1258" i="13"/>
  <c r="H1258" i="13" s="1"/>
  <c r="D1258" i="13"/>
  <c r="K1257" i="13"/>
  <c r="G1257" i="13"/>
  <c r="I1257" i="13" s="1"/>
  <c r="F1257" i="13"/>
  <c r="H1257" i="13" s="1"/>
  <c r="D1257" i="13"/>
  <c r="K1256" i="13"/>
  <c r="G1256" i="13"/>
  <c r="I1256" i="13" s="1"/>
  <c r="F1256" i="13"/>
  <c r="H1256" i="13" s="1"/>
  <c r="D1256" i="13"/>
  <c r="K1255" i="13"/>
  <c r="G1255" i="13"/>
  <c r="I1255" i="13" s="1"/>
  <c r="F1255" i="13"/>
  <c r="H1255" i="13" s="1"/>
  <c r="D1255" i="13"/>
  <c r="K1254" i="13"/>
  <c r="I1254" i="13"/>
  <c r="G1254" i="13"/>
  <c r="F1254" i="13"/>
  <c r="H1254" i="13" s="1"/>
  <c r="D1254" i="13"/>
  <c r="K1273" i="13"/>
  <c r="G1273" i="13"/>
  <c r="I1273" i="13" s="1"/>
  <c r="F1273" i="13"/>
  <c r="H1273" i="13" s="1"/>
  <c r="D1273" i="13"/>
  <c r="K1272" i="13"/>
  <c r="G1272" i="13"/>
  <c r="I1272" i="13" s="1"/>
  <c r="F1272" i="13"/>
  <c r="H1272" i="13" s="1"/>
  <c r="D1272" i="13"/>
  <c r="K1271" i="13"/>
  <c r="G1271" i="13"/>
  <c r="I1271" i="13" s="1"/>
  <c r="F1271" i="13"/>
  <c r="H1271" i="13" s="1"/>
  <c r="D1271" i="13"/>
  <c r="K1270" i="13"/>
  <c r="I1270" i="13"/>
  <c r="G1270" i="13"/>
  <c r="F1270" i="13"/>
  <c r="H1270" i="13" s="1"/>
  <c r="D1270" i="13"/>
  <c r="K1269" i="13"/>
  <c r="G1269" i="13"/>
  <c r="I1269" i="13" s="1"/>
  <c r="F1269" i="13"/>
  <c r="H1269" i="13" s="1"/>
  <c r="D1269" i="13"/>
  <c r="K1268" i="13"/>
  <c r="G1268" i="13"/>
  <c r="I1268" i="13" s="1"/>
  <c r="F1268" i="13"/>
  <c r="H1268" i="13" s="1"/>
  <c r="D1268" i="13"/>
  <c r="K1280" i="13"/>
  <c r="G1280" i="13"/>
  <c r="I1280" i="13" s="1"/>
  <c r="F1280" i="13"/>
  <c r="H1280" i="13" s="1"/>
  <c r="D1280" i="13"/>
  <c r="K1279" i="13"/>
  <c r="I1279" i="13"/>
  <c r="G1279" i="13"/>
  <c r="F1279" i="13"/>
  <c r="H1279" i="13" s="1"/>
  <c r="D1279" i="13"/>
  <c r="K1278" i="13"/>
  <c r="G1278" i="13"/>
  <c r="I1278" i="13" s="1"/>
  <c r="F1278" i="13"/>
  <c r="H1278" i="13" s="1"/>
  <c r="D1278" i="13"/>
  <c r="K1277" i="13"/>
  <c r="G1277" i="13"/>
  <c r="I1277" i="13" s="1"/>
  <c r="F1277" i="13"/>
  <c r="H1277" i="13" s="1"/>
  <c r="D1277" i="13"/>
  <c r="K1276" i="13"/>
  <c r="G1276" i="13"/>
  <c r="I1276" i="13" s="1"/>
  <c r="F1276" i="13"/>
  <c r="H1276" i="13" s="1"/>
  <c r="D1276" i="13"/>
  <c r="K1275" i="13"/>
  <c r="I1275" i="13"/>
  <c r="G1275" i="13"/>
  <c r="F1275" i="13"/>
  <c r="H1275" i="13" s="1"/>
  <c r="D1275" i="13"/>
  <c r="K1274" i="13"/>
  <c r="G1274" i="13"/>
  <c r="I1274" i="13" s="1"/>
  <c r="F1274" i="13"/>
  <c r="H1274" i="13" s="1"/>
  <c r="D1274" i="13"/>
  <c r="K1285" i="13"/>
  <c r="G1285" i="13"/>
  <c r="I1285" i="13" s="1"/>
  <c r="F1285" i="13"/>
  <c r="H1285" i="13" s="1"/>
  <c r="D1285" i="13"/>
  <c r="K1284" i="13"/>
  <c r="G1284" i="13"/>
  <c r="I1284" i="13" s="1"/>
  <c r="F1284" i="13"/>
  <c r="H1284" i="13" s="1"/>
  <c r="D1284" i="13"/>
  <c r="K1283" i="13"/>
  <c r="I1283" i="13"/>
  <c r="G1283" i="13"/>
  <c r="F1283" i="13"/>
  <c r="H1283" i="13" s="1"/>
  <c r="D1283" i="13"/>
  <c r="K1282" i="13"/>
  <c r="G1282" i="13"/>
  <c r="I1282" i="13" s="1"/>
  <c r="F1282" i="13"/>
  <c r="H1282" i="13" s="1"/>
  <c r="D1282" i="13"/>
  <c r="K1281" i="13"/>
  <c r="G1281" i="13"/>
  <c r="I1281" i="13" s="1"/>
  <c r="F1281" i="13"/>
  <c r="H1281" i="13" s="1"/>
  <c r="D1281" i="13"/>
  <c r="K1297" i="13"/>
  <c r="G1297" i="13"/>
  <c r="I1297" i="13" s="1"/>
  <c r="F1297" i="13"/>
  <c r="H1297" i="13" s="1"/>
  <c r="D1297" i="13"/>
  <c r="K1296" i="13"/>
  <c r="I1296" i="13"/>
  <c r="G1296" i="13"/>
  <c r="F1296" i="13"/>
  <c r="H1296" i="13" s="1"/>
  <c r="D1296" i="13"/>
  <c r="K1295" i="13"/>
  <c r="G1295" i="13"/>
  <c r="I1295" i="13" s="1"/>
  <c r="F1295" i="13"/>
  <c r="H1295" i="13" s="1"/>
  <c r="D1295" i="13"/>
  <c r="K1294" i="13"/>
  <c r="G1294" i="13"/>
  <c r="I1294" i="13" s="1"/>
  <c r="F1294" i="13"/>
  <c r="H1294" i="13" s="1"/>
  <c r="D1294" i="13"/>
  <c r="K1293" i="13"/>
  <c r="G1293" i="13"/>
  <c r="I1293" i="13" s="1"/>
  <c r="F1293" i="13"/>
  <c r="H1293" i="13" s="1"/>
  <c r="D1293" i="13"/>
  <c r="K1292" i="13"/>
  <c r="I1292" i="13"/>
  <c r="G1292" i="13"/>
  <c r="F1292" i="13"/>
  <c r="H1292" i="13" s="1"/>
  <c r="D1292" i="13"/>
  <c r="K1291" i="13"/>
  <c r="G1291" i="13"/>
  <c r="I1291" i="13" s="1"/>
  <c r="F1291" i="13"/>
  <c r="H1291" i="13" s="1"/>
  <c r="D1291" i="13"/>
  <c r="K1290" i="13"/>
  <c r="G1290" i="13"/>
  <c r="I1290" i="13" s="1"/>
  <c r="F1290" i="13"/>
  <c r="H1290" i="13" s="1"/>
  <c r="D1290" i="13"/>
  <c r="K1289" i="13"/>
  <c r="G1289" i="13"/>
  <c r="I1289" i="13" s="1"/>
  <c r="F1289" i="13"/>
  <c r="H1289" i="13" s="1"/>
  <c r="D1289" i="13"/>
  <c r="K1288" i="13"/>
  <c r="I1288" i="13"/>
  <c r="G1288" i="13"/>
  <c r="F1288" i="13"/>
  <c r="H1288" i="13" s="1"/>
  <c r="D1288" i="13"/>
  <c r="K1287" i="13"/>
  <c r="G1287" i="13"/>
  <c r="I1287" i="13" s="1"/>
  <c r="F1287" i="13"/>
  <c r="H1287" i="13" s="1"/>
  <c r="D1287" i="13"/>
  <c r="K1286" i="13"/>
  <c r="G1286" i="13"/>
  <c r="I1286" i="13" s="1"/>
  <c r="F1286" i="13"/>
  <c r="H1286" i="13" s="1"/>
  <c r="D1286" i="13"/>
  <c r="K1306" i="13"/>
  <c r="G1306" i="13"/>
  <c r="I1306" i="13" s="1"/>
  <c r="F1306" i="13"/>
  <c r="H1306" i="13" s="1"/>
  <c r="D1306" i="13"/>
  <c r="K1305" i="13"/>
  <c r="I1305" i="13"/>
  <c r="G1305" i="13"/>
  <c r="F1305" i="13"/>
  <c r="H1305" i="13" s="1"/>
  <c r="D1305" i="13"/>
  <c r="K1304" i="13"/>
  <c r="G1304" i="13"/>
  <c r="I1304" i="13" s="1"/>
  <c r="F1304" i="13"/>
  <c r="H1304" i="13" s="1"/>
  <c r="D1304" i="13"/>
  <c r="K1303" i="13"/>
  <c r="G1303" i="13"/>
  <c r="I1303" i="13" s="1"/>
  <c r="F1303" i="13"/>
  <c r="H1303" i="13" s="1"/>
  <c r="D1303" i="13"/>
  <c r="K1302" i="13"/>
  <c r="G1302" i="13"/>
  <c r="I1302" i="13" s="1"/>
  <c r="F1302" i="13"/>
  <c r="H1302" i="13" s="1"/>
  <c r="D1302" i="13"/>
  <c r="K1301" i="13"/>
  <c r="I1301" i="13"/>
  <c r="G1301" i="13"/>
  <c r="F1301" i="13"/>
  <c r="H1301" i="13" s="1"/>
  <c r="D1301" i="13"/>
  <c r="K1300" i="13"/>
  <c r="G1300" i="13"/>
  <c r="I1300" i="13" s="1"/>
  <c r="F1300" i="13"/>
  <c r="H1300" i="13" s="1"/>
  <c r="D1300" i="13"/>
  <c r="K1299" i="13"/>
  <c r="G1299" i="13"/>
  <c r="I1299" i="13" s="1"/>
  <c r="F1299" i="13"/>
  <c r="H1299" i="13" s="1"/>
  <c r="D1299" i="13"/>
  <c r="K1298" i="13"/>
  <c r="G1298" i="13"/>
  <c r="I1298" i="13" s="1"/>
  <c r="F1298" i="13"/>
  <c r="H1298" i="13" s="1"/>
  <c r="D1298" i="13"/>
  <c r="K1317" i="13"/>
  <c r="I1317" i="13"/>
  <c r="G1317" i="13"/>
  <c r="F1317" i="13"/>
  <c r="H1317" i="13" s="1"/>
  <c r="D1317" i="13"/>
  <c r="K1316" i="13"/>
  <c r="G1316" i="13"/>
  <c r="I1316" i="13" s="1"/>
  <c r="F1316" i="13"/>
  <c r="H1316" i="13" s="1"/>
  <c r="D1316" i="13"/>
  <c r="K1315" i="13"/>
  <c r="G1315" i="13"/>
  <c r="I1315" i="13" s="1"/>
  <c r="F1315" i="13"/>
  <c r="H1315" i="13" s="1"/>
  <c r="D1315" i="13"/>
  <c r="K1314" i="13"/>
  <c r="G1314" i="13"/>
  <c r="I1314" i="13" s="1"/>
  <c r="F1314" i="13"/>
  <c r="H1314" i="13" s="1"/>
  <c r="D1314" i="13"/>
  <c r="K1313" i="13"/>
  <c r="I1313" i="13"/>
  <c r="G1313" i="13"/>
  <c r="F1313" i="13"/>
  <c r="H1313" i="13" s="1"/>
  <c r="D1313" i="13"/>
  <c r="K1312" i="13"/>
  <c r="G1312" i="13"/>
  <c r="I1312" i="13" s="1"/>
  <c r="F1312" i="13"/>
  <c r="H1312" i="13" s="1"/>
  <c r="D1312" i="13"/>
  <c r="K1311" i="13"/>
  <c r="G1311" i="13"/>
  <c r="I1311" i="13" s="1"/>
  <c r="F1311" i="13"/>
  <c r="H1311" i="13" s="1"/>
  <c r="D1311" i="13"/>
  <c r="K1310" i="13"/>
  <c r="G1310" i="13"/>
  <c r="I1310" i="13" s="1"/>
  <c r="F1310" i="13"/>
  <c r="H1310" i="13" s="1"/>
  <c r="D1310" i="13"/>
  <c r="K1309" i="13"/>
  <c r="I1309" i="13"/>
  <c r="G1309" i="13"/>
  <c r="F1309" i="13"/>
  <c r="H1309" i="13" s="1"/>
  <c r="D1309" i="13"/>
  <c r="K1308" i="13"/>
  <c r="G1308" i="13"/>
  <c r="I1308" i="13" s="1"/>
  <c r="F1308" i="13"/>
  <c r="H1308" i="13" s="1"/>
  <c r="D1308" i="13"/>
  <c r="K1307" i="13"/>
  <c r="G1307" i="13"/>
  <c r="I1307" i="13" s="1"/>
  <c r="F1307" i="13"/>
  <c r="H1307" i="13" s="1"/>
  <c r="D1307" i="13"/>
  <c r="K1323" i="13"/>
  <c r="G1323" i="13"/>
  <c r="I1323" i="13" s="1"/>
  <c r="F1323" i="13"/>
  <c r="H1323" i="13" s="1"/>
  <c r="D1323" i="13"/>
  <c r="K1322" i="13"/>
  <c r="I1322" i="13"/>
  <c r="G1322" i="13"/>
  <c r="F1322" i="13"/>
  <c r="H1322" i="13" s="1"/>
  <c r="D1322" i="13"/>
  <c r="K1321" i="13"/>
  <c r="G1321" i="13"/>
  <c r="I1321" i="13" s="1"/>
  <c r="F1321" i="13"/>
  <c r="H1321" i="13" s="1"/>
  <c r="D1321" i="13"/>
  <c r="K1320" i="13"/>
  <c r="G1320" i="13"/>
  <c r="I1320" i="13" s="1"/>
  <c r="F1320" i="13"/>
  <c r="H1320" i="13" s="1"/>
  <c r="D1320" i="13"/>
  <c r="K1319" i="13"/>
  <c r="G1319" i="13"/>
  <c r="I1319" i="13" s="1"/>
  <c r="F1319" i="13"/>
  <c r="H1319" i="13" s="1"/>
  <c r="D1319" i="13"/>
  <c r="K1318" i="13"/>
  <c r="I1318" i="13"/>
  <c r="G1318" i="13"/>
  <c r="F1318" i="13"/>
  <c r="H1318" i="13" s="1"/>
  <c r="D1318" i="13"/>
  <c r="K1333" i="13"/>
  <c r="G1333" i="13"/>
  <c r="I1333" i="13" s="1"/>
  <c r="F1333" i="13"/>
  <c r="H1333" i="13" s="1"/>
  <c r="D1333" i="13"/>
  <c r="K1332" i="13"/>
  <c r="G1332" i="13"/>
  <c r="I1332" i="13" s="1"/>
  <c r="F1332" i="13"/>
  <c r="H1332" i="13" s="1"/>
  <c r="D1332" i="13"/>
  <c r="K1331" i="13"/>
  <c r="G1331" i="13"/>
  <c r="I1331" i="13" s="1"/>
  <c r="F1331" i="13"/>
  <c r="H1331" i="13" s="1"/>
  <c r="D1331" i="13"/>
  <c r="K1330" i="13"/>
  <c r="I1330" i="13"/>
  <c r="G1330" i="13"/>
  <c r="F1330" i="13"/>
  <c r="H1330" i="13" s="1"/>
  <c r="D1330" i="13"/>
  <c r="K1329" i="13"/>
  <c r="G1329" i="13"/>
  <c r="I1329" i="13" s="1"/>
  <c r="F1329" i="13"/>
  <c r="H1329" i="13" s="1"/>
  <c r="D1329" i="13"/>
  <c r="K1328" i="13"/>
  <c r="G1328" i="13"/>
  <c r="I1328" i="13" s="1"/>
  <c r="F1328" i="13"/>
  <c r="H1328" i="13" s="1"/>
  <c r="D1328" i="13"/>
  <c r="K1327" i="13"/>
  <c r="G1327" i="13"/>
  <c r="I1327" i="13" s="1"/>
  <c r="F1327" i="13"/>
  <c r="H1327" i="13" s="1"/>
  <c r="D1327" i="13"/>
  <c r="K1326" i="13"/>
  <c r="I1326" i="13"/>
  <c r="G1326" i="13"/>
  <c r="F1326" i="13"/>
  <c r="H1326" i="13" s="1"/>
  <c r="D1326" i="13"/>
  <c r="K1325" i="13"/>
  <c r="G1325" i="13"/>
  <c r="I1325" i="13" s="1"/>
  <c r="F1325" i="13"/>
  <c r="H1325" i="13" s="1"/>
  <c r="D1325" i="13"/>
  <c r="K1324" i="13"/>
  <c r="G1324" i="13"/>
  <c r="I1324" i="13" s="1"/>
  <c r="F1324" i="13"/>
  <c r="H1324" i="13" s="1"/>
  <c r="D1324" i="13"/>
  <c r="K1342" i="13"/>
  <c r="G1342" i="13"/>
  <c r="I1342" i="13" s="1"/>
  <c r="F1342" i="13"/>
  <c r="H1342" i="13" s="1"/>
  <c r="D1342" i="13"/>
  <c r="K1341" i="13"/>
  <c r="I1341" i="13"/>
  <c r="G1341" i="13"/>
  <c r="F1341" i="13"/>
  <c r="H1341" i="13" s="1"/>
  <c r="D1341" i="13"/>
  <c r="K1340" i="13"/>
  <c r="G1340" i="13"/>
  <c r="I1340" i="13" s="1"/>
  <c r="F1340" i="13"/>
  <c r="H1340" i="13" s="1"/>
  <c r="D1340" i="13"/>
  <c r="K1339" i="13"/>
  <c r="G1339" i="13"/>
  <c r="I1339" i="13" s="1"/>
  <c r="F1339" i="13"/>
  <c r="H1339" i="13" s="1"/>
  <c r="D1339" i="13"/>
  <c r="K1338" i="13"/>
  <c r="G1338" i="13"/>
  <c r="I1338" i="13" s="1"/>
  <c r="F1338" i="13"/>
  <c r="H1338" i="13" s="1"/>
  <c r="D1338" i="13"/>
  <c r="K1337" i="13"/>
  <c r="I1337" i="13"/>
  <c r="G1337" i="13"/>
  <c r="F1337" i="13"/>
  <c r="H1337" i="13" s="1"/>
  <c r="D1337" i="13"/>
  <c r="K1336" i="13"/>
  <c r="G1336" i="13"/>
  <c r="I1336" i="13" s="1"/>
  <c r="F1336" i="13"/>
  <c r="H1336" i="13" s="1"/>
  <c r="D1336" i="13"/>
  <c r="K1335" i="13"/>
  <c r="G1335" i="13"/>
  <c r="I1335" i="13" s="1"/>
  <c r="F1335" i="13"/>
  <c r="H1335" i="13" s="1"/>
  <c r="D1335" i="13"/>
  <c r="K1334" i="13"/>
  <c r="G1334" i="13"/>
  <c r="I1334" i="13" s="1"/>
  <c r="F1334" i="13"/>
  <c r="H1334" i="13" s="1"/>
  <c r="D1334" i="13"/>
  <c r="K1354" i="13"/>
  <c r="I1354" i="13"/>
  <c r="G1354" i="13"/>
  <c r="F1354" i="13"/>
  <c r="H1354" i="13" s="1"/>
  <c r="D1354" i="13"/>
  <c r="K1353" i="13"/>
  <c r="G1353" i="13"/>
  <c r="I1353" i="13" s="1"/>
  <c r="F1353" i="13"/>
  <c r="H1353" i="13" s="1"/>
  <c r="D1353" i="13"/>
  <c r="K1352" i="13"/>
  <c r="G1352" i="13"/>
  <c r="I1352" i="13" s="1"/>
  <c r="F1352" i="13"/>
  <c r="H1352" i="13" s="1"/>
  <c r="D1352" i="13"/>
  <c r="K1351" i="13"/>
  <c r="G1351" i="13"/>
  <c r="I1351" i="13" s="1"/>
  <c r="F1351" i="13"/>
  <c r="H1351" i="13" s="1"/>
  <c r="D1351" i="13"/>
  <c r="K1350" i="13"/>
  <c r="I1350" i="13"/>
  <c r="G1350" i="13"/>
  <c r="F1350" i="13"/>
  <c r="H1350" i="13" s="1"/>
  <c r="D1350" i="13"/>
  <c r="K1349" i="13"/>
  <c r="G1349" i="13"/>
  <c r="I1349" i="13" s="1"/>
  <c r="F1349" i="13"/>
  <c r="H1349" i="13" s="1"/>
  <c r="D1349" i="13"/>
  <c r="K1348" i="13"/>
  <c r="G1348" i="13"/>
  <c r="I1348" i="13" s="1"/>
  <c r="F1348" i="13"/>
  <c r="H1348" i="13" s="1"/>
  <c r="D1348" i="13"/>
  <c r="K1347" i="13"/>
  <c r="G1347" i="13"/>
  <c r="I1347" i="13" s="1"/>
  <c r="F1347" i="13"/>
  <c r="H1347" i="13" s="1"/>
  <c r="D1347" i="13"/>
  <c r="K1346" i="13"/>
  <c r="I1346" i="13"/>
  <c r="G1346" i="13"/>
  <c r="F1346" i="13"/>
  <c r="H1346" i="13" s="1"/>
  <c r="D1346" i="13"/>
  <c r="K1345" i="13"/>
  <c r="G1345" i="13"/>
  <c r="I1345" i="13" s="1"/>
  <c r="F1345" i="13"/>
  <c r="H1345" i="13" s="1"/>
  <c r="D1345" i="13"/>
  <c r="K1344" i="13"/>
  <c r="G1344" i="13"/>
  <c r="I1344" i="13" s="1"/>
  <c r="F1344" i="13"/>
  <c r="H1344" i="13" s="1"/>
  <c r="D1344" i="13"/>
  <c r="K1343" i="13"/>
  <c r="G1343" i="13"/>
  <c r="I1343" i="13" s="1"/>
  <c r="F1343" i="13"/>
  <c r="H1343" i="13" s="1"/>
  <c r="D1343" i="13"/>
  <c r="K1361" i="13"/>
  <c r="G1361" i="13"/>
  <c r="I1361" i="13" s="1"/>
  <c r="F1361" i="13"/>
  <c r="H1361" i="13" s="1"/>
  <c r="D1361" i="13"/>
  <c r="K1360" i="13"/>
  <c r="G1360" i="13"/>
  <c r="I1360" i="13" s="1"/>
  <c r="F1360" i="13"/>
  <c r="H1360" i="13" s="1"/>
  <c r="D1360" i="13"/>
  <c r="K1359" i="13"/>
  <c r="G1359" i="13"/>
  <c r="I1359" i="13" s="1"/>
  <c r="F1359" i="13"/>
  <c r="H1359" i="13" s="1"/>
  <c r="D1359" i="13"/>
  <c r="K1358" i="13"/>
  <c r="G1358" i="13"/>
  <c r="I1358" i="13" s="1"/>
  <c r="F1358" i="13"/>
  <c r="H1358" i="13" s="1"/>
  <c r="D1358" i="13"/>
  <c r="K1357" i="13"/>
  <c r="I1357" i="13"/>
  <c r="G1357" i="13"/>
  <c r="F1357" i="13"/>
  <c r="H1357" i="13" s="1"/>
  <c r="D1357" i="13"/>
  <c r="K1356" i="13"/>
  <c r="G1356" i="13"/>
  <c r="I1356" i="13" s="1"/>
  <c r="F1356" i="13"/>
  <c r="H1356" i="13" s="1"/>
  <c r="D1356" i="13"/>
  <c r="K1355" i="13"/>
  <c r="G1355" i="13"/>
  <c r="I1355" i="13" s="1"/>
  <c r="F1355" i="13"/>
  <c r="H1355" i="13" s="1"/>
  <c r="D1355" i="13"/>
  <c r="K1368" i="13"/>
  <c r="I1368" i="13"/>
  <c r="G1368" i="13"/>
  <c r="F1368" i="13"/>
  <c r="H1368" i="13" s="1"/>
  <c r="D1368" i="13"/>
  <c r="K1367" i="13"/>
  <c r="G1367" i="13"/>
  <c r="I1367" i="13" s="1"/>
  <c r="F1367" i="13"/>
  <c r="H1367" i="13" s="1"/>
  <c r="D1367" i="13"/>
  <c r="K1366" i="13"/>
  <c r="G1366" i="13"/>
  <c r="I1366" i="13" s="1"/>
  <c r="F1366" i="13"/>
  <c r="H1366" i="13" s="1"/>
  <c r="D1366" i="13"/>
  <c r="K1365" i="13"/>
  <c r="G1365" i="13"/>
  <c r="I1365" i="13" s="1"/>
  <c r="F1365" i="13"/>
  <c r="H1365" i="13" s="1"/>
  <c r="D1365" i="13"/>
  <c r="K1364" i="13"/>
  <c r="G1364" i="13"/>
  <c r="I1364" i="13" s="1"/>
  <c r="F1364" i="13"/>
  <c r="H1364" i="13" s="1"/>
  <c r="D1364" i="13"/>
  <c r="K1363" i="13"/>
  <c r="I1363" i="13"/>
  <c r="G1363" i="13"/>
  <c r="F1363" i="13"/>
  <c r="H1363" i="13" s="1"/>
  <c r="D1363" i="13"/>
  <c r="K1362" i="13"/>
  <c r="G1362" i="13"/>
  <c r="I1362" i="13" s="1"/>
  <c r="F1362" i="13"/>
  <c r="H1362" i="13" s="1"/>
  <c r="D1362" i="13"/>
  <c r="K1381" i="13"/>
  <c r="G1381" i="13"/>
  <c r="I1381" i="13" s="1"/>
  <c r="F1381" i="13"/>
  <c r="H1381" i="13" s="1"/>
  <c r="D1381" i="13"/>
  <c r="K1380" i="13"/>
  <c r="I1380" i="13"/>
  <c r="G1380" i="13"/>
  <c r="F1380" i="13"/>
  <c r="H1380" i="13" s="1"/>
  <c r="D1380" i="13"/>
  <c r="K1379" i="13"/>
  <c r="G1379" i="13"/>
  <c r="I1379" i="13" s="1"/>
  <c r="F1379" i="13"/>
  <c r="H1379" i="13" s="1"/>
  <c r="D1379" i="13"/>
  <c r="K1378" i="13"/>
  <c r="G1378" i="13"/>
  <c r="I1378" i="13" s="1"/>
  <c r="F1378" i="13"/>
  <c r="H1378" i="13" s="1"/>
  <c r="D1378" i="13"/>
  <c r="K1377" i="13"/>
  <c r="G1377" i="13"/>
  <c r="I1377" i="13" s="1"/>
  <c r="F1377" i="13"/>
  <c r="H1377" i="13" s="1"/>
  <c r="D1377" i="13"/>
  <c r="K1376" i="13"/>
  <c r="G1376" i="13"/>
  <c r="I1376" i="13" s="1"/>
  <c r="F1376" i="13"/>
  <c r="H1376" i="13" s="1"/>
  <c r="D1376" i="13"/>
  <c r="K1375" i="13"/>
  <c r="I1375" i="13"/>
  <c r="G1375" i="13"/>
  <c r="F1375" i="13"/>
  <c r="H1375" i="13" s="1"/>
  <c r="D1375" i="13"/>
  <c r="K1374" i="13"/>
  <c r="G1374" i="13"/>
  <c r="I1374" i="13" s="1"/>
  <c r="F1374" i="13"/>
  <c r="H1374" i="13" s="1"/>
  <c r="D1374" i="13"/>
  <c r="K1373" i="13"/>
  <c r="G1373" i="13"/>
  <c r="I1373" i="13" s="1"/>
  <c r="F1373" i="13"/>
  <c r="H1373" i="13" s="1"/>
  <c r="D1373" i="13"/>
  <c r="K1372" i="13"/>
  <c r="G1372" i="13"/>
  <c r="I1372" i="13" s="1"/>
  <c r="F1372" i="13"/>
  <c r="H1372" i="13" s="1"/>
  <c r="D1372" i="13"/>
  <c r="K1371" i="13"/>
  <c r="I1371" i="13"/>
  <c r="G1371" i="13"/>
  <c r="F1371" i="13"/>
  <c r="H1371" i="13" s="1"/>
  <c r="D1371" i="13"/>
  <c r="K1370" i="13"/>
  <c r="G1370" i="13"/>
  <c r="I1370" i="13" s="1"/>
  <c r="F1370" i="13"/>
  <c r="H1370" i="13" s="1"/>
  <c r="D1370" i="13"/>
  <c r="K1369" i="13"/>
  <c r="G1369" i="13"/>
  <c r="I1369" i="13" s="1"/>
  <c r="F1369" i="13"/>
  <c r="H1369" i="13" s="1"/>
  <c r="D1369" i="13"/>
  <c r="K1386" i="13"/>
  <c r="G1386" i="13"/>
  <c r="I1386" i="13" s="1"/>
  <c r="F1386" i="13"/>
  <c r="H1386" i="13" s="1"/>
  <c r="D1386" i="13"/>
  <c r="K1385" i="13"/>
  <c r="G1385" i="13"/>
  <c r="I1385" i="13" s="1"/>
  <c r="J1385" i="13" s="1"/>
  <c r="F1385" i="13"/>
  <c r="H1385" i="13" s="1"/>
  <c r="D1385" i="13"/>
  <c r="K1384" i="13"/>
  <c r="I1384" i="13"/>
  <c r="G1384" i="13"/>
  <c r="F1384" i="13"/>
  <c r="H1384" i="13" s="1"/>
  <c r="D1384" i="13"/>
  <c r="K1383" i="13"/>
  <c r="G1383" i="13"/>
  <c r="I1383" i="13" s="1"/>
  <c r="F1383" i="13"/>
  <c r="H1383" i="13" s="1"/>
  <c r="D1383" i="13"/>
  <c r="K1382" i="13"/>
  <c r="G1382" i="13"/>
  <c r="I1382" i="13" s="1"/>
  <c r="F1382" i="13"/>
  <c r="H1382" i="13" s="1"/>
  <c r="D1382" i="13"/>
  <c r="K1395" i="13"/>
  <c r="I1395" i="13"/>
  <c r="G1395" i="13"/>
  <c r="F1395" i="13"/>
  <c r="H1395" i="13" s="1"/>
  <c r="D1395" i="13"/>
  <c r="K1394" i="13"/>
  <c r="G1394" i="13"/>
  <c r="I1394" i="13" s="1"/>
  <c r="F1394" i="13"/>
  <c r="H1394" i="13" s="1"/>
  <c r="D1394" i="13"/>
  <c r="K1393" i="13"/>
  <c r="G1393" i="13"/>
  <c r="I1393" i="13" s="1"/>
  <c r="F1393" i="13"/>
  <c r="H1393" i="13" s="1"/>
  <c r="D1393" i="13"/>
  <c r="K1392" i="13"/>
  <c r="G1392" i="13"/>
  <c r="I1392" i="13" s="1"/>
  <c r="F1392" i="13"/>
  <c r="H1392" i="13" s="1"/>
  <c r="D1392" i="13"/>
  <c r="K1391" i="13"/>
  <c r="I1391" i="13"/>
  <c r="J1391" i="13" s="1"/>
  <c r="G1391" i="13"/>
  <c r="F1391" i="13"/>
  <c r="H1391" i="13" s="1"/>
  <c r="D1391" i="13"/>
  <c r="K1390" i="13"/>
  <c r="I1390" i="13"/>
  <c r="G1390" i="13"/>
  <c r="F1390" i="13"/>
  <c r="H1390" i="13" s="1"/>
  <c r="D1390" i="13"/>
  <c r="K1389" i="13"/>
  <c r="G1389" i="13"/>
  <c r="I1389" i="13" s="1"/>
  <c r="F1389" i="13"/>
  <c r="H1389" i="13" s="1"/>
  <c r="D1389" i="13"/>
  <c r="K1388" i="13"/>
  <c r="G1388" i="13"/>
  <c r="I1388" i="13" s="1"/>
  <c r="F1388" i="13"/>
  <c r="H1388" i="13" s="1"/>
  <c r="D1388" i="13"/>
  <c r="K1387" i="13"/>
  <c r="I1387" i="13"/>
  <c r="G1387" i="13"/>
  <c r="F1387" i="13"/>
  <c r="H1387" i="13" s="1"/>
  <c r="D1387" i="13"/>
  <c r="K1403" i="13"/>
  <c r="G1403" i="13"/>
  <c r="I1403" i="13" s="1"/>
  <c r="F1403" i="13"/>
  <c r="H1403" i="13" s="1"/>
  <c r="D1403" i="13"/>
  <c r="K1402" i="13"/>
  <c r="G1402" i="13"/>
  <c r="I1402" i="13" s="1"/>
  <c r="F1402" i="13"/>
  <c r="H1402" i="13" s="1"/>
  <c r="D1402" i="13"/>
  <c r="K1401" i="13"/>
  <c r="G1401" i="13"/>
  <c r="I1401" i="13" s="1"/>
  <c r="F1401" i="13"/>
  <c r="H1401" i="13" s="1"/>
  <c r="D1401" i="13"/>
  <c r="K1400" i="13"/>
  <c r="G1400" i="13"/>
  <c r="I1400" i="13" s="1"/>
  <c r="J1400" i="13" s="1"/>
  <c r="F1400" i="13"/>
  <c r="H1400" i="13" s="1"/>
  <c r="D1400" i="13"/>
  <c r="K1399" i="13"/>
  <c r="I1399" i="13"/>
  <c r="G1399" i="13"/>
  <c r="F1399" i="13"/>
  <c r="H1399" i="13" s="1"/>
  <c r="D1399" i="13"/>
  <c r="K1398" i="13"/>
  <c r="G1398" i="13"/>
  <c r="I1398" i="13" s="1"/>
  <c r="F1398" i="13"/>
  <c r="H1398" i="13" s="1"/>
  <c r="D1398" i="13"/>
  <c r="K1397" i="13"/>
  <c r="G1397" i="13"/>
  <c r="I1397" i="13" s="1"/>
  <c r="F1397" i="13"/>
  <c r="H1397" i="13" s="1"/>
  <c r="D1397" i="13"/>
  <c r="K1396" i="13"/>
  <c r="I1396" i="13"/>
  <c r="G1396" i="13"/>
  <c r="F1396" i="13"/>
  <c r="H1396" i="13" s="1"/>
  <c r="D1396" i="13"/>
  <c r="K1408" i="13"/>
  <c r="G1408" i="13"/>
  <c r="I1408" i="13" s="1"/>
  <c r="F1408" i="13"/>
  <c r="H1408" i="13" s="1"/>
  <c r="D1408" i="13"/>
  <c r="K1407" i="13"/>
  <c r="G1407" i="13"/>
  <c r="I1407" i="13" s="1"/>
  <c r="F1407" i="13"/>
  <c r="H1407" i="13" s="1"/>
  <c r="D1407" i="13"/>
  <c r="K1406" i="13"/>
  <c r="G1406" i="13"/>
  <c r="I1406" i="13" s="1"/>
  <c r="F1406" i="13"/>
  <c r="H1406" i="13" s="1"/>
  <c r="D1406" i="13"/>
  <c r="K1405" i="13"/>
  <c r="G1405" i="13"/>
  <c r="I1405" i="13" s="1"/>
  <c r="J1405" i="13" s="1"/>
  <c r="F1405" i="13"/>
  <c r="H1405" i="13" s="1"/>
  <c r="D1405" i="13"/>
  <c r="K1404" i="13"/>
  <c r="I1404" i="13"/>
  <c r="G1404" i="13"/>
  <c r="F1404" i="13"/>
  <c r="H1404" i="13" s="1"/>
  <c r="D1404" i="13"/>
  <c r="K1416" i="13"/>
  <c r="G1416" i="13"/>
  <c r="I1416" i="13" s="1"/>
  <c r="F1416" i="13"/>
  <c r="H1416" i="13" s="1"/>
  <c r="D1416" i="13"/>
  <c r="K1415" i="13"/>
  <c r="G1415" i="13"/>
  <c r="I1415" i="13" s="1"/>
  <c r="F1415" i="13"/>
  <c r="H1415" i="13" s="1"/>
  <c r="D1415" i="13"/>
  <c r="K1414" i="13"/>
  <c r="I1414" i="13"/>
  <c r="G1414" i="13"/>
  <c r="F1414" i="13"/>
  <c r="H1414" i="13" s="1"/>
  <c r="D1414" i="13"/>
  <c r="K1413" i="13"/>
  <c r="G1413" i="13"/>
  <c r="I1413" i="13" s="1"/>
  <c r="F1413" i="13"/>
  <c r="H1413" i="13" s="1"/>
  <c r="D1413" i="13"/>
  <c r="K1412" i="13"/>
  <c r="G1412" i="13"/>
  <c r="I1412" i="13" s="1"/>
  <c r="F1412" i="13"/>
  <c r="H1412" i="13" s="1"/>
  <c r="D1412" i="13"/>
  <c r="K1411" i="13"/>
  <c r="G1411" i="13"/>
  <c r="I1411" i="13" s="1"/>
  <c r="F1411" i="13"/>
  <c r="H1411" i="13" s="1"/>
  <c r="D1411" i="13"/>
  <c r="K1410" i="13"/>
  <c r="G1410" i="13"/>
  <c r="I1410" i="13" s="1"/>
  <c r="J1410" i="13" s="1"/>
  <c r="F1410" i="13"/>
  <c r="H1410" i="13" s="1"/>
  <c r="D1410" i="13"/>
  <c r="K1409" i="13"/>
  <c r="I1409" i="13"/>
  <c r="G1409" i="13"/>
  <c r="F1409" i="13"/>
  <c r="H1409" i="13" s="1"/>
  <c r="D1409" i="13"/>
  <c r="K1420" i="13"/>
  <c r="G1420" i="13"/>
  <c r="I1420" i="13" s="1"/>
  <c r="F1420" i="13"/>
  <c r="H1420" i="13" s="1"/>
  <c r="D1420" i="13"/>
  <c r="K1419" i="13"/>
  <c r="G1419" i="13"/>
  <c r="I1419" i="13" s="1"/>
  <c r="F1419" i="13"/>
  <c r="H1419" i="13" s="1"/>
  <c r="D1419" i="13"/>
  <c r="K1418" i="13"/>
  <c r="I1418" i="13"/>
  <c r="G1418" i="13"/>
  <c r="F1418" i="13"/>
  <c r="H1418" i="13" s="1"/>
  <c r="D1418" i="13"/>
  <c r="K1417" i="13"/>
  <c r="G1417" i="13"/>
  <c r="I1417" i="13" s="1"/>
  <c r="F1417" i="13"/>
  <c r="H1417" i="13" s="1"/>
  <c r="D1417" i="13"/>
  <c r="K1424" i="13"/>
  <c r="G1424" i="13"/>
  <c r="I1424" i="13" s="1"/>
  <c r="F1424" i="13"/>
  <c r="H1424" i="13" s="1"/>
  <c r="D1424" i="13"/>
  <c r="K1423" i="13"/>
  <c r="G1423" i="13"/>
  <c r="I1423" i="13" s="1"/>
  <c r="F1423" i="13"/>
  <c r="H1423" i="13" s="1"/>
  <c r="D1423" i="13"/>
  <c r="K1422" i="13"/>
  <c r="I1422" i="13"/>
  <c r="J1422" i="13" s="1"/>
  <c r="G1422" i="13"/>
  <c r="F1422" i="13"/>
  <c r="H1422" i="13" s="1"/>
  <c r="D1422" i="13"/>
  <c r="K1421" i="13"/>
  <c r="I1421" i="13"/>
  <c r="G1421" i="13"/>
  <c r="F1421" i="13"/>
  <c r="H1421" i="13" s="1"/>
  <c r="D1421" i="13"/>
  <c r="K1431" i="13"/>
  <c r="G1431" i="13"/>
  <c r="I1431" i="13" s="1"/>
  <c r="F1431" i="13"/>
  <c r="H1431" i="13" s="1"/>
  <c r="D1431" i="13"/>
  <c r="K1430" i="13"/>
  <c r="G1430" i="13"/>
  <c r="I1430" i="13" s="1"/>
  <c r="F1430" i="13"/>
  <c r="H1430" i="13" s="1"/>
  <c r="D1430" i="13"/>
  <c r="K1429" i="13"/>
  <c r="I1429" i="13"/>
  <c r="G1429" i="13"/>
  <c r="F1429" i="13"/>
  <c r="H1429" i="13" s="1"/>
  <c r="D1429" i="13"/>
  <c r="K1428" i="13"/>
  <c r="G1428" i="13"/>
  <c r="I1428" i="13" s="1"/>
  <c r="F1428" i="13"/>
  <c r="H1428" i="13" s="1"/>
  <c r="D1428" i="13"/>
  <c r="K1427" i="13"/>
  <c r="G1427" i="13"/>
  <c r="I1427" i="13" s="1"/>
  <c r="F1427" i="13"/>
  <c r="H1427" i="13" s="1"/>
  <c r="D1427" i="13"/>
  <c r="K1426" i="13"/>
  <c r="G1426" i="13"/>
  <c r="I1426" i="13" s="1"/>
  <c r="F1426" i="13"/>
  <c r="H1426" i="13" s="1"/>
  <c r="D1426" i="13"/>
  <c r="K1425" i="13"/>
  <c r="G1425" i="13"/>
  <c r="I1425" i="13" s="1"/>
  <c r="J1425" i="13" s="1"/>
  <c r="F1425" i="13"/>
  <c r="H1425" i="13" s="1"/>
  <c r="D1425" i="13"/>
  <c r="K1434" i="13"/>
  <c r="I1434" i="13"/>
  <c r="G1434" i="13"/>
  <c r="F1434" i="13"/>
  <c r="H1434" i="13" s="1"/>
  <c r="D1434" i="13"/>
  <c r="K1433" i="13"/>
  <c r="G1433" i="13"/>
  <c r="I1433" i="13" s="1"/>
  <c r="F1433" i="13"/>
  <c r="H1433" i="13" s="1"/>
  <c r="D1433" i="13"/>
  <c r="K1432" i="13"/>
  <c r="G1432" i="13"/>
  <c r="I1432" i="13" s="1"/>
  <c r="J1432" i="13" s="1"/>
  <c r="F1432" i="13"/>
  <c r="H1432" i="13" s="1"/>
  <c r="D1432" i="13"/>
  <c r="K1441" i="13"/>
  <c r="I1441" i="13"/>
  <c r="G1441" i="13"/>
  <c r="F1441" i="13"/>
  <c r="H1441" i="13" s="1"/>
  <c r="D1441" i="13"/>
  <c r="K1440" i="13"/>
  <c r="G1440" i="13"/>
  <c r="I1440" i="13" s="1"/>
  <c r="F1440" i="13"/>
  <c r="H1440" i="13" s="1"/>
  <c r="D1440" i="13"/>
  <c r="K1439" i="13"/>
  <c r="G1439" i="13"/>
  <c r="I1439" i="13" s="1"/>
  <c r="F1439" i="13"/>
  <c r="H1439" i="13" s="1"/>
  <c r="D1439" i="13"/>
  <c r="K1438" i="13"/>
  <c r="G1438" i="13"/>
  <c r="I1438" i="13" s="1"/>
  <c r="F1438" i="13"/>
  <c r="H1438" i="13" s="1"/>
  <c r="D1438" i="13"/>
  <c r="K1437" i="13"/>
  <c r="G1437" i="13"/>
  <c r="I1437" i="13" s="1"/>
  <c r="F1437" i="13"/>
  <c r="H1437" i="13" s="1"/>
  <c r="D1437" i="13"/>
  <c r="K1436" i="13"/>
  <c r="I1436" i="13"/>
  <c r="G1436" i="13"/>
  <c r="F1436" i="13"/>
  <c r="H1436" i="13" s="1"/>
  <c r="D1436" i="13"/>
  <c r="K1435" i="13"/>
  <c r="G1435" i="13"/>
  <c r="I1435" i="13" s="1"/>
  <c r="F1435" i="13"/>
  <c r="H1435" i="13" s="1"/>
  <c r="D1435" i="13"/>
  <c r="K1449" i="13"/>
  <c r="G1449" i="13"/>
  <c r="I1449" i="13" s="1"/>
  <c r="J1449" i="13" s="1"/>
  <c r="F1449" i="13"/>
  <c r="H1449" i="13" s="1"/>
  <c r="D1449" i="13"/>
  <c r="K1448" i="13"/>
  <c r="I1448" i="13"/>
  <c r="G1448" i="13"/>
  <c r="F1448" i="13"/>
  <c r="H1448" i="13" s="1"/>
  <c r="D1448" i="13"/>
  <c r="K1447" i="13"/>
  <c r="G1447" i="13"/>
  <c r="I1447" i="13" s="1"/>
  <c r="F1447" i="13"/>
  <c r="H1447" i="13" s="1"/>
  <c r="D1447" i="13"/>
  <c r="K1446" i="13"/>
  <c r="G1446" i="13"/>
  <c r="I1446" i="13" s="1"/>
  <c r="F1446" i="13"/>
  <c r="H1446" i="13" s="1"/>
  <c r="D1446" i="13"/>
  <c r="K1445" i="13"/>
  <c r="G1445" i="13"/>
  <c r="I1445" i="13" s="1"/>
  <c r="F1445" i="13"/>
  <c r="H1445" i="13" s="1"/>
  <c r="D1445" i="13"/>
  <c r="K1444" i="13"/>
  <c r="G1444" i="13"/>
  <c r="I1444" i="13" s="1"/>
  <c r="F1444" i="13"/>
  <c r="H1444" i="13" s="1"/>
  <c r="D1444" i="13"/>
  <c r="K1443" i="13"/>
  <c r="I1443" i="13"/>
  <c r="G1443" i="13"/>
  <c r="F1443" i="13"/>
  <c r="H1443" i="13" s="1"/>
  <c r="D1443" i="13"/>
  <c r="K1442" i="13"/>
  <c r="G1442" i="13"/>
  <c r="I1442" i="13" s="1"/>
  <c r="F1442" i="13"/>
  <c r="H1442" i="13" s="1"/>
  <c r="D1442" i="13"/>
  <c r="K1457" i="13"/>
  <c r="G1457" i="13"/>
  <c r="I1457" i="13" s="1"/>
  <c r="J1457" i="13" s="1"/>
  <c r="F1457" i="13"/>
  <c r="H1457" i="13" s="1"/>
  <c r="D1457" i="13"/>
  <c r="K1456" i="13"/>
  <c r="I1456" i="13"/>
  <c r="G1456" i="13"/>
  <c r="F1456" i="13"/>
  <c r="H1456" i="13" s="1"/>
  <c r="D1456" i="13"/>
  <c r="K1455" i="13"/>
  <c r="G1455" i="13"/>
  <c r="I1455" i="13" s="1"/>
  <c r="F1455" i="13"/>
  <c r="H1455" i="13" s="1"/>
  <c r="D1455" i="13"/>
  <c r="K1454" i="13"/>
  <c r="G1454" i="13"/>
  <c r="I1454" i="13" s="1"/>
  <c r="F1454" i="13"/>
  <c r="H1454" i="13" s="1"/>
  <c r="D1454" i="13"/>
  <c r="K1453" i="13"/>
  <c r="G1453" i="13"/>
  <c r="I1453" i="13" s="1"/>
  <c r="J1453" i="13" s="1"/>
  <c r="F1453" i="13"/>
  <c r="H1453" i="13" s="1"/>
  <c r="D1453" i="13"/>
  <c r="K1452" i="13"/>
  <c r="I1452" i="13"/>
  <c r="G1452" i="13"/>
  <c r="F1452" i="13"/>
  <c r="H1452" i="13" s="1"/>
  <c r="D1452" i="13"/>
  <c r="K1451" i="13"/>
  <c r="G1451" i="13"/>
  <c r="I1451" i="13" s="1"/>
  <c r="F1451" i="13"/>
  <c r="H1451" i="13" s="1"/>
  <c r="D1451" i="13"/>
  <c r="K1450" i="13"/>
  <c r="G1450" i="13"/>
  <c r="I1450" i="13" s="1"/>
  <c r="F1450" i="13"/>
  <c r="H1450" i="13" s="1"/>
  <c r="D1450" i="13"/>
  <c r="K1460" i="13"/>
  <c r="G1460" i="13"/>
  <c r="I1460" i="13" s="1"/>
  <c r="F1460" i="13"/>
  <c r="H1460" i="13" s="1"/>
  <c r="D1460" i="13"/>
  <c r="K1459" i="13"/>
  <c r="G1459" i="13"/>
  <c r="I1459" i="13" s="1"/>
  <c r="F1459" i="13"/>
  <c r="H1459" i="13" s="1"/>
  <c r="D1459" i="13"/>
  <c r="K1458" i="13"/>
  <c r="G1458" i="13"/>
  <c r="I1458" i="13" s="1"/>
  <c r="F1458" i="13"/>
  <c r="H1458" i="13" s="1"/>
  <c r="D1458" i="13"/>
  <c r="K1468" i="13"/>
  <c r="H1468" i="13"/>
  <c r="G1468" i="13"/>
  <c r="I1468" i="13" s="1"/>
  <c r="F1468" i="13"/>
  <c r="D1468" i="13"/>
  <c r="K1467" i="13"/>
  <c r="G1467" i="13"/>
  <c r="I1467" i="13" s="1"/>
  <c r="F1467" i="13"/>
  <c r="H1467" i="13" s="1"/>
  <c r="D1467" i="13"/>
  <c r="K1466" i="13"/>
  <c r="I1466" i="13"/>
  <c r="J1466" i="13" s="1"/>
  <c r="G1466" i="13"/>
  <c r="F1466" i="13"/>
  <c r="H1466" i="13" s="1"/>
  <c r="D1466" i="13"/>
  <c r="K1465" i="13"/>
  <c r="G1465" i="13"/>
  <c r="I1465" i="13" s="1"/>
  <c r="F1465" i="13"/>
  <c r="H1465" i="13" s="1"/>
  <c r="D1465" i="13"/>
  <c r="K1464" i="13"/>
  <c r="G1464" i="13"/>
  <c r="I1464" i="13" s="1"/>
  <c r="F1464" i="13"/>
  <c r="H1464" i="13" s="1"/>
  <c r="D1464" i="13"/>
  <c r="K1463" i="13"/>
  <c r="G1463" i="13"/>
  <c r="I1463" i="13" s="1"/>
  <c r="F1463" i="13"/>
  <c r="H1463" i="13" s="1"/>
  <c r="D1463" i="13"/>
  <c r="K1462" i="13"/>
  <c r="G1462" i="13"/>
  <c r="I1462" i="13" s="1"/>
  <c r="J1462" i="13" s="1"/>
  <c r="F1462" i="13"/>
  <c r="H1462" i="13" s="1"/>
  <c r="D1462" i="13"/>
  <c r="K1461" i="13"/>
  <c r="G1461" i="13"/>
  <c r="I1461" i="13" s="1"/>
  <c r="F1461" i="13"/>
  <c r="H1461" i="13" s="1"/>
  <c r="D1461" i="13"/>
  <c r="K1478" i="13"/>
  <c r="H1478" i="13"/>
  <c r="G1478" i="13"/>
  <c r="I1478" i="13" s="1"/>
  <c r="F1478" i="13"/>
  <c r="D1478" i="13"/>
  <c r="K1477" i="13"/>
  <c r="J1477" i="13"/>
  <c r="G1477" i="13"/>
  <c r="I1477" i="13" s="1"/>
  <c r="F1477" i="13"/>
  <c r="H1477" i="13" s="1"/>
  <c r="D1477" i="13"/>
  <c r="K1476" i="13"/>
  <c r="I1476" i="13"/>
  <c r="G1476" i="13"/>
  <c r="F1476" i="13"/>
  <c r="H1476" i="13" s="1"/>
  <c r="D1476" i="13"/>
  <c r="K1475" i="13"/>
  <c r="G1475" i="13"/>
  <c r="I1475" i="13" s="1"/>
  <c r="F1475" i="13"/>
  <c r="H1475" i="13" s="1"/>
  <c r="D1475" i="13"/>
  <c r="K1474" i="13"/>
  <c r="G1474" i="13"/>
  <c r="I1474" i="13" s="1"/>
  <c r="F1474" i="13"/>
  <c r="H1474" i="13" s="1"/>
  <c r="D1474" i="13"/>
  <c r="K1473" i="13"/>
  <c r="G1473" i="13"/>
  <c r="I1473" i="13" s="1"/>
  <c r="F1473" i="13"/>
  <c r="H1473" i="13" s="1"/>
  <c r="D1473" i="13"/>
  <c r="K1472" i="13"/>
  <c r="H1472" i="13"/>
  <c r="G1472" i="13"/>
  <c r="I1472" i="13" s="1"/>
  <c r="F1472" i="13"/>
  <c r="D1472" i="13"/>
  <c r="K1471" i="13"/>
  <c r="G1471" i="13"/>
  <c r="I1471" i="13" s="1"/>
  <c r="F1471" i="13"/>
  <c r="H1471" i="13" s="1"/>
  <c r="D1471" i="13"/>
  <c r="K1470" i="13"/>
  <c r="G1470" i="13"/>
  <c r="I1470" i="13" s="1"/>
  <c r="F1470" i="13"/>
  <c r="H1470" i="13" s="1"/>
  <c r="D1470" i="13"/>
  <c r="K1469" i="13"/>
  <c r="G1469" i="13"/>
  <c r="I1469" i="13" s="1"/>
  <c r="F1469" i="13"/>
  <c r="H1469" i="13" s="1"/>
  <c r="D1469" i="13"/>
  <c r="K1485" i="13"/>
  <c r="G1485" i="13"/>
  <c r="I1485" i="13" s="1"/>
  <c r="F1485" i="13"/>
  <c r="H1485" i="13" s="1"/>
  <c r="D1485" i="13"/>
  <c r="K1484" i="13"/>
  <c r="G1484" i="13"/>
  <c r="I1484" i="13" s="1"/>
  <c r="F1484" i="13"/>
  <c r="H1484" i="13" s="1"/>
  <c r="D1484" i="13"/>
  <c r="K1483" i="13"/>
  <c r="G1483" i="13"/>
  <c r="I1483" i="13" s="1"/>
  <c r="J1483" i="13" s="1"/>
  <c r="F1483" i="13"/>
  <c r="H1483" i="13" s="1"/>
  <c r="D1483" i="13"/>
  <c r="K1482" i="13"/>
  <c r="J1482" i="13"/>
  <c r="I1482" i="13"/>
  <c r="G1482" i="13"/>
  <c r="F1482" i="13"/>
  <c r="H1482" i="13" s="1"/>
  <c r="D1482" i="13"/>
  <c r="K1481" i="13"/>
  <c r="I1481" i="13"/>
  <c r="G1481" i="13"/>
  <c r="F1481" i="13"/>
  <c r="H1481" i="13" s="1"/>
  <c r="D1481" i="13"/>
  <c r="K1480" i="13"/>
  <c r="G1480" i="13"/>
  <c r="I1480" i="13" s="1"/>
  <c r="F1480" i="13"/>
  <c r="H1480" i="13" s="1"/>
  <c r="D1480" i="13"/>
  <c r="K1479" i="13"/>
  <c r="G1479" i="13"/>
  <c r="I1479" i="13" s="1"/>
  <c r="F1479" i="13"/>
  <c r="H1479" i="13" s="1"/>
  <c r="D1479" i="13"/>
  <c r="K1489" i="13"/>
  <c r="G1489" i="13"/>
  <c r="I1489" i="13" s="1"/>
  <c r="J1489" i="13" s="1"/>
  <c r="F1489" i="13"/>
  <c r="H1489" i="13" s="1"/>
  <c r="D1489" i="13"/>
  <c r="K1488" i="13"/>
  <c r="I1488" i="13"/>
  <c r="G1488" i="13"/>
  <c r="F1488" i="13"/>
  <c r="H1488" i="13" s="1"/>
  <c r="D1488" i="13"/>
  <c r="K1487" i="13"/>
  <c r="G1487" i="13"/>
  <c r="I1487" i="13" s="1"/>
  <c r="F1487" i="13"/>
  <c r="H1487" i="13" s="1"/>
  <c r="D1487" i="13"/>
  <c r="K1486" i="13"/>
  <c r="H1486" i="13"/>
  <c r="G1486" i="13"/>
  <c r="I1486" i="13" s="1"/>
  <c r="F1486" i="13"/>
  <c r="D1486" i="13"/>
  <c r="K1494" i="13"/>
  <c r="G1494" i="13"/>
  <c r="I1494" i="13" s="1"/>
  <c r="F1494" i="13"/>
  <c r="H1494" i="13" s="1"/>
  <c r="D1494" i="13"/>
  <c r="K1493" i="13"/>
  <c r="I1493" i="13"/>
  <c r="G1493" i="13"/>
  <c r="F1493" i="13"/>
  <c r="H1493" i="13" s="1"/>
  <c r="D1493" i="13"/>
  <c r="K1492" i="13"/>
  <c r="G1492" i="13"/>
  <c r="I1492" i="13" s="1"/>
  <c r="F1492" i="13"/>
  <c r="H1492" i="13" s="1"/>
  <c r="D1492" i="13"/>
  <c r="K1491" i="13"/>
  <c r="G1491" i="13"/>
  <c r="I1491" i="13" s="1"/>
  <c r="F1491" i="13"/>
  <c r="H1491" i="13" s="1"/>
  <c r="D1491" i="13"/>
  <c r="K1490" i="13"/>
  <c r="G1490" i="13"/>
  <c r="I1490" i="13" s="1"/>
  <c r="J1490" i="13" s="1"/>
  <c r="F1490" i="13"/>
  <c r="H1490" i="13" s="1"/>
  <c r="D1490" i="13"/>
  <c r="K1500" i="13"/>
  <c r="I1500" i="13"/>
  <c r="J1500" i="13" s="1"/>
  <c r="G1500" i="13"/>
  <c r="F1500" i="13"/>
  <c r="H1500" i="13" s="1"/>
  <c r="D1500" i="13"/>
  <c r="K1499" i="13"/>
  <c r="G1499" i="13"/>
  <c r="I1499" i="13" s="1"/>
  <c r="F1499" i="13"/>
  <c r="H1499" i="13" s="1"/>
  <c r="D1499" i="13"/>
  <c r="K1498" i="13"/>
  <c r="H1498" i="13"/>
  <c r="G1498" i="13"/>
  <c r="I1498" i="13" s="1"/>
  <c r="F1498" i="13"/>
  <c r="D1498" i="13"/>
  <c r="K1497" i="13"/>
  <c r="G1497" i="13"/>
  <c r="I1497" i="13" s="1"/>
  <c r="F1497" i="13"/>
  <c r="H1497" i="13" s="1"/>
  <c r="J1497" i="13" s="1"/>
  <c r="D1497" i="13"/>
  <c r="K1496" i="13"/>
  <c r="G1496" i="13"/>
  <c r="I1496" i="13" s="1"/>
  <c r="F1496" i="13"/>
  <c r="H1496" i="13" s="1"/>
  <c r="D1496" i="13"/>
  <c r="K1495" i="13"/>
  <c r="H1495" i="13"/>
  <c r="G1495" i="13"/>
  <c r="I1495" i="13" s="1"/>
  <c r="J1495" i="13" s="1"/>
  <c r="F1495" i="13"/>
  <c r="D1495" i="13"/>
  <c r="K1505" i="13"/>
  <c r="H1505" i="13"/>
  <c r="G1505" i="13"/>
  <c r="I1505" i="13" s="1"/>
  <c r="F1505" i="13"/>
  <c r="D1505" i="13"/>
  <c r="K1504" i="13"/>
  <c r="G1504" i="13"/>
  <c r="I1504" i="13" s="1"/>
  <c r="J1504" i="13" s="1"/>
  <c r="F1504" i="13"/>
  <c r="H1504" i="13" s="1"/>
  <c r="D1504" i="13"/>
  <c r="K1503" i="13"/>
  <c r="I1503" i="13"/>
  <c r="G1503" i="13"/>
  <c r="F1503" i="13"/>
  <c r="H1503" i="13" s="1"/>
  <c r="D1503" i="13"/>
  <c r="K1502" i="13"/>
  <c r="G1502" i="13"/>
  <c r="I1502" i="13" s="1"/>
  <c r="F1502" i="13"/>
  <c r="H1502" i="13" s="1"/>
  <c r="D1502" i="13"/>
  <c r="K1501" i="13"/>
  <c r="H1501" i="13"/>
  <c r="G1501" i="13"/>
  <c r="I1501" i="13" s="1"/>
  <c r="F1501" i="13"/>
  <c r="D1501" i="13"/>
  <c r="K1509" i="13"/>
  <c r="G1509" i="13"/>
  <c r="I1509" i="13" s="1"/>
  <c r="F1509" i="13"/>
  <c r="H1509" i="13" s="1"/>
  <c r="D1509" i="13"/>
  <c r="K1508" i="13"/>
  <c r="I1508" i="13"/>
  <c r="G1508" i="13"/>
  <c r="F1508" i="13"/>
  <c r="H1508" i="13" s="1"/>
  <c r="D1508" i="13"/>
  <c r="K1507" i="13"/>
  <c r="G1507" i="13"/>
  <c r="I1507" i="13" s="1"/>
  <c r="F1507" i="13"/>
  <c r="H1507" i="13" s="1"/>
  <c r="D1507" i="13"/>
  <c r="K1506" i="13"/>
  <c r="G1506" i="13"/>
  <c r="I1506" i="13" s="1"/>
  <c r="F1506" i="13"/>
  <c r="H1506" i="13" s="1"/>
  <c r="D1506" i="13"/>
  <c r="K1515" i="13"/>
  <c r="G1515" i="13"/>
  <c r="I1515" i="13" s="1"/>
  <c r="F1515" i="13"/>
  <c r="H1515" i="13" s="1"/>
  <c r="D1515" i="13"/>
  <c r="K1514" i="13"/>
  <c r="G1514" i="13"/>
  <c r="I1514" i="13" s="1"/>
  <c r="F1514" i="13"/>
  <c r="H1514" i="13" s="1"/>
  <c r="D1514" i="13"/>
  <c r="K1513" i="13"/>
  <c r="H1513" i="13"/>
  <c r="G1513" i="13"/>
  <c r="I1513" i="13" s="1"/>
  <c r="F1513" i="13"/>
  <c r="D1513" i="13"/>
  <c r="K1512" i="13"/>
  <c r="G1512" i="13"/>
  <c r="I1512" i="13" s="1"/>
  <c r="F1512" i="13"/>
  <c r="H1512" i="13" s="1"/>
  <c r="D1512" i="13"/>
  <c r="K1511" i="13"/>
  <c r="G1511" i="13"/>
  <c r="I1511" i="13" s="1"/>
  <c r="F1511" i="13"/>
  <c r="H1511" i="13" s="1"/>
  <c r="J1511" i="13" s="1"/>
  <c r="D1511" i="13"/>
  <c r="K1510" i="13"/>
  <c r="G1510" i="13"/>
  <c r="I1510" i="13" s="1"/>
  <c r="F1510" i="13"/>
  <c r="H1510" i="13" s="1"/>
  <c r="D1510" i="13"/>
  <c r="K1523" i="13"/>
  <c r="H1523" i="13"/>
  <c r="G1523" i="13"/>
  <c r="I1523" i="13" s="1"/>
  <c r="F1523" i="13"/>
  <c r="D1523" i="13"/>
  <c r="K1522" i="13"/>
  <c r="G1522" i="13"/>
  <c r="I1522" i="13" s="1"/>
  <c r="F1522" i="13"/>
  <c r="H1522" i="13" s="1"/>
  <c r="D1522" i="13"/>
  <c r="K1521" i="13"/>
  <c r="G1521" i="13"/>
  <c r="I1521" i="13" s="1"/>
  <c r="F1521" i="13"/>
  <c r="H1521" i="13" s="1"/>
  <c r="D1521" i="13"/>
  <c r="K1520" i="13"/>
  <c r="G1520" i="13"/>
  <c r="I1520" i="13" s="1"/>
  <c r="J1520" i="13" s="1"/>
  <c r="F1520" i="13"/>
  <c r="H1520" i="13" s="1"/>
  <c r="D1520" i="13"/>
  <c r="K1519" i="13"/>
  <c r="I1519" i="13"/>
  <c r="G1519" i="13"/>
  <c r="F1519" i="13"/>
  <c r="H1519" i="13" s="1"/>
  <c r="D1519" i="13"/>
  <c r="K1518" i="13"/>
  <c r="G1518" i="13"/>
  <c r="I1518" i="13" s="1"/>
  <c r="F1518" i="13"/>
  <c r="H1518" i="13" s="1"/>
  <c r="D1518" i="13"/>
  <c r="K1517" i="13"/>
  <c r="G1517" i="13"/>
  <c r="I1517" i="13" s="1"/>
  <c r="F1517" i="13"/>
  <c r="H1517" i="13" s="1"/>
  <c r="D1517" i="13"/>
  <c r="K1516" i="13"/>
  <c r="G1516" i="13"/>
  <c r="I1516" i="13" s="1"/>
  <c r="J1516" i="13" s="1"/>
  <c r="F1516" i="13"/>
  <c r="H1516" i="13" s="1"/>
  <c r="D1516" i="13"/>
  <c r="K1531" i="13"/>
  <c r="G1531" i="13"/>
  <c r="I1531" i="13" s="1"/>
  <c r="F1531" i="13"/>
  <c r="H1531" i="13" s="1"/>
  <c r="D1531" i="13"/>
  <c r="K1530" i="13"/>
  <c r="G1530" i="13"/>
  <c r="I1530" i="13" s="1"/>
  <c r="F1530" i="13"/>
  <c r="H1530" i="13" s="1"/>
  <c r="D1530" i="13"/>
  <c r="K1529" i="13"/>
  <c r="G1529" i="13"/>
  <c r="I1529" i="13" s="1"/>
  <c r="F1529" i="13"/>
  <c r="H1529" i="13" s="1"/>
  <c r="D1529" i="13"/>
  <c r="K1528" i="13"/>
  <c r="I1528" i="13"/>
  <c r="J1528" i="13" s="1"/>
  <c r="G1528" i="13"/>
  <c r="F1528" i="13"/>
  <c r="H1528" i="13" s="1"/>
  <c r="D1528" i="13"/>
  <c r="K1527" i="13"/>
  <c r="I1527" i="13"/>
  <c r="G1527" i="13"/>
  <c r="F1527" i="13"/>
  <c r="H1527" i="13" s="1"/>
  <c r="D1527" i="13"/>
  <c r="K1526" i="13"/>
  <c r="G1526" i="13"/>
  <c r="I1526" i="13" s="1"/>
  <c r="F1526" i="13"/>
  <c r="H1526" i="13" s="1"/>
  <c r="D1526" i="13"/>
  <c r="K1525" i="13"/>
  <c r="G1525" i="13"/>
  <c r="I1525" i="13" s="1"/>
  <c r="J1525" i="13" s="1"/>
  <c r="F1525" i="13"/>
  <c r="H1525" i="13" s="1"/>
  <c r="D1525" i="13"/>
  <c r="K1524" i="13"/>
  <c r="G1524" i="13"/>
  <c r="I1524" i="13" s="1"/>
  <c r="J1524" i="13" s="1"/>
  <c r="F1524" i="13"/>
  <c r="H1524" i="13" s="1"/>
  <c r="D1524" i="13"/>
  <c r="K1534" i="13"/>
  <c r="G1534" i="13"/>
  <c r="I1534" i="13" s="1"/>
  <c r="F1534" i="13"/>
  <c r="H1534" i="13" s="1"/>
  <c r="D1534" i="13"/>
  <c r="K1533" i="13"/>
  <c r="G1533" i="13"/>
  <c r="I1533" i="13" s="1"/>
  <c r="F1533" i="13"/>
  <c r="H1533" i="13" s="1"/>
  <c r="D1533" i="13"/>
  <c r="K1532" i="13"/>
  <c r="G1532" i="13"/>
  <c r="I1532" i="13" s="1"/>
  <c r="F1532" i="13"/>
  <c r="H1532" i="13" s="1"/>
  <c r="D1532" i="13"/>
  <c r="K1538" i="13"/>
  <c r="G1538" i="13"/>
  <c r="I1538" i="13" s="1"/>
  <c r="F1538" i="13"/>
  <c r="H1538" i="13" s="1"/>
  <c r="D1538" i="13"/>
  <c r="K1537" i="13"/>
  <c r="I1537" i="13"/>
  <c r="G1537" i="13"/>
  <c r="F1537" i="13"/>
  <c r="H1537" i="13" s="1"/>
  <c r="D1537" i="13"/>
  <c r="K1536" i="13"/>
  <c r="G1536" i="13"/>
  <c r="I1536" i="13" s="1"/>
  <c r="F1536" i="13"/>
  <c r="H1536" i="13" s="1"/>
  <c r="D1536" i="13"/>
  <c r="K1535" i="13"/>
  <c r="G1535" i="13"/>
  <c r="I1535" i="13" s="1"/>
  <c r="F1535" i="13"/>
  <c r="H1535" i="13" s="1"/>
  <c r="D1535" i="13"/>
  <c r="K1546" i="13"/>
  <c r="G1546" i="13"/>
  <c r="I1546" i="13" s="1"/>
  <c r="F1546" i="13"/>
  <c r="H1546" i="13" s="1"/>
  <c r="D1546" i="13"/>
  <c r="K1545" i="13"/>
  <c r="G1545" i="13"/>
  <c r="I1545" i="13" s="1"/>
  <c r="F1545" i="13"/>
  <c r="H1545" i="13" s="1"/>
  <c r="D1545" i="13"/>
  <c r="K1544" i="13"/>
  <c r="H1544" i="13"/>
  <c r="G1544" i="13"/>
  <c r="I1544" i="13" s="1"/>
  <c r="F1544" i="13"/>
  <c r="D1544" i="13"/>
  <c r="K1543" i="13"/>
  <c r="G1543" i="13"/>
  <c r="I1543" i="13" s="1"/>
  <c r="J1543" i="13" s="1"/>
  <c r="F1543" i="13"/>
  <c r="H1543" i="13" s="1"/>
  <c r="D1543" i="13"/>
  <c r="K1542" i="13"/>
  <c r="I1542" i="13"/>
  <c r="G1542" i="13"/>
  <c r="F1542" i="13"/>
  <c r="H1542" i="13" s="1"/>
  <c r="D1542" i="13"/>
  <c r="K1541" i="13"/>
  <c r="G1541" i="13"/>
  <c r="I1541" i="13" s="1"/>
  <c r="F1541" i="13"/>
  <c r="H1541" i="13" s="1"/>
  <c r="D1541" i="13"/>
  <c r="K1540" i="13"/>
  <c r="G1540" i="13"/>
  <c r="I1540" i="13" s="1"/>
  <c r="F1540" i="13"/>
  <c r="H1540" i="13" s="1"/>
  <c r="J1540" i="13" s="1"/>
  <c r="D1540" i="13"/>
  <c r="K1539" i="13"/>
  <c r="G1539" i="13"/>
  <c r="I1539" i="13" s="1"/>
  <c r="J1539" i="13" s="1"/>
  <c r="F1539" i="13"/>
  <c r="H1539" i="13" s="1"/>
  <c r="D1539" i="13"/>
  <c r="K1554" i="13"/>
  <c r="G1554" i="13"/>
  <c r="I1554" i="13" s="1"/>
  <c r="F1554" i="13"/>
  <c r="H1554" i="13" s="1"/>
  <c r="D1554" i="13"/>
  <c r="K1553" i="13"/>
  <c r="G1553" i="13"/>
  <c r="I1553" i="13" s="1"/>
  <c r="F1553" i="13"/>
  <c r="H1553" i="13" s="1"/>
  <c r="D1553" i="13"/>
  <c r="K1552" i="13"/>
  <c r="G1552" i="13"/>
  <c r="I1552" i="13" s="1"/>
  <c r="F1552" i="13"/>
  <c r="H1552" i="13" s="1"/>
  <c r="D1552" i="13"/>
  <c r="K1551" i="13"/>
  <c r="G1551" i="13"/>
  <c r="I1551" i="13" s="1"/>
  <c r="J1551" i="13" s="1"/>
  <c r="F1551" i="13"/>
  <c r="H1551" i="13" s="1"/>
  <c r="D1551" i="13"/>
  <c r="K1550" i="13"/>
  <c r="I1550" i="13"/>
  <c r="G1550" i="13"/>
  <c r="F1550" i="13"/>
  <c r="H1550" i="13" s="1"/>
  <c r="D1550" i="13"/>
  <c r="K1549" i="13"/>
  <c r="G1549" i="13"/>
  <c r="I1549" i="13" s="1"/>
  <c r="F1549" i="13"/>
  <c r="H1549" i="13" s="1"/>
  <c r="D1549" i="13"/>
  <c r="K1548" i="13"/>
  <c r="G1548" i="13"/>
  <c r="I1548" i="13" s="1"/>
  <c r="F1548" i="13"/>
  <c r="H1548" i="13" s="1"/>
  <c r="D1548" i="13"/>
  <c r="K1547" i="13"/>
  <c r="G1547" i="13"/>
  <c r="I1547" i="13" s="1"/>
  <c r="F1547" i="13"/>
  <c r="H1547" i="13" s="1"/>
  <c r="D1547" i="13"/>
  <c r="K1560" i="13"/>
  <c r="H1560" i="13"/>
  <c r="G1560" i="13"/>
  <c r="I1560" i="13" s="1"/>
  <c r="J1560" i="13" s="1"/>
  <c r="F1560" i="13"/>
  <c r="D1560" i="13"/>
  <c r="K1559" i="13"/>
  <c r="G1559" i="13"/>
  <c r="I1559" i="13" s="1"/>
  <c r="F1559" i="13"/>
  <c r="H1559" i="13" s="1"/>
  <c r="D1559" i="13"/>
  <c r="K1558" i="13"/>
  <c r="H1558" i="13"/>
  <c r="G1558" i="13"/>
  <c r="I1558" i="13" s="1"/>
  <c r="F1558" i="13"/>
  <c r="D1558" i="13"/>
  <c r="K1557" i="13"/>
  <c r="G1557" i="13"/>
  <c r="I1557" i="13" s="1"/>
  <c r="F1557" i="13"/>
  <c r="H1557" i="13" s="1"/>
  <c r="D1557" i="13"/>
  <c r="K1556" i="13"/>
  <c r="G1556" i="13"/>
  <c r="I1556" i="13" s="1"/>
  <c r="F1556" i="13"/>
  <c r="H1556" i="13" s="1"/>
  <c r="D1556" i="13"/>
  <c r="K1555" i="13"/>
  <c r="G1555" i="13"/>
  <c r="I1555" i="13" s="1"/>
  <c r="F1555" i="13"/>
  <c r="H1555" i="13" s="1"/>
  <c r="D1555" i="13"/>
  <c r="K1568" i="13"/>
  <c r="G1568" i="13"/>
  <c r="I1568" i="13" s="1"/>
  <c r="F1568" i="13"/>
  <c r="H1568" i="13" s="1"/>
  <c r="J1568" i="13" s="1"/>
  <c r="D1568" i="13"/>
  <c r="K1567" i="13"/>
  <c r="G1567" i="13"/>
  <c r="I1567" i="13" s="1"/>
  <c r="J1567" i="13" s="1"/>
  <c r="F1567" i="13"/>
  <c r="H1567" i="13" s="1"/>
  <c r="D1567" i="13"/>
  <c r="K1566" i="13"/>
  <c r="I1566" i="13"/>
  <c r="G1566" i="13"/>
  <c r="F1566" i="13"/>
  <c r="H1566" i="13" s="1"/>
  <c r="D1566" i="13"/>
  <c r="K1565" i="13"/>
  <c r="G1565" i="13"/>
  <c r="I1565" i="13" s="1"/>
  <c r="F1565" i="13"/>
  <c r="H1565" i="13" s="1"/>
  <c r="D1565" i="13"/>
  <c r="K1564" i="13"/>
  <c r="G1564" i="13"/>
  <c r="I1564" i="13" s="1"/>
  <c r="F1564" i="13"/>
  <c r="H1564" i="13" s="1"/>
  <c r="D1564" i="13"/>
  <c r="K1563" i="13"/>
  <c r="G1563" i="13"/>
  <c r="I1563" i="13" s="1"/>
  <c r="F1563" i="13"/>
  <c r="H1563" i="13" s="1"/>
  <c r="D1563" i="13"/>
  <c r="K1562" i="13"/>
  <c r="G1562" i="13"/>
  <c r="I1562" i="13" s="1"/>
  <c r="F1562" i="13"/>
  <c r="H1562" i="13" s="1"/>
  <c r="D1562" i="13"/>
  <c r="K1561" i="13"/>
  <c r="G1561" i="13"/>
  <c r="I1561" i="13" s="1"/>
  <c r="F1561" i="13"/>
  <c r="H1561" i="13" s="1"/>
  <c r="D1561" i="13"/>
  <c r="K1575" i="13"/>
  <c r="G1575" i="13"/>
  <c r="I1575" i="13" s="1"/>
  <c r="F1575" i="13"/>
  <c r="H1575" i="13" s="1"/>
  <c r="D1575" i="13"/>
  <c r="K1574" i="13"/>
  <c r="G1574" i="13"/>
  <c r="I1574" i="13" s="1"/>
  <c r="F1574" i="13"/>
  <c r="H1574" i="13" s="1"/>
  <c r="D1574" i="13"/>
  <c r="K1573" i="13"/>
  <c r="I1573" i="13"/>
  <c r="H1573" i="13"/>
  <c r="G1573" i="13"/>
  <c r="F1573" i="13"/>
  <c r="D1573" i="13"/>
  <c r="K1572" i="13"/>
  <c r="G1572" i="13"/>
  <c r="I1572" i="13" s="1"/>
  <c r="F1572" i="13"/>
  <c r="H1572" i="13" s="1"/>
  <c r="D1572" i="13"/>
  <c r="K1571" i="13"/>
  <c r="G1571" i="13"/>
  <c r="I1571" i="13" s="1"/>
  <c r="F1571" i="13"/>
  <c r="H1571" i="13" s="1"/>
  <c r="D1571" i="13"/>
  <c r="K1570" i="13"/>
  <c r="G1570" i="13"/>
  <c r="I1570" i="13" s="1"/>
  <c r="F1570" i="13"/>
  <c r="H1570" i="13" s="1"/>
  <c r="D1570" i="13"/>
  <c r="K1569" i="13"/>
  <c r="G1569" i="13"/>
  <c r="I1569" i="13" s="1"/>
  <c r="F1569" i="13"/>
  <c r="H1569" i="13" s="1"/>
  <c r="D1569" i="13"/>
  <c r="K1580" i="13"/>
  <c r="G1580" i="13"/>
  <c r="I1580" i="13" s="1"/>
  <c r="F1580" i="13"/>
  <c r="H1580" i="13" s="1"/>
  <c r="D1580" i="13"/>
  <c r="K1579" i="13"/>
  <c r="H1579" i="13"/>
  <c r="G1579" i="13"/>
  <c r="I1579" i="13" s="1"/>
  <c r="F1579" i="13"/>
  <c r="D1579" i="13"/>
  <c r="K1578" i="13"/>
  <c r="I1578" i="13"/>
  <c r="J1578" i="13" s="1"/>
  <c r="G1578" i="13"/>
  <c r="F1578" i="13"/>
  <c r="H1578" i="13" s="1"/>
  <c r="D1578" i="13"/>
  <c r="K1577" i="13"/>
  <c r="G1577" i="13"/>
  <c r="I1577" i="13" s="1"/>
  <c r="F1577" i="13"/>
  <c r="H1577" i="13" s="1"/>
  <c r="D1577" i="13"/>
  <c r="K1576" i="13"/>
  <c r="G1576" i="13"/>
  <c r="I1576" i="13" s="1"/>
  <c r="F1576" i="13"/>
  <c r="H1576" i="13" s="1"/>
  <c r="D1576" i="13"/>
  <c r="K1588" i="13"/>
  <c r="G1588" i="13"/>
  <c r="I1588" i="13" s="1"/>
  <c r="F1588" i="13"/>
  <c r="H1588" i="13" s="1"/>
  <c r="D1588" i="13"/>
  <c r="K1587" i="13"/>
  <c r="G1587" i="13"/>
  <c r="I1587" i="13" s="1"/>
  <c r="F1587" i="13"/>
  <c r="H1587" i="13" s="1"/>
  <c r="D1587" i="13"/>
  <c r="K1586" i="13"/>
  <c r="G1586" i="13"/>
  <c r="I1586" i="13" s="1"/>
  <c r="F1586" i="13"/>
  <c r="H1586" i="13" s="1"/>
  <c r="D1586" i="13"/>
  <c r="K1585" i="13"/>
  <c r="G1585" i="13"/>
  <c r="I1585" i="13" s="1"/>
  <c r="F1585" i="13"/>
  <c r="H1585" i="13" s="1"/>
  <c r="D1585" i="13"/>
  <c r="K1584" i="13"/>
  <c r="G1584" i="13"/>
  <c r="I1584" i="13" s="1"/>
  <c r="F1584" i="13"/>
  <c r="H1584" i="13" s="1"/>
  <c r="D1584" i="13"/>
  <c r="K1583" i="13"/>
  <c r="G1583" i="13"/>
  <c r="I1583" i="13" s="1"/>
  <c r="J1583" i="13" s="1"/>
  <c r="F1583" i="13"/>
  <c r="H1583" i="13" s="1"/>
  <c r="D1583" i="13"/>
  <c r="K1582" i="13"/>
  <c r="I1582" i="13"/>
  <c r="G1582" i="13"/>
  <c r="F1582" i="13"/>
  <c r="H1582" i="13" s="1"/>
  <c r="D1582" i="13"/>
  <c r="K1581" i="13"/>
  <c r="G1581" i="13"/>
  <c r="I1581" i="13" s="1"/>
  <c r="F1581" i="13"/>
  <c r="H1581" i="13" s="1"/>
  <c r="D1581" i="13"/>
  <c r="K1594" i="13"/>
  <c r="G1594" i="13"/>
  <c r="I1594" i="13" s="1"/>
  <c r="F1594" i="13"/>
  <c r="H1594" i="13" s="1"/>
  <c r="D1594" i="13"/>
  <c r="K1593" i="13"/>
  <c r="G1593" i="13"/>
  <c r="I1593" i="13" s="1"/>
  <c r="F1593" i="13"/>
  <c r="H1593" i="13" s="1"/>
  <c r="D1593" i="13"/>
  <c r="K1592" i="13"/>
  <c r="G1592" i="13"/>
  <c r="I1592" i="13" s="1"/>
  <c r="F1592" i="13"/>
  <c r="H1592" i="13" s="1"/>
  <c r="D1592" i="13"/>
  <c r="K1591" i="13"/>
  <c r="G1591" i="13"/>
  <c r="I1591" i="13" s="1"/>
  <c r="F1591" i="13"/>
  <c r="H1591" i="13" s="1"/>
  <c r="D1591" i="13"/>
  <c r="K1590" i="13"/>
  <c r="H1590" i="13"/>
  <c r="J1590" i="13" s="1"/>
  <c r="G1590" i="13"/>
  <c r="I1590" i="13" s="1"/>
  <c r="F1590" i="13"/>
  <c r="D1590" i="13"/>
  <c r="K1589" i="13"/>
  <c r="G1589" i="13"/>
  <c r="I1589" i="13" s="1"/>
  <c r="J1589" i="13" s="1"/>
  <c r="F1589" i="13"/>
  <c r="H1589" i="13" s="1"/>
  <c r="D1589" i="13"/>
  <c r="K1602" i="13"/>
  <c r="G1602" i="13"/>
  <c r="I1602" i="13" s="1"/>
  <c r="F1602" i="13"/>
  <c r="H1602" i="13" s="1"/>
  <c r="D1602" i="13"/>
  <c r="K1601" i="13"/>
  <c r="G1601" i="13"/>
  <c r="I1601" i="13" s="1"/>
  <c r="F1601" i="13"/>
  <c r="H1601" i="13" s="1"/>
  <c r="D1601" i="13"/>
  <c r="K1600" i="13"/>
  <c r="G1600" i="13"/>
  <c r="I1600" i="13" s="1"/>
  <c r="F1600" i="13"/>
  <c r="H1600" i="13" s="1"/>
  <c r="D1600" i="13"/>
  <c r="K1599" i="13"/>
  <c r="G1599" i="13"/>
  <c r="I1599" i="13" s="1"/>
  <c r="F1599" i="13"/>
  <c r="H1599" i="13" s="1"/>
  <c r="D1599" i="13"/>
  <c r="K1598" i="13"/>
  <c r="G1598" i="13"/>
  <c r="I1598" i="13" s="1"/>
  <c r="F1598" i="13"/>
  <c r="H1598" i="13" s="1"/>
  <c r="D1598" i="13"/>
  <c r="K1597" i="13"/>
  <c r="I1597" i="13"/>
  <c r="G1597" i="13"/>
  <c r="F1597" i="13"/>
  <c r="H1597" i="13" s="1"/>
  <c r="D1597" i="13"/>
  <c r="K1596" i="13"/>
  <c r="G1596" i="13"/>
  <c r="I1596" i="13" s="1"/>
  <c r="F1596" i="13"/>
  <c r="H1596" i="13" s="1"/>
  <c r="D1596" i="13"/>
  <c r="K1595" i="13"/>
  <c r="G1595" i="13"/>
  <c r="I1595" i="13" s="1"/>
  <c r="F1595" i="13"/>
  <c r="H1595" i="13" s="1"/>
  <c r="D1595" i="13"/>
  <c r="K1609" i="13"/>
  <c r="G1609" i="13"/>
  <c r="I1609" i="13" s="1"/>
  <c r="F1609" i="13"/>
  <c r="H1609" i="13" s="1"/>
  <c r="D1609" i="13"/>
  <c r="K1608" i="13"/>
  <c r="G1608" i="13"/>
  <c r="I1608" i="13" s="1"/>
  <c r="F1608" i="13"/>
  <c r="H1608" i="13" s="1"/>
  <c r="D1608" i="13"/>
  <c r="K1607" i="13"/>
  <c r="H1607" i="13"/>
  <c r="G1607" i="13"/>
  <c r="I1607" i="13" s="1"/>
  <c r="F1607" i="13"/>
  <c r="D1607" i="13"/>
  <c r="K1606" i="13"/>
  <c r="G1606" i="13"/>
  <c r="I1606" i="13" s="1"/>
  <c r="J1606" i="13" s="1"/>
  <c r="F1606" i="13"/>
  <c r="H1606" i="13" s="1"/>
  <c r="D1606" i="13"/>
  <c r="K1605" i="13"/>
  <c r="I1605" i="13"/>
  <c r="G1605" i="13"/>
  <c r="F1605" i="13"/>
  <c r="H1605" i="13" s="1"/>
  <c r="D1605" i="13"/>
  <c r="K1604" i="13"/>
  <c r="G1604" i="13"/>
  <c r="I1604" i="13" s="1"/>
  <c r="F1604" i="13"/>
  <c r="H1604" i="13" s="1"/>
  <c r="D1604" i="13"/>
  <c r="K1603" i="13"/>
  <c r="G1603" i="13"/>
  <c r="I1603" i="13" s="1"/>
  <c r="F1603" i="13"/>
  <c r="H1603" i="13" s="1"/>
  <c r="J1603" i="13" s="1"/>
  <c r="D1603" i="13"/>
  <c r="K1616" i="13"/>
  <c r="G1616" i="13"/>
  <c r="I1616" i="13" s="1"/>
  <c r="J1616" i="13" s="1"/>
  <c r="F1616" i="13"/>
  <c r="H1616" i="13" s="1"/>
  <c r="D1616" i="13"/>
  <c r="K1615" i="13"/>
  <c r="G1615" i="13"/>
  <c r="I1615" i="13" s="1"/>
  <c r="F1615" i="13"/>
  <c r="H1615" i="13" s="1"/>
  <c r="D1615" i="13"/>
  <c r="K1614" i="13"/>
  <c r="G1614" i="13"/>
  <c r="I1614" i="13" s="1"/>
  <c r="F1614" i="13"/>
  <c r="H1614" i="13" s="1"/>
  <c r="D1614" i="13"/>
  <c r="K1613" i="13"/>
  <c r="G1613" i="13"/>
  <c r="I1613" i="13" s="1"/>
  <c r="F1613" i="13"/>
  <c r="H1613" i="13" s="1"/>
  <c r="D1613" i="13"/>
  <c r="K1612" i="13"/>
  <c r="G1612" i="13"/>
  <c r="I1612" i="13" s="1"/>
  <c r="J1612" i="13" s="1"/>
  <c r="F1612" i="13"/>
  <c r="H1612" i="13" s="1"/>
  <c r="D1612" i="13"/>
  <c r="K1611" i="13"/>
  <c r="I1611" i="13"/>
  <c r="G1611" i="13"/>
  <c r="F1611" i="13"/>
  <c r="H1611" i="13" s="1"/>
  <c r="D1611" i="13"/>
  <c r="K1610" i="13"/>
  <c r="G1610" i="13"/>
  <c r="I1610" i="13" s="1"/>
  <c r="F1610" i="13"/>
  <c r="H1610" i="13" s="1"/>
  <c r="D1610" i="13"/>
  <c r="K1618" i="13"/>
  <c r="G1618" i="13"/>
  <c r="I1618" i="13" s="1"/>
  <c r="F1618" i="13"/>
  <c r="H1618" i="13" s="1"/>
  <c r="D1618" i="13"/>
  <c r="K1617" i="13"/>
  <c r="G1617" i="13"/>
  <c r="I1617" i="13" s="1"/>
  <c r="J1617" i="13" s="1"/>
  <c r="F1617" i="13"/>
  <c r="H1617" i="13" s="1"/>
  <c r="D1617" i="13"/>
  <c r="K1624" i="13"/>
  <c r="H1624" i="13"/>
  <c r="G1624" i="13"/>
  <c r="I1624" i="13" s="1"/>
  <c r="J1624" i="13" s="1"/>
  <c r="F1624" i="13"/>
  <c r="D1624" i="13"/>
  <c r="K1623" i="13"/>
  <c r="G1623" i="13"/>
  <c r="I1623" i="13" s="1"/>
  <c r="J1623" i="13" s="1"/>
  <c r="F1623" i="13"/>
  <c r="H1623" i="13" s="1"/>
  <c r="D1623" i="13"/>
  <c r="K1622" i="13"/>
  <c r="H1622" i="13"/>
  <c r="G1622" i="13"/>
  <c r="I1622" i="13" s="1"/>
  <c r="F1622" i="13"/>
  <c r="D1622" i="13"/>
  <c r="K1621" i="13"/>
  <c r="G1621" i="13"/>
  <c r="I1621" i="13" s="1"/>
  <c r="F1621" i="13"/>
  <c r="H1621" i="13" s="1"/>
  <c r="D1621" i="13"/>
  <c r="K1620" i="13"/>
  <c r="G1620" i="13"/>
  <c r="I1620" i="13" s="1"/>
  <c r="F1620" i="13"/>
  <c r="H1620" i="13" s="1"/>
  <c r="D1620" i="13"/>
  <c r="K1619" i="13"/>
  <c r="G1619" i="13"/>
  <c r="I1619" i="13" s="1"/>
  <c r="F1619" i="13"/>
  <c r="H1619" i="13" s="1"/>
  <c r="D1619" i="13"/>
  <c r="K1631" i="13"/>
  <c r="G1631" i="13"/>
  <c r="I1631" i="13" s="1"/>
  <c r="F1631" i="13"/>
  <c r="H1631" i="13" s="1"/>
  <c r="J1631" i="13" s="1"/>
  <c r="D1631" i="13"/>
  <c r="K1630" i="13"/>
  <c r="G1630" i="13"/>
  <c r="I1630" i="13" s="1"/>
  <c r="F1630" i="13"/>
  <c r="H1630" i="13" s="1"/>
  <c r="D1630" i="13"/>
  <c r="K1629" i="13"/>
  <c r="G1629" i="13"/>
  <c r="I1629" i="13" s="1"/>
  <c r="F1629" i="13"/>
  <c r="H1629" i="13" s="1"/>
  <c r="D1629" i="13"/>
  <c r="K1628" i="13"/>
  <c r="G1628" i="13"/>
  <c r="I1628" i="13" s="1"/>
  <c r="J1628" i="13" s="1"/>
  <c r="F1628" i="13"/>
  <c r="H1628" i="13" s="1"/>
  <c r="D1628" i="13"/>
  <c r="K1627" i="13"/>
  <c r="G1627" i="13"/>
  <c r="I1627" i="13" s="1"/>
  <c r="F1627" i="13"/>
  <c r="H1627" i="13" s="1"/>
  <c r="D1627" i="13"/>
  <c r="K1626" i="13"/>
  <c r="G1626" i="13"/>
  <c r="I1626" i="13" s="1"/>
  <c r="J1626" i="13" s="1"/>
  <c r="F1626" i="13"/>
  <c r="H1626" i="13" s="1"/>
  <c r="D1626" i="13"/>
  <c r="K1625" i="13"/>
  <c r="I1625" i="13"/>
  <c r="G1625" i="13"/>
  <c r="F1625" i="13"/>
  <c r="H1625" i="13" s="1"/>
  <c r="D1625" i="13"/>
  <c r="K1636" i="13"/>
  <c r="G1636" i="13"/>
  <c r="I1636" i="13" s="1"/>
  <c r="F1636" i="13"/>
  <c r="H1636" i="13" s="1"/>
  <c r="D1636" i="13"/>
  <c r="K1635" i="13"/>
  <c r="G1635" i="13"/>
  <c r="I1635" i="13" s="1"/>
  <c r="F1635" i="13"/>
  <c r="H1635" i="13" s="1"/>
  <c r="D1635" i="13"/>
  <c r="K1634" i="13"/>
  <c r="G1634" i="13"/>
  <c r="I1634" i="13" s="1"/>
  <c r="F1634" i="13"/>
  <c r="H1634" i="13" s="1"/>
  <c r="D1634" i="13"/>
  <c r="K1633" i="13"/>
  <c r="H1633" i="13"/>
  <c r="G1633" i="13"/>
  <c r="I1633" i="13" s="1"/>
  <c r="F1633" i="13"/>
  <c r="D1633" i="13"/>
  <c r="K1632" i="13"/>
  <c r="G1632" i="13"/>
  <c r="I1632" i="13" s="1"/>
  <c r="J1632" i="13" s="1"/>
  <c r="F1632" i="13"/>
  <c r="H1632" i="13" s="1"/>
  <c r="D1632" i="13"/>
  <c r="K1645" i="13"/>
  <c r="G1645" i="13"/>
  <c r="I1645" i="13" s="1"/>
  <c r="F1645" i="13"/>
  <c r="H1645" i="13" s="1"/>
  <c r="D1645" i="13"/>
  <c r="K1644" i="13"/>
  <c r="G1644" i="13"/>
  <c r="I1644" i="13" s="1"/>
  <c r="F1644" i="13"/>
  <c r="H1644" i="13" s="1"/>
  <c r="D1644" i="13"/>
  <c r="K1643" i="13"/>
  <c r="I1643" i="13"/>
  <c r="G1643" i="13"/>
  <c r="F1643" i="13"/>
  <c r="H1643" i="13" s="1"/>
  <c r="J1643" i="13" s="1"/>
  <c r="D1643" i="13"/>
  <c r="K1642" i="13"/>
  <c r="G1642" i="13"/>
  <c r="I1642" i="13" s="1"/>
  <c r="F1642" i="13"/>
  <c r="H1642" i="13" s="1"/>
  <c r="D1642" i="13"/>
  <c r="K1641" i="13"/>
  <c r="G1641" i="13"/>
  <c r="I1641" i="13" s="1"/>
  <c r="F1641" i="13"/>
  <c r="H1641" i="13" s="1"/>
  <c r="D1641" i="13"/>
  <c r="K1640" i="13"/>
  <c r="I1640" i="13"/>
  <c r="G1640" i="13"/>
  <c r="F1640" i="13"/>
  <c r="H1640" i="13" s="1"/>
  <c r="D1640" i="13"/>
  <c r="K1639" i="13"/>
  <c r="G1639" i="13"/>
  <c r="I1639" i="13" s="1"/>
  <c r="F1639" i="13"/>
  <c r="H1639" i="13" s="1"/>
  <c r="D1639" i="13"/>
  <c r="K1638" i="13"/>
  <c r="G1638" i="13"/>
  <c r="I1638" i="13" s="1"/>
  <c r="J1638" i="13" s="1"/>
  <c r="F1638" i="13"/>
  <c r="H1638" i="13" s="1"/>
  <c r="D1638" i="13"/>
  <c r="K1637" i="13"/>
  <c r="G1637" i="13"/>
  <c r="I1637" i="13" s="1"/>
  <c r="F1637" i="13"/>
  <c r="H1637" i="13" s="1"/>
  <c r="D1637" i="13"/>
  <c r="K1650" i="13"/>
  <c r="G1650" i="13"/>
  <c r="I1650" i="13" s="1"/>
  <c r="J1650" i="13" s="1"/>
  <c r="F1650" i="13"/>
  <c r="H1650" i="13" s="1"/>
  <c r="D1650" i="13"/>
  <c r="K1649" i="13"/>
  <c r="I1649" i="13"/>
  <c r="G1649" i="13"/>
  <c r="F1649" i="13"/>
  <c r="H1649" i="13" s="1"/>
  <c r="D1649" i="13"/>
  <c r="K1648" i="13"/>
  <c r="G1648" i="13"/>
  <c r="I1648" i="13" s="1"/>
  <c r="F1648" i="13"/>
  <c r="H1648" i="13" s="1"/>
  <c r="D1648" i="13"/>
  <c r="K1647" i="13"/>
  <c r="G1647" i="13"/>
  <c r="I1647" i="13" s="1"/>
  <c r="F1647" i="13"/>
  <c r="H1647" i="13" s="1"/>
  <c r="D1647" i="13"/>
  <c r="K1646" i="13"/>
  <c r="G1646" i="13"/>
  <c r="I1646" i="13" s="1"/>
  <c r="F1646" i="13"/>
  <c r="H1646" i="13" s="1"/>
  <c r="D1646" i="13"/>
  <c r="K1659" i="13"/>
  <c r="H1659" i="13"/>
  <c r="G1659" i="13"/>
  <c r="I1659" i="13" s="1"/>
  <c r="J1659" i="13" s="1"/>
  <c r="F1659" i="13"/>
  <c r="D1659" i="13"/>
  <c r="K1658" i="13"/>
  <c r="G1658" i="13"/>
  <c r="I1658" i="13" s="1"/>
  <c r="J1658" i="13" s="1"/>
  <c r="F1658" i="13"/>
  <c r="H1658" i="13" s="1"/>
  <c r="D1658" i="13"/>
  <c r="K1657" i="13"/>
  <c r="H1657" i="13"/>
  <c r="G1657" i="13"/>
  <c r="I1657" i="13" s="1"/>
  <c r="F1657" i="13"/>
  <c r="D1657" i="13"/>
  <c r="K1656" i="13"/>
  <c r="G1656" i="13"/>
  <c r="I1656" i="13" s="1"/>
  <c r="F1656" i="13"/>
  <c r="H1656" i="13" s="1"/>
  <c r="D1656" i="13"/>
  <c r="K1655" i="13"/>
  <c r="G1655" i="13"/>
  <c r="I1655" i="13" s="1"/>
  <c r="F1655" i="13"/>
  <c r="H1655" i="13" s="1"/>
  <c r="D1655" i="13"/>
  <c r="K1654" i="13"/>
  <c r="G1654" i="13"/>
  <c r="I1654" i="13" s="1"/>
  <c r="F1654" i="13"/>
  <c r="H1654" i="13" s="1"/>
  <c r="D1654" i="13"/>
  <c r="K1653" i="13"/>
  <c r="G1653" i="13"/>
  <c r="I1653" i="13" s="1"/>
  <c r="F1653" i="13"/>
  <c r="H1653" i="13" s="1"/>
  <c r="D1653" i="13"/>
  <c r="K1652" i="13"/>
  <c r="I1652" i="13"/>
  <c r="G1652" i="13"/>
  <c r="F1652" i="13"/>
  <c r="H1652" i="13" s="1"/>
  <c r="D1652" i="13"/>
  <c r="K1651" i="13"/>
  <c r="G1651" i="13"/>
  <c r="I1651" i="13" s="1"/>
  <c r="F1651" i="13"/>
  <c r="H1651" i="13" s="1"/>
  <c r="D1651" i="13"/>
  <c r="K1667" i="13"/>
  <c r="G1667" i="13"/>
  <c r="I1667" i="13" s="1"/>
  <c r="J1667" i="13" s="1"/>
  <c r="F1667" i="13"/>
  <c r="H1667" i="13" s="1"/>
  <c r="D1667" i="13"/>
  <c r="K1666" i="13"/>
  <c r="G1666" i="13"/>
  <c r="I1666" i="13" s="1"/>
  <c r="F1666" i="13"/>
  <c r="H1666" i="13" s="1"/>
  <c r="D1666" i="13"/>
  <c r="K1665" i="13"/>
  <c r="G1665" i="13"/>
  <c r="I1665" i="13" s="1"/>
  <c r="J1665" i="13" s="1"/>
  <c r="F1665" i="13"/>
  <c r="H1665" i="13" s="1"/>
  <c r="D1665" i="13"/>
  <c r="K1664" i="13"/>
  <c r="I1664" i="13"/>
  <c r="G1664" i="13"/>
  <c r="F1664" i="13"/>
  <c r="H1664" i="13" s="1"/>
  <c r="D1664" i="13"/>
  <c r="K1663" i="13"/>
  <c r="G1663" i="13"/>
  <c r="I1663" i="13" s="1"/>
  <c r="F1663" i="13"/>
  <c r="H1663" i="13" s="1"/>
  <c r="D1663" i="13"/>
  <c r="K1662" i="13"/>
  <c r="G1662" i="13"/>
  <c r="I1662" i="13" s="1"/>
  <c r="F1662" i="13"/>
  <c r="H1662" i="13" s="1"/>
  <c r="D1662" i="13"/>
  <c r="K1661" i="13"/>
  <c r="G1661" i="13"/>
  <c r="I1661" i="13" s="1"/>
  <c r="J1661" i="13" s="1"/>
  <c r="F1661" i="13"/>
  <c r="H1661" i="13" s="1"/>
  <c r="D1661" i="13"/>
  <c r="K1660" i="13"/>
  <c r="G1660" i="13"/>
  <c r="I1660" i="13" s="1"/>
  <c r="F1660" i="13"/>
  <c r="H1660" i="13" s="1"/>
  <c r="J1660" i="13" s="1"/>
  <c r="D1660" i="13"/>
  <c r="K1676" i="13"/>
  <c r="H1676" i="13"/>
  <c r="G1676" i="13"/>
  <c r="I1676" i="13" s="1"/>
  <c r="F1676" i="13"/>
  <c r="D1676" i="13"/>
  <c r="K1675" i="13"/>
  <c r="G1675" i="13"/>
  <c r="I1675" i="13" s="1"/>
  <c r="J1675" i="13" s="1"/>
  <c r="F1675" i="13"/>
  <c r="H1675" i="13" s="1"/>
  <c r="D1675" i="13"/>
  <c r="K1674" i="13"/>
  <c r="I1674" i="13"/>
  <c r="J1674" i="13" s="1"/>
  <c r="G1674" i="13"/>
  <c r="F1674" i="13"/>
  <c r="H1674" i="13" s="1"/>
  <c r="D1674" i="13"/>
  <c r="K1673" i="13"/>
  <c r="G1673" i="13"/>
  <c r="I1673" i="13" s="1"/>
  <c r="F1673" i="13"/>
  <c r="H1673" i="13" s="1"/>
  <c r="J1673" i="13" s="1"/>
  <c r="D1673" i="13"/>
  <c r="K1672" i="13"/>
  <c r="I1672" i="13"/>
  <c r="G1672" i="13"/>
  <c r="F1672" i="13"/>
  <c r="H1672" i="13" s="1"/>
  <c r="D1672" i="13"/>
  <c r="K1671" i="13"/>
  <c r="G1671" i="13"/>
  <c r="I1671" i="13" s="1"/>
  <c r="F1671" i="13"/>
  <c r="H1671" i="13" s="1"/>
  <c r="D1671" i="13"/>
  <c r="K1670" i="13"/>
  <c r="G1670" i="13"/>
  <c r="I1670" i="13" s="1"/>
  <c r="J1670" i="13" s="1"/>
  <c r="F1670" i="13"/>
  <c r="H1670" i="13" s="1"/>
  <c r="D1670" i="13"/>
  <c r="K1669" i="13"/>
  <c r="G1669" i="13"/>
  <c r="I1669" i="13" s="1"/>
  <c r="J1669" i="13" s="1"/>
  <c r="F1669" i="13"/>
  <c r="H1669" i="13" s="1"/>
  <c r="D1669" i="13"/>
  <c r="K1668" i="13"/>
  <c r="G1668" i="13"/>
  <c r="I1668" i="13" s="1"/>
  <c r="F1668" i="13"/>
  <c r="H1668" i="13" s="1"/>
  <c r="D1668" i="13"/>
  <c r="K1680" i="13"/>
  <c r="H1680" i="13"/>
  <c r="G1680" i="13"/>
  <c r="I1680" i="13" s="1"/>
  <c r="F1680" i="13"/>
  <c r="D1680" i="13"/>
  <c r="K1679" i="13"/>
  <c r="G1679" i="13"/>
  <c r="I1679" i="13" s="1"/>
  <c r="F1679" i="13"/>
  <c r="H1679" i="13" s="1"/>
  <c r="D1679" i="13"/>
  <c r="K1678" i="13"/>
  <c r="G1678" i="13"/>
  <c r="I1678" i="13" s="1"/>
  <c r="J1678" i="13" s="1"/>
  <c r="F1678" i="13"/>
  <c r="H1678" i="13" s="1"/>
  <c r="D1678" i="13"/>
  <c r="K1677" i="13"/>
  <c r="G1677" i="13"/>
  <c r="I1677" i="13" s="1"/>
  <c r="F1677" i="13"/>
  <c r="H1677" i="13" s="1"/>
  <c r="D1677" i="13"/>
  <c r="K1688" i="13"/>
  <c r="G1688" i="13"/>
  <c r="I1688" i="13" s="1"/>
  <c r="J1688" i="13" s="1"/>
  <c r="F1688" i="13"/>
  <c r="H1688" i="13" s="1"/>
  <c r="D1688" i="13"/>
  <c r="K1687" i="13"/>
  <c r="G1687" i="13"/>
  <c r="I1687" i="13" s="1"/>
  <c r="J1687" i="13" s="1"/>
  <c r="F1687" i="13"/>
  <c r="H1687" i="13" s="1"/>
  <c r="D1687" i="13"/>
  <c r="K1686" i="13"/>
  <c r="G1686" i="13"/>
  <c r="I1686" i="13" s="1"/>
  <c r="J1686" i="13" s="1"/>
  <c r="F1686" i="13"/>
  <c r="H1686" i="13" s="1"/>
  <c r="D1686" i="13"/>
  <c r="K1685" i="13"/>
  <c r="H1685" i="13"/>
  <c r="G1685" i="13"/>
  <c r="I1685" i="13" s="1"/>
  <c r="F1685" i="13"/>
  <c r="D1685" i="13"/>
  <c r="K1684" i="13"/>
  <c r="G1684" i="13"/>
  <c r="I1684" i="13" s="1"/>
  <c r="F1684" i="13"/>
  <c r="H1684" i="13" s="1"/>
  <c r="D1684" i="13"/>
  <c r="K1683" i="13"/>
  <c r="G1683" i="13"/>
  <c r="I1683" i="13" s="1"/>
  <c r="F1683" i="13"/>
  <c r="H1683" i="13" s="1"/>
  <c r="D1683" i="13"/>
  <c r="K1682" i="13"/>
  <c r="G1682" i="13"/>
  <c r="I1682" i="13" s="1"/>
  <c r="F1682" i="13"/>
  <c r="H1682" i="13" s="1"/>
  <c r="D1682" i="13"/>
  <c r="K1681" i="13"/>
  <c r="H1681" i="13"/>
  <c r="G1681" i="13"/>
  <c r="I1681" i="13" s="1"/>
  <c r="F1681" i="13"/>
  <c r="D1681" i="13"/>
  <c r="K1696" i="13"/>
  <c r="G1696" i="13"/>
  <c r="I1696" i="13" s="1"/>
  <c r="F1696" i="13"/>
  <c r="H1696" i="13" s="1"/>
  <c r="D1696" i="13"/>
  <c r="K1695" i="13"/>
  <c r="I1695" i="13"/>
  <c r="G1695" i="13"/>
  <c r="F1695" i="13"/>
  <c r="H1695" i="13" s="1"/>
  <c r="D1695" i="13"/>
  <c r="K1694" i="13"/>
  <c r="G1694" i="13"/>
  <c r="I1694" i="13" s="1"/>
  <c r="F1694" i="13"/>
  <c r="H1694" i="13" s="1"/>
  <c r="D1694" i="13"/>
  <c r="K1693" i="13"/>
  <c r="G1693" i="13"/>
  <c r="I1693" i="13" s="1"/>
  <c r="F1693" i="13"/>
  <c r="H1693" i="13" s="1"/>
  <c r="D1693" i="13"/>
  <c r="K1692" i="13"/>
  <c r="G1692" i="13"/>
  <c r="I1692" i="13" s="1"/>
  <c r="F1692" i="13"/>
  <c r="H1692" i="13" s="1"/>
  <c r="J1692" i="13" s="1"/>
  <c r="D1692" i="13"/>
  <c r="K1691" i="13"/>
  <c r="G1691" i="13"/>
  <c r="I1691" i="13" s="1"/>
  <c r="F1691" i="13"/>
  <c r="H1691" i="13" s="1"/>
  <c r="D1691" i="13"/>
  <c r="K1690" i="13"/>
  <c r="G1690" i="13"/>
  <c r="I1690" i="13" s="1"/>
  <c r="F1690" i="13"/>
  <c r="H1690" i="13" s="1"/>
  <c r="D1690" i="13"/>
  <c r="K1689" i="13"/>
  <c r="H1689" i="13"/>
  <c r="G1689" i="13"/>
  <c r="I1689" i="13" s="1"/>
  <c r="F1689" i="13"/>
  <c r="D1689" i="13"/>
  <c r="K1701" i="13"/>
  <c r="G1701" i="13"/>
  <c r="I1701" i="13" s="1"/>
  <c r="F1701" i="13"/>
  <c r="H1701" i="13" s="1"/>
  <c r="D1701" i="13"/>
  <c r="K1700" i="13"/>
  <c r="G1700" i="13"/>
  <c r="I1700" i="13" s="1"/>
  <c r="J1700" i="13" s="1"/>
  <c r="F1700" i="13"/>
  <c r="H1700" i="13" s="1"/>
  <c r="D1700" i="13"/>
  <c r="K1699" i="13"/>
  <c r="G1699" i="13"/>
  <c r="I1699" i="13" s="1"/>
  <c r="F1699" i="13"/>
  <c r="H1699" i="13" s="1"/>
  <c r="D1699" i="13"/>
  <c r="K1698" i="13"/>
  <c r="I1698" i="13"/>
  <c r="G1698" i="13"/>
  <c r="F1698" i="13"/>
  <c r="H1698" i="13" s="1"/>
  <c r="D1698" i="13"/>
  <c r="K1697" i="13"/>
  <c r="G1697" i="13"/>
  <c r="I1697" i="13" s="1"/>
  <c r="F1697" i="13"/>
  <c r="H1697" i="13" s="1"/>
  <c r="D1697" i="13"/>
  <c r="K1710" i="13"/>
  <c r="G1710" i="13"/>
  <c r="I1710" i="13" s="1"/>
  <c r="F1710" i="13"/>
  <c r="H1710" i="13" s="1"/>
  <c r="D1710" i="13"/>
  <c r="K1709" i="13"/>
  <c r="G1709" i="13"/>
  <c r="I1709" i="13" s="1"/>
  <c r="F1709" i="13"/>
  <c r="H1709" i="13" s="1"/>
  <c r="D1709" i="13"/>
  <c r="K1708" i="13"/>
  <c r="G1708" i="13"/>
  <c r="I1708" i="13" s="1"/>
  <c r="F1708" i="13"/>
  <c r="H1708" i="13" s="1"/>
  <c r="D1708" i="13"/>
  <c r="K1707" i="13"/>
  <c r="H1707" i="13"/>
  <c r="G1707" i="13"/>
  <c r="I1707" i="13" s="1"/>
  <c r="F1707" i="13"/>
  <c r="D1707" i="13"/>
  <c r="K1706" i="13"/>
  <c r="G1706" i="13"/>
  <c r="I1706" i="13" s="1"/>
  <c r="F1706" i="13"/>
  <c r="H1706" i="13" s="1"/>
  <c r="D1706" i="13"/>
  <c r="K1705" i="13"/>
  <c r="G1705" i="13"/>
  <c r="I1705" i="13" s="1"/>
  <c r="F1705" i="13"/>
  <c r="H1705" i="13" s="1"/>
  <c r="D1705" i="13"/>
  <c r="K1704" i="13"/>
  <c r="G1704" i="13"/>
  <c r="I1704" i="13" s="1"/>
  <c r="F1704" i="13"/>
  <c r="H1704" i="13" s="1"/>
  <c r="D1704" i="13"/>
  <c r="K1703" i="13"/>
  <c r="H1703" i="13"/>
  <c r="G1703" i="13"/>
  <c r="I1703" i="13" s="1"/>
  <c r="F1703" i="13"/>
  <c r="D1703" i="13"/>
  <c r="K1702" i="13"/>
  <c r="G1702" i="13"/>
  <c r="I1702" i="13" s="1"/>
  <c r="F1702" i="13"/>
  <c r="H1702" i="13" s="1"/>
  <c r="D1702" i="13"/>
  <c r="K1719" i="13"/>
  <c r="I1719" i="13"/>
  <c r="J1719" i="13" s="1"/>
  <c r="G1719" i="13"/>
  <c r="F1719" i="13"/>
  <c r="H1719" i="13" s="1"/>
  <c r="D1719" i="13"/>
  <c r="K1718" i="13"/>
  <c r="G1718" i="13"/>
  <c r="I1718" i="13" s="1"/>
  <c r="F1718" i="13"/>
  <c r="H1718" i="13" s="1"/>
  <c r="D1718" i="13"/>
  <c r="K1717" i="13"/>
  <c r="G1717" i="13"/>
  <c r="I1717" i="13" s="1"/>
  <c r="F1717" i="13"/>
  <c r="H1717" i="13" s="1"/>
  <c r="D1717" i="13"/>
  <c r="K1716" i="13"/>
  <c r="G1716" i="13"/>
  <c r="I1716" i="13" s="1"/>
  <c r="F1716" i="13"/>
  <c r="H1716" i="13" s="1"/>
  <c r="D1716" i="13"/>
  <c r="K1715" i="13"/>
  <c r="G1715" i="13"/>
  <c r="I1715" i="13" s="1"/>
  <c r="F1715" i="13"/>
  <c r="H1715" i="13" s="1"/>
  <c r="D1715" i="13"/>
  <c r="K1714" i="13"/>
  <c r="I1714" i="13"/>
  <c r="G1714" i="13"/>
  <c r="F1714" i="13"/>
  <c r="H1714" i="13" s="1"/>
  <c r="D1714" i="13"/>
  <c r="K1713" i="13"/>
  <c r="G1713" i="13"/>
  <c r="I1713" i="13" s="1"/>
  <c r="F1713" i="13"/>
  <c r="H1713" i="13" s="1"/>
  <c r="D1713" i="13"/>
  <c r="K1712" i="13"/>
  <c r="G1712" i="13"/>
  <c r="I1712" i="13" s="1"/>
  <c r="F1712" i="13"/>
  <c r="H1712" i="13" s="1"/>
  <c r="D1712" i="13"/>
  <c r="K1711" i="13"/>
  <c r="I1711" i="13"/>
  <c r="G1711" i="13"/>
  <c r="F1711" i="13"/>
  <c r="H1711" i="13" s="1"/>
  <c r="J1711" i="13" s="1"/>
  <c r="D1711" i="13"/>
  <c r="K1726" i="13"/>
  <c r="G1726" i="13"/>
  <c r="I1726" i="13" s="1"/>
  <c r="F1726" i="13"/>
  <c r="H1726" i="13" s="1"/>
  <c r="D1726" i="13"/>
  <c r="K1725" i="13"/>
  <c r="G1725" i="13"/>
  <c r="I1725" i="13" s="1"/>
  <c r="F1725" i="13"/>
  <c r="H1725" i="13" s="1"/>
  <c r="D1725" i="13"/>
  <c r="K1724" i="13"/>
  <c r="G1724" i="13"/>
  <c r="I1724" i="13" s="1"/>
  <c r="F1724" i="13"/>
  <c r="H1724" i="13" s="1"/>
  <c r="D1724" i="13"/>
  <c r="K1723" i="13"/>
  <c r="I1723" i="13"/>
  <c r="H1723" i="13"/>
  <c r="G1723" i="13"/>
  <c r="F1723" i="13"/>
  <c r="D1723" i="13"/>
  <c r="K1722" i="13"/>
  <c r="G1722" i="13"/>
  <c r="I1722" i="13" s="1"/>
  <c r="F1722" i="13"/>
  <c r="H1722" i="13" s="1"/>
  <c r="D1722" i="13"/>
  <c r="K1721" i="13"/>
  <c r="G1721" i="13"/>
  <c r="I1721" i="13" s="1"/>
  <c r="F1721" i="13"/>
  <c r="H1721" i="13" s="1"/>
  <c r="D1721" i="13"/>
  <c r="K1720" i="13"/>
  <c r="G1720" i="13"/>
  <c r="I1720" i="13" s="1"/>
  <c r="F1720" i="13"/>
  <c r="H1720" i="13" s="1"/>
  <c r="D1720" i="13"/>
  <c r="K1729" i="13"/>
  <c r="G1729" i="13"/>
  <c r="I1729" i="13" s="1"/>
  <c r="J1729" i="13" s="1"/>
  <c r="F1729" i="13"/>
  <c r="H1729" i="13" s="1"/>
  <c r="D1729" i="13"/>
  <c r="K1728" i="13"/>
  <c r="G1728" i="13"/>
  <c r="I1728" i="13" s="1"/>
  <c r="F1728" i="13"/>
  <c r="H1728" i="13" s="1"/>
  <c r="D1728" i="13"/>
  <c r="K1727" i="13"/>
  <c r="G1727" i="13"/>
  <c r="I1727" i="13" s="1"/>
  <c r="F1727" i="13"/>
  <c r="H1727" i="13" s="1"/>
  <c r="J1727" i="13" s="1"/>
  <c r="D1727" i="13"/>
  <c r="K1736" i="13"/>
  <c r="G1736" i="13"/>
  <c r="I1736" i="13" s="1"/>
  <c r="F1736" i="13"/>
  <c r="H1736" i="13" s="1"/>
  <c r="D1736" i="13"/>
  <c r="K1735" i="13"/>
  <c r="G1735" i="13"/>
  <c r="I1735" i="13" s="1"/>
  <c r="F1735" i="13"/>
  <c r="H1735" i="13" s="1"/>
  <c r="D1735" i="13"/>
  <c r="K1734" i="13"/>
  <c r="I1734" i="13"/>
  <c r="H1734" i="13"/>
  <c r="G1734" i="13"/>
  <c r="F1734" i="13"/>
  <c r="D1734" i="13"/>
  <c r="K1733" i="13"/>
  <c r="G1733" i="13"/>
  <c r="I1733" i="13" s="1"/>
  <c r="F1733" i="13"/>
  <c r="H1733" i="13" s="1"/>
  <c r="D1733" i="13"/>
  <c r="K1732" i="13"/>
  <c r="G1732" i="13"/>
  <c r="I1732" i="13" s="1"/>
  <c r="J1732" i="13" s="1"/>
  <c r="F1732" i="13"/>
  <c r="H1732" i="13" s="1"/>
  <c r="D1732" i="13"/>
  <c r="K1731" i="13"/>
  <c r="I1731" i="13"/>
  <c r="G1731" i="13"/>
  <c r="F1731" i="13"/>
  <c r="H1731" i="13" s="1"/>
  <c r="J1731" i="13" s="1"/>
  <c r="D1731" i="13"/>
  <c r="K1730" i="13"/>
  <c r="H1730" i="13"/>
  <c r="G1730" i="13"/>
  <c r="I1730" i="13" s="1"/>
  <c r="F1730" i="13"/>
  <c r="D1730" i="13"/>
  <c r="K1741" i="13"/>
  <c r="H1741" i="13"/>
  <c r="G1741" i="13"/>
  <c r="I1741" i="13" s="1"/>
  <c r="F1741" i="13"/>
  <c r="D1741" i="13"/>
  <c r="K1740" i="13"/>
  <c r="G1740" i="13"/>
  <c r="I1740" i="13" s="1"/>
  <c r="F1740" i="13"/>
  <c r="H1740" i="13" s="1"/>
  <c r="D1740" i="13"/>
  <c r="K1739" i="13"/>
  <c r="G1739" i="13"/>
  <c r="I1739" i="13" s="1"/>
  <c r="J1739" i="13" s="1"/>
  <c r="F1739" i="13"/>
  <c r="H1739" i="13" s="1"/>
  <c r="D1739" i="13"/>
  <c r="K1738" i="13"/>
  <c r="G1738" i="13"/>
  <c r="I1738" i="13" s="1"/>
  <c r="F1738" i="13"/>
  <c r="H1738" i="13" s="1"/>
  <c r="D1738" i="13"/>
  <c r="K1737" i="13"/>
  <c r="H1737" i="13"/>
  <c r="G1737" i="13"/>
  <c r="I1737" i="13" s="1"/>
  <c r="J1737" i="13" s="1"/>
  <c r="F1737" i="13"/>
  <c r="D1737" i="13"/>
  <c r="K1745" i="13"/>
  <c r="G1745" i="13"/>
  <c r="I1745" i="13" s="1"/>
  <c r="F1745" i="13"/>
  <c r="H1745" i="13" s="1"/>
  <c r="D1745" i="13"/>
  <c r="K1744" i="13"/>
  <c r="I1744" i="13"/>
  <c r="J1744" i="13" s="1"/>
  <c r="G1744" i="13"/>
  <c r="F1744" i="13"/>
  <c r="H1744" i="13" s="1"/>
  <c r="D1744" i="13"/>
  <c r="K1743" i="13"/>
  <c r="G1743" i="13"/>
  <c r="I1743" i="13" s="1"/>
  <c r="F1743" i="13"/>
  <c r="H1743" i="13" s="1"/>
  <c r="D1743" i="13"/>
  <c r="K1742" i="13"/>
  <c r="G1742" i="13"/>
  <c r="I1742" i="13" s="1"/>
  <c r="F1742" i="13"/>
  <c r="H1742" i="13" s="1"/>
  <c r="J1742" i="13" s="1"/>
  <c r="D1742" i="13"/>
  <c r="K1753" i="13"/>
  <c r="G1753" i="13"/>
  <c r="I1753" i="13" s="1"/>
  <c r="F1753" i="13"/>
  <c r="H1753" i="13" s="1"/>
  <c r="D1753" i="13"/>
  <c r="K1752" i="13"/>
  <c r="G1752" i="13"/>
  <c r="I1752" i="13" s="1"/>
  <c r="J1752" i="13" s="1"/>
  <c r="F1752" i="13"/>
  <c r="H1752" i="13" s="1"/>
  <c r="D1752" i="13"/>
  <c r="K1751" i="13"/>
  <c r="I1751" i="13"/>
  <c r="G1751" i="13"/>
  <c r="F1751" i="13"/>
  <c r="H1751" i="13" s="1"/>
  <c r="D1751" i="13"/>
  <c r="K1750" i="13"/>
  <c r="G1750" i="13"/>
  <c r="I1750" i="13" s="1"/>
  <c r="F1750" i="13"/>
  <c r="H1750" i="13" s="1"/>
  <c r="D1750" i="13"/>
  <c r="K1749" i="13"/>
  <c r="G1749" i="13"/>
  <c r="I1749" i="13" s="1"/>
  <c r="F1749" i="13"/>
  <c r="H1749" i="13" s="1"/>
  <c r="D1749" i="13"/>
  <c r="K1748" i="13"/>
  <c r="I1748" i="13"/>
  <c r="H1748" i="13"/>
  <c r="G1748" i="13"/>
  <c r="F1748" i="13"/>
  <c r="D1748" i="13"/>
  <c r="K1747" i="13"/>
  <c r="G1747" i="13"/>
  <c r="I1747" i="13" s="1"/>
  <c r="F1747" i="13"/>
  <c r="H1747" i="13" s="1"/>
  <c r="D1747" i="13"/>
  <c r="K1746" i="13"/>
  <c r="G1746" i="13"/>
  <c r="I1746" i="13" s="1"/>
  <c r="F1746" i="13"/>
  <c r="H1746" i="13" s="1"/>
  <c r="D1746" i="13"/>
  <c r="K1761" i="13"/>
  <c r="I1761" i="13"/>
  <c r="G1761" i="13"/>
  <c r="F1761" i="13"/>
  <c r="H1761" i="13" s="1"/>
  <c r="D1761" i="13"/>
  <c r="K1760" i="13"/>
  <c r="G1760" i="13"/>
  <c r="I1760" i="13" s="1"/>
  <c r="F1760" i="13"/>
  <c r="H1760" i="13" s="1"/>
  <c r="D1760" i="13"/>
  <c r="K1759" i="13"/>
  <c r="H1759" i="13"/>
  <c r="G1759" i="13"/>
  <c r="I1759" i="13" s="1"/>
  <c r="F1759" i="13"/>
  <c r="D1759" i="13"/>
  <c r="K1758" i="13"/>
  <c r="H1758" i="13"/>
  <c r="J1758" i="13" s="1"/>
  <c r="G1758" i="13"/>
  <c r="I1758" i="13" s="1"/>
  <c r="F1758" i="13"/>
  <c r="D1758" i="13"/>
  <c r="K1757" i="13"/>
  <c r="G1757" i="13"/>
  <c r="I1757" i="13" s="1"/>
  <c r="F1757" i="13"/>
  <c r="H1757" i="13" s="1"/>
  <c r="D1757" i="13"/>
  <c r="K1756" i="13"/>
  <c r="G1756" i="13"/>
  <c r="I1756" i="13" s="1"/>
  <c r="F1756" i="13"/>
  <c r="H1756" i="13" s="1"/>
  <c r="D1756" i="13"/>
  <c r="K1755" i="13"/>
  <c r="G1755" i="13"/>
  <c r="I1755" i="13" s="1"/>
  <c r="F1755" i="13"/>
  <c r="H1755" i="13" s="1"/>
  <c r="D1755" i="13"/>
  <c r="K1754" i="13"/>
  <c r="G1754" i="13"/>
  <c r="I1754" i="13" s="1"/>
  <c r="J1754" i="13" s="1"/>
  <c r="F1754" i="13"/>
  <c r="H1754" i="13" s="1"/>
  <c r="D1754" i="13"/>
  <c r="K1771" i="13"/>
  <c r="I1771" i="13"/>
  <c r="G1771" i="13"/>
  <c r="F1771" i="13"/>
  <c r="H1771" i="13" s="1"/>
  <c r="D1771" i="13"/>
  <c r="K1770" i="13"/>
  <c r="G1770" i="13"/>
  <c r="I1770" i="13" s="1"/>
  <c r="F1770" i="13"/>
  <c r="H1770" i="13" s="1"/>
  <c r="D1770" i="13"/>
  <c r="K1769" i="13"/>
  <c r="H1769" i="13"/>
  <c r="G1769" i="13"/>
  <c r="I1769" i="13" s="1"/>
  <c r="J1769" i="13" s="1"/>
  <c r="F1769" i="13"/>
  <c r="D1769" i="13"/>
  <c r="K1768" i="13"/>
  <c r="G1768" i="13"/>
  <c r="I1768" i="13" s="1"/>
  <c r="F1768" i="13"/>
  <c r="H1768" i="13" s="1"/>
  <c r="D1768" i="13"/>
  <c r="K1767" i="13"/>
  <c r="I1767" i="13"/>
  <c r="J1767" i="13" s="1"/>
  <c r="G1767" i="13"/>
  <c r="F1767" i="13"/>
  <c r="H1767" i="13" s="1"/>
  <c r="D1767" i="13"/>
  <c r="K1766" i="13"/>
  <c r="G1766" i="13"/>
  <c r="I1766" i="13" s="1"/>
  <c r="F1766" i="13"/>
  <c r="H1766" i="13" s="1"/>
  <c r="D1766" i="13"/>
  <c r="K1765" i="13"/>
  <c r="G1765" i="13"/>
  <c r="I1765" i="13" s="1"/>
  <c r="F1765" i="13"/>
  <c r="H1765" i="13" s="1"/>
  <c r="D1765" i="13"/>
  <c r="K1764" i="13"/>
  <c r="G1764" i="13"/>
  <c r="I1764" i="13" s="1"/>
  <c r="F1764" i="13"/>
  <c r="H1764" i="13" s="1"/>
  <c r="D1764" i="13"/>
  <c r="K1763" i="13"/>
  <c r="G1763" i="13"/>
  <c r="I1763" i="13" s="1"/>
  <c r="F1763" i="13"/>
  <c r="H1763" i="13" s="1"/>
  <c r="D1763" i="13"/>
  <c r="K1762" i="13"/>
  <c r="I1762" i="13"/>
  <c r="H1762" i="13"/>
  <c r="G1762" i="13"/>
  <c r="F1762" i="13"/>
  <c r="D1762" i="13"/>
  <c r="K1782" i="13"/>
  <c r="G1782" i="13"/>
  <c r="I1782" i="13" s="1"/>
  <c r="F1782" i="13"/>
  <c r="H1782" i="13" s="1"/>
  <c r="D1782" i="13"/>
  <c r="K1781" i="13"/>
  <c r="G1781" i="13"/>
  <c r="I1781" i="13" s="1"/>
  <c r="F1781" i="13"/>
  <c r="H1781" i="13" s="1"/>
  <c r="J1781" i="13" s="1"/>
  <c r="D1781" i="13"/>
  <c r="K1780" i="13"/>
  <c r="G1780" i="13"/>
  <c r="I1780" i="13" s="1"/>
  <c r="F1780" i="13"/>
  <c r="H1780" i="13" s="1"/>
  <c r="D1780" i="13"/>
  <c r="K1779" i="13"/>
  <c r="I1779" i="13"/>
  <c r="J1779" i="13" s="1"/>
  <c r="G1779" i="13"/>
  <c r="F1779" i="13"/>
  <c r="H1779" i="13" s="1"/>
  <c r="D1779" i="13"/>
  <c r="K1778" i="13"/>
  <c r="G1778" i="13"/>
  <c r="I1778" i="13" s="1"/>
  <c r="F1778" i="13"/>
  <c r="H1778" i="13" s="1"/>
  <c r="D1778" i="13"/>
  <c r="K1777" i="13"/>
  <c r="G1777" i="13"/>
  <c r="I1777" i="13" s="1"/>
  <c r="F1777" i="13"/>
  <c r="H1777" i="13" s="1"/>
  <c r="D1777" i="13"/>
  <c r="K1776" i="13"/>
  <c r="G1776" i="13"/>
  <c r="I1776" i="13" s="1"/>
  <c r="J1776" i="13" s="1"/>
  <c r="F1776" i="13"/>
  <c r="H1776" i="13" s="1"/>
  <c r="D1776" i="13"/>
  <c r="K1775" i="13"/>
  <c r="G1775" i="13"/>
  <c r="I1775" i="13" s="1"/>
  <c r="F1775" i="13"/>
  <c r="H1775" i="13" s="1"/>
  <c r="D1775" i="13"/>
  <c r="K1774" i="13"/>
  <c r="G1774" i="13"/>
  <c r="I1774" i="13" s="1"/>
  <c r="F1774" i="13"/>
  <c r="H1774" i="13" s="1"/>
  <c r="D1774" i="13"/>
  <c r="K1773" i="13"/>
  <c r="G1773" i="13"/>
  <c r="I1773" i="13" s="1"/>
  <c r="J1773" i="13" s="1"/>
  <c r="F1773" i="13"/>
  <c r="H1773" i="13" s="1"/>
  <c r="D1773" i="13"/>
  <c r="K1772" i="13"/>
  <c r="G1772" i="13"/>
  <c r="I1772" i="13" s="1"/>
  <c r="J1772" i="13" s="1"/>
  <c r="F1772" i="13"/>
  <c r="H1772" i="13" s="1"/>
  <c r="D1772" i="13"/>
  <c r="K1787" i="13"/>
  <c r="G1787" i="13"/>
  <c r="I1787" i="13" s="1"/>
  <c r="F1787" i="13"/>
  <c r="H1787" i="13" s="1"/>
  <c r="D1787" i="13"/>
  <c r="K1786" i="13"/>
  <c r="I1786" i="13"/>
  <c r="G1786" i="13"/>
  <c r="F1786" i="13"/>
  <c r="H1786" i="13" s="1"/>
  <c r="D1786" i="13"/>
  <c r="K1785" i="13"/>
  <c r="G1785" i="13"/>
  <c r="I1785" i="13" s="1"/>
  <c r="F1785" i="13"/>
  <c r="H1785" i="13" s="1"/>
  <c r="D1785" i="13"/>
  <c r="K1784" i="13"/>
  <c r="I1784" i="13"/>
  <c r="G1784" i="13"/>
  <c r="F1784" i="13"/>
  <c r="H1784" i="13" s="1"/>
  <c r="D1784" i="13"/>
  <c r="K1783" i="13"/>
  <c r="G1783" i="13"/>
  <c r="I1783" i="13" s="1"/>
  <c r="F1783" i="13"/>
  <c r="H1783" i="13" s="1"/>
  <c r="D1783" i="13"/>
  <c r="K1794" i="13"/>
  <c r="G1794" i="13"/>
  <c r="I1794" i="13" s="1"/>
  <c r="F1794" i="13"/>
  <c r="H1794" i="13" s="1"/>
  <c r="D1794" i="13"/>
  <c r="K1793" i="13"/>
  <c r="H1793" i="13"/>
  <c r="G1793" i="13"/>
  <c r="I1793" i="13" s="1"/>
  <c r="F1793" i="13"/>
  <c r="D1793" i="13"/>
  <c r="K1792" i="13"/>
  <c r="G1792" i="13"/>
  <c r="I1792" i="13" s="1"/>
  <c r="F1792" i="13"/>
  <c r="H1792" i="13" s="1"/>
  <c r="D1792" i="13"/>
  <c r="K1791" i="13"/>
  <c r="G1791" i="13"/>
  <c r="I1791" i="13" s="1"/>
  <c r="F1791" i="13"/>
  <c r="H1791" i="13" s="1"/>
  <c r="D1791" i="13"/>
  <c r="K1790" i="13"/>
  <c r="G1790" i="13"/>
  <c r="I1790" i="13" s="1"/>
  <c r="F1790" i="13"/>
  <c r="H1790" i="13" s="1"/>
  <c r="D1790" i="13"/>
  <c r="K1789" i="13"/>
  <c r="G1789" i="13"/>
  <c r="I1789" i="13" s="1"/>
  <c r="J1789" i="13" s="1"/>
  <c r="F1789" i="13"/>
  <c r="H1789" i="13" s="1"/>
  <c r="D1789" i="13"/>
  <c r="K1788" i="13"/>
  <c r="G1788" i="13"/>
  <c r="I1788" i="13" s="1"/>
  <c r="J1788" i="13" s="1"/>
  <c r="F1788" i="13"/>
  <c r="H1788" i="13" s="1"/>
  <c r="D1788" i="13"/>
  <c r="K1800" i="13"/>
  <c r="I1800" i="13"/>
  <c r="G1800" i="13"/>
  <c r="F1800" i="13"/>
  <c r="H1800" i="13" s="1"/>
  <c r="D1800" i="13"/>
  <c r="K1799" i="13"/>
  <c r="G1799" i="13"/>
  <c r="I1799" i="13" s="1"/>
  <c r="F1799" i="13"/>
  <c r="H1799" i="13" s="1"/>
  <c r="D1799" i="13"/>
  <c r="K1798" i="13"/>
  <c r="G1798" i="13"/>
  <c r="I1798" i="13" s="1"/>
  <c r="F1798" i="13"/>
  <c r="H1798" i="13" s="1"/>
  <c r="D1798" i="13"/>
  <c r="K1797" i="13"/>
  <c r="G1797" i="13"/>
  <c r="I1797" i="13" s="1"/>
  <c r="F1797" i="13"/>
  <c r="H1797" i="13" s="1"/>
  <c r="D1797" i="13"/>
  <c r="K1796" i="13"/>
  <c r="G1796" i="13"/>
  <c r="I1796" i="13" s="1"/>
  <c r="J1796" i="13" s="1"/>
  <c r="F1796" i="13"/>
  <c r="H1796" i="13" s="1"/>
  <c r="D1796" i="13"/>
  <c r="K1795" i="13"/>
  <c r="G1795" i="13"/>
  <c r="I1795" i="13" s="1"/>
  <c r="F1795" i="13"/>
  <c r="H1795" i="13" s="1"/>
  <c r="D1795" i="13"/>
  <c r="K1806" i="13"/>
  <c r="I1806" i="13"/>
  <c r="J1806" i="13" s="1"/>
  <c r="G1806" i="13"/>
  <c r="F1806" i="13"/>
  <c r="H1806" i="13" s="1"/>
  <c r="D1806" i="13"/>
  <c r="K1805" i="13"/>
  <c r="G1805" i="13"/>
  <c r="I1805" i="13" s="1"/>
  <c r="F1805" i="13"/>
  <c r="H1805" i="13" s="1"/>
  <c r="D1805" i="13"/>
  <c r="K1804" i="13"/>
  <c r="G1804" i="13"/>
  <c r="I1804" i="13" s="1"/>
  <c r="F1804" i="13"/>
  <c r="H1804" i="13" s="1"/>
  <c r="D1804" i="13"/>
  <c r="K1803" i="13"/>
  <c r="G1803" i="13"/>
  <c r="I1803" i="13" s="1"/>
  <c r="F1803" i="13"/>
  <c r="H1803" i="13" s="1"/>
  <c r="D1803" i="13"/>
  <c r="K1802" i="13"/>
  <c r="G1802" i="13"/>
  <c r="I1802" i="13" s="1"/>
  <c r="F1802" i="13"/>
  <c r="H1802" i="13" s="1"/>
  <c r="D1802" i="13"/>
  <c r="K1801" i="13"/>
  <c r="G1801" i="13"/>
  <c r="I1801" i="13" s="1"/>
  <c r="F1801" i="13"/>
  <c r="H1801" i="13" s="1"/>
  <c r="D1801" i="13"/>
  <c r="K1812" i="13"/>
  <c r="G1812" i="13"/>
  <c r="I1812" i="13" s="1"/>
  <c r="F1812" i="13"/>
  <c r="H1812" i="13" s="1"/>
  <c r="D1812" i="13"/>
  <c r="K1811" i="13"/>
  <c r="H1811" i="13"/>
  <c r="G1811" i="13"/>
  <c r="I1811" i="13" s="1"/>
  <c r="J1811" i="13" s="1"/>
  <c r="F1811" i="13"/>
  <c r="D1811" i="13"/>
  <c r="K1810" i="13"/>
  <c r="G1810" i="13"/>
  <c r="I1810" i="13" s="1"/>
  <c r="F1810" i="13"/>
  <c r="H1810" i="13" s="1"/>
  <c r="D1810" i="13"/>
  <c r="K1809" i="13"/>
  <c r="G1809" i="13"/>
  <c r="I1809" i="13" s="1"/>
  <c r="F1809" i="13"/>
  <c r="H1809" i="13" s="1"/>
  <c r="D1809" i="13"/>
  <c r="K1808" i="13"/>
  <c r="G1808" i="13"/>
  <c r="I1808" i="13" s="1"/>
  <c r="F1808" i="13"/>
  <c r="H1808" i="13" s="1"/>
  <c r="D1808" i="13"/>
  <c r="K1807" i="13"/>
  <c r="I1807" i="13"/>
  <c r="G1807" i="13"/>
  <c r="F1807" i="13"/>
  <c r="H1807" i="13" s="1"/>
  <c r="D1807" i="13"/>
  <c r="K1816" i="13"/>
  <c r="G1816" i="13"/>
  <c r="I1816" i="13" s="1"/>
  <c r="F1816" i="13"/>
  <c r="H1816" i="13" s="1"/>
  <c r="D1816" i="13"/>
  <c r="K1815" i="13"/>
  <c r="G1815" i="13"/>
  <c r="I1815" i="13" s="1"/>
  <c r="F1815" i="13"/>
  <c r="H1815" i="13" s="1"/>
  <c r="D1815" i="13"/>
  <c r="K1814" i="13"/>
  <c r="G1814" i="13"/>
  <c r="I1814" i="13" s="1"/>
  <c r="F1814" i="13"/>
  <c r="H1814" i="13" s="1"/>
  <c r="D1814" i="13"/>
  <c r="K1813" i="13"/>
  <c r="H1813" i="13"/>
  <c r="G1813" i="13"/>
  <c r="I1813" i="13" s="1"/>
  <c r="J1813" i="13" s="1"/>
  <c r="F1813" i="13"/>
  <c r="D1813" i="13"/>
  <c r="K1822" i="13"/>
  <c r="G1822" i="13"/>
  <c r="I1822" i="13" s="1"/>
  <c r="F1822" i="13"/>
  <c r="H1822" i="13" s="1"/>
  <c r="D1822" i="13"/>
  <c r="K1821" i="13"/>
  <c r="G1821" i="13"/>
  <c r="I1821" i="13" s="1"/>
  <c r="F1821" i="13"/>
  <c r="H1821" i="13" s="1"/>
  <c r="D1821" i="13"/>
  <c r="K1820" i="13"/>
  <c r="G1820" i="13"/>
  <c r="I1820" i="13" s="1"/>
  <c r="F1820" i="13"/>
  <c r="H1820" i="13" s="1"/>
  <c r="D1820" i="13"/>
  <c r="K1819" i="13"/>
  <c r="I1819" i="13"/>
  <c r="G1819" i="13"/>
  <c r="F1819" i="13"/>
  <c r="H1819" i="13" s="1"/>
  <c r="D1819" i="13"/>
  <c r="K1818" i="13"/>
  <c r="G1818" i="13"/>
  <c r="I1818" i="13" s="1"/>
  <c r="F1818" i="13"/>
  <c r="H1818" i="13" s="1"/>
  <c r="D1818" i="13"/>
  <c r="K1817" i="13"/>
  <c r="G1817" i="13"/>
  <c r="I1817" i="13" s="1"/>
  <c r="F1817" i="13"/>
  <c r="H1817" i="13" s="1"/>
  <c r="D1817" i="13"/>
  <c r="K1828" i="13"/>
  <c r="G1828" i="13"/>
  <c r="I1828" i="13" s="1"/>
  <c r="F1828" i="13"/>
  <c r="H1828" i="13" s="1"/>
  <c r="D1828" i="13"/>
  <c r="K1827" i="13"/>
  <c r="H1827" i="13"/>
  <c r="G1827" i="13"/>
  <c r="I1827" i="13" s="1"/>
  <c r="J1827" i="13" s="1"/>
  <c r="F1827" i="13"/>
  <c r="D1827" i="13"/>
  <c r="K1826" i="13"/>
  <c r="G1826" i="13"/>
  <c r="I1826" i="13" s="1"/>
  <c r="F1826" i="13"/>
  <c r="H1826" i="13" s="1"/>
  <c r="D1826" i="13"/>
  <c r="K1825" i="13"/>
  <c r="G1825" i="13"/>
  <c r="I1825" i="13" s="1"/>
  <c r="F1825" i="13"/>
  <c r="H1825" i="13" s="1"/>
  <c r="D1825" i="13"/>
  <c r="K1824" i="13"/>
  <c r="G1824" i="13"/>
  <c r="I1824" i="13" s="1"/>
  <c r="F1824" i="13"/>
  <c r="H1824" i="13" s="1"/>
  <c r="D1824" i="13"/>
  <c r="K1823" i="13"/>
  <c r="I1823" i="13"/>
  <c r="G1823" i="13"/>
  <c r="F1823" i="13"/>
  <c r="H1823" i="13" s="1"/>
  <c r="D1823" i="13"/>
  <c r="K1835" i="13"/>
  <c r="G1835" i="13"/>
  <c r="I1835" i="13" s="1"/>
  <c r="F1835" i="13"/>
  <c r="H1835" i="13" s="1"/>
  <c r="D1835" i="13"/>
  <c r="K1834" i="13"/>
  <c r="G1834" i="13"/>
  <c r="I1834" i="13" s="1"/>
  <c r="F1834" i="13"/>
  <c r="H1834" i="13" s="1"/>
  <c r="D1834" i="13"/>
  <c r="K1833" i="13"/>
  <c r="G1833" i="13"/>
  <c r="I1833" i="13" s="1"/>
  <c r="F1833" i="13"/>
  <c r="H1833" i="13" s="1"/>
  <c r="D1833" i="13"/>
  <c r="K1832" i="13"/>
  <c r="H1832" i="13"/>
  <c r="G1832" i="13"/>
  <c r="I1832" i="13" s="1"/>
  <c r="J1832" i="13" s="1"/>
  <c r="F1832" i="13"/>
  <c r="D1832" i="13"/>
  <c r="K1831" i="13"/>
  <c r="G1831" i="13"/>
  <c r="I1831" i="13" s="1"/>
  <c r="F1831" i="13"/>
  <c r="H1831" i="13" s="1"/>
  <c r="D1831" i="13"/>
  <c r="K1830" i="13"/>
  <c r="G1830" i="13"/>
  <c r="I1830" i="13" s="1"/>
  <c r="F1830" i="13"/>
  <c r="H1830" i="13" s="1"/>
  <c r="D1830" i="13"/>
  <c r="K1829" i="13"/>
  <c r="I1829" i="13"/>
  <c r="G1829" i="13"/>
  <c r="F1829" i="13"/>
  <c r="H1829" i="13" s="1"/>
  <c r="D1829" i="13"/>
  <c r="K1841" i="13"/>
  <c r="G1841" i="13"/>
  <c r="I1841" i="13" s="1"/>
  <c r="F1841" i="13"/>
  <c r="H1841" i="13" s="1"/>
  <c r="D1841" i="13"/>
  <c r="K1840" i="13"/>
  <c r="G1840" i="13"/>
  <c r="I1840" i="13" s="1"/>
  <c r="F1840" i="13"/>
  <c r="H1840" i="13" s="1"/>
  <c r="D1840" i="13"/>
  <c r="K1839" i="13"/>
  <c r="G1839" i="13"/>
  <c r="I1839" i="13" s="1"/>
  <c r="J1839" i="13" s="1"/>
  <c r="F1839" i="13"/>
  <c r="H1839" i="13" s="1"/>
  <c r="D1839" i="13"/>
  <c r="K1838" i="13"/>
  <c r="I1838" i="13"/>
  <c r="G1838" i="13"/>
  <c r="F1838" i="13"/>
  <c r="H1838" i="13" s="1"/>
  <c r="D1838" i="13"/>
  <c r="K1837" i="13"/>
  <c r="G1837" i="13"/>
  <c r="I1837" i="13" s="1"/>
  <c r="F1837" i="13"/>
  <c r="H1837" i="13" s="1"/>
  <c r="D1837" i="13"/>
  <c r="K1836" i="13"/>
  <c r="G1836" i="13"/>
  <c r="I1836" i="13" s="1"/>
  <c r="F1836" i="13"/>
  <c r="H1836" i="13" s="1"/>
  <c r="D1836" i="13"/>
  <c r="K1849" i="13"/>
  <c r="G1849" i="13"/>
  <c r="I1849" i="13" s="1"/>
  <c r="J1849" i="13" s="1"/>
  <c r="F1849" i="13"/>
  <c r="H1849" i="13" s="1"/>
  <c r="D1849" i="13"/>
  <c r="K1848" i="13"/>
  <c r="I1848" i="13"/>
  <c r="G1848" i="13"/>
  <c r="F1848" i="13"/>
  <c r="H1848" i="13" s="1"/>
  <c r="D1848" i="13"/>
  <c r="K1847" i="13"/>
  <c r="G1847" i="13"/>
  <c r="I1847" i="13" s="1"/>
  <c r="F1847" i="13"/>
  <c r="H1847" i="13" s="1"/>
  <c r="D1847" i="13"/>
  <c r="K1846" i="13"/>
  <c r="G1846" i="13"/>
  <c r="I1846" i="13" s="1"/>
  <c r="F1846" i="13"/>
  <c r="H1846" i="13" s="1"/>
  <c r="D1846" i="13"/>
  <c r="K1845" i="13"/>
  <c r="G1845" i="13"/>
  <c r="I1845" i="13" s="1"/>
  <c r="J1845" i="13" s="1"/>
  <c r="F1845" i="13"/>
  <c r="H1845" i="13" s="1"/>
  <c r="D1845" i="13"/>
  <c r="K1844" i="13"/>
  <c r="I1844" i="13"/>
  <c r="G1844" i="13"/>
  <c r="F1844" i="13"/>
  <c r="H1844" i="13" s="1"/>
  <c r="D1844" i="13"/>
  <c r="K1843" i="13"/>
  <c r="G1843" i="13"/>
  <c r="I1843" i="13" s="1"/>
  <c r="F1843" i="13"/>
  <c r="H1843" i="13" s="1"/>
  <c r="D1843" i="13"/>
  <c r="K1842" i="13"/>
  <c r="G1842" i="13"/>
  <c r="I1842" i="13" s="1"/>
  <c r="F1842" i="13"/>
  <c r="H1842" i="13" s="1"/>
  <c r="D1842" i="13"/>
  <c r="K1855" i="13"/>
  <c r="G1855" i="13"/>
  <c r="I1855" i="13" s="1"/>
  <c r="J1855" i="13" s="1"/>
  <c r="F1855" i="13"/>
  <c r="H1855" i="13" s="1"/>
  <c r="D1855" i="13"/>
  <c r="K1854" i="13"/>
  <c r="I1854" i="13"/>
  <c r="G1854" i="13"/>
  <c r="F1854" i="13"/>
  <c r="H1854" i="13" s="1"/>
  <c r="D1854" i="13"/>
  <c r="K1853" i="13"/>
  <c r="G1853" i="13"/>
  <c r="I1853" i="13" s="1"/>
  <c r="F1853" i="13"/>
  <c r="H1853" i="13" s="1"/>
  <c r="D1853" i="13"/>
  <c r="K1852" i="13"/>
  <c r="G1852" i="13"/>
  <c r="I1852" i="13" s="1"/>
  <c r="F1852" i="13"/>
  <c r="H1852" i="13" s="1"/>
  <c r="D1852" i="13"/>
  <c r="K1851" i="13"/>
  <c r="G1851" i="13"/>
  <c r="I1851" i="13" s="1"/>
  <c r="J1851" i="13" s="1"/>
  <c r="F1851" i="13"/>
  <c r="H1851" i="13" s="1"/>
  <c r="D1851" i="13"/>
  <c r="K1850" i="13"/>
  <c r="I1850" i="13"/>
  <c r="G1850" i="13"/>
  <c r="F1850" i="13"/>
  <c r="H1850" i="13" s="1"/>
  <c r="D1850" i="13"/>
  <c r="K1863" i="13"/>
  <c r="G1863" i="13"/>
  <c r="I1863" i="13" s="1"/>
  <c r="F1863" i="13"/>
  <c r="H1863" i="13" s="1"/>
  <c r="D1863" i="13"/>
  <c r="K1862" i="13"/>
  <c r="G1862" i="13"/>
  <c r="I1862" i="13" s="1"/>
  <c r="F1862" i="13"/>
  <c r="H1862" i="13" s="1"/>
  <c r="D1862" i="13"/>
  <c r="K1861" i="13"/>
  <c r="G1861" i="13"/>
  <c r="I1861" i="13" s="1"/>
  <c r="J1861" i="13" s="1"/>
  <c r="F1861" i="13"/>
  <c r="H1861" i="13" s="1"/>
  <c r="D1861" i="13"/>
  <c r="K1860" i="13"/>
  <c r="I1860" i="13"/>
  <c r="G1860" i="13"/>
  <c r="F1860" i="13"/>
  <c r="H1860" i="13" s="1"/>
  <c r="D1860" i="13"/>
  <c r="K1859" i="13"/>
  <c r="G1859" i="13"/>
  <c r="I1859" i="13" s="1"/>
  <c r="F1859" i="13"/>
  <c r="H1859" i="13" s="1"/>
  <c r="D1859" i="13"/>
  <c r="K1858" i="13"/>
  <c r="G1858" i="13"/>
  <c r="I1858" i="13" s="1"/>
  <c r="F1858" i="13"/>
  <c r="H1858" i="13" s="1"/>
  <c r="D1858" i="13"/>
  <c r="K1857" i="13"/>
  <c r="G1857" i="13"/>
  <c r="I1857" i="13" s="1"/>
  <c r="J1857" i="13" s="1"/>
  <c r="F1857" i="13"/>
  <c r="H1857" i="13" s="1"/>
  <c r="D1857" i="13"/>
  <c r="K1856" i="13"/>
  <c r="I1856" i="13"/>
  <c r="G1856" i="13"/>
  <c r="F1856" i="13"/>
  <c r="H1856" i="13" s="1"/>
  <c r="D1856" i="13"/>
  <c r="K1866" i="13"/>
  <c r="G1866" i="13"/>
  <c r="I1866" i="13" s="1"/>
  <c r="F1866" i="13"/>
  <c r="H1866" i="13" s="1"/>
  <c r="D1866" i="13"/>
  <c r="K1865" i="13"/>
  <c r="G1865" i="13"/>
  <c r="I1865" i="13" s="1"/>
  <c r="F1865" i="13"/>
  <c r="H1865" i="13" s="1"/>
  <c r="D1865" i="13"/>
  <c r="K1864" i="13"/>
  <c r="G1864" i="13"/>
  <c r="I1864" i="13" s="1"/>
  <c r="F1864" i="13"/>
  <c r="H1864" i="13" s="1"/>
  <c r="D1864" i="13"/>
  <c r="K1869" i="13"/>
  <c r="I1869" i="13"/>
  <c r="G1869" i="13"/>
  <c r="F1869" i="13"/>
  <c r="H1869" i="13" s="1"/>
  <c r="D1869" i="13"/>
  <c r="K1868" i="13"/>
  <c r="G1868" i="13"/>
  <c r="I1868" i="13" s="1"/>
  <c r="F1868" i="13"/>
  <c r="H1868" i="13" s="1"/>
  <c r="D1868" i="13"/>
  <c r="K1867" i="13"/>
  <c r="G1867" i="13"/>
  <c r="I1867" i="13" s="1"/>
  <c r="F1867" i="13"/>
  <c r="H1867" i="13" s="1"/>
  <c r="D1867" i="13"/>
  <c r="K1880" i="13"/>
  <c r="G1880" i="13"/>
  <c r="I1880" i="13" s="1"/>
  <c r="F1880" i="13"/>
  <c r="H1880" i="13" s="1"/>
  <c r="D1880" i="13"/>
  <c r="K1879" i="13"/>
  <c r="I1879" i="13"/>
  <c r="G1879" i="13"/>
  <c r="F1879" i="13"/>
  <c r="H1879" i="13" s="1"/>
  <c r="D1879" i="13"/>
  <c r="K1878" i="13"/>
  <c r="G1878" i="13"/>
  <c r="I1878" i="13" s="1"/>
  <c r="F1878" i="13"/>
  <c r="H1878" i="13" s="1"/>
  <c r="D1878" i="13"/>
  <c r="K1877" i="13"/>
  <c r="G1877" i="13"/>
  <c r="I1877" i="13" s="1"/>
  <c r="F1877" i="13"/>
  <c r="H1877" i="13" s="1"/>
  <c r="D1877" i="13"/>
  <c r="K1876" i="13"/>
  <c r="G1876" i="13"/>
  <c r="I1876" i="13" s="1"/>
  <c r="F1876" i="13"/>
  <c r="H1876" i="13" s="1"/>
  <c r="D1876" i="13"/>
  <c r="K1875" i="13"/>
  <c r="I1875" i="13"/>
  <c r="G1875" i="13"/>
  <c r="F1875" i="13"/>
  <c r="H1875" i="13" s="1"/>
  <c r="D1875" i="13"/>
  <c r="K1874" i="13"/>
  <c r="G1874" i="13"/>
  <c r="I1874" i="13" s="1"/>
  <c r="F1874" i="13"/>
  <c r="H1874" i="13" s="1"/>
  <c r="D1874" i="13"/>
  <c r="K1873" i="13"/>
  <c r="G1873" i="13"/>
  <c r="I1873" i="13" s="1"/>
  <c r="F1873" i="13"/>
  <c r="H1873" i="13" s="1"/>
  <c r="D1873" i="13"/>
  <c r="K1872" i="13"/>
  <c r="G1872" i="13"/>
  <c r="I1872" i="13" s="1"/>
  <c r="F1872" i="13"/>
  <c r="H1872" i="13" s="1"/>
  <c r="D1872" i="13"/>
  <c r="K1871" i="13"/>
  <c r="I1871" i="13"/>
  <c r="G1871" i="13"/>
  <c r="F1871" i="13"/>
  <c r="H1871" i="13" s="1"/>
  <c r="D1871" i="13"/>
  <c r="K1870" i="13"/>
  <c r="G1870" i="13"/>
  <c r="I1870" i="13" s="1"/>
  <c r="F1870" i="13"/>
  <c r="H1870" i="13" s="1"/>
  <c r="D1870" i="13"/>
  <c r="K1884" i="13"/>
  <c r="G1884" i="13"/>
  <c r="I1884" i="13" s="1"/>
  <c r="F1884" i="13"/>
  <c r="H1884" i="13" s="1"/>
  <c r="D1884" i="13"/>
  <c r="K1883" i="13"/>
  <c r="G1883" i="13"/>
  <c r="I1883" i="13" s="1"/>
  <c r="J1883" i="13" s="1"/>
  <c r="F1883" i="13"/>
  <c r="H1883" i="13" s="1"/>
  <c r="D1883" i="13"/>
  <c r="K1882" i="13"/>
  <c r="I1882" i="13"/>
  <c r="G1882" i="13"/>
  <c r="F1882" i="13"/>
  <c r="H1882" i="13" s="1"/>
  <c r="D1882" i="13"/>
  <c r="K1881" i="13"/>
  <c r="G1881" i="13"/>
  <c r="I1881" i="13" s="1"/>
  <c r="F1881" i="13"/>
  <c r="H1881" i="13" s="1"/>
  <c r="D1881" i="13"/>
  <c r="K1888" i="13"/>
  <c r="G1888" i="13"/>
  <c r="I1888" i="13" s="1"/>
  <c r="F1888" i="13"/>
  <c r="H1888" i="13" s="1"/>
  <c r="D1888" i="13"/>
  <c r="K1887" i="13"/>
  <c r="G1887" i="13"/>
  <c r="I1887" i="13" s="1"/>
  <c r="J1887" i="13" s="1"/>
  <c r="F1887" i="13"/>
  <c r="H1887" i="13" s="1"/>
  <c r="D1887" i="13"/>
  <c r="K1886" i="13"/>
  <c r="I1886" i="13"/>
  <c r="G1886" i="13"/>
  <c r="F1886" i="13"/>
  <c r="H1886" i="13" s="1"/>
  <c r="D1886" i="13"/>
  <c r="K1885" i="13"/>
  <c r="G1885" i="13"/>
  <c r="I1885" i="13" s="1"/>
  <c r="F1885" i="13"/>
  <c r="H1885" i="13" s="1"/>
  <c r="D1885" i="13"/>
  <c r="K1894" i="13"/>
  <c r="G1894" i="13"/>
  <c r="I1894" i="13" s="1"/>
  <c r="F1894" i="13"/>
  <c r="H1894" i="13" s="1"/>
  <c r="D1894" i="13"/>
  <c r="K1893" i="13"/>
  <c r="G1893" i="13"/>
  <c r="I1893" i="13" s="1"/>
  <c r="J1893" i="13" s="1"/>
  <c r="F1893" i="13"/>
  <c r="H1893" i="13" s="1"/>
  <c r="D1893" i="13"/>
  <c r="K1892" i="13"/>
  <c r="I1892" i="13"/>
  <c r="G1892" i="13"/>
  <c r="F1892" i="13"/>
  <c r="H1892" i="13" s="1"/>
  <c r="D1892" i="13"/>
  <c r="K1891" i="13"/>
  <c r="G1891" i="13"/>
  <c r="I1891" i="13" s="1"/>
  <c r="F1891" i="13"/>
  <c r="H1891" i="13" s="1"/>
  <c r="D1891" i="13"/>
  <c r="K1890" i="13"/>
  <c r="G1890" i="13"/>
  <c r="I1890" i="13" s="1"/>
  <c r="F1890" i="13"/>
  <c r="H1890" i="13" s="1"/>
  <c r="D1890" i="13"/>
  <c r="K1889" i="13"/>
  <c r="G1889" i="13"/>
  <c r="I1889" i="13" s="1"/>
  <c r="J1889" i="13" s="1"/>
  <c r="F1889" i="13"/>
  <c r="H1889" i="13" s="1"/>
  <c r="D1889" i="13"/>
  <c r="K1901" i="13"/>
  <c r="I1901" i="13"/>
  <c r="G1901" i="13"/>
  <c r="F1901" i="13"/>
  <c r="H1901" i="13" s="1"/>
  <c r="D1901" i="13"/>
  <c r="K1900" i="13"/>
  <c r="G1900" i="13"/>
  <c r="I1900" i="13" s="1"/>
  <c r="F1900" i="13"/>
  <c r="H1900" i="13" s="1"/>
  <c r="D1900" i="13"/>
  <c r="K1899" i="13"/>
  <c r="G1899" i="13"/>
  <c r="I1899" i="13" s="1"/>
  <c r="F1899" i="13"/>
  <c r="H1899" i="13" s="1"/>
  <c r="D1899" i="13"/>
  <c r="K1898" i="13"/>
  <c r="G1898" i="13"/>
  <c r="I1898" i="13" s="1"/>
  <c r="J1898" i="13" s="1"/>
  <c r="F1898" i="13"/>
  <c r="H1898" i="13" s="1"/>
  <c r="D1898" i="13"/>
  <c r="K1897" i="13"/>
  <c r="I1897" i="13"/>
  <c r="G1897" i="13"/>
  <c r="F1897" i="13"/>
  <c r="H1897" i="13" s="1"/>
  <c r="D1897" i="13"/>
  <c r="K1896" i="13"/>
  <c r="G1896" i="13"/>
  <c r="I1896" i="13" s="1"/>
  <c r="F1896" i="13"/>
  <c r="H1896" i="13" s="1"/>
  <c r="D1896" i="13"/>
  <c r="K1895" i="13"/>
  <c r="G1895" i="13"/>
  <c r="I1895" i="13" s="1"/>
  <c r="F1895" i="13"/>
  <c r="H1895" i="13" s="1"/>
  <c r="D1895" i="13"/>
  <c r="K1910" i="13"/>
  <c r="G1910" i="13"/>
  <c r="I1910" i="13" s="1"/>
  <c r="F1910" i="13"/>
  <c r="H1910" i="13" s="1"/>
  <c r="D1910" i="13"/>
  <c r="K1909" i="13"/>
  <c r="I1909" i="13"/>
  <c r="G1909" i="13"/>
  <c r="F1909" i="13"/>
  <c r="H1909" i="13" s="1"/>
  <c r="D1909" i="13"/>
  <c r="K1908" i="13"/>
  <c r="G1908" i="13"/>
  <c r="I1908" i="13" s="1"/>
  <c r="F1908" i="13"/>
  <c r="H1908" i="13" s="1"/>
  <c r="D1908" i="13"/>
  <c r="K1907" i="13"/>
  <c r="G1907" i="13"/>
  <c r="I1907" i="13" s="1"/>
  <c r="F1907" i="13"/>
  <c r="H1907" i="13" s="1"/>
  <c r="D1907" i="13"/>
  <c r="K1906" i="13"/>
  <c r="G1906" i="13"/>
  <c r="I1906" i="13" s="1"/>
  <c r="F1906" i="13"/>
  <c r="H1906" i="13" s="1"/>
  <c r="D1906" i="13"/>
  <c r="K1905" i="13"/>
  <c r="I1905" i="13"/>
  <c r="G1905" i="13"/>
  <c r="F1905" i="13"/>
  <c r="H1905" i="13" s="1"/>
  <c r="D1905" i="13"/>
  <c r="K1904" i="13"/>
  <c r="G1904" i="13"/>
  <c r="I1904" i="13" s="1"/>
  <c r="F1904" i="13"/>
  <c r="H1904" i="13" s="1"/>
  <c r="D1904" i="13"/>
  <c r="K1903" i="13"/>
  <c r="G1903" i="13"/>
  <c r="I1903" i="13" s="1"/>
  <c r="F1903" i="13"/>
  <c r="H1903" i="13" s="1"/>
  <c r="D1903" i="13"/>
  <c r="K1902" i="13"/>
  <c r="G1902" i="13"/>
  <c r="I1902" i="13" s="1"/>
  <c r="F1902" i="13"/>
  <c r="H1902" i="13" s="1"/>
  <c r="D1902" i="13"/>
  <c r="K1915" i="13"/>
  <c r="I1915" i="13"/>
  <c r="G1915" i="13"/>
  <c r="F1915" i="13"/>
  <c r="H1915" i="13" s="1"/>
  <c r="D1915" i="13"/>
  <c r="K1914" i="13"/>
  <c r="G1914" i="13"/>
  <c r="I1914" i="13" s="1"/>
  <c r="F1914" i="13"/>
  <c r="H1914" i="13" s="1"/>
  <c r="D1914" i="13"/>
  <c r="K1913" i="13"/>
  <c r="G1913" i="13"/>
  <c r="I1913" i="13" s="1"/>
  <c r="F1913" i="13"/>
  <c r="H1913" i="13" s="1"/>
  <c r="D1913" i="13"/>
  <c r="K1912" i="13"/>
  <c r="G1912" i="13"/>
  <c r="I1912" i="13" s="1"/>
  <c r="F1912" i="13"/>
  <c r="H1912" i="13" s="1"/>
  <c r="D1912" i="13"/>
  <c r="K1911" i="13"/>
  <c r="I1911" i="13"/>
  <c r="G1911" i="13"/>
  <c r="F1911" i="13"/>
  <c r="H1911" i="13" s="1"/>
  <c r="D1911" i="13"/>
  <c r="K1921" i="13"/>
  <c r="G1921" i="13"/>
  <c r="I1921" i="13" s="1"/>
  <c r="F1921" i="13"/>
  <c r="H1921" i="13" s="1"/>
  <c r="D1921" i="13"/>
  <c r="K1920" i="13"/>
  <c r="G1920" i="13"/>
  <c r="I1920" i="13" s="1"/>
  <c r="F1920" i="13"/>
  <c r="H1920" i="13" s="1"/>
  <c r="D1920" i="13"/>
  <c r="K1919" i="13"/>
  <c r="G1919" i="13"/>
  <c r="I1919" i="13" s="1"/>
  <c r="F1919" i="13"/>
  <c r="H1919" i="13" s="1"/>
  <c r="D1919" i="13"/>
  <c r="K1918" i="13"/>
  <c r="I1918" i="13"/>
  <c r="G1918" i="13"/>
  <c r="F1918" i="13"/>
  <c r="H1918" i="13" s="1"/>
  <c r="D1918" i="13"/>
  <c r="K1917" i="13"/>
  <c r="G1917" i="13"/>
  <c r="I1917" i="13" s="1"/>
  <c r="F1917" i="13"/>
  <c r="H1917" i="13" s="1"/>
  <c r="D1917" i="13"/>
  <c r="K1916" i="13"/>
  <c r="G1916" i="13"/>
  <c r="I1916" i="13" s="1"/>
  <c r="F1916" i="13"/>
  <c r="H1916" i="13" s="1"/>
  <c r="D1916" i="13"/>
  <c r="K1928" i="13"/>
  <c r="G1928" i="13"/>
  <c r="I1928" i="13" s="1"/>
  <c r="F1928" i="13"/>
  <c r="H1928" i="13" s="1"/>
  <c r="D1928" i="13"/>
  <c r="K1927" i="13"/>
  <c r="I1927" i="13"/>
  <c r="G1927" i="13"/>
  <c r="F1927" i="13"/>
  <c r="H1927" i="13" s="1"/>
  <c r="D1927" i="13"/>
  <c r="K1926" i="13"/>
  <c r="G1926" i="13"/>
  <c r="I1926" i="13" s="1"/>
  <c r="F1926" i="13"/>
  <c r="H1926" i="13" s="1"/>
  <c r="D1926" i="13"/>
  <c r="K1925" i="13"/>
  <c r="G1925" i="13"/>
  <c r="I1925" i="13" s="1"/>
  <c r="F1925" i="13"/>
  <c r="H1925" i="13" s="1"/>
  <c r="D1925" i="13"/>
  <c r="K1924" i="13"/>
  <c r="G1924" i="13"/>
  <c r="I1924" i="13" s="1"/>
  <c r="F1924" i="13"/>
  <c r="H1924" i="13" s="1"/>
  <c r="D1924" i="13"/>
  <c r="K1923" i="13"/>
  <c r="I1923" i="13"/>
  <c r="G1923" i="13"/>
  <c r="F1923" i="13"/>
  <c r="H1923" i="13" s="1"/>
  <c r="D1923" i="13"/>
  <c r="K1922" i="13"/>
  <c r="G1922" i="13"/>
  <c r="I1922" i="13" s="1"/>
  <c r="F1922" i="13"/>
  <c r="H1922" i="13" s="1"/>
  <c r="D1922" i="13"/>
  <c r="K1934" i="13"/>
  <c r="G1934" i="13"/>
  <c r="I1934" i="13" s="1"/>
  <c r="F1934" i="13"/>
  <c r="H1934" i="13" s="1"/>
  <c r="D1934" i="13"/>
  <c r="K1933" i="13"/>
  <c r="G1933" i="13"/>
  <c r="I1933" i="13" s="1"/>
  <c r="F1933" i="13"/>
  <c r="H1933" i="13" s="1"/>
  <c r="D1933" i="13"/>
  <c r="K1932" i="13"/>
  <c r="I1932" i="13"/>
  <c r="G1932" i="13"/>
  <c r="F1932" i="13"/>
  <c r="H1932" i="13" s="1"/>
  <c r="D1932" i="13"/>
  <c r="K1931" i="13"/>
  <c r="G1931" i="13"/>
  <c r="I1931" i="13" s="1"/>
  <c r="F1931" i="13"/>
  <c r="H1931" i="13" s="1"/>
  <c r="D1931" i="13"/>
  <c r="K1930" i="13"/>
  <c r="G1930" i="13"/>
  <c r="I1930" i="13" s="1"/>
  <c r="F1930" i="13"/>
  <c r="H1930" i="13" s="1"/>
  <c r="D1930" i="13"/>
  <c r="K1929" i="13"/>
  <c r="G1929" i="13"/>
  <c r="I1929" i="13" s="1"/>
  <c r="F1929" i="13"/>
  <c r="H1929" i="13" s="1"/>
  <c r="D1929" i="13"/>
  <c r="K1942" i="13"/>
  <c r="I1942" i="13"/>
  <c r="G1942" i="13"/>
  <c r="F1942" i="13"/>
  <c r="H1942" i="13" s="1"/>
  <c r="D1942" i="13"/>
  <c r="K1941" i="13"/>
  <c r="G1941" i="13"/>
  <c r="I1941" i="13" s="1"/>
  <c r="F1941" i="13"/>
  <c r="H1941" i="13" s="1"/>
  <c r="D1941" i="13"/>
  <c r="K1940" i="13"/>
  <c r="G1940" i="13"/>
  <c r="I1940" i="13" s="1"/>
  <c r="F1940" i="13"/>
  <c r="H1940" i="13" s="1"/>
  <c r="D1940" i="13"/>
  <c r="K1939" i="13"/>
  <c r="G1939" i="13"/>
  <c r="I1939" i="13" s="1"/>
  <c r="F1939" i="13"/>
  <c r="H1939" i="13" s="1"/>
  <c r="D1939" i="13"/>
  <c r="K1938" i="13"/>
  <c r="I1938" i="13"/>
  <c r="G1938" i="13"/>
  <c r="F1938" i="13"/>
  <c r="H1938" i="13" s="1"/>
  <c r="D1938" i="13"/>
  <c r="K1937" i="13"/>
  <c r="G1937" i="13"/>
  <c r="I1937" i="13" s="1"/>
  <c r="F1937" i="13"/>
  <c r="H1937" i="13" s="1"/>
  <c r="D1937" i="13"/>
  <c r="K1936" i="13"/>
  <c r="G1936" i="13"/>
  <c r="I1936" i="13" s="1"/>
  <c r="F1936" i="13"/>
  <c r="H1936" i="13" s="1"/>
  <c r="D1936" i="13"/>
  <c r="K1935" i="13"/>
  <c r="G1935" i="13"/>
  <c r="I1935" i="13" s="1"/>
  <c r="F1935" i="13"/>
  <c r="H1935" i="13" s="1"/>
  <c r="D1935" i="13"/>
  <c r="K1949" i="13"/>
  <c r="I1949" i="13"/>
  <c r="G1949" i="13"/>
  <c r="F1949" i="13"/>
  <c r="H1949" i="13" s="1"/>
  <c r="D1949" i="13"/>
  <c r="K1948" i="13"/>
  <c r="G1948" i="13"/>
  <c r="I1948" i="13" s="1"/>
  <c r="F1948" i="13"/>
  <c r="H1948" i="13" s="1"/>
  <c r="D1948" i="13"/>
  <c r="K1947" i="13"/>
  <c r="G1947" i="13"/>
  <c r="I1947" i="13" s="1"/>
  <c r="F1947" i="13"/>
  <c r="H1947" i="13" s="1"/>
  <c r="D1947" i="13"/>
  <c r="K1946" i="13"/>
  <c r="G1946" i="13"/>
  <c r="I1946" i="13" s="1"/>
  <c r="F1946" i="13"/>
  <c r="H1946" i="13" s="1"/>
  <c r="D1946" i="13"/>
  <c r="K1945" i="13"/>
  <c r="I1945" i="13"/>
  <c r="G1945" i="13"/>
  <c r="F1945" i="13"/>
  <c r="H1945" i="13" s="1"/>
  <c r="D1945" i="13"/>
  <c r="K1944" i="13"/>
  <c r="G1944" i="13"/>
  <c r="I1944" i="13" s="1"/>
  <c r="F1944" i="13"/>
  <c r="H1944" i="13" s="1"/>
  <c r="D1944" i="13"/>
  <c r="K1943" i="13"/>
  <c r="G1943" i="13"/>
  <c r="I1943" i="13" s="1"/>
  <c r="F1943" i="13"/>
  <c r="H1943" i="13" s="1"/>
  <c r="D1943" i="13"/>
  <c r="K1955" i="13"/>
  <c r="G1955" i="13"/>
  <c r="I1955" i="13" s="1"/>
  <c r="F1955" i="13"/>
  <c r="H1955" i="13" s="1"/>
  <c r="D1955" i="13"/>
  <c r="K1954" i="13"/>
  <c r="I1954" i="13"/>
  <c r="G1954" i="13"/>
  <c r="F1954" i="13"/>
  <c r="H1954" i="13" s="1"/>
  <c r="D1954" i="13"/>
  <c r="K1953" i="13"/>
  <c r="G1953" i="13"/>
  <c r="I1953" i="13" s="1"/>
  <c r="F1953" i="13"/>
  <c r="H1953" i="13" s="1"/>
  <c r="D1953" i="13"/>
  <c r="K1952" i="13"/>
  <c r="G1952" i="13"/>
  <c r="I1952" i="13" s="1"/>
  <c r="F1952" i="13"/>
  <c r="H1952" i="13" s="1"/>
  <c r="D1952" i="13"/>
  <c r="K1951" i="13"/>
  <c r="G1951" i="13"/>
  <c r="I1951" i="13" s="1"/>
  <c r="F1951" i="13"/>
  <c r="H1951" i="13" s="1"/>
  <c r="D1951" i="13"/>
  <c r="K1950" i="13"/>
  <c r="I1950" i="13"/>
  <c r="G1950" i="13"/>
  <c r="F1950" i="13"/>
  <c r="H1950" i="13" s="1"/>
  <c r="D1950" i="13"/>
  <c r="K1959" i="13"/>
  <c r="G1959" i="13"/>
  <c r="I1959" i="13" s="1"/>
  <c r="F1959" i="13"/>
  <c r="H1959" i="13" s="1"/>
  <c r="D1959" i="13"/>
  <c r="K1958" i="13"/>
  <c r="G1958" i="13"/>
  <c r="I1958" i="13" s="1"/>
  <c r="F1958" i="13"/>
  <c r="H1958" i="13" s="1"/>
  <c r="D1958" i="13"/>
  <c r="K1957" i="13"/>
  <c r="G1957" i="13"/>
  <c r="I1957" i="13" s="1"/>
  <c r="F1957" i="13"/>
  <c r="H1957" i="13" s="1"/>
  <c r="D1957" i="13"/>
  <c r="K1956" i="13"/>
  <c r="G1956" i="13"/>
  <c r="I1956" i="13" s="1"/>
  <c r="F1956" i="13"/>
  <c r="H1956" i="13" s="1"/>
  <c r="D1956" i="13"/>
  <c r="K1962" i="13"/>
  <c r="G1962" i="13"/>
  <c r="I1962" i="13" s="1"/>
  <c r="F1962" i="13"/>
  <c r="H1962" i="13" s="1"/>
  <c r="D1962" i="13"/>
  <c r="K1961" i="13"/>
  <c r="G1961" i="13"/>
  <c r="I1961" i="13" s="1"/>
  <c r="F1961" i="13"/>
  <c r="H1961" i="13" s="1"/>
  <c r="D1961" i="13"/>
  <c r="K1960" i="13"/>
  <c r="G1960" i="13"/>
  <c r="I1960" i="13" s="1"/>
  <c r="F1960" i="13"/>
  <c r="H1960" i="13" s="1"/>
  <c r="D1960" i="13"/>
  <c r="K1970" i="13"/>
  <c r="I1970" i="13"/>
  <c r="G1970" i="13"/>
  <c r="F1970" i="13"/>
  <c r="H1970" i="13" s="1"/>
  <c r="D1970" i="13"/>
  <c r="K1969" i="13"/>
  <c r="G1969" i="13"/>
  <c r="I1969" i="13" s="1"/>
  <c r="F1969" i="13"/>
  <c r="H1969" i="13" s="1"/>
  <c r="D1969" i="13"/>
  <c r="K1968" i="13"/>
  <c r="G1968" i="13"/>
  <c r="I1968" i="13" s="1"/>
  <c r="F1968" i="13"/>
  <c r="H1968" i="13" s="1"/>
  <c r="D1968" i="13"/>
  <c r="K1967" i="13"/>
  <c r="G1967" i="13"/>
  <c r="I1967" i="13" s="1"/>
  <c r="F1967" i="13"/>
  <c r="H1967" i="13" s="1"/>
  <c r="D1967" i="13"/>
  <c r="K1966" i="13"/>
  <c r="G1966" i="13"/>
  <c r="I1966" i="13" s="1"/>
  <c r="F1966" i="13"/>
  <c r="H1966" i="13" s="1"/>
  <c r="D1966" i="13"/>
  <c r="K1965" i="13"/>
  <c r="G1965" i="13"/>
  <c r="I1965" i="13" s="1"/>
  <c r="F1965" i="13"/>
  <c r="H1965" i="13" s="1"/>
  <c r="D1965" i="13"/>
  <c r="K1964" i="13"/>
  <c r="G1964" i="13"/>
  <c r="I1964" i="13" s="1"/>
  <c r="F1964" i="13"/>
  <c r="H1964" i="13" s="1"/>
  <c r="D1964" i="13"/>
  <c r="K1963" i="13"/>
  <c r="G1963" i="13"/>
  <c r="I1963" i="13" s="1"/>
  <c r="F1963" i="13"/>
  <c r="H1963" i="13" s="1"/>
  <c r="D1963" i="13"/>
  <c r="K1977" i="13"/>
  <c r="I1977" i="13"/>
  <c r="G1977" i="13"/>
  <c r="F1977" i="13"/>
  <c r="H1977" i="13" s="1"/>
  <c r="D1977" i="13"/>
  <c r="K1976" i="13"/>
  <c r="G1976" i="13"/>
  <c r="I1976" i="13" s="1"/>
  <c r="F1976" i="13"/>
  <c r="H1976" i="13" s="1"/>
  <c r="D1976" i="13"/>
  <c r="K1975" i="13"/>
  <c r="G1975" i="13"/>
  <c r="I1975" i="13" s="1"/>
  <c r="F1975" i="13"/>
  <c r="H1975" i="13" s="1"/>
  <c r="D1975" i="13"/>
  <c r="K1974" i="13"/>
  <c r="G1974" i="13"/>
  <c r="I1974" i="13" s="1"/>
  <c r="F1974" i="13"/>
  <c r="H1974" i="13" s="1"/>
  <c r="D1974" i="13"/>
  <c r="K1973" i="13"/>
  <c r="G1973" i="13"/>
  <c r="I1973" i="13" s="1"/>
  <c r="F1973" i="13"/>
  <c r="H1973" i="13" s="1"/>
  <c r="D1973" i="13"/>
  <c r="K1972" i="13"/>
  <c r="G1972" i="13"/>
  <c r="I1972" i="13" s="1"/>
  <c r="F1972" i="13"/>
  <c r="H1972" i="13" s="1"/>
  <c r="D1972" i="13"/>
  <c r="K1971" i="13"/>
  <c r="G1971" i="13"/>
  <c r="I1971" i="13" s="1"/>
  <c r="F1971" i="13"/>
  <c r="H1971" i="13" s="1"/>
  <c r="D1971" i="13"/>
  <c r="K1982" i="13"/>
  <c r="G1982" i="13"/>
  <c r="I1982" i="13" s="1"/>
  <c r="F1982" i="13"/>
  <c r="H1982" i="13" s="1"/>
  <c r="D1982" i="13"/>
  <c r="K1981" i="13"/>
  <c r="I1981" i="13"/>
  <c r="G1981" i="13"/>
  <c r="F1981" i="13"/>
  <c r="H1981" i="13" s="1"/>
  <c r="D1981" i="13"/>
  <c r="K1980" i="13"/>
  <c r="G1980" i="13"/>
  <c r="I1980" i="13" s="1"/>
  <c r="F1980" i="13"/>
  <c r="H1980" i="13" s="1"/>
  <c r="D1980" i="13"/>
  <c r="K1979" i="13"/>
  <c r="G1979" i="13"/>
  <c r="I1979" i="13" s="1"/>
  <c r="F1979" i="13"/>
  <c r="H1979" i="13" s="1"/>
  <c r="D1979" i="13"/>
  <c r="K1978" i="13"/>
  <c r="G1978" i="13"/>
  <c r="I1978" i="13" s="1"/>
  <c r="F1978" i="13"/>
  <c r="H1978" i="13" s="1"/>
  <c r="D1978" i="13"/>
  <c r="K1989" i="13"/>
  <c r="G1989" i="13"/>
  <c r="I1989" i="13" s="1"/>
  <c r="F1989" i="13"/>
  <c r="H1989" i="13" s="1"/>
  <c r="D1989" i="13"/>
  <c r="K1988" i="13"/>
  <c r="G1988" i="13"/>
  <c r="I1988" i="13" s="1"/>
  <c r="F1988" i="13"/>
  <c r="H1988" i="13" s="1"/>
  <c r="D1988" i="13"/>
  <c r="K1987" i="13"/>
  <c r="G1987" i="13"/>
  <c r="I1987" i="13" s="1"/>
  <c r="F1987" i="13"/>
  <c r="H1987" i="13" s="1"/>
  <c r="D1987" i="13"/>
  <c r="K1986" i="13"/>
  <c r="G1986" i="13"/>
  <c r="I1986" i="13" s="1"/>
  <c r="F1986" i="13"/>
  <c r="H1986" i="13" s="1"/>
  <c r="D1986" i="13"/>
  <c r="K1985" i="13"/>
  <c r="I1985" i="13"/>
  <c r="G1985" i="13"/>
  <c r="F1985" i="13"/>
  <c r="H1985" i="13" s="1"/>
  <c r="D1985" i="13"/>
  <c r="K1984" i="13"/>
  <c r="G1984" i="13"/>
  <c r="I1984" i="13" s="1"/>
  <c r="F1984" i="13"/>
  <c r="H1984" i="13" s="1"/>
  <c r="D1984" i="13"/>
  <c r="K1983" i="13"/>
  <c r="G1983" i="13"/>
  <c r="I1983" i="13" s="1"/>
  <c r="F1983" i="13"/>
  <c r="H1983" i="13" s="1"/>
  <c r="D1983" i="13"/>
  <c r="K1996" i="13"/>
  <c r="G1996" i="13"/>
  <c r="I1996" i="13" s="1"/>
  <c r="F1996" i="13"/>
  <c r="H1996" i="13" s="1"/>
  <c r="D1996" i="13"/>
  <c r="K1995" i="13"/>
  <c r="G1995" i="13"/>
  <c r="I1995" i="13" s="1"/>
  <c r="F1995" i="13"/>
  <c r="H1995" i="13" s="1"/>
  <c r="D1995" i="13"/>
  <c r="K1994" i="13"/>
  <c r="G1994" i="13"/>
  <c r="I1994" i="13" s="1"/>
  <c r="F1994" i="13"/>
  <c r="H1994" i="13" s="1"/>
  <c r="D1994" i="13"/>
  <c r="K1993" i="13"/>
  <c r="G1993" i="13"/>
  <c r="I1993" i="13" s="1"/>
  <c r="F1993" i="13"/>
  <c r="H1993" i="13" s="1"/>
  <c r="D1993" i="13"/>
  <c r="K1992" i="13"/>
  <c r="G1992" i="13"/>
  <c r="I1992" i="13" s="1"/>
  <c r="F1992" i="13"/>
  <c r="H1992" i="13" s="1"/>
  <c r="D1992" i="13"/>
  <c r="K1991" i="13"/>
  <c r="I1991" i="13"/>
  <c r="G1991" i="13"/>
  <c r="F1991" i="13"/>
  <c r="H1991" i="13" s="1"/>
  <c r="D1991" i="13"/>
  <c r="K1990" i="13"/>
  <c r="G1990" i="13"/>
  <c r="I1990" i="13" s="1"/>
  <c r="F1990" i="13"/>
  <c r="H1990" i="13" s="1"/>
  <c r="D1990" i="13"/>
  <c r="K1999" i="13"/>
  <c r="G1999" i="13"/>
  <c r="I1999" i="13" s="1"/>
  <c r="F1999" i="13"/>
  <c r="H1999" i="13" s="1"/>
  <c r="D1999" i="13"/>
  <c r="K1998" i="13"/>
  <c r="G1998" i="13"/>
  <c r="I1998" i="13" s="1"/>
  <c r="F1998" i="13"/>
  <c r="H1998" i="13" s="1"/>
  <c r="D1998" i="13"/>
  <c r="K1997" i="13"/>
  <c r="G1997" i="13"/>
  <c r="I1997" i="13" s="1"/>
  <c r="F1997" i="13"/>
  <c r="H1997" i="13" s="1"/>
  <c r="D1997" i="13"/>
  <c r="K2000" i="13"/>
  <c r="G2000" i="13"/>
  <c r="I2000" i="13" s="1"/>
  <c r="F2000" i="13"/>
  <c r="H2000" i="13" s="1"/>
  <c r="D2000" i="13"/>
  <c r="K2003" i="13"/>
  <c r="G2003" i="13"/>
  <c r="I2003" i="13" s="1"/>
  <c r="J2003" i="13" s="1"/>
  <c r="F2003" i="13"/>
  <c r="H2003" i="13" s="1"/>
  <c r="D2003" i="13"/>
  <c r="K2002" i="13"/>
  <c r="I2002" i="13"/>
  <c r="G2002" i="13"/>
  <c r="F2002" i="13"/>
  <c r="H2002" i="13" s="1"/>
  <c r="D2002" i="13"/>
  <c r="K2001" i="13"/>
  <c r="I2001" i="13"/>
  <c r="G2001" i="13"/>
  <c r="F2001" i="13"/>
  <c r="H2001" i="13" s="1"/>
  <c r="D2001" i="13"/>
  <c r="K2005" i="13"/>
  <c r="G2005" i="13"/>
  <c r="I2005" i="13" s="1"/>
  <c r="F2005" i="13"/>
  <c r="H2005" i="13" s="1"/>
  <c r="D2005" i="13"/>
  <c r="K2004" i="13"/>
  <c r="G2004" i="13"/>
  <c r="I2004" i="13" s="1"/>
  <c r="F2004" i="13"/>
  <c r="H2004" i="13" s="1"/>
  <c r="D2004" i="13"/>
  <c r="K2010" i="13"/>
  <c r="G2010" i="13"/>
  <c r="I2010" i="13" s="1"/>
  <c r="F2010" i="13"/>
  <c r="H2010" i="13" s="1"/>
  <c r="D2010" i="13"/>
  <c r="K2009" i="13"/>
  <c r="G2009" i="13"/>
  <c r="I2009" i="13" s="1"/>
  <c r="F2009" i="13"/>
  <c r="H2009" i="13" s="1"/>
  <c r="D2009" i="13"/>
  <c r="K2008" i="13"/>
  <c r="G2008" i="13"/>
  <c r="I2008" i="13" s="1"/>
  <c r="F2008" i="13"/>
  <c r="H2008" i="13" s="1"/>
  <c r="D2008" i="13"/>
  <c r="K2007" i="13"/>
  <c r="G2007" i="13"/>
  <c r="I2007" i="13" s="1"/>
  <c r="F2007" i="13"/>
  <c r="H2007" i="13" s="1"/>
  <c r="D2007" i="13"/>
  <c r="K2006" i="13"/>
  <c r="G2006" i="13"/>
  <c r="I2006" i="13" s="1"/>
  <c r="F2006" i="13"/>
  <c r="H2006" i="13" s="1"/>
  <c r="D2006" i="13"/>
  <c r="K2014" i="13"/>
  <c r="I2014" i="13"/>
  <c r="G2014" i="13"/>
  <c r="F2014" i="13"/>
  <c r="H2014" i="13" s="1"/>
  <c r="D2014" i="13"/>
  <c r="K2013" i="13"/>
  <c r="G2013" i="13"/>
  <c r="I2013" i="13" s="1"/>
  <c r="F2013" i="13"/>
  <c r="H2013" i="13" s="1"/>
  <c r="D2013" i="13"/>
  <c r="K2012" i="13"/>
  <c r="G2012" i="13"/>
  <c r="I2012" i="13" s="1"/>
  <c r="F2012" i="13"/>
  <c r="H2012" i="13" s="1"/>
  <c r="D2012" i="13"/>
  <c r="K2011" i="13"/>
  <c r="G2011" i="13"/>
  <c r="I2011" i="13" s="1"/>
  <c r="F2011" i="13"/>
  <c r="H2011" i="13" s="1"/>
  <c r="D2011" i="13"/>
  <c r="K2017" i="13"/>
  <c r="I2017" i="13"/>
  <c r="G2017" i="13"/>
  <c r="F2017" i="13"/>
  <c r="H2017" i="13" s="1"/>
  <c r="D2017" i="13"/>
  <c r="K2016" i="13"/>
  <c r="G2016" i="13"/>
  <c r="I2016" i="13" s="1"/>
  <c r="F2016" i="13"/>
  <c r="H2016" i="13" s="1"/>
  <c r="D2016" i="13"/>
  <c r="K2015" i="13"/>
  <c r="G2015" i="13"/>
  <c r="I2015" i="13" s="1"/>
  <c r="F2015" i="13"/>
  <c r="H2015" i="13" s="1"/>
  <c r="D2015" i="13"/>
  <c r="K2020" i="13"/>
  <c r="G2020" i="13"/>
  <c r="I2020" i="13" s="1"/>
  <c r="F2020" i="13"/>
  <c r="H2020" i="13" s="1"/>
  <c r="D2020" i="13"/>
  <c r="K2019" i="13"/>
  <c r="I2019" i="13"/>
  <c r="G2019" i="13"/>
  <c r="F2019" i="13"/>
  <c r="H2019" i="13" s="1"/>
  <c r="D2019" i="13"/>
  <c r="K2018" i="13"/>
  <c r="G2018" i="13"/>
  <c r="I2018" i="13" s="1"/>
  <c r="F2018" i="13"/>
  <c r="H2018" i="13" s="1"/>
  <c r="D2018" i="13"/>
  <c r="K2027" i="13"/>
  <c r="G2027" i="13"/>
  <c r="I2027" i="13" s="1"/>
  <c r="F2027" i="13"/>
  <c r="H2027" i="13" s="1"/>
  <c r="D2027" i="13"/>
  <c r="K2026" i="13"/>
  <c r="G2026" i="13"/>
  <c r="I2026" i="13" s="1"/>
  <c r="F2026" i="13"/>
  <c r="H2026" i="13" s="1"/>
  <c r="D2026" i="13"/>
  <c r="K2025" i="13"/>
  <c r="I2025" i="13"/>
  <c r="G2025" i="13"/>
  <c r="F2025" i="13"/>
  <c r="H2025" i="13" s="1"/>
  <c r="D2025" i="13"/>
  <c r="K2024" i="13"/>
  <c r="G2024" i="13"/>
  <c r="I2024" i="13" s="1"/>
  <c r="F2024" i="13"/>
  <c r="H2024" i="13" s="1"/>
  <c r="D2024" i="13"/>
  <c r="K2023" i="13"/>
  <c r="G2023" i="13"/>
  <c r="I2023" i="13" s="1"/>
  <c r="J2023" i="13" s="1"/>
  <c r="F2023" i="13"/>
  <c r="H2023" i="13" s="1"/>
  <c r="D2023" i="13"/>
  <c r="K2022" i="13"/>
  <c r="I2022" i="13"/>
  <c r="G2022" i="13"/>
  <c r="F2022" i="13"/>
  <c r="H2022" i="13" s="1"/>
  <c r="D2022" i="13"/>
  <c r="K2021" i="13"/>
  <c r="I2021" i="13"/>
  <c r="G2021" i="13"/>
  <c r="F2021" i="13"/>
  <c r="H2021" i="13" s="1"/>
  <c r="D2021" i="13"/>
  <c r="K2031" i="13"/>
  <c r="G2031" i="13"/>
  <c r="I2031" i="13" s="1"/>
  <c r="F2031" i="13"/>
  <c r="H2031" i="13" s="1"/>
  <c r="D2031" i="13"/>
  <c r="K2030" i="13"/>
  <c r="G2030" i="13"/>
  <c r="I2030" i="13" s="1"/>
  <c r="F2030" i="13"/>
  <c r="H2030" i="13" s="1"/>
  <c r="D2030" i="13"/>
  <c r="K2029" i="13"/>
  <c r="G2029" i="13"/>
  <c r="I2029" i="13" s="1"/>
  <c r="F2029" i="13"/>
  <c r="H2029" i="13" s="1"/>
  <c r="D2029" i="13"/>
  <c r="K2028" i="13"/>
  <c r="G2028" i="13"/>
  <c r="I2028" i="13" s="1"/>
  <c r="F2028" i="13"/>
  <c r="H2028" i="13" s="1"/>
  <c r="D2028" i="13"/>
  <c r="K2034" i="13"/>
  <c r="G2034" i="13"/>
  <c r="I2034" i="13" s="1"/>
  <c r="F2034" i="13"/>
  <c r="H2034" i="13" s="1"/>
  <c r="D2034" i="13"/>
  <c r="K2033" i="13"/>
  <c r="G2033" i="13"/>
  <c r="I2033" i="13" s="1"/>
  <c r="J2033" i="13" s="1"/>
  <c r="F2033" i="13"/>
  <c r="H2033" i="13" s="1"/>
  <c r="D2033" i="13"/>
  <c r="K2032" i="13"/>
  <c r="I2032" i="13"/>
  <c r="G2032" i="13"/>
  <c r="F2032" i="13"/>
  <c r="H2032" i="13" s="1"/>
  <c r="D2032" i="13"/>
  <c r="K2038" i="13"/>
  <c r="I2038" i="13"/>
  <c r="G2038" i="13"/>
  <c r="F2038" i="13"/>
  <c r="H2038" i="13" s="1"/>
  <c r="D2038" i="13"/>
  <c r="K2037" i="13"/>
  <c r="G2037" i="13"/>
  <c r="I2037" i="13" s="1"/>
  <c r="F2037" i="13"/>
  <c r="H2037" i="13" s="1"/>
  <c r="D2037" i="13"/>
  <c r="K2036" i="13"/>
  <c r="G2036" i="13"/>
  <c r="I2036" i="13" s="1"/>
  <c r="F2036" i="13"/>
  <c r="H2036" i="13" s="1"/>
  <c r="D2036" i="13"/>
  <c r="K2035" i="13"/>
  <c r="G2035" i="13"/>
  <c r="I2035" i="13" s="1"/>
  <c r="F2035" i="13"/>
  <c r="H2035" i="13" s="1"/>
  <c r="D2035" i="13"/>
  <c r="K2043" i="13"/>
  <c r="G2043" i="13"/>
  <c r="I2043" i="13" s="1"/>
  <c r="F2043" i="13"/>
  <c r="H2043" i="13" s="1"/>
  <c r="D2043" i="13"/>
  <c r="K2042" i="13"/>
  <c r="G2042" i="13"/>
  <c r="I2042" i="13" s="1"/>
  <c r="F2042" i="13"/>
  <c r="H2042" i="13" s="1"/>
  <c r="D2042" i="13"/>
  <c r="K2041" i="13"/>
  <c r="G2041" i="13"/>
  <c r="I2041" i="13" s="1"/>
  <c r="F2041" i="13"/>
  <c r="H2041" i="13" s="1"/>
  <c r="D2041" i="13"/>
  <c r="K2040" i="13"/>
  <c r="G2040" i="13"/>
  <c r="I2040" i="13" s="1"/>
  <c r="F2040" i="13"/>
  <c r="H2040" i="13" s="1"/>
  <c r="D2040" i="13"/>
  <c r="K2039" i="13"/>
  <c r="I2039" i="13"/>
  <c r="G2039" i="13"/>
  <c r="F2039" i="13"/>
  <c r="H2039" i="13" s="1"/>
  <c r="D2039" i="13"/>
  <c r="K2048" i="13"/>
  <c r="G2048" i="13"/>
  <c r="I2048" i="13" s="1"/>
  <c r="F2048" i="13"/>
  <c r="H2048" i="13" s="1"/>
  <c r="D2048" i="13"/>
  <c r="K2047" i="13"/>
  <c r="G2047" i="13"/>
  <c r="I2047" i="13" s="1"/>
  <c r="F2047" i="13"/>
  <c r="H2047" i="13" s="1"/>
  <c r="D2047" i="13"/>
  <c r="K2046" i="13"/>
  <c r="G2046" i="13"/>
  <c r="I2046" i="13" s="1"/>
  <c r="F2046" i="13"/>
  <c r="H2046" i="13" s="1"/>
  <c r="D2046" i="13"/>
  <c r="K2045" i="13"/>
  <c r="I2045" i="13"/>
  <c r="G2045" i="13"/>
  <c r="F2045" i="13"/>
  <c r="H2045" i="13" s="1"/>
  <c r="D2045" i="13"/>
  <c r="K2044" i="13"/>
  <c r="G2044" i="13"/>
  <c r="I2044" i="13" s="1"/>
  <c r="F2044" i="13"/>
  <c r="H2044" i="13" s="1"/>
  <c r="D2044" i="13"/>
  <c r="K2054" i="13"/>
  <c r="G2054" i="13"/>
  <c r="I2054" i="13" s="1"/>
  <c r="F2054" i="13"/>
  <c r="H2054" i="13" s="1"/>
  <c r="D2054" i="13"/>
  <c r="K2053" i="13"/>
  <c r="G2053" i="13"/>
  <c r="I2053" i="13" s="1"/>
  <c r="F2053" i="13"/>
  <c r="H2053" i="13" s="1"/>
  <c r="D2053" i="13"/>
  <c r="K2052" i="13"/>
  <c r="I2052" i="13"/>
  <c r="G2052" i="13"/>
  <c r="F2052" i="13"/>
  <c r="H2052" i="13" s="1"/>
  <c r="D2052" i="13"/>
  <c r="K2051" i="13"/>
  <c r="G2051" i="13"/>
  <c r="I2051" i="13" s="1"/>
  <c r="F2051" i="13"/>
  <c r="H2051" i="13" s="1"/>
  <c r="D2051" i="13"/>
  <c r="K2050" i="13"/>
  <c r="G2050" i="13"/>
  <c r="I2050" i="13" s="1"/>
  <c r="F2050" i="13"/>
  <c r="H2050" i="13" s="1"/>
  <c r="D2050" i="13"/>
  <c r="K2049" i="13"/>
  <c r="G2049" i="13"/>
  <c r="I2049" i="13" s="1"/>
  <c r="F2049" i="13"/>
  <c r="H2049" i="13" s="1"/>
  <c r="D2049" i="13"/>
  <c r="K2062" i="13"/>
  <c r="I2062" i="13"/>
  <c r="G2062" i="13"/>
  <c r="F2062" i="13"/>
  <c r="H2062" i="13" s="1"/>
  <c r="D2062" i="13"/>
  <c r="K2061" i="13"/>
  <c r="G2061" i="13"/>
  <c r="I2061" i="13" s="1"/>
  <c r="F2061" i="13"/>
  <c r="H2061" i="13" s="1"/>
  <c r="D2061" i="13"/>
  <c r="K2060" i="13"/>
  <c r="G2060" i="13"/>
  <c r="I2060" i="13" s="1"/>
  <c r="J2060" i="13" s="1"/>
  <c r="F2060" i="13"/>
  <c r="H2060" i="13" s="1"/>
  <c r="D2060" i="13"/>
  <c r="K2059" i="13"/>
  <c r="I2059" i="13"/>
  <c r="G2059" i="13"/>
  <c r="F2059" i="13"/>
  <c r="H2059" i="13" s="1"/>
  <c r="D2059" i="13"/>
  <c r="K2058" i="13"/>
  <c r="I2058" i="13"/>
  <c r="G2058" i="13"/>
  <c r="F2058" i="13"/>
  <c r="H2058" i="13" s="1"/>
  <c r="D2058" i="13"/>
  <c r="K2057" i="13"/>
  <c r="G2057" i="13"/>
  <c r="I2057" i="13" s="1"/>
  <c r="F2057" i="13"/>
  <c r="H2057" i="13" s="1"/>
  <c r="D2057" i="13"/>
  <c r="K2056" i="13"/>
  <c r="G2056" i="13"/>
  <c r="I2056" i="13" s="1"/>
  <c r="F2056" i="13"/>
  <c r="H2056" i="13" s="1"/>
  <c r="D2056" i="13"/>
  <c r="K2055" i="13"/>
  <c r="G2055" i="13"/>
  <c r="I2055" i="13" s="1"/>
  <c r="F2055" i="13"/>
  <c r="H2055" i="13" s="1"/>
  <c r="D2055" i="13"/>
  <c r="K2070" i="13"/>
  <c r="G2070" i="13"/>
  <c r="I2070" i="13" s="1"/>
  <c r="F2070" i="13"/>
  <c r="H2070" i="13" s="1"/>
  <c r="D2070" i="13"/>
  <c r="K2069" i="13"/>
  <c r="G2069" i="13"/>
  <c r="I2069" i="13" s="1"/>
  <c r="F2069" i="13"/>
  <c r="H2069" i="13" s="1"/>
  <c r="D2069" i="13"/>
  <c r="K2068" i="13"/>
  <c r="G2068" i="13"/>
  <c r="I2068" i="13" s="1"/>
  <c r="J2068" i="13" s="1"/>
  <c r="F2068" i="13"/>
  <c r="H2068" i="13" s="1"/>
  <c r="D2068" i="13"/>
  <c r="K2067" i="13"/>
  <c r="I2067" i="13"/>
  <c r="J2067" i="13" s="1"/>
  <c r="G2067" i="13"/>
  <c r="F2067" i="13"/>
  <c r="H2067" i="13" s="1"/>
  <c r="D2067" i="13"/>
  <c r="K2066" i="13"/>
  <c r="I2066" i="13"/>
  <c r="G2066" i="13"/>
  <c r="F2066" i="13"/>
  <c r="H2066" i="13" s="1"/>
  <c r="D2066" i="13"/>
  <c r="K2065" i="13"/>
  <c r="G2065" i="13"/>
  <c r="I2065" i="13" s="1"/>
  <c r="F2065" i="13"/>
  <c r="H2065" i="13" s="1"/>
  <c r="D2065" i="13"/>
  <c r="K2064" i="13"/>
  <c r="G2064" i="13"/>
  <c r="I2064" i="13" s="1"/>
  <c r="F2064" i="13"/>
  <c r="H2064" i="13" s="1"/>
  <c r="D2064" i="13"/>
  <c r="K2063" i="13"/>
  <c r="G2063" i="13"/>
  <c r="I2063" i="13" s="1"/>
  <c r="F2063" i="13"/>
  <c r="H2063" i="13" s="1"/>
  <c r="D2063" i="13"/>
  <c r="K2078" i="13"/>
  <c r="G2078" i="13"/>
  <c r="I2078" i="13" s="1"/>
  <c r="F2078" i="13"/>
  <c r="H2078" i="13" s="1"/>
  <c r="D2078" i="13"/>
  <c r="K2077" i="13"/>
  <c r="G2077" i="13"/>
  <c r="I2077" i="13" s="1"/>
  <c r="F2077" i="13"/>
  <c r="H2077" i="13" s="1"/>
  <c r="D2077" i="13"/>
  <c r="K2076" i="13"/>
  <c r="G2076" i="13"/>
  <c r="I2076" i="13" s="1"/>
  <c r="J2076" i="13" s="1"/>
  <c r="F2076" i="13"/>
  <c r="H2076" i="13" s="1"/>
  <c r="D2076" i="13"/>
  <c r="K2075" i="13"/>
  <c r="G2075" i="13"/>
  <c r="I2075" i="13" s="1"/>
  <c r="J2075" i="13" s="1"/>
  <c r="F2075" i="13"/>
  <c r="H2075" i="13" s="1"/>
  <c r="D2075" i="13"/>
  <c r="K2074" i="13"/>
  <c r="G2074" i="13"/>
  <c r="I2074" i="13" s="1"/>
  <c r="F2074" i="13"/>
  <c r="H2074" i="13" s="1"/>
  <c r="D2074" i="13"/>
  <c r="K2073" i="13"/>
  <c r="H2073" i="13"/>
  <c r="G2073" i="13"/>
  <c r="I2073" i="13" s="1"/>
  <c r="F2073" i="13"/>
  <c r="D2073" i="13"/>
  <c r="K2072" i="13"/>
  <c r="G2072" i="13"/>
  <c r="I2072" i="13" s="1"/>
  <c r="F2072" i="13"/>
  <c r="H2072" i="13" s="1"/>
  <c r="J2072" i="13" s="1"/>
  <c r="D2072" i="13"/>
  <c r="K2071" i="13"/>
  <c r="G2071" i="13"/>
  <c r="I2071" i="13" s="1"/>
  <c r="F2071" i="13"/>
  <c r="H2071" i="13" s="1"/>
  <c r="D2071" i="13"/>
  <c r="K2084" i="13"/>
  <c r="G2084" i="13"/>
  <c r="I2084" i="13" s="1"/>
  <c r="F2084" i="13"/>
  <c r="H2084" i="13" s="1"/>
  <c r="D2084" i="13"/>
  <c r="K2083" i="13"/>
  <c r="G2083" i="13"/>
  <c r="I2083" i="13" s="1"/>
  <c r="F2083" i="13"/>
  <c r="H2083" i="13" s="1"/>
  <c r="D2083" i="13"/>
  <c r="K2082" i="13"/>
  <c r="G2082" i="13"/>
  <c r="I2082" i="13" s="1"/>
  <c r="J2082" i="13" s="1"/>
  <c r="F2082" i="13"/>
  <c r="H2082" i="13" s="1"/>
  <c r="D2082" i="13"/>
  <c r="K2081" i="13"/>
  <c r="I2081" i="13"/>
  <c r="G2081" i="13"/>
  <c r="F2081" i="13"/>
  <c r="H2081" i="13" s="1"/>
  <c r="J2081" i="13" s="1"/>
  <c r="D2081" i="13"/>
  <c r="K2080" i="13"/>
  <c r="H2080" i="13"/>
  <c r="G2080" i="13"/>
  <c r="I2080" i="13" s="1"/>
  <c r="F2080" i="13"/>
  <c r="D2080" i="13"/>
  <c r="K2079" i="13"/>
  <c r="H2079" i="13"/>
  <c r="G2079" i="13"/>
  <c r="I2079" i="13" s="1"/>
  <c r="F2079" i="13"/>
  <c r="D2079" i="13"/>
  <c r="K2087" i="13"/>
  <c r="G2087" i="13"/>
  <c r="I2087" i="13" s="1"/>
  <c r="F2087" i="13"/>
  <c r="H2087" i="13" s="1"/>
  <c r="D2087" i="13"/>
  <c r="K2086" i="13"/>
  <c r="G2086" i="13"/>
  <c r="I2086" i="13" s="1"/>
  <c r="F2086" i="13"/>
  <c r="H2086" i="13" s="1"/>
  <c r="D2086" i="13"/>
  <c r="K2085" i="13"/>
  <c r="H2085" i="13"/>
  <c r="G2085" i="13"/>
  <c r="I2085" i="13" s="1"/>
  <c r="F2085" i="13"/>
  <c r="D2085" i="13"/>
  <c r="K2092" i="13"/>
  <c r="H2092" i="13"/>
  <c r="G2092" i="13"/>
  <c r="I2092" i="13" s="1"/>
  <c r="F2092" i="13"/>
  <c r="D2092" i="13"/>
  <c r="K2091" i="13"/>
  <c r="G2091" i="13"/>
  <c r="I2091" i="13" s="1"/>
  <c r="F2091" i="13"/>
  <c r="H2091" i="13" s="1"/>
  <c r="D2091" i="13"/>
  <c r="K2090" i="13"/>
  <c r="G2090" i="13"/>
  <c r="I2090" i="13" s="1"/>
  <c r="F2090" i="13"/>
  <c r="H2090" i="13" s="1"/>
  <c r="D2090" i="13"/>
  <c r="K2089" i="13"/>
  <c r="G2089" i="13"/>
  <c r="I2089" i="13" s="1"/>
  <c r="F2089" i="13"/>
  <c r="H2089" i="13" s="1"/>
  <c r="D2089" i="13"/>
  <c r="K2088" i="13"/>
  <c r="G2088" i="13"/>
  <c r="I2088" i="13" s="1"/>
  <c r="F2088" i="13"/>
  <c r="H2088" i="13" s="1"/>
  <c r="D2088" i="13"/>
  <c r="K2095" i="13"/>
  <c r="G2095" i="13"/>
  <c r="I2095" i="13" s="1"/>
  <c r="F2095" i="13"/>
  <c r="H2095" i="13" s="1"/>
  <c r="J2095" i="13" s="1"/>
  <c r="D2095" i="13"/>
  <c r="K2094" i="13"/>
  <c r="G2094" i="13"/>
  <c r="I2094" i="13" s="1"/>
  <c r="F2094" i="13"/>
  <c r="H2094" i="13" s="1"/>
  <c r="D2094" i="13"/>
  <c r="K2093" i="13"/>
  <c r="I2093" i="13"/>
  <c r="H2093" i="13"/>
  <c r="G2093" i="13"/>
  <c r="F2093" i="13"/>
  <c r="D2093" i="13"/>
  <c r="K2104" i="13"/>
  <c r="G2104" i="13"/>
  <c r="I2104" i="13" s="1"/>
  <c r="F2104" i="13"/>
  <c r="H2104" i="13" s="1"/>
  <c r="D2104" i="13"/>
  <c r="K2103" i="13"/>
  <c r="G2103" i="13"/>
  <c r="I2103" i="13" s="1"/>
  <c r="J2103" i="13" s="1"/>
  <c r="F2103" i="13"/>
  <c r="H2103" i="13" s="1"/>
  <c r="D2103" i="13"/>
  <c r="K2102" i="13"/>
  <c r="I2102" i="13"/>
  <c r="G2102" i="13"/>
  <c r="F2102" i="13"/>
  <c r="H2102" i="13" s="1"/>
  <c r="D2102" i="13"/>
  <c r="K2101" i="13"/>
  <c r="G2101" i="13"/>
  <c r="I2101" i="13" s="1"/>
  <c r="F2101" i="13"/>
  <c r="H2101" i="13" s="1"/>
  <c r="D2101" i="13"/>
  <c r="K2100" i="13"/>
  <c r="G2100" i="13"/>
  <c r="I2100" i="13" s="1"/>
  <c r="F2100" i="13"/>
  <c r="H2100" i="13" s="1"/>
  <c r="D2100" i="13"/>
  <c r="K2099" i="13"/>
  <c r="G2099" i="13"/>
  <c r="I2099" i="13" s="1"/>
  <c r="F2099" i="13"/>
  <c r="H2099" i="13" s="1"/>
  <c r="D2099" i="13"/>
  <c r="K2098" i="13"/>
  <c r="G2098" i="13"/>
  <c r="I2098" i="13" s="1"/>
  <c r="J2098" i="13" s="1"/>
  <c r="F2098" i="13"/>
  <c r="H2098" i="13" s="1"/>
  <c r="D2098" i="13"/>
  <c r="K2097" i="13"/>
  <c r="G2097" i="13"/>
  <c r="I2097" i="13" s="1"/>
  <c r="F2097" i="13"/>
  <c r="H2097" i="13" s="1"/>
  <c r="D2097" i="13"/>
  <c r="K2096" i="13"/>
  <c r="G2096" i="13"/>
  <c r="I2096" i="13" s="1"/>
  <c r="F2096" i="13"/>
  <c r="H2096" i="13" s="1"/>
  <c r="D2096" i="13"/>
  <c r="K2105" i="13"/>
  <c r="J2105" i="13"/>
  <c r="G2105" i="13"/>
  <c r="I2105" i="13" s="1"/>
  <c r="F2105" i="13"/>
  <c r="H2105" i="13" s="1"/>
  <c r="D2105" i="13"/>
  <c r="K2109" i="13"/>
  <c r="G2109" i="13"/>
  <c r="I2109" i="13" s="1"/>
  <c r="F2109" i="13"/>
  <c r="H2109" i="13" s="1"/>
  <c r="D2109" i="13"/>
  <c r="K2108" i="13"/>
  <c r="G2108" i="13"/>
  <c r="I2108" i="13" s="1"/>
  <c r="F2108" i="13"/>
  <c r="H2108" i="13" s="1"/>
  <c r="D2108" i="13"/>
  <c r="K2107" i="13"/>
  <c r="G2107" i="13"/>
  <c r="I2107" i="13" s="1"/>
  <c r="F2107" i="13"/>
  <c r="H2107" i="13" s="1"/>
  <c r="D2107" i="13"/>
  <c r="K2106" i="13"/>
  <c r="G2106" i="13"/>
  <c r="I2106" i="13" s="1"/>
  <c r="F2106" i="13"/>
  <c r="H2106" i="13" s="1"/>
  <c r="D2106" i="13"/>
  <c r="K2121" i="13"/>
  <c r="G2121" i="13"/>
  <c r="I2121" i="13" s="1"/>
  <c r="J2121" i="13" s="1"/>
  <c r="F2121" i="13"/>
  <c r="H2121" i="13" s="1"/>
  <c r="D2121" i="13"/>
  <c r="K2120" i="13"/>
  <c r="G2120" i="13"/>
  <c r="I2120" i="13" s="1"/>
  <c r="J2120" i="13" s="1"/>
  <c r="F2120" i="13"/>
  <c r="H2120" i="13" s="1"/>
  <c r="D2120" i="13"/>
  <c r="K2119" i="13"/>
  <c r="G2119" i="13"/>
  <c r="I2119" i="13" s="1"/>
  <c r="F2119" i="13"/>
  <c r="H2119" i="13" s="1"/>
  <c r="D2119" i="13"/>
  <c r="K2118" i="13"/>
  <c r="G2118" i="13"/>
  <c r="I2118" i="13" s="1"/>
  <c r="F2118" i="13"/>
  <c r="H2118" i="13" s="1"/>
  <c r="D2118" i="13"/>
  <c r="K2117" i="13"/>
  <c r="G2117" i="13"/>
  <c r="I2117" i="13" s="1"/>
  <c r="F2117" i="13"/>
  <c r="H2117" i="13" s="1"/>
  <c r="D2117" i="13"/>
  <c r="K2116" i="13"/>
  <c r="H2116" i="13"/>
  <c r="G2116" i="13"/>
  <c r="I2116" i="13" s="1"/>
  <c r="F2116" i="13"/>
  <c r="D2116" i="13"/>
  <c r="K2115" i="13"/>
  <c r="G2115" i="13"/>
  <c r="I2115" i="13" s="1"/>
  <c r="F2115" i="13"/>
  <c r="H2115" i="13" s="1"/>
  <c r="D2115" i="13"/>
  <c r="K2114" i="13"/>
  <c r="G2114" i="13"/>
  <c r="I2114" i="13" s="1"/>
  <c r="F2114" i="13"/>
  <c r="H2114" i="13" s="1"/>
  <c r="D2114" i="13"/>
  <c r="K2113" i="13"/>
  <c r="I2113" i="13"/>
  <c r="G2113" i="13"/>
  <c r="F2113" i="13"/>
  <c r="H2113" i="13" s="1"/>
  <c r="D2113" i="13"/>
  <c r="K2112" i="13"/>
  <c r="H2112" i="13"/>
  <c r="G2112" i="13"/>
  <c r="I2112" i="13" s="1"/>
  <c r="F2112" i="13"/>
  <c r="D2112" i="13"/>
  <c r="K2111" i="13"/>
  <c r="G2111" i="13"/>
  <c r="I2111" i="13" s="1"/>
  <c r="F2111" i="13"/>
  <c r="H2111" i="13" s="1"/>
  <c r="D2111" i="13"/>
  <c r="K2110" i="13"/>
  <c r="G2110" i="13"/>
  <c r="I2110" i="13" s="1"/>
  <c r="F2110" i="13"/>
  <c r="H2110" i="13" s="1"/>
  <c r="J2110" i="13" s="1"/>
  <c r="D2110" i="13"/>
  <c r="K2124" i="13"/>
  <c r="G2124" i="13"/>
  <c r="I2124" i="13" s="1"/>
  <c r="F2124" i="13"/>
  <c r="H2124" i="13" s="1"/>
  <c r="D2124" i="13"/>
  <c r="K2123" i="13"/>
  <c r="G2123" i="13"/>
  <c r="I2123" i="13" s="1"/>
  <c r="F2123" i="13"/>
  <c r="H2123" i="13" s="1"/>
  <c r="D2123" i="13"/>
  <c r="K2122" i="13"/>
  <c r="G2122" i="13"/>
  <c r="I2122" i="13" s="1"/>
  <c r="F2122" i="13"/>
  <c r="H2122" i="13" s="1"/>
  <c r="D2122" i="13"/>
  <c r="K2127" i="13"/>
  <c r="G2127" i="13"/>
  <c r="I2127" i="13" s="1"/>
  <c r="F2127" i="13"/>
  <c r="H2127" i="13" s="1"/>
  <c r="D2127" i="13"/>
  <c r="K2126" i="13"/>
  <c r="G2126" i="13"/>
  <c r="I2126" i="13" s="1"/>
  <c r="J2126" i="13" s="1"/>
  <c r="F2126" i="13"/>
  <c r="H2126" i="13" s="1"/>
  <c r="D2126" i="13"/>
  <c r="K2125" i="13"/>
  <c r="I2125" i="13"/>
  <c r="G2125" i="13"/>
  <c r="F2125" i="13"/>
  <c r="H2125" i="13" s="1"/>
  <c r="D2125" i="13"/>
  <c r="K2132" i="13"/>
  <c r="G2132" i="13"/>
  <c r="I2132" i="13" s="1"/>
  <c r="F2132" i="13"/>
  <c r="H2132" i="13" s="1"/>
  <c r="D2132" i="13"/>
  <c r="K2131" i="13"/>
  <c r="G2131" i="13"/>
  <c r="I2131" i="13" s="1"/>
  <c r="J2131" i="13" s="1"/>
  <c r="F2131" i="13"/>
  <c r="H2131" i="13" s="1"/>
  <c r="D2131" i="13"/>
  <c r="K2130" i="13"/>
  <c r="I2130" i="13"/>
  <c r="G2130" i="13"/>
  <c r="F2130" i="13"/>
  <c r="H2130" i="13" s="1"/>
  <c r="D2130" i="13"/>
  <c r="K2129" i="13"/>
  <c r="G2129" i="13"/>
  <c r="I2129" i="13" s="1"/>
  <c r="F2129" i="13"/>
  <c r="H2129" i="13" s="1"/>
  <c r="D2129" i="13"/>
  <c r="K2128" i="13"/>
  <c r="G2128" i="13"/>
  <c r="I2128" i="13" s="1"/>
  <c r="F2128" i="13"/>
  <c r="H2128" i="13" s="1"/>
  <c r="D2128" i="13"/>
  <c r="K2135" i="13"/>
  <c r="G2135" i="13"/>
  <c r="I2135" i="13" s="1"/>
  <c r="J2135" i="13" s="1"/>
  <c r="F2135" i="13"/>
  <c r="H2135" i="13" s="1"/>
  <c r="D2135" i="13"/>
  <c r="K2134" i="13"/>
  <c r="I2134" i="13"/>
  <c r="G2134" i="13"/>
  <c r="F2134" i="13"/>
  <c r="H2134" i="13" s="1"/>
  <c r="D2134" i="13"/>
  <c r="K2133" i="13"/>
  <c r="G2133" i="13"/>
  <c r="I2133" i="13" s="1"/>
  <c r="F2133" i="13"/>
  <c r="H2133" i="13" s="1"/>
  <c r="D2133" i="13"/>
  <c r="K2141" i="13"/>
  <c r="G2141" i="13"/>
  <c r="I2141" i="13" s="1"/>
  <c r="F2141" i="13"/>
  <c r="H2141" i="13" s="1"/>
  <c r="D2141" i="13"/>
  <c r="K2140" i="13"/>
  <c r="G2140" i="13"/>
  <c r="I2140" i="13" s="1"/>
  <c r="F2140" i="13"/>
  <c r="H2140" i="13" s="1"/>
  <c r="D2140" i="13"/>
  <c r="K2139" i="13"/>
  <c r="G2139" i="13"/>
  <c r="I2139" i="13" s="1"/>
  <c r="F2139" i="13"/>
  <c r="H2139" i="13" s="1"/>
  <c r="D2139" i="13"/>
  <c r="K2138" i="13"/>
  <c r="G2138" i="13"/>
  <c r="I2138" i="13" s="1"/>
  <c r="F2138" i="13"/>
  <c r="H2138" i="13" s="1"/>
  <c r="D2138" i="13"/>
  <c r="K2137" i="13"/>
  <c r="G2137" i="13"/>
  <c r="I2137" i="13" s="1"/>
  <c r="F2137" i="13"/>
  <c r="H2137" i="13" s="1"/>
  <c r="D2137" i="13"/>
  <c r="K2136" i="13"/>
  <c r="G2136" i="13"/>
  <c r="I2136" i="13" s="1"/>
  <c r="F2136" i="13"/>
  <c r="H2136" i="13" s="1"/>
  <c r="D2136" i="13"/>
  <c r="K2146" i="13"/>
  <c r="G2146" i="13"/>
  <c r="I2146" i="13" s="1"/>
  <c r="J2146" i="13" s="1"/>
  <c r="F2146" i="13"/>
  <c r="H2146" i="13" s="1"/>
  <c r="D2146" i="13"/>
  <c r="K2145" i="13"/>
  <c r="G2145" i="13"/>
  <c r="I2145" i="13" s="1"/>
  <c r="F2145" i="13"/>
  <c r="H2145" i="13" s="1"/>
  <c r="D2145" i="13"/>
  <c r="K2144" i="13"/>
  <c r="H2144" i="13"/>
  <c r="G2144" i="13"/>
  <c r="I2144" i="13" s="1"/>
  <c r="F2144" i="13"/>
  <c r="D2144" i="13"/>
  <c r="K2143" i="13"/>
  <c r="G2143" i="13"/>
  <c r="I2143" i="13" s="1"/>
  <c r="J2143" i="13" s="1"/>
  <c r="F2143" i="13"/>
  <c r="H2143" i="13" s="1"/>
  <c r="D2143" i="13"/>
  <c r="K2142" i="13"/>
  <c r="I2142" i="13"/>
  <c r="G2142" i="13"/>
  <c r="F2142" i="13"/>
  <c r="H2142" i="13" s="1"/>
  <c r="D2142" i="13"/>
  <c r="K2147" i="13"/>
  <c r="G2147" i="13"/>
  <c r="I2147" i="13" s="1"/>
  <c r="F2147" i="13"/>
  <c r="H2147" i="13" s="1"/>
  <c r="D2147" i="13"/>
  <c r="K2151" i="13"/>
  <c r="G2151" i="13"/>
  <c r="I2151" i="13" s="1"/>
  <c r="F2151" i="13"/>
  <c r="H2151" i="13" s="1"/>
  <c r="D2151" i="13"/>
  <c r="K2150" i="13"/>
  <c r="G2150" i="13"/>
  <c r="I2150" i="13" s="1"/>
  <c r="J2150" i="13" s="1"/>
  <c r="F2150" i="13"/>
  <c r="H2150" i="13" s="1"/>
  <c r="D2150" i="13"/>
  <c r="K2149" i="13"/>
  <c r="I2149" i="13"/>
  <c r="G2149" i="13"/>
  <c r="F2149" i="13"/>
  <c r="H2149" i="13" s="1"/>
  <c r="D2149" i="13"/>
  <c r="K2148" i="13"/>
  <c r="H2148" i="13"/>
  <c r="G2148" i="13"/>
  <c r="I2148" i="13" s="1"/>
  <c r="J2148" i="13" s="1"/>
  <c r="F2148" i="13"/>
  <c r="D2148" i="13"/>
  <c r="K2158" i="13"/>
  <c r="H2158" i="13"/>
  <c r="G2158" i="13"/>
  <c r="I2158" i="13" s="1"/>
  <c r="F2158" i="13"/>
  <c r="D2158" i="13"/>
  <c r="K2157" i="13"/>
  <c r="G2157" i="13"/>
  <c r="I2157" i="13" s="1"/>
  <c r="F2157" i="13"/>
  <c r="H2157" i="13" s="1"/>
  <c r="J2157" i="13" s="1"/>
  <c r="D2157" i="13"/>
  <c r="K2156" i="13"/>
  <c r="G2156" i="13"/>
  <c r="I2156" i="13" s="1"/>
  <c r="F2156" i="13"/>
  <c r="H2156" i="13" s="1"/>
  <c r="D2156" i="13"/>
  <c r="K2155" i="13"/>
  <c r="H2155" i="13"/>
  <c r="G2155" i="13"/>
  <c r="I2155" i="13" s="1"/>
  <c r="F2155" i="13"/>
  <c r="D2155" i="13"/>
  <c r="K2154" i="13"/>
  <c r="G2154" i="13"/>
  <c r="I2154" i="13" s="1"/>
  <c r="F2154" i="13"/>
  <c r="H2154" i="13" s="1"/>
  <c r="D2154" i="13"/>
  <c r="K2153" i="13"/>
  <c r="G2153" i="13"/>
  <c r="I2153" i="13" s="1"/>
  <c r="F2153" i="13"/>
  <c r="H2153" i="13" s="1"/>
  <c r="D2153" i="13"/>
  <c r="K2152" i="13"/>
  <c r="G2152" i="13"/>
  <c r="I2152" i="13" s="1"/>
  <c r="J2152" i="13" s="1"/>
  <c r="F2152" i="13"/>
  <c r="H2152" i="13" s="1"/>
  <c r="D2152" i="13"/>
  <c r="K2165" i="13"/>
  <c r="I2165" i="13"/>
  <c r="G2165" i="13"/>
  <c r="F2165" i="13"/>
  <c r="H2165" i="13" s="1"/>
  <c r="D2165" i="13"/>
  <c r="K2164" i="13"/>
  <c r="G2164" i="13"/>
  <c r="I2164" i="13" s="1"/>
  <c r="F2164" i="13"/>
  <c r="H2164" i="13" s="1"/>
  <c r="D2164" i="13"/>
  <c r="K2163" i="13"/>
  <c r="G2163" i="13"/>
  <c r="I2163" i="13" s="1"/>
  <c r="F2163" i="13"/>
  <c r="H2163" i="13" s="1"/>
  <c r="D2163" i="13"/>
  <c r="K2162" i="13"/>
  <c r="G2162" i="13"/>
  <c r="I2162" i="13" s="1"/>
  <c r="F2162" i="13"/>
  <c r="H2162" i="13" s="1"/>
  <c r="D2162" i="13"/>
  <c r="K2161" i="13"/>
  <c r="I2161" i="13"/>
  <c r="G2161" i="13"/>
  <c r="F2161" i="13"/>
  <c r="H2161" i="13" s="1"/>
  <c r="D2161" i="13"/>
  <c r="K2160" i="13"/>
  <c r="G2160" i="13"/>
  <c r="I2160" i="13" s="1"/>
  <c r="F2160" i="13"/>
  <c r="H2160" i="13" s="1"/>
  <c r="D2160" i="13"/>
  <c r="K2159" i="13"/>
  <c r="G2159" i="13"/>
  <c r="I2159" i="13" s="1"/>
  <c r="J2159" i="13" s="1"/>
  <c r="F2159" i="13"/>
  <c r="H2159" i="13" s="1"/>
  <c r="D2159" i="13"/>
  <c r="K2170" i="13"/>
  <c r="I2170" i="13"/>
  <c r="J2170" i="13" s="1"/>
  <c r="G2170" i="13"/>
  <c r="F2170" i="13"/>
  <c r="H2170" i="13" s="1"/>
  <c r="D2170" i="13"/>
  <c r="K2169" i="13"/>
  <c r="I2169" i="13"/>
  <c r="G2169" i="13"/>
  <c r="F2169" i="13"/>
  <c r="H2169" i="13" s="1"/>
  <c r="D2169" i="13"/>
  <c r="K2168" i="13"/>
  <c r="G2168" i="13"/>
  <c r="I2168" i="13" s="1"/>
  <c r="F2168" i="13"/>
  <c r="H2168" i="13" s="1"/>
  <c r="D2168" i="13"/>
  <c r="K2167" i="13"/>
  <c r="G2167" i="13"/>
  <c r="I2167" i="13" s="1"/>
  <c r="F2167" i="13"/>
  <c r="H2167" i="13" s="1"/>
  <c r="D2167" i="13"/>
  <c r="K2166" i="13"/>
  <c r="G2166" i="13"/>
  <c r="I2166" i="13" s="1"/>
  <c r="F2166" i="13"/>
  <c r="H2166" i="13" s="1"/>
  <c r="D2166" i="13"/>
  <c r="K2178" i="13"/>
  <c r="G2178" i="13"/>
  <c r="I2178" i="13" s="1"/>
  <c r="F2178" i="13"/>
  <c r="H2178" i="13" s="1"/>
  <c r="D2178" i="13"/>
  <c r="K2177" i="13"/>
  <c r="H2177" i="13"/>
  <c r="G2177" i="13"/>
  <c r="I2177" i="13" s="1"/>
  <c r="F2177" i="13"/>
  <c r="D2177" i="13"/>
  <c r="K2176" i="13"/>
  <c r="G2176" i="13"/>
  <c r="I2176" i="13" s="1"/>
  <c r="J2176" i="13" s="1"/>
  <c r="F2176" i="13"/>
  <c r="H2176" i="13" s="1"/>
  <c r="D2176" i="13"/>
  <c r="K2175" i="13"/>
  <c r="I2175" i="13"/>
  <c r="J2175" i="13" s="1"/>
  <c r="G2175" i="13"/>
  <c r="F2175" i="13"/>
  <c r="H2175" i="13" s="1"/>
  <c r="D2175" i="13"/>
  <c r="K2174" i="13"/>
  <c r="G2174" i="13"/>
  <c r="I2174" i="13" s="1"/>
  <c r="F2174" i="13"/>
  <c r="H2174" i="13" s="1"/>
  <c r="D2174" i="13"/>
  <c r="K2173" i="13"/>
  <c r="G2173" i="13"/>
  <c r="I2173" i="13" s="1"/>
  <c r="F2173" i="13"/>
  <c r="H2173" i="13" s="1"/>
  <c r="D2173" i="13"/>
  <c r="K2172" i="13"/>
  <c r="G2172" i="13"/>
  <c r="I2172" i="13" s="1"/>
  <c r="F2172" i="13"/>
  <c r="H2172" i="13" s="1"/>
  <c r="J2172" i="13" s="1"/>
  <c r="D2172" i="13"/>
  <c r="K2171" i="13"/>
  <c r="G2171" i="13"/>
  <c r="I2171" i="13" s="1"/>
  <c r="F2171" i="13"/>
  <c r="H2171" i="13" s="1"/>
  <c r="D2171" i="13"/>
  <c r="K2184" i="13"/>
  <c r="H2184" i="13"/>
  <c r="G2184" i="13"/>
  <c r="I2184" i="13" s="1"/>
  <c r="F2184" i="13"/>
  <c r="D2184" i="13"/>
  <c r="K2183" i="13"/>
  <c r="G2183" i="13"/>
  <c r="I2183" i="13" s="1"/>
  <c r="F2183" i="13"/>
  <c r="H2183" i="13" s="1"/>
  <c r="D2183" i="13"/>
  <c r="K2182" i="13"/>
  <c r="G2182" i="13"/>
  <c r="I2182" i="13" s="1"/>
  <c r="J2182" i="13" s="1"/>
  <c r="F2182" i="13"/>
  <c r="H2182" i="13" s="1"/>
  <c r="D2182" i="13"/>
  <c r="K2181" i="13"/>
  <c r="I2181" i="13"/>
  <c r="G2181" i="13"/>
  <c r="F2181" i="13"/>
  <c r="H2181" i="13" s="1"/>
  <c r="D2181" i="13"/>
  <c r="K2180" i="13"/>
  <c r="H2180" i="13"/>
  <c r="G2180" i="13"/>
  <c r="I2180" i="13" s="1"/>
  <c r="F2180" i="13"/>
  <c r="D2180" i="13"/>
  <c r="K2179" i="13"/>
  <c r="G2179" i="13"/>
  <c r="I2179" i="13" s="1"/>
  <c r="F2179" i="13"/>
  <c r="H2179" i="13" s="1"/>
  <c r="D2179" i="13"/>
  <c r="K2190" i="13"/>
  <c r="G2190" i="13"/>
  <c r="I2190" i="13" s="1"/>
  <c r="F2190" i="13"/>
  <c r="H2190" i="13" s="1"/>
  <c r="D2190" i="13"/>
  <c r="K2189" i="13"/>
  <c r="G2189" i="13"/>
  <c r="I2189" i="13" s="1"/>
  <c r="F2189" i="13"/>
  <c r="H2189" i="13" s="1"/>
  <c r="D2189" i="13"/>
  <c r="K2188" i="13"/>
  <c r="H2188" i="13"/>
  <c r="G2188" i="13"/>
  <c r="I2188" i="13" s="1"/>
  <c r="F2188" i="13"/>
  <c r="D2188" i="13"/>
  <c r="K2187" i="13"/>
  <c r="G2187" i="13"/>
  <c r="I2187" i="13" s="1"/>
  <c r="F2187" i="13"/>
  <c r="H2187" i="13" s="1"/>
  <c r="D2187" i="13"/>
  <c r="K2186" i="13"/>
  <c r="G2186" i="13"/>
  <c r="I2186" i="13" s="1"/>
  <c r="F2186" i="13"/>
  <c r="H2186" i="13" s="1"/>
  <c r="D2186" i="13"/>
  <c r="K2185" i="13"/>
  <c r="G2185" i="13"/>
  <c r="I2185" i="13" s="1"/>
  <c r="J2185" i="13" s="1"/>
  <c r="F2185" i="13"/>
  <c r="H2185" i="13" s="1"/>
  <c r="D2185" i="13"/>
  <c r="K2197" i="13"/>
  <c r="I2197" i="13"/>
  <c r="G2197" i="13"/>
  <c r="F2197" i="13"/>
  <c r="H2197" i="13" s="1"/>
  <c r="D2197" i="13"/>
  <c r="K2196" i="13"/>
  <c r="G2196" i="13"/>
  <c r="I2196" i="13" s="1"/>
  <c r="F2196" i="13"/>
  <c r="H2196" i="13" s="1"/>
  <c r="D2196" i="13"/>
  <c r="K2195" i="13"/>
  <c r="G2195" i="13"/>
  <c r="I2195" i="13" s="1"/>
  <c r="F2195" i="13"/>
  <c r="H2195" i="13" s="1"/>
  <c r="D2195" i="13"/>
  <c r="K2194" i="13"/>
  <c r="G2194" i="13"/>
  <c r="I2194" i="13" s="1"/>
  <c r="F2194" i="13"/>
  <c r="H2194" i="13" s="1"/>
  <c r="D2194" i="13"/>
  <c r="K2193" i="13"/>
  <c r="I2193" i="13"/>
  <c r="G2193" i="13"/>
  <c r="F2193" i="13"/>
  <c r="H2193" i="13" s="1"/>
  <c r="D2193" i="13"/>
  <c r="K2192" i="13"/>
  <c r="G2192" i="13"/>
  <c r="I2192" i="13" s="1"/>
  <c r="F2192" i="13"/>
  <c r="H2192" i="13" s="1"/>
  <c r="D2192" i="13"/>
  <c r="K2191" i="13"/>
  <c r="G2191" i="13"/>
  <c r="I2191" i="13" s="1"/>
  <c r="J2191" i="13" s="1"/>
  <c r="F2191" i="13"/>
  <c r="H2191" i="13" s="1"/>
  <c r="D2191" i="13"/>
  <c r="K2201" i="13"/>
  <c r="I2201" i="13"/>
  <c r="J2201" i="13" s="1"/>
  <c r="G2201" i="13"/>
  <c r="F2201" i="13"/>
  <c r="H2201" i="13" s="1"/>
  <c r="D2201" i="13"/>
  <c r="K2200" i="13"/>
  <c r="I2200" i="13"/>
  <c r="G2200" i="13"/>
  <c r="F2200" i="13"/>
  <c r="H2200" i="13" s="1"/>
  <c r="D2200" i="13"/>
  <c r="K2199" i="13"/>
  <c r="G2199" i="13"/>
  <c r="I2199" i="13" s="1"/>
  <c r="F2199" i="13"/>
  <c r="H2199" i="13" s="1"/>
  <c r="D2199" i="13"/>
  <c r="K2198" i="13"/>
  <c r="G2198" i="13"/>
  <c r="I2198" i="13" s="1"/>
  <c r="J2198" i="13" s="1"/>
  <c r="F2198" i="13"/>
  <c r="H2198" i="13" s="1"/>
  <c r="D2198" i="13"/>
  <c r="K2208" i="13"/>
  <c r="I2208" i="13"/>
  <c r="G2208" i="13"/>
  <c r="F2208" i="13"/>
  <c r="H2208" i="13" s="1"/>
  <c r="D2208" i="13"/>
  <c r="K2207" i="13"/>
  <c r="G2207" i="13"/>
  <c r="I2207" i="13" s="1"/>
  <c r="F2207" i="13"/>
  <c r="H2207" i="13" s="1"/>
  <c r="D2207" i="13"/>
  <c r="K2206" i="13"/>
  <c r="H2206" i="13"/>
  <c r="G2206" i="13"/>
  <c r="I2206" i="13" s="1"/>
  <c r="F2206" i="13"/>
  <c r="D2206" i="13"/>
  <c r="K2205" i="13"/>
  <c r="G2205" i="13"/>
  <c r="I2205" i="13" s="1"/>
  <c r="F2205" i="13"/>
  <c r="H2205" i="13" s="1"/>
  <c r="D2205" i="13"/>
  <c r="K2204" i="13"/>
  <c r="I2204" i="13"/>
  <c r="G2204" i="13"/>
  <c r="F2204" i="13"/>
  <c r="H2204" i="13" s="1"/>
  <c r="D2204" i="13"/>
  <c r="K2203" i="13"/>
  <c r="G2203" i="13"/>
  <c r="I2203" i="13" s="1"/>
  <c r="F2203" i="13"/>
  <c r="H2203" i="13" s="1"/>
  <c r="D2203" i="13"/>
  <c r="K2202" i="13"/>
  <c r="G2202" i="13"/>
  <c r="I2202" i="13" s="1"/>
  <c r="F2202" i="13"/>
  <c r="H2202" i="13" s="1"/>
  <c r="D2202" i="13"/>
  <c r="K2213" i="13"/>
  <c r="J2213" i="13"/>
  <c r="G2213" i="13"/>
  <c r="I2213" i="13" s="1"/>
  <c r="F2213" i="13"/>
  <c r="H2213" i="13" s="1"/>
  <c r="D2213" i="13"/>
  <c r="K2212" i="13"/>
  <c r="G2212" i="13"/>
  <c r="I2212" i="13" s="1"/>
  <c r="F2212" i="13"/>
  <c r="H2212" i="13" s="1"/>
  <c r="D2212" i="13"/>
  <c r="K2211" i="13"/>
  <c r="H2211" i="13"/>
  <c r="G2211" i="13"/>
  <c r="I2211" i="13" s="1"/>
  <c r="F2211" i="13"/>
  <c r="D2211" i="13"/>
  <c r="K2210" i="13"/>
  <c r="G2210" i="13"/>
  <c r="I2210" i="13" s="1"/>
  <c r="F2210" i="13"/>
  <c r="H2210" i="13" s="1"/>
  <c r="D2210" i="13"/>
  <c r="K2209" i="13"/>
  <c r="G2209" i="13"/>
  <c r="I2209" i="13" s="1"/>
  <c r="F2209" i="13"/>
  <c r="H2209" i="13" s="1"/>
  <c r="D2209" i="13"/>
  <c r="K2219" i="13"/>
  <c r="G2219" i="13"/>
  <c r="I2219" i="13" s="1"/>
  <c r="F2219" i="13"/>
  <c r="H2219" i="13" s="1"/>
  <c r="D2219" i="13"/>
  <c r="K2218" i="13"/>
  <c r="G2218" i="13"/>
  <c r="I2218" i="13" s="1"/>
  <c r="F2218" i="13"/>
  <c r="H2218" i="13" s="1"/>
  <c r="D2218" i="13"/>
  <c r="K2217" i="13"/>
  <c r="H2217" i="13"/>
  <c r="G2217" i="13"/>
  <c r="I2217" i="13" s="1"/>
  <c r="F2217" i="13"/>
  <c r="D2217" i="13"/>
  <c r="K2216" i="13"/>
  <c r="G2216" i="13"/>
  <c r="I2216" i="13" s="1"/>
  <c r="J2216" i="13" s="1"/>
  <c r="F2216" i="13"/>
  <c r="H2216" i="13" s="1"/>
  <c r="D2216" i="13"/>
  <c r="K2215" i="13"/>
  <c r="G2215" i="13"/>
  <c r="I2215" i="13" s="1"/>
  <c r="F2215" i="13"/>
  <c r="H2215" i="13" s="1"/>
  <c r="D2215" i="13"/>
  <c r="K2214" i="13"/>
  <c r="I2214" i="13"/>
  <c r="G2214" i="13"/>
  <c r="F2214" i="13"/>
  <c r="H2214" i="13" s="1"/>
  <c r="D2214" i="13"/>
  <c r="K2227" i="13"/>
  <c r="G2227" i="13"/>
  <c r="I2227" i="13" s="1"/>
  <c r="F2227" i="13"/>
  <c r="H2227" i="13" s="1"/>
  <c r="D2227" i="13"/>
  <c r="K2226" i="13"/>
  <c r="G2226" i="13"/>
  <c r="I2226" i="13" s="1"/>
  <c r="F2226" i="13"/>
  <c r="H2226" i="13" s="1"/>
  <c r="J2226" i="13" s="1"/>
  <c r="D2226" i="13"/>
  <c r="K2225" i="13"/>
  <c r="G2225" i="13"/>
  <c r="I2225" i="13" s="1"/>
  <c r="F2225" i="13"/>
  <c r="H2225" i="13" s="1"/>
  <c r="D2225" i="13"/>
  <c r="K2224" i="13"/>
  <c r="H2224" i="13"/>
  <c r="G2224" i="13"/>
  <c r="I2224" i="13" s="1"/>
  <c r="J2224" i="13" s="1"/>
  <c r="F2224" i="13"/>
  <c r="D2224" i="13"/>
  <c r="K2223" i="13"/>
  <c r="G2223" i="13"/>
  <c r="I2223" i="13" s="1"/>
  <c r="F2223" i="13"/>
  <c r="H2223" i="13" s="1"/>
  <c r="D2223" i="13"/>
  <c r="K2222" i="13"/>
  <c r="G2222" i="13"/>
  <c r="I2222" i="13" s="1"/>
  <c r="J2222" i="13" s="1"/>
  <c r="F2222" i="13"/>
  <c r="H2222" i="13" s="1"/>
  <c r="D2222" i="13"/>
  <c r="K2221" i="13"/>
  <c r="I2221" i="13"/>
  <c r="G2221" i="13"/>
  <c r="F2221" i="13"/>
  <c r="H2221" i="13" s="1"/>
  <c r="D2221" i="13"/>
  <c r="K2220" i="13"/>
  <c r="I2220" i="13"/>
  <c r="G2220" i="13"/>
  <c r="F2220" i="13"/>
  <c r="H2220" i="13" s="1"/>
  <c r="D2220" i="13"/>
  <c r="K2231" i="13"/>
  <c r="G2231" i="13"/>
  <c r="I2231" i="13" s="1"/>
  <c r="F2231" i="13"/>
  <c r="H2231" i="13" s="1"/>
  <c r="D2231" i="13"/>
  <c r="K2230" i="13"/>
  <c r="G2230" i="13"/>
  <c r="I2230" i="13" s="1"/>
  <c r="F2230" i="13"/>
  <c r="H2230" i="13" s="1"/>
  <c r="D2230" i="13"/>
  <c r="K2229" i="13"/>
  <c r="G2229" i="13"/>
  <c r="I2229" i="13" s="1"/>
  <c r="J2229" i="13" s="1"/>
  <c r="F2229" i="13"/>
  <c r="H2229" i="13" s="1"/>
  <c r="D2229" i="13"/>
  <c r="K2228" i="13"/>
  <c r="I2228" i="13"/>
  <c r="G2228" i="13"/>
  <c r="F2228" i="13"/>
  <c r="H2228" i="13" s="1"/>
  <c r="D2228" i="13"/>
  <c r="K2240" i="13"/>
  <c r="G2240" i="13"/>
  <c r="I2240" i="13" s="1"/>
  <c r="F2240" i="13"/>
  <c r="H2240" i="13" s="1"/>
  <c r="D2240" i="13"/>
  <c r="K2239" i="13"/>
  <c r="J2239" i="13"/>
  <c r="G2239" i="13"/>
  <c r="I2239" i="13" s="1"/>
  <c r="F2239" i="13"/>
  <c r="H2239" i="13" s="1"/>
  <c r="D2239" i="13"/>
  <c r="K2238" i="13"/>
  <c r="I2238" i="13"/>
  <c r="G2238" i="13"/>
  <c r="F2238" i="13"/>
  <c r="H2238" i="13" s="1"/>
  <c r="D2238" i="13"/>
  <c r="K2237" i="13"/>
  <c r="G2237" i="13"/>
  <c r="I2237" i="13" s="1"/>
  <c r="F2237" i="13"/>
  <c r="H2237" i="13" s="1"/>
  <c r="D2237" i="13"/>
  <c r="K2236" i="13"/>
  <c r="G2236" i="13"/>
  <c r="I2236" i="13" s="1"/>
  <c r="F2236" i="13"/>
  <c r="H2236" i="13" s="1"/>
  <c r="D2236" i="13"/>
  <c r="K2235" i="13"/>
  <c r="G2235" i="13"/>
  <c r="I2235" i="13" s="1"/>
  <c r="J2235" i="13" s="1"/>
  <c r="F2235" i="13"/>
  <c r="H2235" i="13" s="1"/>
  <c r="D2235" i="13"/>
  <c r="K2234" i="13"/>
  <c r="I2234" i="13"/>
  <c r="J2234" i="13" s="1"/>
  <c r="G2234" i="13"/>
  <c r="F2234" i="13"/>
  <c r="H2234" i="13" s="1"/>
  <c r="D2234" i="13"/>
  <c r="K2233" i="13"/>
  <c r="G2233" i="13"/>
  <c r="I2233" i="13" s="1"/>
  <c r="F2233" i="13"/>
  <c r="H2233" i="13" s="1"/>
  <c r="D2233" i="13"/>
  <c r="K2232" i="13"/>
  <c r="H2232" i="13"/>
  <c r="G2232" i="13"/>
  <c r="I2232" i="13" s="1"/>
  <c r="F2232" i="13"/>
  <c r="D2232" i="13"/>
  <c r="K2249" i="13"/>
  <c r="G2249" i="13"/>
  <c r="I2249" i="13" s="1"/>
  <c r="F2249" i="13"/>
  <c r="H2249" i="13" s="1"/>
  <c r="J2249" i="13" s="1"/>
  <c r="D2249" i="13"/>
  <c r="K2248" i="13"/>
  <c r="G2248" i="13"/>
  <c r="I2248" i="13" s="1"/>
  <c r="F2248" i="13"/>
  <c r="H2248" i="13" s="1"/>
  <c r="D2248" i="13"/>
  <c r="K2247" i="13"/>
  <c r="G2247" i="13"/>
  <c r="I2247" i="13" s="1"/>
  <c r="F2247" i="13"/>
  <c r="H2247" i="13" s="1"/>
  <c r="D2247" i="13"/>
  <c r="K2246" i="13"/>
  <c r="H2246" i="13"/>
  <c r="G2246" i="13"/>
  <c r="I2246" i="13" s="1"/>
  <c r="F2246" i="13"/>
  <c r="D2246" i="13"/>
  <c r="K2245" i="13"/>
  <c r="G2245" i="13"/>
  <c r="I2245" i="13" s="1"/>
  <c r="F2245" i="13"/>
  <c r="H2245" i="13" s="1"/>
  <c r="D2245" i="13"/>
  <c r="K2244" i="13"/>
  <c r="G2244" i="13"/>
  <c r="I2244" i="13" s="1"/>
  <c r="J2244" i="13" s="1"/>
  <c r="F2244" i="13"/>
  <c r="H2244" i="13" s="1"/>
  <c r="D2244" i="13"/>
  <c r="K2243" i="13"/>
  <c r="H2243" i="13"/>
  <c r="G2243" i="13"/>
  <c r="I2243" i="13" s="1"/>
  <c r="F2243" i="13"/>
  <c r="D2243" i="13"/>
  <c r="K2242" i="13"/>
  <c r="G2242" i="13"/>
  <c r="I2242" i="13" s="1"/>
  <c r="F2242" i="13"/>
  <c r="H2242" i="13" s="1"/>
  <c r="D2242" i="13"/>
  <c r="K2241" i="13"/>
  <c r="G2241" i="13"/>
  <c r="I2241" i="13" s="1"/>
  <c r="F2241" i="13"/>
  <c r="H2241" i="13" s="1"/>
  <c r="D2241" i="13"/>
  <c r="K2254" i="13"/>
  <c r="G2254" i="13"/>
  <c r="I2254" i="13" s="1"/>
  <c r="F2254" i="13"/>
  <c r="H2254" i="13" s="1"/>
  <c r="D2254" i="13"/>
  <c r="K2253" i="13"/>
  <c r="H2253" i="13"/>
  <c r="G2253" i="13"/>
  <c r="I2253" i="13" s="1"/>
  <c r="J2253" i="13" s="1"/>
  <c r="F2253" i="13"/>
  <c r="D2253" i="13"/>
  <c r="K2252" i="13"/>
  <c r="G2252" i="13"/>
  <c r="I2252" i="13" s="1"/>
  <c r="F2252" i="13"/>
  <c r="H2252" i="13" s="1"/>
  <c r="D2252" i="13"/>
  <c r="K2251" i="13"/>
  <c r="H2251" i="13"/>
  <c r="G2251" i="13"/>
  <c r="I2251" i="13" s="1"/>
  <c r="F2251" i="13"/>
  <c r="D2251" i="13"/>
  <c r="K2250" i="13"/>
  <c r="G2250" i="13"/>
  <c r="I2250" i="13" s="1"/>
  <c r="J2250" i="13" s="1"/>
  <c r="F2250" i="13"/>
  <c r="H2250" i="13" s="1"/>
  <c r="D2250" i="13"/>
  <c r="K2260" i="13"/>
  <c r="I2260" i="13"/>
  <c r="G2260" i="13"/>
  <c r="F2260" i="13"/>
  <c r="H2260" i="13" s="1"/>
  <c r="D2260" i="13"/>
  <c r="K2259" i="13"/>
  <c r="G2259" i="13"/>
  <c r="I2259" i="13" s="1"/>
  <c r="F2259" i="13"/>
  <c r="H2259" i="13" s="1"/>
  <c r="D2259" i="13"/>
  <c r="K2258" i="13"/>
  <c r="G2258" i="13"/>
  <c r="I2258" i="13" s="1"/>
  <c r="F2258" i="13"/>
  <c r="H2258" i="13" s="1"/>
  <c r="J2258" i="13" s="1"/>
  <c r="D2258" i="13"/>
  <c r="K2257" i="13"/>
  <c r="G2257" i="13"/>
  <c r="I2257" i="13" s="1"/>
  <c r="F2257" i="13"/>
  <c r="H2257" i="13" s="1"/>
  <c r="D2257" i="13"/>
  <c r="K2256" i="13"/>
  <c r="G2256" i="13"/>
  <c r="I2256" i="13" s="1"/>
  <c r="F2256" i="13"/>
  <c r="H2256" i="13" s="1"/>
  <c r="D2256" i="13"/>
  <c r="K2255" i="13"/>
  <c r="I2255" i="13"/>
  <c r="G2255" i="13"/>
  <c r="F2255" i="13"/>
  <c r="H2255" i="13" s="1"/>
  <c r="D2255" i="13"/>
  <c r="K2266" i="13"/>
  <c r="G2266" i="13"/>
  <c r="I2266" i="13" s="1"/>
  <c r="F2266" i="13"/>
  <c r="H2266" i="13" s="1"/>
  <c r="D2266" i="13"/>
  <c r="K2265" i="13"/>
  <c r="G2265" i="13"/>
  <c r="I2265" i="13" s="1"/>
  <c r="J2265" i="13" s="1"/>
  <c r="F2265" i="13"/>
  <c r="H2265" i="13" s="1"/>
  <c r="D2265" i="13"/>
  <c r="K2264" i="13"/>
  <c r="I2264" i="13"/>
  <c r="G2264" i="13"/>
  <c r="F2264" i="13"/>
  <c r="H2264" i="13" s="1"/>
  <c r="D2264" i="13"/>
  <c r="K2263" i="13"/>
  <c r="G2263" i="13"/>
  <c r="I2263" i="13" s="1"/>
  <c r="F2263" i="13"/>
  <c r="H2263" i="13" s="1"/>
  <c r="D2263" i="13"/>
  <c r="K2262" i="13"/>
  <c r="H2262" i="13"/>
  <c r="G2262" i="13"/>
  <c r="I2262" i="13" s="1"/>
  <c r="J2262" i="13" s="1"/>
  <c r="F2262" i="13"/>
  <c r="D2262" i="13"/>
  <c r="K2261" i="13"/>
  <c r="G2261" i="13"/>
  <c r="I2261" i="13" s="1"/>
  <c r="F2261" i="13"/>
  <c r="H2261" i="13" s="1"/>
  <c r="D2261" i="13"/>
  <c r="K2275" i="13"/>
  <c r="G2275" i="13"/>
  <c r="I2275" i="13" s="1"/>
  <c r="F2275" i="13"/>
  <c r="H2275" i="13" s="1"/>
  <c r="D2275" i="13"/>
  <c r="K2274" i="13"/>
  <c r="G2274" i="13"/>
  <c r="I2274" i="13" s="1"/>
  <c r="F2274" i="13"/>
  <c r="H2274" i="13" s="1"/>
  <c r="D2274" i="13"/>
  <c r="K2273" i="13"/>
  <c r="I2273" i="13"/>
  <c r="G2273" i="13"/>
  <c r="F2273" i="13"/>
  <c r="H2273" i="13" s="1"/>
  <c r="D2273" i="13"/>
  <c r="K2272" i="13"/>
  <c r="G2272" i="13"/>
  <c r="I2272" i="13" s="1"/>
  <c r="F2272" i="13"/>
  <c r="H2272" i="13" s="1"/>
  <c r="D2272" i="13"/>
  <c r="K2271" i="13"/>
  <c r="G2271" i="13"/>
  <c r="I2271" i="13" s="1"/>
  <c r="F2271" i="13"/>
  <c r="H2271" i="13" s="1"/>
  <c r="D2271" i="13"/>
  <c r="K2270" i="13"/>
  <c r="G2270" i="13"/>
  <c r="I2270" i="13" s="1"/>
  <c r="F2270" i="13"/>
  <c r="H2270" i="13" s="1"/>
  <c r="D2270" i="13"/>
  <c r="K2269" i="13"/>
  <c r="H2269" i="13"/>
  <c r="G2269" i="13"/>
  <c r="I2269" i="13" s="1"/>
  <c r="J2269" i="13" s="1"/>
  <c r="F2269" i="13"/>
  <c r="D2269" i="13"/>
  <c r="K2268" i="13"/>
  <c r="G2268" i="13"/>
  <c r="I2268" i="13" s="1"/>
  <c r="F2268" i="13"/>
  <c r="H2268" i="13" s="1"/>
  <c r="D2268" i="13"/>
  <c r="K2267" i="13"/>
  <c r="G2267" i="13"/>
  <c r="I2267" i="13" s="1"/>
  <c r="F2267" i="13"/>
  <c r="H2267" i="13" s="1"/>
  <c r="D2267" i="13"/>
  <c r="K2281" i="13"/>
  <c r="G2281" i="13"/>
  <c r="I2281" i="13" s="1"/>
  <c r="F2281" i="13"/>
  <c r="H2281" i="13" s="1"/>
  <c r="D2281" i="13"/>
  <c r="K2280" i="13"/>
  <c r="I2280" i="13"/>
  <c r="G2280" i="13"/>
  <c r="F2280" i="13"/>
  <c r="H2280" i="13" s="1"/>
  <c r="D2280" i="13"/>
  <c r="K2279" i="13"/>
  <c r="G2279" i="13"/>
  <c r="I2279" i="13" s="1"/>
  <c r="F2279" i="13"/>
  <c r="H2279" i="13" s="1"/>
  <c r="D2279" i="13"/>
  <c r="K2278" i="13"/>
  <c r="G2278" i="13"/>
  <c r="I2278" i="13" s="1"/>
  <c r="F2278" i="13"/>
  <c r="H2278" i="13" s="1"/>
  <c r="D2278" i="13"/>
  <c r="K2277" i="13"/>
  <c r="G2277" i="13"/>
  <c r="I2277" i="13" s="1"/>
  <c r="F2277" i="13"/>
  <c r="H2277" i="13" s="1"/>
  <c r="D2277" i="13"/>
  <c r="K2276" i="13"/>
  <c r="H2276" i="13"/>
  <c r="G2276" i="13"/>
  <c r="I2276" i="13" s="1"/>
  <c r="J2276" i="13" s="1"/>
  <c r="F2276" i="13"/>
  <c r="D2276" i="13"/>
  <c r="K2287" i="13"/>
  <c r="G2287" i="13"/>
  <c r="I2287" i="13" s="1"/>
  <c r="F2287" i="13"/>
  <c r="H2287" i="13" s="1"/>
  <c r="D2287" i="13"/>
  <c r="K2286" i="13"/>
  <c r="G2286" i="13"/>
  <c r="I2286" i="13" s="1"/>
  <c r="F2286" i="13"/>
  <c r="H2286" i="13" s="1"/>
  <c r="D2286" i="13"/>
  <c r="K2285" i="13"/>
  <c r="G2285" i="13"/>
  <c r="I2285" i="13" s="1"/>
  <c r="F2285" i="13"/>
  <c r="H2285" i="13" s="1"/>
  <c r="D2285" i="13"/>
  <c r="K2284" i="13"/>
  <c r="I2284" i="13"/>
  <c r="G2284" i="13"/>
  <c r="F2284" i="13"/>
  <c r="H2284" i="13" s="1"/>
  <c r="D2284" i="13"/>
  <c r="K2283" i="13"/>
  <c r="G2283" i="13"/>
  <c r="I2283" i="13" s="1"/>
  <c r="F2283" i="13"/>
  <c r="H2283" i="13" s="1"/>
  <c r="D2283" i="13"/>
  <c r="K2282" i="13"/>
  <c r="G2282" i="13"/>
  <c r="I2282" i="13" s="1"/>
  <c r="F2282" i="13"/>
  <c r="H2282" i="13" s="1"/>
  <c r="D2282" i="13"/>
  <c r="K2296" i="13"/>
  <c r="G2296" i="13"/>
  <c r="I2296" i="13" s="1"/>
  <c r="F2296" i="13"/>
  <c r="H2296" i="13" s="1"/>
  <c r="D2296" i="13"/>
  <c r="K2295" i="13"/>
  <c r="H2295" i="13"/>
  <c r="G2295" i="13"/>
  <c r="I2295" i="13" s="1"/>
  <c r="J2295" i="13" s="1"/>
  <c r="F2295" i="13"/>
  <c r="D2295" i="13"/>
  <c r="K2294" i="13"/>
  <c r="G2294" i="13"/>
  <c r="I2294" i="13" s="1"/>
  <c r="F2294" i="13"/>
  <c r="H2294" i="13" s="1"/>
  <c r="D2294" i="13"/>
  <c r="K2293" i="13"/>
  <c r="G2293" i="13"/>
  <c r="I2293" i="13" s="1"/>
  <c r="F2293" i="13"/>
  <c r="H2293" i="13" s="1"/>
  <c r="D2293" i="13"/>
  <c r="K2292" i="13"/>
  <c r="G2292" i="13"/>
  <c r="I2292" i="13" s="1"/>
  <c r="J2292" i="13" s="1"/>
  <c r="F2292" i="13"/>
  <c r="H2292" i="13" s="1"/>
  <c r="D2292" i="13"/>
  <c r="K2291" i="13"/>
  <c r="I2291" i="13"/>
  <c r="G2291" i="13"/>
  <c r="F2291" i="13"/>
  <c r="H2291" i="13" s="1"/>
  <c r="D2291" i="13"/>
  <c r="K2290" i="13"/>
  <c r="G2290" i="13"/>
  <c r="I2290" i="13" s="1"/>
  <c r="F2290" i="13"/>
  <c r="H2290" i="13" s="1"/>
  <c r="D2290" i="13"/>
  <c r="K2289" i="13"/>
  <c r="G2289" i="13"/>
  <c r="I2289" i="13" s="1"/>
  <c r="F2289" i="13"/>
  <c r="H2289" i="13" s="1"/>
  <c r="D2289" i="13"/>
  <c r="K2288" i="13"/>
  <c r="G2288" i="13"/>
  <c r="I2288" i="13" s="1"/>
  <c r="F2288" i="13"/>
  <c r="H2288" i="13" s="1"/>
  <c r="D2288" i="13"/>
  <c r="K2302" i="13"/>
  <c r="H2302" i="13"/>
  <c r="G2302" i="13"/>
  <c r="I2302" i="13" s="1"/>
  <c r="J2302" i="13" s="1"/>
  <c r="F2302" i="13"/>
  <c r="D2302" i="13"/>
  <c r="K2301" i="13"/>
  <c r="G2301" i="13"/>
  <c r="I2301" i="13" s="1"/>
  <c r="F2301" i="13"/>
  <c r="H2301" i="13" s="1"/>
  <c r="D2301" i="13"/>
  <c r="K2300" i="13"/>
  <c r="G2300" i="13"/>
  <c r="I2300" i="13" s="1"/>
  <c r="F2300" i="13"/>
  <c r="H2300" i="13" s="1"/>
  <c r="D2300" i="13"/>
  <c r="K2299" i="13"/>
  <c r="G2299" i="13"/>
  <c r="I2299" i="13" s="1"/>
  <c r="F2299" i="13"/>
  <c r="H2299" i="13" s="1"/>
  <c r="D2299" i="13"/>
  <c r="K2298" i="13"/>
  <c r="I2298" i="13"/>
  <c r="G2298" i="13"/>
  <c r="F2298" i="13"/>
  <c r="H2298" i="13" s="1"/>
  <c r="D2298" i="13"/>
  <c r="K2297" i="13"/>
  <c r="G2297" i="13"/>
  <c r="I2297" i="13" s="1"/>
  <c r="F2297" i="13"/>
  <c r="H2297" i="13" s="1"/>
  <c r="D2297" i="13"/>
  <c r="K2310" i="13"/>
  <c r="G2310" i="13"/>
  <c r="I2310" i="13" s="1"/>
  <c r="F2310" i="13"/>
  <c r="H2310" i="13" s="1"/>
  <c r="D2310" i="13"/>
  <c r="K2309" i="13"/>
  <c r="G2309" i="13"/>
  <c r="I2309" i="13" s="1"/>
  <c r="F2309" i="13"/>
  <c r="H2309" i="13" s="1"/>
  <c r="D2309" i="13"/>
  <c r="K2308" i="13"/>
  <c r="H2308" i="13"/>
  <c r="G2308" i="13"/>
  <c r="I2308" i="13" s="1"/>
  <c r="J2308" i="13" s="1"/>
  <c r="F2308" i="13"/>
  <c r="D2308" i="13"/>
  <c r="K2307" i="13"/>
  <c r="G2307" i="13"/>
  <c r="I2307" i="13" s="1"/>
  <c r="F2307" i="13"/>
  <c r="H2307" i="13" s="1"/>
  <c r="D2307" i="13"/>
  <c r="K2306" i="13"/>
  <c r="G2306" i="13"/>
  <c r="I2306" i="13" s="1"/>
  <c r="F2306" i="13"/>
  <c r="H2306" i="13" s="1"/>
  <c r="D2306" i="13"/>
  <c r="K2305" i="13"/>
  <c r="G2305" i="13"/>
  <c r="I2305" i="13" s="1"/>
  <c r="F2305" i="13"/>
  <c r="H2305" i="13" s="1"/>
  <c r="D2305" i="13"/>
  <c r="K2304" i="13"/>
  <c r="I2304" i="13"/>
  <c r="G2304" i="13"/>
  <c r="F2304" i="13"/>
  <c r="H2304" i="13" s="1"/>
  <c r="D2304" i="13"/>
  <c r="K2303" i="13"/>
  <c r="G2303" i="13"/>
  <c r="I2303" i="13" s="1"/>
  <c r="F2303" i="13"/>
  <c r="H2303" i="13" s="1"/>
  <c r="D2303" i="13"/>
  <c r="K2314" i="13"/>
  <c r="G2314" i="13"/>
  <c r="I2314" i="13" s="1"/>
  <c r="F2314" i="13"/>
  <c r="H2314" i="13" s="1"/>
  <c r="D2314" i="13"/>
  <c r="K2313" i="13"/>
  <c r="G2313" i="13"/>
  <c r="I2313" i="13" s="1"/>
  <c r="F2313" i="13"/>
  <c r="H2313" i="13" s="1"/>
  <c r="D2313" i="13"/>
  <c r="K2312" i="13"/>
  <c r="H2312" i="13"/>
  <c r="G2312" i="13"/>
  <c r="I2312" i="13" s="1"/>
  <c r="J2312" i="13" s="1"/>
  <c r="F2312" i="13"/>
  <c r="D2312" i="13"/>
  <c r="K2311" i="13"/>
  <c r="G2311" i="13"/>
  <c r="I2311" i="13" s="1"/>
  <c r="F2311" i="13"/>
  <c r="H2311" i="13" s="1"/>
  <c r="D2311" i="13"/>
  <c r="K2321" i="13"/>
  <c r="G2321" i="13"/>
  <c r="I2321" i="13" s="1"/>
  <c r="F2321" i="13"/>
  <c r="H2321" i="13" s="1"/>
  <c r="D2321" i="13"/>
  <c r="K2320" i="13"/>
  <c r="G2320" i="13"/>
  <c r="I2320" i="13" s="1"/>
  <c r="F2320" i="13"/>
  <c r="H2320" i="13" s="1"/>
  <c r="D2320" i="13"/>
  <c r="K2319" i="13"/>
  <c r="I2319" i="13"/>
  <c r="G2319" i="13"/>
  <c r="F2319" i="13"/>
  <c r="H2319" i="13" s="1"/>
  <c r="D2319" i="13"/>
  <c r="K2318" i="13"/>
  <c r="G2318" i="13"/>
  <c r="I2318" i="13" s="1"/>
  <c r="F2318" i="13"/>
  <c r="H2318" i="13" s="1"/>
  <c r="D2318" i="13"/>
  <c r="K2317" i="13"/>
  <c r="G2317" i="13"/>
  <c r="I2317" i="13" s="1"/>
  <c r="F2317" i="13"/>
  <c r="H2317" i="13" s="1"/>
  <c r="D2317" i="13"/>
  <c r="K2316" i="13"/>
  <c r="G2316" i="13"/>
  <c r="I2316" i="13" s="1"/>
  <c r="F2316" i="13"/>
  <c r="H2316" i="13" s="1"/>
  <c r="D2316" i="13"/>
  <c r="K2315" i="13"/>
  <c r="H2315" i="13"/>
  <c r="G2315" i="13"/>
  <c r="I2315" i="13" s="1"/>
  <c r="J2315" i="13" s="1"/>
  <c r="F2315" i="13"/>
  <c r="D2315" i="13"/>
  <c r="K2324" i="13"/>
  <c r="G2324" i="13"/>
  <c r="I2324" i="13" s="1"/>
  <c r="F2324" i="13"/>
  <c r="H2324" i="13" s="1"/>
  <c r="D2324" i="13"/>
  <c r="K2323" i="13"/>
  <c r="G2323" i="13"/>
  <c r="I2323" i="13" s="1"/>
  <c r="F2323" i="13"/>
  <c r="H2323" i="13" s="1"/>
  <c r="D2323" i="13"/>
  <c r="K2322" i="13"/>
  <c r="G2322" i="13"/>
  <c r="I2322" i="13" s="1"/>
  <c r="F2322" i="13"/>
  <c r="H2322" i="13" s="1"/>
  <c r="D2322" i="13"/>
  <c r="K2332" i="13"/>
  <c r="I2332" i="13"/>
  <c r="G2332" i="13"/>
  <c r="F2332" i="13"/>
  <c r="H2332" i="13" s="1"/>
  <c r="D2332" i="13"/>
  <c r="K2331" i="13"/>
  <c r="G2331" i="13"/>
  <c r="I2331" i="13" s="1"/>
  <c r="F2331" i="13"/>
  <c r="H2331" i="13" s="1"/>
  <c r="D2331" i="13"/>
  <c r="K2330" i="13"/>
  <c r="G2330" i="13"/>
  <c r="I2330" i="13" s="1"/>
  <c r="F2330" i="13"/>
  <c r="H2330" i="13" s="1"/>
  <c r="D2330" i="13"/>
  <c r="K2329" i="13"/>
  <c r="G2329" i="13"/>
  <c r="I2329" i="13" s="1"/>
  <c r="F2329" i="13"/>
  <c r="H2329" i="13" s="1"/>
  <c r="D2329" i="13"/>
  <c r="K2328" i="13"/>
  <c r="H2328" i="13"/>
  <c r="G2328" i="13"/>
  <c r="I2328" i="13" s="1"/>
  <c r="J2328" i="13" s="1"/>
  <c r="F2328" i="13"/>
  <c r="D2328" i="13"/>
  <c r="K2327" i="13"/>
  <c r="G2327" i="13"/>
  <c r="I2327" i="13" s="1"/>
  <c r="F2327" i="13"/>
  <c r="H2327" i="13" s="1"/>
  <c r="D2327" i="13"/>
  <c r="K2326" i="13"/>
  <c r="G2326" i="13"/>
  <c r="I2326" i="13" s="1"/>
  <c r="F2326" i="13"/>
  <c r="H2326" i="13" s="1"/>
  <c r="D2326" i="13"/>
  <c r="K2325" i="13"/>
  <c r="G2325" i="13"/>
  <c r="I2325" i="13" s="1"/>
  <c r="F2325" i="13"/>
  <c r="H2325" i="13" s="1"/>
  <c r="D2325" i="13"/>
  <c r="K2340" i="13"/>
  <c r="I2340" i="13"/>
  <c r="G2340" i="13"/>
  <c r="F2340" i="13"/>
  <c r="H2340" i="13" s="1"/>
  <c r="D2340" i="13"/>
  <c r="K2339" i="13"/>
  <c r="G2339" i="13"/>
  <c r="I2339" i="13" s="1"/>
  <c r="F2339" i="13"/>
  <c r="H2339" i="13" s="1"/>
  <c r="D2339" i="13"/>
  <c r="K2338" i="13"/>
  <c r="G2338" i="13"/>
  <c r="I2338" i="13" s="1"/>
  <c r="F2338" i="13"/>
  <c r="H2338" i="13" s="1"/>
  <c r="D2338" i="13"/>
  <c r="K2337" i="13"/>
  <c r="G2337" i="13"/>
  <c r="I2337" i="13" s="1"/>
  <c r="F2337" i="13"/>
  <c r="H2337" i="13" s="1"/>
  <c r="D2337" i="13"/>
  <c r="K2336" i="13"/>
  <c r="H2336" i="13"/>
  <c r="G2336" i="13"/>
  <c r="I2336" i="13" s="1"/>
  <c r="J2336" i="13" s="1"/>
  <c r="F2336" i="13"/>
  <c r="D2336" i="13"/>
  <c r="K2335" i="13"/>
  <c r="G2335" i="13"/>
  <c r="I2335" i="13" s="1"/>
  <c r="F2335" i="13"/>
  <c r="H2335" i="13" s="1"/>
  <c r="D2335" i="13"/>
  <c r="K2334" i="13"/>
  <c r="G2334" i="13"/>
  <c r="I2334" i="13" s="1"/>
  <c r="F2334" i="13"/>
  <c r="H2334" i="13" s="1"/>
  <c r="D2334" i="13"/>
  <c r="K2333" i="13"/>
  <c r="G2333" i="13"/>
  <c r="I2333" i="13" s="1"/>
  <c r="F2333" i="13"/>
  <c r="H2333" i="13" s="1"/>
  <c r="D2333" i="13"/>
  <c r="K2344" i="13"/>
  <c r="I2344" i="13"/>
  <c r="G2344" i="13"/>
  <c r="F2344" i="13"/>
  <c r="H2344" i="13" s="1"/>
  <c r="D2344" i="13"/>
  <c r="K2343" i="13"/>
  <c r="G2343" i="13"/>
  <c r="I2343" i="13" s="1"/>
  <c r="F2343" i="13"/>
  <c r="H2343" i="13" s="1"/>
  <c r="D2343" i="13"/>
  <c r="K2342" i="13"/>
  <c r="G2342" i="13"/>
  <c r="I2342" i="13" s="1"/>
  <c r="F2342" i="13"/>
  <c r="H2342" i="13" s="1"/>
  <c r="D2342" i="13"/>
  <c r="K2341" i="13"/>
  <c r="G2341" i="13"/>
  <c r="I2341" i="13" s="1"/>
  <c r="F2341" i="13"/>
  <c r="H2341" i="13" s="1"/>
  <c r="D2341" i="13"/>
  <c r="K2349" i="13"/>
  <c r="H2349" i="13"/>
  <c r="G2349" i="13"/>
  <c r="I2349" i="13" s="1"/>
  <c r="F2349" i="13"/>
  <c r="D2349" i="13"/>
  <c r="K2348" i="13"/>
  <c r="G2348" i="13"/>
  <c r="I2348" i="13" s="1"/>
  <c r="F2348" i="13"/>
  <c r="H2348" i="13" s="1"/>
  <c r="D2348" i="13"/>
  <c r="K2347" i="13"/>
  <c r="G2347" i="13"/>
  <c r="I2347" i="13" s="1"/>
  <c r="F2347" i="13"/>
  <c r="H2347" i="13" s="1"/>
  <c r="D2347" i="13"/>
  <c r="K2346" i="13"/>
  <c r="G2346" i="13"/>
  <c r="I2346" i="13" s="1"/>
  <c r="F2346" i="13"/>
  <c r="H2346" i="13" s="1"/>
  <c r="D2346" i="13"/>
  <c r="K2345" i="13"/>
  <c r="I2345" i="13"/>
  <c r="G2345" i="13"/>
  <c r="F2345" i="13"/>
  <c r="H2345" i="13" s="1"/>
  <c r="D2345" i="13"/>
  <c r="K2353" i="13"/>
  <c r="G2353" i="13"/>
  <c r="I2353" i="13" s="1"/>
  <c r="F2353" i="13"/>
  <c r="H2353" i="13" s="1"/>
  <c r="D2353" i="13"/>
  <c r="K2352" i="13"/>
  <c r="G2352" i="13"/>
  <c r="I2352" i="13" s="1"/>
  <c r="F2352" i="13"/>
  <c r="H2352" i="13" s="1"/>
  <c r="D2352" i="13"/>
  <c r="K2351" i="13"/>
  <c r="G2351" i="13"/>
  <c r="I2351" i="13" s="1"/>
  <c r="F2351" i="13"/>
  <c r="H2351" i="13" s="1"/>
  <c r="J2351" i="13" s="1"/>
  <c r="D2351" i="13"/>
  <c r="K2350" i="13"/>
  <c r="H2350" i="13"/>
  <c r="G2350" i="13"/>
  <c r="I2350" i="13" s="1"/>
  <c r="F2350" i="13"/>
  <c r="D2350" i="13"/>
  <c r="K2357" i="13"/>
  <c r="G2357" i="13"/>
  <c r="I2357" i="13" s="1"/>
  <c r="F2357" i="13"/>
  <c r="H2357" i="13" s="1"/>
  <c r="D2357" i="13"/>
  <c r="K2356" i="13"/>
  <c r="G2356" i="13"/>
  <c r="I2356" i="13" s="1"/>
  <c r="F2356" i="13"/>
  <c r="H2356" i="13" s="1"/>
  <c r="D2356" i="13"/>
  <c r="K2355" i="13"/>
  <c r="G2355" i="13"/>
  <c r="I2355" i="13" s="1"/>
  <c r="F2355" i="13"/>
  <c r="H2355" i="13" s="1"/>
  <c r="D2355" i="13"/>
  <c r="K2354" i="13"/>
  <c r="I2354" i="13"/>
  <c r="G2354" i="13"/>
  <c r="F2354" i="13"/>
  <c r="H2354" i="13" s="1"/>
  <c r="D2354" i="13"/>
  <c r="K2365" i="13"/>
  <c r="G2365" i="13"/>
  <c r="I2365" i="13" s="1"/>
  <c r="F2365" i="13"/>
  <c r="H2365" i="13" s="1"/>
  <c r="D2365" i="13"/>
  <c r="K2364" i="13"/>
  <c r="G2364" i="13"/>
  <c r="I2364" i="13" s="1"/>
  <c r="F2364" i="13"/>
  <c r="H2364" i="13" s="1"/>
  <c r="D2364" i="13"/>
  <c r="K2363" i="13"/>
  <c r="G2363" i="13"/>
  <c r="I2363" i="13" s="1"/>
  <c r="F2363" i="13"/>
  <c r="H2363" i="13" s="1"/>
  <c r="J2363" i="13" s="1"/>
  <c r="D2363" i="13"/>
  <c r="K2362" i="13"/>
  <c r="H2362" i="13"/>
  <c r="G2362" i="13"/>
  <c r="I2362" i="13" s="1"/>
  <c r="F2362" i="13"/>
  <c r="D2362" i="13"/>
  <c r="K2361" i="13"/>
  <c r="G2361" i="13"/>
  <c r="I2361" i="13" s="1"/>
  <c r="F2361" i="13"/>
  <c r="H2361" i="13" s="1"/>
  <c r="D2361" i="13"/>
  <c r="K2360" i="13"/>
  <c r="G2360" i="13"/>
  <c r="I2360" i="13" s="1"/>
  <c r="F2360" i="13"/>
  <c r="H2360" i="13" s="1"/>
  <c r="D2360" i="13"/>
  <c r="K2359" i="13"/>
  <c r="G2359" i="13"/>
  <c r="I2359" i="13" s="1"/>
  <c r="F2359" i="13"/>
  <c r="H2359" i="13" s="1"/>
  <c r="D2359" i="13"/>
  <c r="K2358" i="13"/>
  <c r="I2358" i="13"/>
  <c r="G2358" i="13"/>
  <c r="F2358" i="13"/>
  <c r="H2358" i="13" s="1"/>
  <c r="D2358" i="13"/>
  <c r="K2370" i="13"/>
  <c r="G2370" i="13"/>
  <c r="I2370" i="13" s="1"/>
  <c r="F2370" i="13"/>
  <c r="H2370" i="13" s="1"/>
  <c r="D2370" i="13"/>
  <c r="K2369" i="13"/>
  <c r="G2369" i="13"/>
  <c r="I2369" i="13" s="1"/>
  <c r="F2369" i="13"/>
  <c r="H2369" i="13" s="1"/>
  <c r="D2369" i="13"/>
  <c r="K2368" i="13"/>
  <c r="G2368" i="13"/>
  <c r="I2368" i="13" s="1"/>
  <c r="F2368" i="13"/>
  <c r="H2368" i="13" s="1"/>
  <c r="J2368" i="13" s="1"/>
  <c r="D2368" i="13"/>
  <c r="K2367" i="13"/>
  <c r="H2367" i="13"/>
  <c r="G2367" i="13"/>
  <c r="I2367" i="13" s="1"/>
  <c r="F2367" i="13"/>
  <c r="D2367" i="13"/>
  <c r="K2366" i="13"/>
  <c r="G2366" i="13"/>
  <c r="I2366" i="13" s="1"/>
  <c r="F2366" i="13"/>
  <c r="H2366" i="13" s="1"/>
  <c r="D2366" i="13"/>
  <c r="K2376" i="13"/>
  <c r="G2376" i="13"/>
  <c r="I2376" i="13" s="1"/>
  <c r="F2376" i="13"/>
  <c r="H2376" i="13" s="1"/>
  <c r="D2376" i="13"/>
  <c r="K2375" i="13"/>
  <c r="G2375" i="13"/>
  <c r="I2375" i="13" s="1"/>
  <c r="F2375" i="13"/>
  <c r="H2375" i="13" s="1"/>
  <c r="D2375" i="13"/>
  <c r="K2374" i="13"/>
  <c r="I2374" i="13"/>
  <c r="G2374" i="13"/>
  <c r="F2374" i="13"/>
  <c r="H2374" i="13" s="1"/>
  <c r="D2374" i="13"/>
  <c r="K2373" i="13"/>
  <c r="G2373" i="13"/>
  <c r="I2373" i="13" s="1"/>
  <c r="F2373" i="13"/>
  <c r="H2373" i="13" s="1"/>
  <c r="D2373" i="13"/>
  <c r="K2372" i="13"/>
  <c r="G2372" i="13"/>
  <c r="I2372" i="13" s="1"/>
  <c r="F2372" i="13"/>
  <c r="H2372" i="13" s="1"/>
  <c r="D2372" i="13"/>
  <c r="K2371" i="13"/>
  <c r="G2371" i="13"/>
  <c r="I2371" i="13" s="1"/>
  <c r="F2371" i="13"/>
  <c r="H2371" i="13" s="1"/>
  <c r="D2371" i="13"/>
  <c r="K2383" i="13"/>
  <c r="I2383" i="13"/>
  <c r="G2383" i="13"/>
  <c r="F2383" i="13"/>
  <c r="H2383" i="13" s="1"/>
  <c r="D2383" i="13"/>
  <c r="K2382" i="13"/>
  <c r="G2382" i="13"/>
  <c r="I2382" i="13" s="1"/>
  <c r="F2382" i="13"/>
  <c r="H2382" i="13" s="1"/>
  <c r="D2382" i="13"/>
  <c r="K2381" i="13"/>
  <c r="G2381" i="13"/>
  <c r="I2381" i="13" s="1"/>
  <c r="F2381" i="13"/>
  <c r="H2381" i="13" s="1"/>
  <c r="D2381" i="13"/>
  <c r="K2380" i="13"/>
  <c r="G2380" i="13"/>
  <c r="I2380" i="13" s="1"/>
  <c r="F2380" i="13"/>
  <c r="H2380" i="13" s="1"/>
  <c r="D2380" i="13"/>
  <c r="K2379" i="13"/>
  <c r="H2379" i="13"/>
  <c r="G2379" i="13"/>
  <c r="I2379" i="13" s="1"/>
  <c r="F2379" i="13"/>
  <c r="D2379" i="13"/>
  <c r="K2378" i="13"/>
  <c r="G2378" i="13"/>
  <c r="I2378" i="13" s="1"/>
  <c r="F2378" i="13"/>
  <c r="H2378" i="13" s="1"/>
  <c r="D2378" i="13"/>
  <c r="K2377" i="13"/>
  <c r="G2377" i="13"/>
  <c r="I2377" i="13" s="1"/>
  <c r="F2377" i="13"/>
  <c r="H2377" i="13" s="1"/>
  <c r="D2377" i="13"/>
  <c r="K2389" i="13"/>
  <c r="G2389" i="13"/>
  <c r="I2389" i="13" s="1"/>
  <c r="F2389" i="13"/>
  <c r="H2389" i="13" s="1"/>
  <c r="D2389" i="13"/>
  <c r="K2388" i="13"/>
  <c r="I2388" i="13"/>
  <c r="G2388" i="13"/>
  <c r="F2388" i="13"/>
  <c r="H2388" i="13" s="1"/>
  <c r="D2388" i="13"/>
  <c r="K2387" i="13"/>
  <c r="G2387" i="13"/>
  <c r="I2387" i="13" s="1"/>
  <c r="F2387" i="13"/>
  <c r="H2387" i="13" s="1"/>
  <c r="D2387" i="13"/>
  <c r="K2386" i="13"/>
  <c r="G2386" i="13"/>
  <c r="I2386" i="13" s="1"/>
  <c r="F2386" i="13"/>
  <c r="H2386" i="13" s="1"/>
  <c r="D2386" i="13"/>
  <c r="K2385" i="13"/>
  <c r="G2385" i="13"/>
  <c r="I2385" i="13" s="1"/>
  <c r="F2385" i="13"/>
  <c r="H2385" i="13" s="1"/>
  <c r="D2385" i="13"/>
  <c r="K2384" i="13"/>
  <c r="H2384" i="13"/>
  <c r="G2384" i="13"/>
  <c r="I2384" i="13" s="1"/>
  <c r="F2384" i="13"/>
  <c r="D2384" i="13"/>
  <c r="K2396" i="13"/>
  <c r="G2396" i="13"/>
  <c r="I2396" i="13" s="1"/>
  <c r="F2396" i="13"/>
  <c r="H2396" i="13" s="1"/>
  <c r="D2396" i="13"/>
  <c r="K2395" i="13"/>
  <c r="G2395" i="13"/>
  <c r="I2395" i="13" s="1"/>
  <c r="F2395" i="13"/>
  <c r="H2395" i="13" s="1"/>
  <c r="D2395" i="13"/>
  <c r="K2394" i="13"/>
  <c r="G2394" i="13"/>
  <c r="I2394" i="13" s="1"/>
  <c r="F2394" i="13"/>
  <c r="H2394" i="13" s="1"/>
  <c r="D2394" i="13"/>
  <c r="K2393" i="13"/>
  <c r="I2393" i="13"/>
  <c r="G2393" i="13"/>
  <c r="F2393" i="13"/>
  <c r="H2393" i="13" s="1"/>
  <c r="D2393" i="13"/>
  <c r="K2392" i="13"/>
  <c r="G2392" i="13"/>
  <c r="I2392" i="13" s="1"/>
  <c r="F2392" i="13"/>
  <c r="H2392" i="13" s="1"/>
  <c r="D2392" i="13"/>
  <c r="K2391" i="13"/>
  <c r="G2391" i="13"/>
  <c r="I2391" i="13" s="1"/>
  <c r="F2391" i="13"/>
  <c r="H2391" i="13" s="1"/>
  <c r="D2391" i="13"/>
  <c r="K2390" i="13"/>
  <c r="G2390" i="13"/>
  <c r="I2390" i="13" s="1"/>
  <c r="F2390" i="13"/>
  <c r="H2390" i="13" s="1"/>
  <c r="D2390" i="13"/>
  <c r="K2404" i="13"/>
  <c r="H2404" i="13"/>
  <c r="G2404" i="13"/>
  <c r="I2404" i="13" s="1"/>
  <c r="F2404" i="13"/>
  <c r="D2404" i="13"/>
  <c r="K2403" i="13"/>
  <c r="G2403" i="13"/>
  <c r="I2403" i="13" s="1"/>
  <c r="F2403" i="13"/>
  <c r="H2403" i="13" s="1"/>
  <c r="D2403" i="13"/>
  <c r="K2402" i="13"/>
  <c r="G2402" i="13"/>
  <c r="I2402" i="13" s="1"/>
  <c r="F2402" i="13"/>
  <c r="H2402" i="13" s="1"/>
  <c r="D2402" i="13"/>
  <c r="K2401" i="13"/>
  <c r="G2401" i="13"/>
  <c r="I2401" i="13" s="1"/>
  <c r="J2401" i="13" s="1"/>
  <c r="F2401" i="13"/>
  <c r="H2401" i="13" s="1"/>
  <c r="D2401" i="13"/>
  <c r="K2400" i="13"/>
  <c r="I2400" i="13"/>
  <c r="G2400" i="13"/>
  <c r="F2400" i="13"/>
  <c r="H2400" i="13" s="1"/>
  <c r="D2400" i="13"/>
  <c r="K2399" i="13"/>
  <c r="G2399" i="13"/>
  <c r="I2399" i="13" s="1"/>
  <c r="F2399" i="13"/>
  <c r="H2399" i="13" s="1"/>
  <c r="D2399" i="13"/>
  <c r="K2398" i="13"/>
  <c r="G2398" i="13"/>
  <c r="I2398" i="13" s="1"/>
  <c r="F2398" i="13"/>
  <c r="H2398" i="13" s="1"/>
  <c r="D2398" i="13"/>
  <c r="K2397" i="13"/>
  <c r="G2397" i="13"/>
  <c r="I2397" i="13" s="1"/>
  <c r="F2397" i="13"/>
  <c r="H2397" i="13" s="1"/>
  <c r="D2397" i="13"/>
  <c r="K2411" i="13"/>
  <c r="H2411" i="13"/>
  <c r="G2411" i="13"/>
  <c r="I2411" i="13" s="1"/>
  <c r="F2411" i="13"/>
  <c r="D2411" i="13"/>
  <c r="K2410" i="13"/>
  <c r="G2410" i="13"/>
  <c r="I2410" i="13" s="1"/>
  <c r="F2410" i="13"/>
  <c r="H2410" i="13" s="1"/>
  <c r="D2410" i="13"/>
  <c r="K2409" i="13"/>
  <c r="G2409" i="13"/>
  <c r="I2409" i="13" s="1"/>
  <c r="F2409" i="13"/>
  <c r="H2409" i="13" s="1"/>
  <c r="D2409" i="13"/>
  <c r="K2408" i="13"/>
  <c r="I2408" i="13"/>
  <c r="G2408" i="13"/>
  <c r="F2408" i="13"/>
  <c r="H2408" i="13" s="1"/>
  <c r="D2408" i="13"/>
  <c r="K2407" i="13"/>
  <c r="G2407" i="13"/>
  <c r="I2407" i="13" s="1"/>
  <c r="F2407" i="13"/>
  <c r="H2407" i="13" s="1"/>
  <c r="D2407" i="13"/>
  <c r="K2406" i="13"/>
  <c r="G2406" i="13"/>
  <c r="I2406" i="13" s="1"/>
  <c r="F2406" i="13"/>
  <c r="H2406" i="13" s="1"/>
  <c r="D2406" i="13"/>
  <c r="K2405" i="13"/>
  <c r="G2405" i="13"/>
  <c r="I2405" i="13" s="1"/>
  <c r="F2405" i="13"/>
  <c r="H2405" i="13" s="1"/>
  <c r="D2405" i="13"/>
  <c r="K2421" i="13"/>
  <c r="I2421" i="13"/>
  <c r="G2421" i="13"/>
  <c r="F2421" i="13"/>
  <c r="H2421" i="13" s="1"/>
  <c r="D2421" i="13"/>
  <c r="K2420" i="13"/>
  <c r="I2420" i="13"/>
  <c r="G2420" i="13"/>
  <c r="F2420" i="13"/>
  <c r="H2420" i="13" s="1"/>
  <c r="D2420" i="13"/>
  <c r="K2419" i="13"/>
  <c r="G2419" i="13"/>
  <c r="I2419" i="13" s="1"/>
  <c r="F2419" i="13"/>
  <c r="H2419" i="13" s="1"/>
  <c r="D2419" i="13"/>
  <c r="K2418" i="13"/>
  <c r="G2418" i="13"/>
  <c r="I2418" i="13" s="1"/>
  <c r="F2418" i="13"/>
  <c r="H2418" i="13" s="1"/>
  <c r="D2418" i="13"/>
  <c r="K2417" i="13"/>
  <c r="G2417" i="13"/>
  <c r="I2417" i="13" s="1"/>
  <c r="F2417" i="13"/>
  <c r="H2417" i="13" s="1"/>
  <c r="D2417" i="13"/>
  <c r="K2416" i="13"/>
  <c r="H2416" i="13"/>
  <c r="G2416" i="13"/>
  <c r="I2416" i="13" s="1"/>
  <c r="F2416" i="13"/>
  <c r="D2416" i="13"/>
  <c r="K2415" i="13"/>
  <c r="G2415" i="13"/>
  <c r="I2415" i="13" s="1"/>
  <c r="F2415" i="13"/>
  <c r="H2415" i="13" s="1"/>
  <c r="D2415" i="13"/>
  <c r="K2414" i="13"/>
  <c r="G2414" i="13"/>
  <c r="I2414" i="13" s="1"/>
  <c r="F2414" i="13"/>
  <c r="H2414" i="13" s="1"/>
  <c r="D2414" i="13"/>
  <c r="K2413" i="13"/>
  <c r="G2413" i="13"/>
  <c r="I2413" i="13" s="1"/>
  <c r="J2413" i="13" s="1"/>
  <c r="F2413" i="13"/>
  <c r="H2413" i="13" s="1"/>
  <c r="D2413" i="13"/>
  <c r="K2412" i="13"/>
  <c r="I2412" i="13"/>
  <c r="G2412" i="13"/>
  <c r="F2412" i="13"/>
  <c r="H2412" i="13" s="1"/>
  <c r="D2412" i="13"/>
  <c r="K2424" i="13"/>
  <c r="G2424" i="13"/>
  <c r="I2424" i="13" s="1"/>
  <c r="F2424" i="13"/>
  <c r="H2424" i="13" s="1"/>
  <c r="D2424" i="13"/>
  <c r="K2423" i="13"/>
  <c r="G2423" i="13"/>
  <c r="I2423" i="13" s="1"/>
  <c r="F2423" i="13"/>
  <c r="H2423" i="13" s="1"/>
  <c r="D2423" i="13"/>
  <c r="K2422" i="13"/>
  <c r="G2422" i="13"/>
  <c r="I2422" i="13" s="1"/>
  <c r="F2422" i="13"/>
  <c r="H2422" i="13" s="1"/>
  <c r="D2422" i="13"/>
  <c r="K2431" i="13"/>
  <c r="H2431" i="13"/>
  <c r="G2431" i="13"/>
  <c r="I2431" i="13" s="1"/>
  <c r="F2431" i="13"/>
  <c r="D2431" i="13"/>
  <c r="K2430" i="13"/>
  <c r="G2430" i="13"/>
  <c r="I2430" i="13" s="1"/>
  <c r="F2430" i="13"/>
  <c r="H2430" i="13" s="1"/>
  <c r="D2430" i="13"/>
  <c r="K2429" i="13"/>
  <c r="G2429" i="13"/>
  <c r="I2429" i="13" s="1"/>
  <c r="F2429" i="13"/>
  <c r="H2429" i="13" s="1"/>
  <c r="D2429" i="13"/>
  <c r="K2428" i="13"/>
  <c r="G2428" i="13"/>
  <c r="I2428" i="13" s="1"/>
  <c r="J2428" i="13" s="1"/>
  <c r="F2428" i="13"/>
  <c r="H2428" i="13" s="1"/>
  <c r="D2428" i="13"/>
  <c r="K2427" i="13"/>
  <c r="I2427" i="13"/>
  <c r="G2427" i="13"/>
  <c r="F2427" i="13"/>
  <c r="H2427" i="13" s="1"/>
  <c r="D2427" i="13"/>
  <c r="K2426" i="13"/>
  <c r="G2426" i="13"/>
  <c r="I2426" i="13" s="1"/>
  <c r="F2426" i="13"/>
  <c r="H2426" i="13" s="1"/>
  <c r="D2426" i="13"/>
  <c r="K2425" i="13"/>
  <c r="G2425" i="13"/>
  <c r="I2425" i="13" s="1"/>
  <c r="F2425" i="13"/>
  <c r="H2425" i="13" s="1"/>
  <c r="D2425" i="13"/>
  <c r="K2442" i="13"/>
  <c r="G2442" i="13"/>
  <c r="I2442" i="13" s="1"/>
  <c r="F2442" i="13"/>
  <c r="H2442" i="13" s="1"/>
  <c r="D2442" i="13"/>
  <c r="K2441" i="13"/>
  <c r="H2441" i="13"/>
  <c r="G2441" i="13"/>
  <c r="I2441" i="13" s="1"/>
  <c r="F2441" i="13"/>
  <c r="D2441" i="13"/>
  <c r="K2440" i="13"/>
  <c r="G2440" i="13"/>
  <c r="I2440" i="13" s="1"/>
  <c r="F2440" i="13"/>
  <c r="H2440" i="13" s="1"/>
  <c r="D2440" i="13"/>
  <c r="K2439" i="13"/>
  <c r="G2439" i="13"/>
  <c r="I2439" i="13" s="1"/>
  <c r="F2439" i="13"/>
  <c r="H2439" i="13" s="1"/>
  <c r="D2439" i="13"/>
  <c r="K2438" i="13"/>
  <c r="G2438" i="13"/>
  <c r="I2438" i="13" s="1"/>
  <c r="J2438" i="13" s="1"/>
  <c r="F2438" i="13"/>
  <c r="H2438" i="13" s="1"/>
  <c r="D2438" i="13"/>
  <c r="K2437" i="13"/>
  <c r="I2437" i="13"/>
  <c r="G2437" i="13"/>
  <c r="F2437" i="13"/>
  <c r="H2437" i="13" s="1"/>
  <c r="D2437" i="13"/>
  <c r="K2436" i="13"/>
  <c r="G2436" i="13"/>
  <c r="I2436" i="13" s="1"/>
  <c r="F2436" i="13"/>
  <c r="H2436" i="13" s="1"/>
  <c r="D2436" i="13"/>
  <c r="K2435" i="13"/>
  <c r="G2435" i="13"/>
  <c r="I2435" i="13" s="1"/>
  <c r="F2435" i="13"/>
  <c r="H2435" i="13" s="1"/>
  <c r="D2435" i="13"/>
  <c r="K2434" i="13"/>
  <c r="G2434" i="13"/>
  <c r="I2434" i="13" s="1"/>
  <c r="F2434" i="13"/>
  <c r="H2434" i="13" s="1"/>
  <c r="D2434" i="13"/>
  <c r="K2433" i="13"/>
  <c r="I2433" i="13"/>
  <c r="H2433" i="13"/>
  <c r="G2433" i="13"/>
  <c r="F2433" i="13"/>
  <c r="D2433" i="13"/>
  <c r="K2432" i="13"/>
  <c r="G2432" i="13"/>
  <c r="I2432" i="13" s="1"/>
  <c r="F2432" i="13"/>
  <c r="H2432" i="13" s="1"/>
  <c r="D2432" i="13"/>
  <c r="K2449" i="13"/>
  <c r="G2449" i="13"/>
  <c r="I2449" i="13" s="1"/>
  <c r="F2449" i="13"/>
  <c r="H2449" i="13" s="1"/>
  <c r="D2449" i="13"/>
  <c r="K2448" i="13"/>
  <c r="I2448" i="13"/>
  <c r="G2448" i="13"/>
  <c r="F2448" i="13"/>
  <c r="H2448" i="13" s="1"/>
  <c r="D2448" i="13"/>
  <c r="K2447" i="13"/>
  <c r="G2447" i="13"/>
  <c r="I2447" i="13" s="1"/>
  <c r="F2447" i="13"/>
  <c r="H2447" i="13" s="1"/>
  <c r="D2447" i="13"/>
  <c r="K2446" i="13"/>
  <c r="G2446" i="13"/>
  <c r="I2446" i="13" s="1"/>
  <c r="F2446" i="13"/>
  <c r="H2446" i="13" s="1"/>
  <c r="D2446" i="13"/>
  <c r="K2445" i="13"/>
  <c r="G2445" i="13"/>
  <c r="I2445" i="13" s="1"/>
  <c r="F2445" i="13"/>
  <c r="H2445" i="13" s="1"/>
  <c r="D2445" i="13"/>
  <c r="K2444" i="13"/>
  <c r="G2444" i="13"/>
  <c r="I2444" i="13" s="1"/>
  <c r="F2444" i="13"/>
  <c r="H2444" i="13" s="1"/>
  <c r="D2444" i="13"/>
  <c r="K2443" i="13"/>
  <c r="I2443" i="13"/>
  <c r="G2443" i="13"/>
  <c r="F2443" i="13"/>
  <c r="H2443" i="13" s="1"/>
  <c r="D2443" i="13"/>
  <c r="K2459" i="13"/>
  <c r="G2459" i="13"/>
  <c r="I2459" i="13" s="1"/>
  <c r="F2459" i="13"/>
  <c r="H2459" i="13" s="1"/>
  <c r="D2459" i="13"/>
  <c r="K2458" i="13"/>
  <c r="G2458" i="13"/>
  <c r="I2458" i="13" s="1"/>
  <c r="F2458" i="13"/>
  <c r="H2458" i="13" s="1"/>
  <c r="D2458" i="13"/>
  <c r="K2457" i="13"/>
  <c r="G2457" i="13"/>
  <c r="I2457" i="13" s="1"/>
  <c r="F2457" i="13"/>
  <c r="H2457" i="13" s="1"/>
  <c r="D2457" i="13"/>
  <c r="K2456" i="13"/>
  <c r="I2456" i="13"/>
  <c r="H2456" i="13"/>
  <c r="G2456" i="13"/>
  <c r="F2456" i="13"/>
  <c r="D2456" i="13"/>
  <c r="K2455" i="13"/>
  <c r="G2455" i="13"/>
  <c r="I2455" i="13" s="1"/>
  <c r="F2455" i="13"/>
  <c r="H2455" i="13" s="1"/>
  <c r="D2455" i="13"/>
  <c r="K2454" i="13"/>
  <c r="G2454" i="13"/>
  <c r="I2454" i="13" s="1"/>
  <c r="F2454" i="13"/>
  <c r="H2454" i="13" s="1"/>
  <c r="D2454" i="13"/>
  <c r="K2453" i="13"/>
  <c r="I2453" i="13"/>
  <c r="G2453" i="13"/>
  <c r="F2453" i="13"/>
  <c r="H2453" i="13" s="1"/>
  <c r="D2453" i="13"/>
  <c r="K2452" i="13"/>
  <c r="H2452" i="13"/>
  <c r="G2452" i="13"/>
  <c r="I2452" i="13" s="1"/>
  <c r="F2452" i="13"/>
  <c r="D2452" i="13"/>
  <c r="K2451" i="13"/>
  <c r="G2451" i="13"/>
  <c r="I2451" i="13" s="1"/>
  <c r="F2451" i="13"/>
  <c r="H2451" i="13" s="1"/>
  <c r="D2451" i="13"/>
  <c r="K2450" i="13"/>
  <c r="G2450" i="13"/>
  <c r="I2450" i="13" s="1"/>
  <c r="F2450" i="13"/>
  <c r="H2450" i="13" s="1"/>
  <c r="D2450" i="13"/>
  <c r="K2466" i="13"/>
  <c r="I2466" i="13"/>
  <c r="G2466" i="13"/>
  <c r="F2466" i="13"/>
  <c r="H2466" i="13" s="1"/>
  <c r="D2466" i="13"/>
  <c r="K2465" i="13"/>
  <c r="G2465" i="13"/>
  <c r="I2465" i="13" s="1"/>
  <c r="F2465" i="13"/>
  <c r="H2465" i="13" s="1"/>
  <c r="D2465" i="13"/>
  <c r="K2464" i="13"/>
  <c r="G2464" i="13"/>
  <c r="I2464" i="13" s="1"/>
  <c r="F2464" i="13"/>
  <c r="H2464" i="13" s="1"/>
  <c r="D2464" i="13"/>
  <c r="K2463" i="13"/>
  <c r="G2463" i="13"/>
  <c r="I2463" i="13" s="1"/>
  <c r="F2463" i="13"/>
  <c r="H2463" i="13" s="1"/>
  <c r="D2463" i="13"/>
  <c r="K2462" i="13"/>
  <c r="G2462" i="13"/>
  <c r="I2462" i="13" s="1"/>
  <c r="F2462" i="13"/>
  <c r="H2462" i="13" s="1"/>
  <c r="D2462" i="13"/>
  <c r="K2461" i="13"/>
  <c r="I2461" i="13"/>
  <c r="G2461" i="13"/>
  <c r="F2461" i="13"/>
  <c r="H2461" i="13" s="1"/>
  <c r="D2461" i="13"/>
  <c r="K2460" i="13"/>
  <c r="G2460" i="13"/>
  <c r="I2460" i="13" s="1"/>
  <c r="F2460" i="13"/>
  <c r="H2460" i="13" s="1"/>
  <c r="D2460" i="13"/>
  <c r="K2478" i="13"/>
  <c r="G2478" i="13"/>
  <c r="I2478" i="13" s="1"/>
  <c r="F2478" i="13"/>
  <c r="H2478" i="13" s="1"/>
  <c r="D2478" i="13"/>
  <c r="K2477" i="13"/>
  <c r="G2477" i="13"/>
  <c r="I2477" i="13" s="1"/>
  <c r="F2477" i="13"/>
  <c r="H2477" i="13" s="1"/>
  <c r="D2477" i="13"/>
  <c r="K2476" i="13"/>
  <c r="I2476" i="13"/>
  <c r="H2476" i="13"/>
  <c r="G2476" i="13"/>
  <c r="F2476" i="13"/>
  <c r="D2476" i="13"/>
  <c r="K2475" i="13"/>
  <c r="G2475" i="13"/>
  <c r="I2475" i="13" s="1"/>
  <c r="F2475" i="13"/>
  <c r="H2475" i="13" s="1"/>
  <c r="D2475" i="13"/>
  <c r="K2474" i="13"/>
  <c r="G2474" i="13"/>
  <c r="I2474" i="13" s="1"/>
  <c r="F2474" i="13"/>
  <c r="H2474" i="13" s="1"/>
  <c r="D2474" i="13"/>
  <c r="K2473" i="13"/>
  <c r="I2473" i="13"/>
  <c r="G2473" i="13"/>
  <c r="F2473" i="13"/>
  <c r="H2473" i="13" s="1"/>
  <c r="D2473" i="13"/>
  <c r="K2472" i="13"/>
  <c r="H2472" i="13"/>
  <c r="G2472" i="13"/>
  <c r="I2472" i="13" s="1"/>
  <c r="F2472" i="13"/>
  <c r="D2472" i="13"/>
  <c r="K2471" i="13"/>
  <c r="G2471" i="13"/>
  <c r="I2471" i="13" s="1"/>
  <c r="F2471" i="13"/>
  <c r="H2471" i="13" s="1"/>
  <c r="D2471" i="13"/>
  <c r="K2470" i="13"/>
  <c r="G2470" i="13"/>
  <c r="I2470" i="13" s="1"/>
  <c r="F2470" i="13"/>
  <c r="H2470" i="13" s="1"/>
  <c r="D2470" i="13"/>
  <c r="K2469" i="13"/>
  <c r="I2469" i="13"/>
  <c r="G2469" i="13"/>
  <c r="F2469" i="13"/>
  <c r="H2469" i="13" s="1"/>
  <c r="D2469" i="13"/>
  <c r="K2468" i="13"/>
  <c r="G2468" i="13"/>
  <c r="I2468" i="13" s="1"/>
  <c r="F2468" i="13"/>
  <c r="H2468" i="13" s="1"/>
  <c r="D2468" i="13"/>
  <c r="K2467" i="13"/>
  <c r="G2467" i="13"/>
  <c r="I2467" i="13" s="1"/>
  <c r="F2467" i="13"/>
  <c r="H2467" i="13" s="1"/>
  <c r="D2467" i="13"/>
  <c r="K2489" i="13"/>
  <c r="G2489" i="13"/>
  <c r="I2489" i="13" s="1"/>
  <c r="F2489" i="13"/>
  <c r="H2489" i="13" s="1"/>
  <c r="D2489" i="13"/>
  <c r="K2488" i="13"/>
  <c r="G2488" i="13"/>
  <c r="I2488" i="13" s="1"/>
  <c r="F2488" i="13"/>
  <c r="H2488" i="13" s="1"/>
  <c r="D2488" i="13"/>
  <c r="K2487" i="13"/>
  <c r="I2487" i="13"/>
  <c r="G2487" i="13"/>
  <c r="F2487" i="13"/>
  <c r="H2487" i="13" s="1"/>
  <c r="D2487" i="13"/>
  <c r="K2486" i="13"/>
  <c r="G2486" i="13"/>
  <c r="I2486" i="13" s="1"/>
  <c r="F2486" i="13"/>
  <c r="H2486" i="13" s="1"/>
  <c r="D2486" i="13"/>
  <c r="K2485" i="13"/>
  <c r="G2485" i="13"/>
  <c r="I2485" i="13" s="1"/>
  <c r="F2485" i="13"/>
  <c r="H2485" i="13" s="1"/>
  <c r="D2485" i="13"/>
  <c r="K2484" i="13"/>
  <c r="G2484" i="13"/>
  <c r="I2484" i="13" s="1"/>
  <c r="F2484" i="13"/>
  <c r="H2484" i="13" s="1"/>
  <c r="D2484" i="13"/>
  <c r="K2483" i="13"/>
  <c r="H2483" i="13"/>
  <c r="G2483" i="13"/>
  <c r="I2483" i="13" s="1"/>
  <c r="F2483" i="13"/>
  <c r="D2483" i="13"/>
  <c r="K2482" i="13"/>
  <c r="G2482" i="13"/>
  <c r="I2482" i="13" s="1"/>
  <c r="F2482" i="13"/>
  <c r="H2482" i="13" s="1"/>
  <c r="D2482" i="13"/>
  <c r="K2481" i="13"/>
  <c r="G2481" i="13"/>
  <c r="I2481" i="13" s="1"/>
  <c r="F2481" i="13"/>
  <c r="H2481" i="13" s="1"/>
  <c r="D2481" i="13"/>
  <c r="K2480" i="13"/>
  <c r="G2480" i="13"/>
  <c r="I2480" i="13" s="1"/>
  <c r="F2480" i="13"/>
  <c r="H2480" i="13" s="1"/>
  <c r="D2480" i="13"/>
  <c r="K2479" i="13"/>
  <c r="I2479" i="13"/>
  <c r="H2479" i="13"/>
  <c r="G2479" i="13"/>
  <c r="F2479" i="13"/>
  <c r="D2479" i="13"/>
  <c r="K2494" i="13"/>
  <c r="G2494" i="13"/>
  <c r="I2494" i="13" s="1"/>
  <c r="F2494" i="13"/>
  <c r="H2494" i="13" s="1"/>
  <c r="D2494" i="13"/>
  <c r="K2493" i="13"/>
  <c r="G2493" i="13"/>
  <c r="I2493" i="13" s="1"/>
  <c r="F2493" i="13"/>
  <c r="H2493" i="13" s="1"/>
  <c r="D2493" i="13"/>
  <c r="K2492" i="13"/>
  <c r="G2492" i="13"/>
  <c r="I2492" i="13" s="1"/>
  <c r="F2492" i="13"/>
  <c r="H2492" i="13" s="1"/>
  <c r="D2492" i="13"/>
  <c r="K2491" i="13"/>
  <c r="G2491" i="13"/>
  <c r="I2491" i="13" s="1"/>
  <c r="F2491" i="13"/>
  <c r="H2491" i="13" s="1"/>
  <c r="D2491" i="13"/>
  <c r="K2490" i="13"/>
  <c r="G2490" i="13"/>
  <c r="I2490" i="13" s="1"/>
  <c r="F2490" i="13"/>
  <c r="H2490" i="13" s="1"/>
  <c r="D2490" i="13"/>
  <c r="K2497" i="13"/>
  <c r="G2497" i="13"/>
  <c r="I2497" i="13" s="1"/>
  <c r="F2497" i="13"/>
  <c r="H2497" i="13" s="1"/>
  <c r="D2497" i="13"/>
  <c r="K2496" i="13"/>
  <c r="G2496" i="13"/>
  <c r="I2496" i="13" s="1"/>
  <c r="J2496" i="13" s="1"/>
  <c r="F2496" i="13"/>
  <c r="H2496" i="13" s="1"/>
  <c r="D2496" i="13"/>
  <c r="K2495" i="13"/>
  <c r="I2495" i="13"/>
  <c r="H2495" i="13"/>
  <c r="G2495" i="13"/>
  <c r="F2495" i="13"/>
  <c r="D2495" i="13"/>
  <c r="K2501" i="13"/>
  <c r="G2501" i="13"/>
  <c r="I2501" i="13" s="1"/>
  <c r="F2501" i="13"/>
  <c r="H2501" i="13" s="1"/>
  <c r="D2501" i="13"/>
  <c r="K2500" i="13"/>
  <c r="G2500" i="13"/>
  <c r="I2500" i="13" s="1"/>
  <c r="F2500" i="13"/>
  <c r="H2500" i="13" s="1"/>
  <c r="D2500" i="13"/>
  <c r="K2499" i="13"/>
  <c r="G2499" i="13"/>
  <c r="I2499" i="13" s="1"/>
  <c r="F2499" i="13"/>
  <c r="H2499" i="13" s="1"/>
  <c r="D2499" i="13"/>
  <c r="K2498" i="13"/>
  <c r="G2498" i="13"/>
  <c r="I2498" i="13" s="1"/>
  <c r="F2498" i="13"/>
  <c r="H2498" i="13" s="1"/>
  <c r="D2498" i="13"/>
  <c r="K2503" i="13"/>
  <c r="G2503" i="13"/>
  <c r="I2503" i="13" s="1"/>
  <c r="F2503" i="13"/>
  <c r="H2503" i="13" s="1"/>
  <c r="D2503" i="13"/>
  <c r="K2502" i="13"/>
  <c r="G2502" i="13"/>
  <c r="I2502" i="13" s="1"/>
  <c r="F2502" i="13"/>
  <c r="H2502" i="13" s="1"/>
  <c r="D2502" i="13"/>
  <c r="J2480" i="13" l="1"/>
  <c r="J2499" i="13"/>
  <c r="J2492" i="13"/>
  <c r="J2484" i="13"/>
  <c r="J2442" i="13"/>
  <c r="J2422" i="13"/>
  <c r="J2417" i="13"/>
  <c r="J2397" i="13"/>
  <c r="J2390" i="13"/>
  <c r="J2296" i="13"/>
  <c r="J2257" i="13"/>
  <c r="J2241" i="13"/>
  <c r="J2230" i="13"/>
  <c r="J2225" i="13"/>
  <c r="J2219" i="13"/>
  <c r="J2180" i="13"/>
  <c r="J2167" i="13"/>
  <c r="J2142" i="13"/>
  <c r="J2140" i="13"/>
  <c r="J2112" i="13"/>
  <c r="J2118" i="13"/>
  <c r="J2106" i="13"/>
  <c r="J2092" i="13"/>
  <c r="J2063" i="13"/>
  <c r="J2054" i="13"/>
  <c r="J2015" i="13"/>
  <c r="J1765" i="13"/>
  <c r="J2375" i="13"/>
  <c r="J2359" i="13"/>
  <c r="J2355" i="13"/>
  <c r="J2346" i="13"/>
  <c r="J2251" i="13"/>
  <c r="J2243" i="13"/>
  <c r="J2245" i="13"/>
  <c r="J2204" i="13"/>
  <c r="J2186" i="13"/>
  <c r="J2165" i="13"/>
  <c r="J2134" i="13"/>
  <c r="J2085" i="13"/>
  <c r="J2344" i="13"/>
  <c r="J2340" i="13"/>
  <c r="J2332" i="13"/>
  <c r="J2319" i="13"/>
  <c r="J2304" i="13"/>
  <c r="J2298" i="13"/>
  <c r="J2291" i="13"/>
  <c r="J2284" i="13"/>
  <c r="J2280" i="13"/>
  <c r="J2273" i="13"/>
  <c r="J2197" i="13"/>
  <c r="J2127" i="13"/>
  <c r="J1609" i="13"/>
  <c r="J2218" i="13"/>
  <c r="J2093" i="13"/>
  <c r="J2094" i="13"/>
  <c r="J2041" i="13"/>
  <c r="J2007" i="13"/>
  <c r="J1546" i="13"/>
  <c r="J1823" i="13"/>
  <c r="J1819" i="13"/>
  <c r="J1807" i="13"/>
  <c r="J1786" i="13"/>
  <c r="J1582" i="13"/>
  <c r="J1569" i="13"/>
  <c r="J1521" i="13"/>
  <c r="J1493" i="13"/>
  <c r="J1472" i="13"/>
  <c r="J1473" i="13"/>
  <c r="J1456" i="13"/>
  <c r="J1441" i="13"/>
  <c r="J1429" i="13"/>
  <c r="J1418" i="13"/>
  <c r="J1414" i="13"/>
  <c r="J1396" i="13"/>
  <c r="J1387" i="13"/>
  <c r="J1395" i="13"/>
  <c r="J1993" i="13"/>
  <c r="J1987" i="13"/>
  <c r="J1971" i="13"/>
  <c r="J1964" i="13"/>
  <c r="J1961" i="13"/>
  <c r="J1952" i="13"/>
  <c r="J1947" i="13"/>
  <c r="J1940" i="13"/>
  <c r="J1934" i="13"/>
  <c r="J1916" i="13"/>
  <c r="J1913" i="13"/>
  <c r="J1907" i="13"/>
  <c r="J1899" i="13"/>
  <c r="J1894" i="13"/>
  <c r="J1884" i="13"/>
  <c r="J1877" i="13"/>
  <c r="J1865" i="13"/>
  <c r="J1862" i="13"/>
  <c r="J1842" i="13"/>
  <c r="J1836" i="13"/>
  <c r="J1798" i="13"/>
  <c r="J1777" i="13"/>
  <c r="J1760" i="13"/>
  <c r="J1749" i="13"/>
  <c r="J1735" i="13"/>
  <c r="J1724" i="13"/>
  <c r="J1717" i="13"/>
  <c r="J1703" i="13"/>
  <c r="J1704" i="13"/>
  <c r="J1710" i="13"/>
  <c r="J1682" i="13"/>
  <c r="J1653" i="13"/>
  <c r="J1655" i="13"/>
  <c r="J1641" i="13"/>
  <c r="J1630" i="13"/>
  <c r="J1620" i="13"/>
  <c r="J1608" i="13"/>
  <c r="J1599" i="13"/>
  <c r="J1593" i="13"/>
  <c r="J1579" i="13"/>
  <c r="J1573" i="13"/>
  <c r="J1574" i="13"/>
  <c r="J1556" i="13"/>
  <c r="J1545" i="13"/>
  <c r="J1532" i="13"/>
  <c r="J1829" i="13"/>
  <c r="J1784" i="13"/>
  <c r="J1771" i="13"/>
  <c r="J1718" i="13"/>
  <c r="J1663" i="13"/>
  <c r="J1652" i="13"/>
  <c r="J1649" i="13"/>
  <c r="J1640" i="13"/>
  <c r="J1619" i="13"/>
  <c r="J1605" i="13"/>
  <c r="J1587" i="13"/>
  <c r="J1570" i="13"/>
  <c r="J1547" i="13"/>
  <c r="J1542" i="13"/>
  <c r="J1515" i="13"/>
  <c r="J1474" i="13"/>
  <c r="J1475" i="13"/>
  <c r="J2195" i="13"/>
  <c r="J2190" i="13"/>
  <c r="J2171" i="13"/>
  <c r="J2163" i="13"/>
  <c r="J2158" i="13"/>
  <c r="J2111" i="13"/>
  <c r="J2117" i="13"/>
  <c r="J2091" i="13"/>
  <c r="J2071" i="13"/>
  <c r="J2064" i="13"/>
  <c r="J2056" i="13"/>
  <c r="J2050" i="13"/>
  <c r="J2047" i="13"/>
  <c r="J2036" i="13"/>
  <c r="J2030" i="13"/>
  <c r="J2027" i="13"/>
  <c r="J2012" i="13"/>
  <c r="J2004" i="13"/>
  <c r="J1999" i="13"/>
  <c r="J1983" i="13"/>
  <c r="J1979" i="13"/>
  <c r="J1975" i="13"/>
  <c r="J1968" i="13"/>
  <c r="J1958" i="13"/>
  <c r="J1943" i="13"/>
  <c r="J1936" i="13"/>
  <c r="J1930" i="13"/>
  <c r="J1925" i="13"/>
  <c r="J1920" i="13"/>
  <c r="J1903" i="13"/>
  <c r="J1895" i="13"/>
  <c r="J1890" i="13"/>
  <c r="J1888" i="13"/>
  <c r="J1873" i="13"/>
  <c r="J1867" i="13"/>
  <c r="J1858" i="13"/>
  <c r="J1852" i="13"/>
  <c r="J1846" i="13"/>
  <c r="J1793" i="13"/>
  <c r="J1780" i="13"/>
  <c r="J1757" i="13"/>
  <c r="J1747" i="13"/>
  <c r="J1740" i="13"/>
  <c r="J1709" i="13"/>
  <c r="J1701" i="13"/>
  <c r="J1683" i="13"/>
  <c r="J1595" i="13"/>
  <c r="J1592" i="13"/>
  <c r="J1572" i="13"/>
  <c r="J1563" i="13"/>
  <c r="J1557" i="13"/>
  <c r="J1535" i="13"/>
  <c r="J1517" i="13"/>
  <c r="J1510" i="13"/>
  <c r="J1507" i="13"/>
  <c r="J1492" i="13"/>
  <c r="J1469" i="13"/>
  <c r="J1463" i="13"/>
  <c r="J1460" i="13"/>
  <c r="J1262" i="13"/>
  <c r="J1226" i="13"/>
  <c r="J1139" i="13"/>
  <c r="J1120" i="13"/>
  <c r="J1061" i="13"/>
  <c r="J1048" i="13"/>
  <c r="J1026" i="13"/>
  <c r="J1034" i="13"/>
  <c r="J1020" i="13"/>
  <c r="J1008" i="13"/>
  <c r="J1002" i="13"/>
  <c r="J997" i="13"/>
  <c r="J972" i="13"/>
  <c r="J964" i="13"/>
  <c r="J952" i="13"/>
  <c r="J960" i="13"/>
  <c r="J950" i="13"/>
  <c r="J944" i="13"/>
  <c r="J927" i="13"/>
  <c r="J1263" i="13"/>
  <c r="J1242" i="13"/>
  <c r="J1249" i="13"/>
  <c r="J1250" i="13"/>
  <c r="J1208" i="13"/>
  <c r="J1201" i="13"/>
  <c r="J1165" i="13"/>
  <c r="J1160" i="13"/>
  <c r="J1153" i="13"/>
  <c r="J1154" i="13"/>
  <c r="J1134" i="13"/>
  <c r="J1117" i="13"/>
  <c r="J1076" i="13"/>
  <c r="J1069" i="13"/>
  <c r="J907" i="13"/>
  <c r="J915" i="13"/>
  <c r="J892" i="13"/>
  <c r="J900" i="13"/>
  <c r="J830" i="13"/>
  <c r="J806" i="13"/>
  <c r="J781" i="13"/>
  <c r="J788" i="13"/>
  <c r="J753" i="13"/>
  <c r="J564" i="13"/>
  <c r="J890" i="13"/>
  <c r="J835" i="13"/>
  <c r="J812" i="13"/>
  <c r="J817" i="13"/>
  <c r="J759" i="13"/>
  <c r="J1245" i="13"/>
  <c r="J1216" i="13"/>
  <c r="J1218" i="13"/>
  <c r="J1221" i="13"/>
  <c r="J1203" i="13"/>
  <c r="J1194" i="13"/>
  <c r="J1171" i="13"/>
  <c r="J1161" i="13"/>
  <c r="J1150" i="13"/>
  <c r="J1063" i="13"/>
  <c r="J1045" i="13"/>
  <c r="J803" i="13"/>
  <c r="J793" i="13"/>
  <c r="J784" i="13"/>
  <c r="J765" i="13"/>
  <c r="J730" i="13"/>
  <c r="J724" i="13"/>
  <c r="J718" i="13"/>
  <c r="J719" i="13"/>
  <c r="J692" i="13"/>
  <c r="J693" i="13"/>
  <c r="J682" i="13"/>
  <c r="J668" i="13"/>
  <c r="J654" i="13"/>
  <c r="J639" i="13"/>
  <c r="J609" i="13"/>
  <c r="J614" i="13"/>
  <c r="J562" i="13"/>
  <c r="J568" i="13"/>
  <c r="J569" i="13"/>
  <c r="J570" i="13"/>
  <c r="J571" i="13"/>
  <c r="J556" i="13"/>
  <c r="J552" i="13"/>
  <c r="J541" i="13"/>
  <c r="J525" i="13"/>
  <c r="J508" i="13"/>
  <c r="J493" i="13"/>
  <c r="J494" i="13"/>
  <c r="J483" i="13"/>
  <c r="J475" i="13"/>
  <c r="J476" i="13"/>
  <c r="J441" i="13"/>
  <c r="J435" i="13"/>
  <c r="J429" i="13"/>
  <c r="J415" i="13"/>
  <c r="J413" i="13"/>
  <c r="J392" i="13"/>
  <c r="J400" i="13"/>
  <c r="J391" i="13"/>
  <c r="J381" i="13"/>
  <c r="J309" i="13"/>
  <c r="J281" i="13"/>
  <c r="J572" i="13"/>
  <c r="J553" i="13"/>
  <c r="J544" i="13"/>
  <c r="J536" i="13"/>
  <c r="J519" i="13"/>
  <c r="J520" i="13"/>
  <c r="J485" i="13"/>
  <c r="J486" i="13"/>
  <c r="J449" i="13"/>
  <c r="J352" i="13"/>
  <c r="J354" i="13"/>
  <c r="J332" i="13"/>
  <c r="J286" i="13"/>
  <c r="J288" i="13"/>
  <c r="J203" i="13"/>
  <c r="J777" i="13"/>
  <c r="J764" i="13"/>
  <c r="J768" i="13"/>
  <c r="J769" i="13"/>
  <c r="J741" i="13"/>
  <c r="J728" i="13"/>
  <c r="J712" i="13"/>
  <c r="J708" i="13"/>
  <c r="J703" i="13"/>
  <c r="J704" i="13"/>
  <c r="J697" i="13"/>
  <c r="J689" i="13"/>
  <c r="J679" i="13"/>
  <c r="J664" i="13"/>
  <c r="J650" i="13"/>
  <c r="J635" i="13"/>
  <c r="J592" i="13"/>
  <c r="J594" i="13"/>
  <c r="J597" i="13"/>
  <c r="J584" i="13"/>
  <c r="J513" i="13"/>
  <c r="J495" i="13"/>
  <c r="J473" i="13"/>
  <c r="J474" i="13"/>
  <c r="J452" i="13"/>
  <c r="J445" i="13"/>
  <c r="J439" i="13"/>
  <c r="J409" i="13"/>
  <c r="J406" i="13"/>
  <c r="J396" i="13"/>
  <c r="J387" i="13"/>
  <c r="J377" i="13"/>
  <c r="J378" i="13"/>
  <c r="J366" i="13"/>
  <c r="J368" i="13"/>
  <c r="J364" i="13"/>
  <c r="J365" i="13"/>
  <c r="J208" i="13"/>
  <c r="J305" i="13"/>
  <c r="J266" i="13"/>
  <c r="J214" i="13"/>
  <c r="J356" i="13"/>
  <c r="J341" i="13"/>
  <c r="J342" i="13"/>
  <c r="J343" i="13"/>
  <c r="J327" i="13"/>
  <c r="J324" i="13"/>
  <c r="J293" i="13"/>
  <c r="J295" i="13"/>
  <c r="J300" i="13"/>
  <c r="J301" i="13"/>
  <c r="J284" i="13"/>
  <c r="J290" i="13"/>
  <c r="J278" i="13"/>
  <c r="J247" i="13"/>
  <c r="J248" i="13"/>
  <c r="J222" i="13"/>
  <c r="J223" i="13"/>
  <c r="J181" i="13"/>
  <c r="J175" i="13"/>
  <c r="J176" i="13"/>
  <c r="J168" i="13"/>
  <c r="J166" i="13"/>
  <c r="J160" i="13"/>
  <c r="J151" i="13"/>
  <c r="J143" i="13"/>
  <c r="J144" i="13"/>
  <c r="J130" i="13"/>
  <c r="J131" i="13"/>
  <c r="J127" i="13"/>
  <c r="J103" i="13"/>
  <c r="J64" i="13"/>
  <c r="J65" i="13"/>
  <c r="J66" i="13"/>
  <c r="J39" i="13"/>
  <c r="J21" i="13"/>
  <c r="J25" i="13"/>
  <c r="J6" i="13"/>
  <c r="J350" i="13"/>
  <c r="J347" i="13"/>
  <c r="J339" i="13"/>
  <c r="J329" i="13"/>
  <c r="J316" i="13"/>
  <c r="J260" i="13"/>
  <c r="J262" i="13"/>
  <c r="J263" i="13"/>
  <c r="J258" i="13"/>
  <c r="J259" i="13"/>
  <c r="J251" i="13"/>
  <c r="J254" i="13"/>
  <c r="J236" i="13"/>
  <c r="J226" i="13"/>
  <c r="J227" i="13"/>
  <c r="J219" i="13"/>
  <c r="J216" i="13"/>
  <c r="J204" i="13"/>
  <c r="J210" i="13"/>
  <c r="J212" i="13"/>
  <c r="J192" i="13"/>
  <c r="J194" i="13"/>
  <c r="J187" i="13"/>
  <c r="J174" i="13"/>
  <c r="J67" i="13"/>
  <c r="J42" i="13"/>
  <c r="J13" i="13"/>
  <c r="J246" i="13"/>
  <c r="J179" i="13"/>
  <c r="J164" i="13"/>
  <c r="J153" i="13"/>
  <c r="J140" i="13"/>
  <c r="J139" i="13"/>
  <c r="J100" i="13"/>
  <c r="J90" i="13"/>
  <c r="J74" i="13"/>
  <c r="J23" i="13"/>
  <c r="J2394" i="13"/>
  <c r="J2385" i="13"/>
  <c r="J2389" i="13"/>
  <c r="J2380" i="13"/>
  <c r="J2383" i="13"/>
  <c r="J1805" i="13"/>
  <c r="J1766" i="13"/>
  <c r="J2491" i="13"/>
  <c r="J2479" i="13"/>
  <c r="J2483" i="13"/>
  <c r="J2487" i="13"/>
  <c r="J2468" i="13"/>
  <c r="J2472" i="13"/>
  <c r="J2476" i="13"/>
  <c r="J2461" i="13"/>
  <c r="J2465" i="13"/>
  <c r="J2452" i="13"/>
  <c r="J2456" i="13"/>
  <c r="J2443" i="13"/>
  <c r="J2447" i="13"/>
  <c r="J2433" i="13"/>
  <c r="J2437" i="13"/>
  <c r="J2441" i="13"/>
  <c r="J2427" i="13"/>
  <c r="J2431" i="13"/>
  <c r="J2412" i="13"/>
  <c r="J2416" i="13"/>
  <c r="J2420" i="13"/>
  <c r="J2407" i="13"/>
  <c r="J2411" i="13"/>
  <c r="J2400" i="13"/>
  <c r="J2404" i="13"/>
  <c r="J2393" i="13"/>
  <c r="J2384" i="13"/>
  <c r="J2388" i="13"/>
  <c r="J2379" i="13"/>
  <c r="J2373" i="13"/>
  <c r="J2367" i="13"/>
  <c r="J2362" i="13"/>
  <c r="J2350" i="13"/>
  <c r="J2349" i="13"/>
  <c r="J2263" i="13"/>
  <c r="J2203" i="13"/>
  <c r="J2174" i="13"/>
  <c r="J2133" i="13"/>
  <c r="J2084" i="13"/>
  <c r="J1787" i="13"/>
  <c r="J2495" i="13"/>
  <c r="J2467" i="13"/>
  <c r="J2469" i="13"/>
  <c r="J2471" i="13"/>
  <c r="J2473" i="13"/>
  <c r="J2475" i="13"/>
  <c r="J2460" i="13"/>
  <c r="J2462" i="13"/>
  <c r="J2464" i="13"/>
  <c r="J2466" i="13"/>
  <c r="J2451" i="13"/>
  <c r="J2453" i="13"/>
  <c r="J2455" i="13"/>
  <c r="J2457" i="13"/>
  <c r="J2459" i="13"/>
  <c r="J2444" i="13"/>
  <c r="J2446" i="13"/>
  <c r="J2448" i="13"/>
  <c r="J2432" i="13"/>
  <c r="J2434" i="13"/>
  <c r="J2436" i="13"/>
  <c r="J2440" i="13"/>
  <c r="J2426" i="13"/>
  <c r="J2430" i="13"/>
  <c r="J2424" i="13"/>
  <c r="J2415" i="13"/>
  <c r="J2419" i="13"/>
  <c r="J2421" i="13"/>
  <c r="J2406" i="13"/>
  <c r="J2408" i="13"/>
  <c r="J2410" i="13"/>
  <c r="J2399" i="13"/>
  <c r="J2403" i="13"/>
  <c r="J2392" i="13"/>
  <c r="J2396" i="13"/>
  <c r="J2387" i="13"/>
  <c r="J2378" i="13"/>
  <c r="J2382" i="13"/>
  <c r="J2498" i="13"/>
  <c r="J2503" i="13"/>
  <c r="J2501" i="13"/>
  <c r="J2490" i="13"/>
  <c r="J2494" i="13"/>
  <c r="J2482" i="13"/>
  <c r="J2486" i="13"/>
  <c r="J2488" i="13"/>
  <c r="J2477" i="13"/>
  <c r="J2371" i="13"/>
  <c r="J2374" i="13"/>
  <c r="J2358" i="13"/>
  <c r="J2354" i="13"/>
  <c r="J2345" i="13"/>
  <c r="J2233" i="13"/>
  <c r="J2145" i="13"/>
  <c r="J2256" i="13"/>
  <c r="J2242" i="13"/>
  <c r="J2221" i="13"/>
  <c r="J2217" i="13"/>
  <c r="J2209" i="13"/>
  <c r="J2205" i="13"/>
  <c r="J2194" i="13"/>
  <c r="J2179" i="13"/>
  <c r="J2181" i="13"/>
  <c r="J2162" i="13"/>
  <c r="J2149" i="13"/>
  <c r="J2130" i="13"/>
  <c r="J2113" i="13"/>
  <c r="J2102" i="13"/>
  <c r="J2086" i="13"/>
  <c r="J2055" i="13"/>
  <c r="J2059" i="13"/>
  <c r="J2049" i="13"/>
  <c r="J2053" i="13"/>
  <c r="J2046" i="13"/>
  <c r="J2040" i="13"/>
  <c r="J2035" i="13"/>
  <c r="J2032" i="13"/>
  <c r="J2029" i="13"/>
  <c r="J2022" i="13"/>
  <c r="J2026" i="13"/>
  <c r="J2020" i="13"/>
  <c r="J2011" i="13"/>
  <c r="J2006" i="13"/>
  <c r="J2010" i="13"/>
  <c r="J2002" i="13"/>
  <c r="J1998" i="13"/>
  <c r="J1992" i="13"/>
  <c r="J1996" i="13"/>
  <c r="J1986" i="13"/>
  <c r="J1978" i="13"/>
  <c r="J1982" i="13"/>
  <c r="J1974" i="13"/>
  <c r="J1963" i="13"/>
  <c r="J1967" i="13"/>
  <c r="J1960" i="13"/>
  <c r="J1957" i="13"/>
  <c r="J1951" i="13"/>
  <c r="J1955" i="13"/>
  <c r="J1946" i="13"/>
  <c r="J1935" i="13"/>
  <c r="J1939" i="13"/>
  <c r="J1929" i="13"/>
  <c r="J1933" i="13"/>
  <c r="J1924" i="13"/>
  <c r="J1928" i="13"/>
  <c r="J1919" i="13"/>
  <c r="J1912" i="13"/>
  <c r="J1902" i="13"/>
  <c r="J1906" i="13"/>
  <c r="J1910" i="13"/>
  <c r="J1872" i="13"/>
  <c r="J1876" i="13"/>
  <c r="J1880" i="13"/>
  <c r="J1864" i="13"/>
  <c r="J1797" i="13"/>
  <c r="J1794" i="13"/>
  <c r="J1770" i="13"/>
  <c r="J1755" i="13"/>
  <c r="J1756" i="13"/>
  <c r="J1721" i="13"/>
  <c r="J1625" i="13"/>
  <c r="J1581" i="13"/>
  <c r="J1261" i="13"/>
  <c r="J1223" i="13"/>
  <c r="J2341" i="13"/>
  <c r="J2333" i="13"/>
  <c r="J2337" i="13"/>
  <c r="J2325" i="13"/>
  <c r="J2329" i="13"/>
  <c r="J2322" i="13"/>
  <c r="J2316" i="13"/>
  <c r="J2320" i="13"/>
  <c r="J2313" i="13"/>
  <c r="J2305" i="13"/>
  <c r="J2309" i="13"/>
  <c r="J2299" i="13"/>
  <c r="J2288" i="13"/>
  <c r="J2285" i="13"/>
  <c r="J2277" i="13"/>
  <c r="J2281" i="13"/>
  <c r="J2270" i="13"/>
  <c r="J2274" i="13"/>
  <c r="J2264" i="13"/>
  <c r="J2255" i="13"/>
  <c r="J2254" i="13"/>
  <c r="J2232" i="13"/>
  <c r="J2228" i="13"/>
  <c r="J2215" i="13"/>
  <c r="J2202" i="13"/>
  <c r="J2200" i="13"/>
  <c r="J2189" i="13"/>
  <c r="J2173" i="13"/>
  <c r="J2169" i="13"/>
  <c r="J2156" i="13"/>
  <c r="J2144" i="13"/>
  <c r="J2136" i="13"/>
  <c r="J2124" i="13"/>
  <c r="J2119" i="13"/>
  <c r="J2097" i="13"/>
  <c r="J2099" i="13"/>
  <c r="J2090" i="13"/>
  <c r="J2083" i="13"/>
  <c r="J2073" i="13"/>
  <c r="J2078" i="13"/>
  <c r="J2066" i="13"/>
  <c r="J2070" i="13"/>
  <c r="J2058" i="13"/>
  <c r="J2062" i="13"/>
  <c r="J2052" i="13"/>
  <c r="J2045" i="13"/>
  <c r="J2039" i="13"/>
  <c r="J2043" i="13"/>
  <c r="J2038" i="13"/>
  <c r="J2028" i="13"/>
  <c r="J2021" i="13"/>
  <c r="J2025" i="13"/>
  <c r="J2019" i="13"/>
  <c r="J2017" i="13"/>
  <c r="J2014" i="13"/>
  <c r="J2009" i="13"/>
  <c r="J2001" i="13"/>
  <c r="J1997" i="13"/>
  <c r="J1991" i="13"/>
  <c r="J1995" i="13"/>
  <c r="J1985" i="13"/>
  <c r="J1989" i="13"/>
  <c r="J1981" i="13"/>
  <c r="J1973" i="13"/>
  <c r="J1977" i="13"/>
  <c r="J1966" i="13"/>
  <c r="J1970" i="13"/>
  <c r="J1956" i="13"/>
  <c r="J1950" i="13"/>
  <c r="J1954" i="13"/>
  <c r="J1945" i="13"/>
  <c r="J1949" i="13"/>
  <c r="J1938" i="13"/>
  <c r="J1942" i="13"/>
  <c r="J1932" i="13"/>
  <c r="J1923" i="13"/>
  <c r="J1927" i="13"/>
  <c r="J1918" i="13"/>
  <c r="J1911" i="13"/>
  <c r="J1915" i="13"/>
  <c r="J1905" i="13"/>
  <c r="J1909" i="13"/>
  <c r="J1897" i="13"/>
  <c r="J1901" i="13"/>
  <c r="J1892" i="13"/>
  <c r="J1886" i="13"/>
  <c r="J1882" i="13"/>
  <c r="J1871" i="13"/>
  <c r="J1875" i="13"/>
  <c r="J1879" i="13"/>
  <c r="J1869" i="13"/>
  <c r="J1856" i="13"/>
  <c r="J1860" i="13"/>
  <c r="J1850" i="13"/>
  <c r="J1854" i="13"/>
  <c r="J1844" i="13"/>
  <c r="J1848" i="13"/>
  <c r="J1838" i="13"/>
  <c r="J1833" i="13"/>
  <c r="J1824" i="13"/>
  <c r="J1828" i="13"/>
  <c r="J1820" i="13"/>
  <c r="J1814" i="13"/>
  <c r="J1808" i="13"/>
  <c r="J1812" i="13"/>
  <c r="J1785" i="13"/>
  <c r="J1775" i="13"/>
  <c r="J1778" i="13"/>
  <c r="J1782" i="13"/>
  <c r="J1761" i="13"/>
  <c r="J1753" i="13"/>
  <c r="J1738" i="13"/>
  <c r="J1725" i="13"/>
  <c r="J1716" i="13"/>
  <c r="J1708" i="13"/>
  <c r="J1694" i="13"/>
  <c r="J1681" i="13"/>
  <c r="J1680" i="13"/>
  <c r="J1668" i="13"/>
  <c r="J1671" i="13"/>
  <c r="J1666" i="13"/>
  <c r="J1654" i="13"/>
  <c r="J1637" i="13"/>
  <c r="J1642" i="13"/>
  <c r="J1604" i="13"/>
  <c r="J2248" i="13"/>
  <c r="J2240" i="13"/>
  <c r="J2212" i="13"/>
  <c r="J2199" i="13"/>
  <c r="J2168" i="13"/>
  <c r="J2141" i="13"/>
  <c r="J2125" i="13"/>
  <c r="J2096" i="13"/>
  <c r="J2077" i="13"/>
  <c r="J2065" i="13"/>
  <c r="J2069" i="13"/>
  <c r="J2057" i="13"/>
  <c r="J2061" i="13"/>
  <c r="J2051" i="13"/>
  <c r="J2044" i="13"/>
  <c r="J2048" i="13"/>
  <c r="J2042" i="13"/>
  <c r="J2037" i="13"/>
  <c r="J2034" i="13"/>
  <c r="J2031" i="13"/>
  <c r="J2024" i="13"/>
  <c r="J2018" i="13"/>
  <c r="J2016" i="13"/>
  <c r="J2013" i="13"/>
  <c r="J2008" i="13"/>
  <c r="J2005" i="13"/>
  <c r="J2000" i="13"/>
  <c r="J1990" i="13"/>
  <c r="J1994" i="13"/>
  <c r="J1984" i="13"/>
  <c r="J1988" i="13"/>
  <c r="J1980" i="13"/>
  <c r="J1972" i="13"/>
  <c r="J1976" i="13"/>
  <c r="J1965" i="13"/>
  <c r="J1969" i="13"/>
  <c r="J1962" i="13"/>
  <c r="J1959" i="13"/>
  <c r="J1953" i="13"/>
  <c r="J1944" i="13"/>
  <c r="J1948" i="13"/>
  <c r="J1937" i="13"/>
  <c r="J1941" i="13"/>
  <c r="J1931" i="13"/>
  <c r="J1922" i="13"/>
  <c r="J1926" i="13"/>
  <c r="J1917" i="13"/>
  <c r="J1921" i="13"/>
  <c r="J1914" i="13"/>
  <c r="J1904" i="13"/>
  <c r="J1908" i="13"/>
  <c r="J1896" i="13"/>
  <c r="J1900" i="13"/>
  <c r="J1891" i="13"/>
  <c r="J1885" i="13"/>
  <c r="J1881" i="13"/>
  <c r="J1870" i="13"/>
  <c r="J1874" i="13"/>
  <c r="J1878" i="13"/>
  <c r="J1868" i="13"/>
  <c r="J1866" i="13"/>
  <c r="J1859" i="13"/>
  <c r="J1863" i="13"/>
  <c r="J1853" i="13"/>
  <c r="J1843" i="13"/>
  <c r="J1847" i="13"/>
  <c r="J1837" i="13"/>
  <c r="J1841" i="13"/>
  <c r="J1803" i="13"/>
  <c r="J1800" i="13"/>
  <c r="J1791" i="13"/>
  <c r="J1741" i="13"/>
  <c r="J1726" i="13"/>
  <c r="J1712" i="13"/>
  <c r="J1706" i="13"/>
  <c r="J1698" i="13"/>
  <c r="J1695" i="13"/>
  <c r="J1664" i="13"/>
  <c r="J1614" i="13"/>
  <c r="J1559" i="13"/>
  <c r="J1465" i="13"/>
  <c r="J1451" i="13"/>
  <c r="J1188" i="13"/>
  <c r="J2366" i="13"/>
  <c r="J2370" i="13"/>
  <c r="J2361" i="13"/>
  <c r="J2365" i="13"/>
  <c r="J2357" i="13"/>
  <c r="J2353" i="13"/>
  <c r="J2348" i="13"/>
  <c r="J2343" i="13"/>
  <c r="J2335" i="13"/>
  <c r="J2339" i="13"/>
  <c r="J2327" i="13"/>
  <c r="J2331" i="13"/>
  <c r="J2324" i="13"/>
  <c r="J2318" i="13"/>
  <c r="J2311" i="13"/>
  <c r="J2303" i="13"/>
  <c r="J2307" i="13"/>
  <c r="J2297" i="13"/>
  <c r="J2301" i="13"/>
  <c r="J2290" i="13"/>
  <c r="J2294" i="13"/>
  <c r="J2283" i="13"/>
  <c r="J2287" i="13"/>
  <c r="J2279" i="13"/>
  <c r="J2268" i="13"/>
  <c r="J2272" i="13"/>
  <c r="J2261" i="13"/>
  <c r="J2259" i="13"/>
  <c r="J2260" i="13"/>
  <c r="J2252" i="13"/>
  <c r="J2238" i="13"/>
  <c r="J2223" i="13"/>
  <c r="J2208" i="13"/>
  <c r="J2196" i="13"/>
  <c r="J2166" i="13"/>
  <c r="J2164" i="13"/>
  <c r="J2153" i="13"/>
  <c r="J2139" i="13"/>
  <c r="J2132" i="13"/>
  <c r="J2114" i="13"/>
  <c r="J2109" i="13"/>
  <c r="J2104" i="13"/>
  <c r="J2087" i="13"/>
  <c r="J1834" i="13"/>
  <c r="J1835" i="13"/>
  <c r="J1825" i="13"/>
  <c r="J1826" i="13"/>
  <c r="J1817" i="13"/>
  <c r="J1818" i="13"/>
  <c r="J1821" i="13"/>
  <c r="J1822" i="13"/>
  <c r="J1815" i="13"/>
  <c r="J1816" i="13"/>
  <c r="J1809" i="13"/>
  <c r="J1810" i="13"/>
  <c r="J1802" i="13"/>
  <c r="J1763" i="13"/>
  <c r="J1759" i="13"/>
  <c r="J1748" i="13"/>
  <c r="J1751" i="13"/>
  <c r="J1730" i="13"/>
  <c r="J1715" i="13"/>
  <c r="J1693" i="13"/>
  <c r="J1684" i="13"/>
  <c r="J1677" i="13"/>
  <c r="J1672" i="13"/>
  <c r="J1656" i="13"/>
  <c r="J1657" i="13"/>
  <c r="J1646" i="13"/>
  <c r="J1644" i="13"/>
  <c r="J1645" i="13"/>
  <c r="J1633" i="13"/>
  <c r="J1634" i="13"/>
  <c r="J1733" i="13"/>
  <c r="J1736" i="13"/>
  <c r="J1722" i="13"/>
  <c r="J1713" i="13"/>
  <c r="J1702" i="13"/>
  <c r="J1699" i="13"/>
  <c r="J1689" i="13"/>
  <c r="J1696" i="13"/>
  <c r="J1662" i="13"/>
  <c r="J1518" i="13"/>
  <c r="J1522" i="13"/>
  <c r="J1509" i="13"/>
  <c r="J1246" i="13"/>
  <c r="J1247" i="13"/>
  <c r="J1252" i="13"/>
  <c r="J1235" i="13"/>
  <c r="J1237" i="13"/>
  <c r="J1229" i="13"/>
  <c r="J1211" i="13"/>
  <c r="J1199" i="13"/>
  <c r="J1204" i="13"/>
  <c r="J1207" i="13"/>
  <c r="J1190" i="13"/>
  <c r="J1191" i="13"/>
  <c r="J1183" i="13"/>
  <c r="J1184" i="13"/>
  <c r="J1189" i="13"/>
  <c r="J1158" i="13"/>
  <c r="J1149" i="13"/>
  <c r="J1142" i="13"/>
  <c r="J1135" i="13"/>
  <c r="J1121" i="13"/>
  <c r="J1116" i="13"/>
  <c r="J1110" i="13"/>
  <c r="J1102" i="13"/>
  <c r="J1090" i="13"/>
  <c r="J1082" i="13"/>
  <c r="J1611" i="13"/>
  <c r="J1598" i="13"/>
  <c r="J1586" i="13"/>
  <c r="J1562" i="13"/>
  <c r="J1550" i="13"/>
  <c r="J1538" i="13"/>
  <c r="J1512" i="13"/>
  <c r="J1514" i="13"/>
  <c r="J1506" i="13"/>
  <c r="J1508" i="13"/>
  <c r="J1501" i="13"/>
  <c r="J1505" i="13"/>
  <c r="J1494" i="13"/>
  <c r="J1467" i="13"/>
  <c r="J1376" i="13"/>
  <c r="J1380" i="13"/>
  <c r="J1364" i="13"/>
  <c r="J1368" i="13"/>
  <c r="J1358" i="13"/>
  <c r="J1343" i="13"/>
  <c r="J1347" i="13"/>
  <c r="J1351" i="13"/>
  <c r="J1334" i="13"/>
  <c r="J1338" i="13"/>
  <c r="J1342" i="13"/>
  <c r="J1327" i="13"/>
  <c r="J1331" i="13"/>
  <c r="J1319" i="13"/>
  <c r="J1323" i="13"/>
  <c r="J1310" i="13"/>
  <c r="J1314" i="13"/>
  <c r="J1298" i="13"/>
  <c r="J1302" i="13"/>
  <c r="J1306" i="13"/>
  <c r="J1289" i="13"/>
  <c r="J1293" i="13"/>
  <c r="J1297" i="13"/>
  <c r="J1284" i="13"/>
  <c r="J1276" i="13"/>
  <c r="J1280" i="13"/>
  <c r="J1271" i="13"/>
  <c r="J1255" i="13"/>
  <c r="J1243" i="13"/>
  <c r="J1231" i="13"/>
  <c r="J1220" i="13"/>
  <c r="J1209" i="13"/>
  <c r="J1210" i="13"/>
  <c r="J1206" i="13"/>
  <c r="J1198" i="13"/>
  <c r="J1180" i="13"/>
  <c r="J1172" i="13"/>
  <c r="J1156" i="13"/>
  <c r="J1627" i="13"/>
  <c r="J1621" i="13"/>
  <c r="J1622" i="13"/>
  <c r="J1613" i="13"/>
  <c r="J1607" i="13"/>
  <c r="J1600" i="13"/>
  <c r="J1594" i="13"/>
  <c r="J1588" i="13"/>
  <c r="J1571" i="13"/>
  <c r="J1564" i="13"/>
  <c r="J1558" i="13"/>
  <c r="J1552" i="13"/>
  <c r="J1544" i="13"/>
  <c r="J1529" i="13"/>
  <c r="J1498" i="13"/>
  <c r="J1491" i="13"/>
  <c r="J1486" i="13"/>
  <c r="J1479" i="13"/>
  <c r="J1478" i="13"/>
  <c r="J1464" i="13"/>
  <c r="J1468" i="13"/>
  <c r="J1450" i="13"/>
  <c r="J1443" i="13"/>
  <c r="J1445" i="13"/>
  <c r="J1436" i="13"/>
  <c r="J1438" i="13"/>
  <c r="J1440" i="13"/>
  <c r="J1434" i="13"/>
  <c r="J1428" i="13"/>
  <c r="J1421" i="13"/>
  <c r="J1417" i="13"/>
  <c r="J1409" i="13"/>
  <c r="J1413" i="13"/>
  <c r="J1404" i="13"/>
  <c r="J1408" i="13"/>
  <c r="J1399" i="13"/>
  <c r="J1403" i="13"/>
  <c r="J1390" i="13"/>
  <c r="J1394" i="13"/>
  <c r="J1384" i="13"/>
  <c r="J1370" i="13"/>
  <c r="J1375" i="13"/>
  <c r="J1379" i="13"/>
  <c r="J1363" i="13"/>
  <c r="J1367" i="13"/>
  <c r="J1357" i="13"/>
  <c r="J1361" i="13"/>
  <c r="J1346" i="13"/>
  <c r="J1350" i="13"/>
  <c r="J1354" i="13"/>
  <c r="J1337" i="13"/>
  <c r="J1341" i="13"/>
  <c r="J1326" i="13"/>
  <c r="J1330" i="13"/>
  <c r="J1318" i="13"/>
  <c r="J1322" i="13"/>
  <c r="J1309" i="13"/>
  <c r="J1313" i="13"/>
  <c r="J1317" i="13"/>
  <c r="J1301" i="13"/>
  <c r="J1305" i="13"/>
  <c r="J1288" i="13"/>
  <c r="J1292" i="13"/>
  <c r="J1296" i="13"/>
  <c r="J1283" i="13"/>
  <c r="J1275" i="13"/>
  <c r="J1279" i="13"/>
  <c r="J1270" i="13"/>
  <c r="J1254" i="13"/>
  <c r="J1258" i="13"/>
  <c r="J1260" i="13"/>
  <c r="J1266" i="13"/>
  <c r="J1234" i="13"/>
  <c r="J1239" i="13"/>
  <c r="J1224" i="13"/>
  <c r="J1225" i="13"/>
  <c r="J1217" i="13"/>
  <c r="J1222" i="13"/>
  <c r="J1200" i="13"/>
  <c r="J1202" i="13"/>
  <c r="J1176" i="13"/>
  <c r="J1166" i="13"/>
  <c r="J1147" i="13"/>
  <c r="J1136" i="13"/>
  <c r="J1137" i="13"/>
  <c r="J1138" i="13"/>
  <c r="J1128" i="13"/>
  <c r="J1125" i="13"/>
  <c r="J1106" i="13"/>
  <c r="J1098" i="13"/>
  <c r="J1086" i="13"/>
  <c r="J1094" i="13"/>
  <c r="J1601" i="13"/>
  <c r="J1591" i="13"/>
  <c r="J1576" i="13"/>
  <c r="J1580" i="13"/>
  <c r="J1565" i="13"/>
  <c r="J1555" i="13"/>
  <c r="J1553" i="13"/>
  <c r="J1541" i="13"/>
  <c r="J1526" i="13"/>
  <c r="J1530" i="13"/>
  <c r="J1480" i="13"/>
  <c r="J1484" i="13"/>
  <c r="J1454" i="13"/>
  <c r="J1442" i="13"/>
  <c r="J1446" i="13"/>
  <c r="J1435" i="13"/>
  <c r="J1439" i="13"/>
  <c r="J1433" i="13"/>
  <c r="J1427" i="13"/>
  <c r="J1431" i="13"/>
  <c r="J1424" i="13"/>
  <c r="J1420" i="13"/>
  <c r="J1412" i="13"/>
  <c r="J1416" i="13"/>
  <c r="J1407" i="13"/>
  <c r="J1398" i="13"/>
  <c r="J1402" i="13"/>
  <c r="J1389" i="13"/>
  <c r="J1393" i="13"/>
  <c r="J1383" i="13"/>
  <c r="J1369" i="13"/>
  <c r="J1374" i="13"/>
  <c r="J1378" i="13"/>
  <c r="J1362" i="13"/>
  <c r="J1366" i="13"/>
  <c r="J1356" i="13"/>
  <c r="J1360" i="13"/>
  <c r="J1345" i="13"/>
  <c r="J1349" i="13"/>
  <c r="J1353" i="13"/>
  <c r="J1336" i="13"/>
  <c r="J1340" i="13"/>
  <c r="J1325" i="13"/>
  <c r="J1329" i="13"/>
  <c r="J1333" i="13"/>
  <c r="J1321" i="13"/>
  <c r="J1308" i="13"/>
  <c r="J1312" i="13"/>
  <c r="J1316" i="13"/>
  <c r="J1300" i="13"/>
  <c r="J1304" i="13"/>
  <c r="J1287" i="13"/>
  <c r="J1291" i="13"/>
  <c r="J1295" i="13"/>
  <c r="J1282" i="13"/>
  <c r="J1274" i="13"/>
  <c r="J1278" i="13"/>
  <c r="J1269" i="13"/>
  <c r="J1273" i="13"/>
  <c r="J1257" i="13"/>
  <c r="J1265" i="13"/>
  <c r="J1248" i="13"/>
  <c r="J1227" i="13"/>
  <c r="J1192" i="13"/>
  <c r="J1197" i="13"/>
  <c r="J1185" i="13"/>
  <c r="J1067" i="13"/>
  <c r="J1060" i="13"/>
  <c r="J1044" i="13"/>
  <c r="J1029" i="13"/>
  <c r="J1033" i="13"/>
  <c r="J1015" i="13"/>
  <c r="J1019" i="13"/>
  <c r="J1023" i="13"/>
  <c r="J1007" i="13"/>
  <c r="J1011" i="13"/>
  <c r="J1001" i="13"/>
  <c r="J1005" i="13"/>
  <c r="J996" i="13"/>
  <c r="J986" i="13"/>
  <c r="J990" i="13"/>
  <c r="J981" i="13"/>
  <c r="J985" i="13"/>
  <c r="J975" i="13"/>
  <c r="J979" i="13"/>
  <c r="J967" i="13"/>
  <c r="J971" i="13"/>
  <c r="J955" i="13"/>
  <c r="J959" i="13"/>
  <c r="J963" i="13"/>
  <c r="J949" i="13"/>
  <c r="J939" i="13"/>
  <c r="J943" i="13"/>
  <c r="J933" i="13"/>
  <c r="J937" i="13"/>
  <c r="J930" i="13"/>
  <c r="J1132" i="13"/>
  <c r="J1118" i="13"/>
  <c r="J1122" i="13"/>
  <c r="J1113" i="13"/>
  <c r="J1103" i="13"/>
  <c r="J1107" i="13"/>
  <c r="J1111" i="13"/>
  <c r="J1099" i="13"/>
  <c r="J1083" i="13"/>
  <c r="J1087" i="13"/>
  <c r="J1091" i="13"/>
  <c r="J1095" i="13"/>
  <c r="J1073" i="13"/>
  <c r="J1077" i="13"/>
  <c r="J1068" i="13"/>
  <c r="J1064" i="13"/>
  <c r="J1055" i="13"/>
  <c r="J1056" i="13"/>
  <c r="J1050" i="13"/>
  <c r="J921" i="13"/>
  <c r="J922" i="13"/>
  <c r="J925" i="13"/>
  <c r="J926" i="13"/>
  <c r="J909" i="13"/>
  <c r="J910" i="13"/>
  <c r="J913" i="13"/>
  <c r="J914" i="13"/>
  <c r="J901" i="13"/>
  <c r="J902" i="13"/>
  <c r="J905" i="13"/>
  <c r="J906" i="13"/>
  <c r="J894" i="13"/>
  <c r="J895" i="13"/>
  <c r="J898" i="13"/>
  <c r="J880" i="13"/>
  <c r="J868" i="13"/>
  <c r="J869" i="13"/>
  <c r="J876" i="13"/>
  <c r="J858" i="13"/>
  <c r="J865" i="13"/>
  <c r="J866" i="13"/>
  <c r="J1174" i="13"/>
  <c r="J1163" i="13"/>
  <c r="J1167" i="13"/>
  <c r="J1168" i="13"/>
  <c r="J1162" i="13"/>
  <c r="J1151" i="13"/>
  <c r="J1143" i="13"/>
  <c r="J1145" i="13"/>
  <c r="J1066" i="13"/>
  <c r="J1043" i="13"/>
  <c r="J1041" i="13"/>
  <c r="J816" i="13"/>
  <c r="J1131" i="13"/>
  <c r="J1123" i="13"/>
  <c r="J1114" i="13"/>
  <c r="J1104" i="13"/>
  <c r="J1108" i="13"/>
  <c r="J1112" i="13"/>
  <c r="J1100" i="13"/>
  <c r="J1084" i="13"/>
  <c r="J1088" i="13"/>
  <c r="J1092" i="13"/>
  <c r="J1096" i="13"/>
  <c r="J1074" i="13"/>
  <c r="J1078" i="13"/>
  <c r="J1070" i="13"/>
  <c r="J1065" i="13"/>
  <c r="J1057" i="13"/>
  <c r="J1051" i="13"/>
  <c r="J1047" i="13"/>
  <c r="J1038" i="13"/>
  <c r="J1042" i="13"/>
  <c r="J1014" i="13"/>
  <c r="J991" i="13"/>
  <c r="J919" i="13"/>
  <c r="J920" i="13"/>
  <c r="J924" i="13"/>
  <c r="J908" i="13"/>
  <c r="J912" i="13"/>
  <c r="J916" i="13"/>
  <c r="J904" i="13"/>
  <c r="J893" i="13"/>
  <c r="J897" i="13"/>
  <c r="J887" i="13"/>
  <c r="J883" i="13"/>
  <c r="J884" i="13"/>
  <c r="J872" i="13"/>
  <c r="J873" i="13"/>
  <c r="J861" i="13"/>
  <c r="J862" i="13"/>
  <c r="J849" i="13"/>
  <c r="J850" i="13"/>
  <c r="J857" i="13"/>
  <c r="J837" i="13"/>
  <c r="J844" i="13"/>
  <c r="J845" i="13"/>
  <c r="J899" i="13"/>
  <c r="J888" i="13"/>
  <c r="J889" i="13"/>
  <c r="J877" i="13"/>
  <c r="J878" i="13"/>
  <c r="J881" i="13"/>
  <c r="J882" i="13"/>
  <c r="J885" i="13"/>
  <c r="J886" i="13"/>
  <c r="J870" i="13"/>
  <c r="J871" i="13"/>
  <c r="J874" i="13"/>
  <c r="J875" i="13"/>
  <c r="J859" i="13"/>
  <c r="J860" i="13"/>
  <c r="J863" i="13"/>
  <c r="J864" i="13"/>
  <c r="J867" i="13"/>
  <c r="J848" i="13"/>
  <c r="J851" i="13"/>
  <c r="J852" i="13"/>
  <c r="J855" i="13"/>
  <c r="J856" i="13"/>
  <c r="J838" i="13"/>
  <c r="J839" i="13"/>
  <c r="J842" i="13"/>
  <c r="J843" i="13"/>
  <c r="J846" i="13"/>
  <c r="J847" i="13"/>
  <c r="J833" i="13"/>
  <c r="J834" i="13"/>
  <c r="J821" i="13"/>
  <c r="J822" i="13"/>
  <c r="J825" i="13"/>
  <c r="J810" i="13"/>
  <c r="J802" i="13"/>
  <c r="J807" i="13"/>
  <c r="J808" i="13"/>
  <c r="J785" i="13"/>
  <c r="J786" i="13"/>
  <c r="J763" i="13"/>
  <c r="J750" i="13"/>
  <c r="J751" i="13"/>
  <c r="J754" i="13"/>
  <c r="J743" i="13"/>
  <c r="J726" i="13"/>
  <c r="J707" i="13"/>
  <c r="J696" i="13"/>
  <c r="J827" i="13"/>
  <c r="J820" i="13"/>
  <c r="J800" i="13"/>
  <c r="J775" i="13"/>
  <c r="J729" i="13"/>
  <c r="J735" i="13"/>
  <c r="J723" i="13"/>
  <c r="J713" i="13"/>
  <c r="J621" i="13"/>
  <c r="J611" i="13"/>
  <c r="J574" i="13"/>
  <c r="J551" i="13"/>
  <c r="J523" i="13"/>
  <c r="J836" i="13"/>
  <c r="J824" i="13"/>
  <c r="J826" i="13"/>
  <c r="J829" i="13"/>
  <c r="J813" i="13"/>
  <c r="J818" i="13"/>
  <c r="J805" i="13"/>
  <c r="J798" i="13"/>
  <c r="J799" i="13"/>
  <c r="J773" i="13"/>
  <c r="J774" i="13"/>
  <c r="J731" i="13"/>
  <c r="J732" i="13"/>
  <c r="J720" i="13"/>
  <c r="J714" i="13"/>
  <c r="J700" i="13"/>
  <c r="J686" i="13"/>
  <c r="J625" i="13"/>
  <c r="J511" i="13"/>
  <c r="J767" i="13"/>
  <c r="J771" i="13"/>
  <c r="J752" i="13"/>
  <c r="J578" i="13"/>
  <c r="J557" i="13"/>
  <c r="J612" i="13"/>
  <c r="J595" i="13"/>
  <c r="J580" i="13"/>
  <c r="J524" i="13"/>
  <c r="J506" i="13"/>
  <c r="J502" i="13"/>
  <c r="J481" i="13"/>
  <c r="J489" i="13"/>
  <c r="J469" i="13"/>
  <c r="J459" i="13"/>
  <c r="J463" i="13"/>
  <c r="J683" i="13"/>
  <c r="J673" i="13"/>
  <c r="J677" i="13"/>
  <c r="J665" i="13"/>
  <c r="J669" i="13"/>
  <c r="J658" i="13"/>
  <c r="J662" i="13"/>
  <c r="J651" i="13"/>
  <c r="J655" i="13"/>
  <c r="J644" i="13"/>
  <c r="J632" i="13"/>
  <c r="J636" i="13"/>
  <c r="J640" i="13"/>
  <c r="J616" i="13"/>
  <c r="J620" i="13"/>
  <c r="J624" i="13"/>
  <c r="J606" i="13"/>
  <c r="J608" i="13"/>
  <c r="J615" i="13"/>
  <c r="J599" i="13"/>
  <c r="J602" i="13"/>
  <c r="J589" i="13"/>
  <c r="J591" i="13"/>
  <c r="J582" i="13"/>
  <c r="J586" i="13"/>
  <c r="J577" i="13"/>
  <c r="J565" i="13"/>
  <c r="J558" i="13"/>
  <c r="J559" i="13"/>
  <c r="J543" i="13"/>
  <c r="J547" i="13"/>
  <c r="J533" i="13"/>
  <c r="J537" i="13"/>
  <c r="J540" i="13"/>
  <c r="J526" i="13"/>
  <c r="J528" i="13"/>
  <c r="J515" i="13"/>
  <c r="J504" i="13"/>
  <c r="J505" i="13"/>
  <c r="J507" i="13"/>
  <c r="J510" i="13"/>
  <c r="J501" i="13"/>
  <c r="J490" i="13"/>
  <c r="J496" i="13"/>
  <c r="J482" i="13"/>
  <c r="J488" i="13"/>
  <c r="J470" i="13"/>
  <c r="J468" i="13"/>
  <c r="J458" i="13"/>
  <c r="J462" i="13"/>
  <c r="J448" i="13"/>
  <c r="J453" i="13"/>
  <c r="J442" i="13"/>
  <c r="J446" i="13"/>
  <c r="J436" i="13"/>
  <c r="J440" i="13"/>
  <c r="J423" i="13"/>
  <c r="J424" i="13"/>
  <c r="J416" i="13"/>
  <c r="J403" i="13"/>
  <c r="J393" i="13"/>
  <c r="J384" i="13"/>
  <c r="J374" i="13"/>
  <c r="J382" i="13"/>
  <c r="J369" i="13"/>
  <c r="J362" i="13"/>
  <c r="J351" i="13"/>
  <c r="J338" i="13"/>
  <c r="J307" i="13"/>
  <c r="J542" i="13"/>
  <c r="J514" i="13"/>
  <c r="J509" i="13"/>
  <c r="J477" i="13"/>
  <c r="J478" i="13"/>
  <c r="J466" i="13"/>
  <c r="J467" i="13"/>
  <c r="J460" i="13"/>
  <c r="J464" i="13"/>
  <c r="J419" i="13"/>
  <c r="J420" i="13"/>
  <c r="J372" i="13"/>
  <c r="J328" i="13"/>
  <c r="J302" i="13"/>
  <c r="J727" i="13"/>
  <c r="J715" i="13"/>
  <c r="J716" i="13"/>
  <c r="J717" i="13"/>
  <c r="J705" i="13"/>
  <c r="J706" i="13"/>
  <c r="J709" i="13"/>
  <c r="J710" i="13"/>
  <c r="J701" i="13"/>
  <c r="J702" i="13"/>
  <c r="J690" i="13"/>
  <c r="J691" i="13"/>
  <c r="J694" i="13"/>
  <c r="J695" i="13"/>
  <c r="J698" i="13"/>
  <c r="J699" i="13"/>
  <c r="J687" i="13"/>
  <c r="J688" i="13"/>
  <c r="J680" i="13"/>
  <c r="J681" i="13"/>
  <c r="J684" i="13"/>
  <c r="J671" i="13"/>
  <c r="J674" i="13"/>
  <c r="J675" i="13"/>
  <c r="J678" i="13"/>
  <c r="J663" i="13"/>
  <c r="J666" i="13"/>
  <c r="J667" i="13"/>
  <c r="J670" i="13"/>
  <c r="J656" i="13"/>
  <c r="J659" i="13"/>
  <c r="J660" i="13"/>
  <c r="J648" i="13"/>
  <c r="J649" i="13"/>
  <c r="J652" i="13"/>
  <c r="J653" i="13"/>
  <c r="J641" i="13"/>
  <c r="J642" i="13"/>
  <c r="J645" i="13"/>
  <c r="J646" i="13"/>
  <c r="J633" i="13"/>
  <c r="J634" i="13"/>
  <c r="J637" i="13"/>
  <c r="J638" i="13"/>
  <c r="J631" i="13"/>
  <c r="J627" i="13"/>
  <c r="J628" i="13"/>
  <c r="J629" i="13"/>
  <c r="J618" i="13"/>
  <c r="J622" i="13"/>
  <c r="J626" i="13"/>
  <c r="J600" i="13"/>
  <c r="J563" i="13"/>
  <c r="J548" i="13"/>
  <c r="J530" i="13"/>
  <c r="J531" i="13"/>
  <c r="J535" i="13"/>
  <c r="J538" i="13"/>
  <c r="J517" i="13"/>
  <c r="J518" i="13"/>
  <c r="J512" i="13"/>
  <c r="J497" i="13"/>
  <c r="J492" i="13"/>
  <c r="J484" i="13"/>
  <c r="J472" i="13"/>
  <c r="J450" i="13"/>
  <c r="J451" i="13"/>
  <c r="J443" i="13"/>
  <c r="J447" i="13"/>
  <c r="J437" i="13"/>
  <c r="J438" i="13"/>
  <c r="J427" i="13"/>
  <c r="J428" i="13"/>
  <c r="J431" i="13"/>
  <c r="J432" i="13"/>
  <c r="J410" i="13"/>
  <c r="J407" i="13"/>
  <c r="J397" i="13"/>
  <c r="J388" i="13"/>
  <c r="J333" i="13"/>
  <c r="J304" i="13"/>
  <c r="J371" i="13"/>
  <c r="J361" i="13"/>
  <c r="J335" i="13"/>
  <c r="J336" i="13"/>
  <c r="J337" i="13"/>
  <c r="J311" i="13"/>
  <c r="J303" i="13"/>
  <c r="J306" i="13"/>
  <c r="J294" i="13"/>
  <c r="J298" i="13"/>
  <c r="J283" i="13"/>
  <c r="J276" i="13"/>
  <c r="J267" i="13"/>
  <c r="J271" i="13"/>
  <c r="J245" i="13"/>
  <c r="J249" i="13"/>
  <c r="J191" i="13"/>
  <c r="J198" i="13"/>
  <c r="J158" i="13"/>
  <c r="J430" i="13"/>
  <c r="J418" i="13"/>
  <c r="J422" i="13"/>
  <c r="J426" i="13"/>
  <c r="J417" i="13"/>
  <c r="J411" i="13"/>
  <c r="J404" i="13"/>
  <c r="J401" i="13"/>
  <c r="J394" i="13"/>
  <c r="J398" i="13"/>
  <c r="J385" i="13"/>
  <c r="J389" i="13"/>
  <c r="J375" i="13"/>
  <c r="J379" i="13"/>
  <c r="J383" i="13"/>
  <c r="J358" i="13"/>
  <c r="J344" i="13"/>
  <c r="J345" i="13"/>
  <c r="J348" i="13"/>
  <c r="J334" i="13"/>
  <c r="J318" i="13"/>
  <c r="J310" i="13"/>
  <c r="J313" i="13"/>
  <c r="J308" i="13"/>
  <c r="J282" i="13"/>
  <c r="J242" i="13"/>
  <c r="J234" i="13"/>
  <c r="J221" i="13"/>
  <c r="J199" i="13"/>
  <c r="J180" i="13"/>
  <c r="J126" i="13"/>
  <c r="J55" i="13"/>
  <c r="J373" i="13"/>
  <c r="J359" i="13"/>
  <c r="J360" i="13"/>
  <c r="J363" i="13"/>
  <c r="J349" i="13"/>
  <c r="J355" i="13"/>
  <c r="J331" i="13"/>
  <c r="J321" i="13"/>
  <c r="J315" i="13"/>
  <c r="J291" i="13"/>
  <c r="J277" i="13"/>
  <c r="J279" i="13"/>
  <c r="J270" i="13"/>
  <c r="J238" i="13"/>
  <c r="J240" i="13"/>
  <c r="J232" i="13"/>
  <c r="J205" i="13"/>
  <c r="J200" i="13"/>
  <c r="J195" i="13"/>
  <c r="J136" i="13"/>
  <c r="J314" i="13"/>
  <c r="J312" i="13"/>
  <c r="J299" i="13"/>
  <c r="J253" i="13"/>
  <c r="J235" i="13"/>
  <c r="J230" i="13"/>
  <c r="J224" i="13"/>
  <c r="J98" i="13"/>
  <c r="J60" i="13"/>
  <c r="J41" i="13"/>
  <c r="J22" i="13"/>
  <c r="J24" i="13"/>
  <c r="J26" i="13"/>
  <c r="J14" i="13"/>
  <c r="J16" i="13"/>
  <c r="J3" i="13"/>
  <c r="J157" i="13"/>
  <c r="J149" i="13"/>
  <c r="J135" i="13"/>
  <c r="J124" i="13"/>
  <c r="J125" i="13"/>
  <c r="J114" i="13"/>
  <c r="J115" i="13"/>
  <c r="J118" i="13"/>
  <c r="J119" i="13"/>
  <c r="J105" i="13"/>
  <c r="J84" i="13"/>
  <c r="J87" i="13"/>
  <c r="J88" i="13"/>
  <c r="J70" i="13"/>
  <c r="J75" i="13"/>
  <c r="J54" i="13"/>
  <c r="J59" i="13"/>
  <c r="J51" i="13"/>
  <c r="J45" i="13"/>
  <c r="J7" i="13"/>
  <c r="J10" i="13"/>
  <c r="J12" i="13"/>
  <c r="J184" i="13"/>
  <c r="J171" i="13"/>
  <c r="J156" i="13"/>
  <c r="J101" i="13"/>
  <c r="J104" i="13"/>
  <c r="J83" i="13"/>
  <c r="J69" i="13"/>
  <c r="J58" i="13"/>
  <c r="J196" i="13"/>
  <c r="J197" i="13"/>
  <c r="J186" i="13"/>
  <c r="J177" i="13"/>
  <c r="J178" i="13"/>
  <c r="J173" i="13"/>
  <c r="J165" i="13"/>
  <c r="J150" i="13"/>
  <c r="J152" i="13"/>
  <c r="J155" i="13"/>
  <c r="J111" i="13"/>
  <c r="J97" i="13"/>
  <c r="J91" i="13"/>
  <c r="J73" i="13"/>
  <c r="J36" i="13"/>
  <c r="J37" i="13"/>
  <c r="J47" i="13"/>
  <c r="J48" i="13"/>
  <c r="J30" i="13"/>
  <c r="J33" i="13"/>
  <c r="J34" i="13"/>
  <c r="J2502" i="13"/>
  <c r="J2500" i="13"/>
  <c r="J2497" i="13"/>
  <c r="J2489" i="13"/>
  <c r="J2474" i="13"/>
  <c r="J2463" i="13"/>
  <c r="J2458" i="13"/>
  <c r="J2449" i="13"/>
  <c r="J2439" i="13"/>
  <c r="J2429" i="13"/>
  <c r="J2423" i="13"/>
  <c r="J2418" i="13"/>
  <c r="J2409" i="13"/>
  <c r="J2395" i="13"/>
  <c r="J2377" i="13"/>
  <c r="J2381" i="13"/>
  <c r="J2372" i="13"/>
  <c r="J2376" i="13"/>
  <c r="J2369" i="13"/>
  <c r="J2360" i="13"/>
  <c r="J2364" i="13"/>
  <c r="J2356" i="13"/>
  <c r="J2352" i="13"/>
  <c r="J2347" i="13"/>
  <c r="J2342" i="13"/>
  <c r="J2334" i="13"/>
  <c r="J2338" i="13"/>
  <c r="J2326" i="13"/>
  <c r="J2330" i="13"/>
  <c r="J2323" i="13"/>
  <c r="J2317" i="13"/>
  <c r="J2321" i="13"/>
  <c r="J2314" i="13"/>
  <c r="J2306" i="13"/>
  <c r="J2310" i="13"/>
  <c r="J2300" i="13"/>
  <c r="J2289" i="13"/>
  <c r="J2293" i="13"/>
  <c r="J2282" i="13"/>
  <c r="J2286" i="13"/>
  <c r="J2278" i="13"/>
  <c r="J2267" i="13"/>
  <c r="J2271" i="13"/>
  <c r="J2275" i="13"/>
  <c r="J2266" i="13"/>
  <c r="J2493" i="13"/>
  <c r="J2481" i="13"/>
  <c r="J2485" i="13"/>
  <c r="J2470" i="13"/>
  <c r="J2478" i="13"/>
  <c r="J2450" i="13"/>
  <c r="J2454" i="13"/>
  <c r="J2445" i="13"/>
  <c r="J2435" i="13"/>
  <c r="J2425" i="13"/>
  <c r="J2414" i="13"/>
  <c r="J2405" i="13"/>
  <c r="J2398" i="13"/>
  <c r="J2402" i="13"/>
  <c r="J2391" i="13"/>
  <c r="J2386" i="13"/>
  <c r="J1840" i="13"/>
  <c r="J2247" i="13"/>
  <c r="J2237" i="13"/>
  <c r="J2220" i="13"/>
  <c r="J2214" i="13"/>
  <c r="J2211" i="13"/>
  <c r="J2207" i="13"/>
  <c r="J2193" i="13"/>
  <c r="J2188" i="13"/>
  <c r="J2184" i="13"/>
  <c r="J2178" i="13"/>
  <c r="J2161" i="13"/>
  <c r="J2155" i="13"/>
  <c r="J2147" i="13"/>
  <c r="J2138" i="13"/>
  <c r="J2129" i="13"/>
  <c r="J2123" i="13"/>
  <c r="J2116" i="13"/>
  <c r="J2108" i="13"/>
  <c r="J2101" i="13"/>
  <c r="J2089" i="13"/>
  <c r="J2080" i="13"/>
  <c r="J2074" i="13"/>
  <c r="J1801" i="13"/>
  <c r="J1795" i="13"/>
  <c r="J2246" i="13"/>
  <c r="J2236" i="13"/>
  <c r="J2231" i="13"/>
  <c r="J2227" i="13"/>
  <c r="J2210" i="13"/>
  <c r="J2206" i="13"/>
  <c r="J2192" i="13"/>
  <c r="J2187" i="13"/>
  <c r="J2183" i="13"/>
  <c r="J2177" i="13"/>
  <c r="J2160" i="13"/>
  <c r="J2154" i="13"/>
  <c r="J2151" i="13"/>
  <c r="J2137" i="13"/>
  <c r="J2128" i="13"/>
  <c r="J2122" i="13"/>
  <c r="J2115" i="13"/>
  <c r="J2107" i="13"/>
  <c r="J2100" i="13"/>
  <c r="J2088" i="13"/>
  <c r="J2079" i="13"/>
  <c r="J1830" i="13"/>
  <c r="J1831" i="13"/>
  <c r="J1790" i="13"/>
  <c r="J1783" i="13"/>
  <c r="J1768" i="13"/>
  <c r="J1746" i="13"/>
  <c r="J1745" i="13"/>
  <c r="J1734" i="13"/>
  <c r="J1728" i="13"/>
  <c r="J1723" i="13"/>
  <c r="J1697" i="13"/>
  <c r="J1690" i="13"/>
  <c r="J1691" i="13"/>
  <c r="J1651" i="13"/>
  <c r="J1639" i="13"/>
  <c r="J1629" i="13"/>
  <c r="J1615" i="13"/>
  <c r="J1602" i="13"/>
  <c r="J1577" i="13"/>
  <c r="J1566" i="13"/>
  <c r="J1554" i="13"/>
  <c r="J1764" i="13"/>
  <c r="J1743" i="13"/>
  <c r="J1707" i="13"/>
  <c r="J1804" i="13"/>
  <c r="J1799" i="13"/>
  <c r="J1792" i="13"/>
  <c r="J1774" i="13"/>
  <c r="J1762" i="13"/>
  <c r="J1750" i="13"/>
  <c r="J1720" i="13"/>
  <c r="J1714" i="13"/>
  <c r="J1705" i="13"/>
  <c r="J1679" i="13"/>
  <c r="J1647" i="13"/>
  <c r="J1635" i="13"/>
  <c r="J1618" i="13"/>
  <c r="J1596" i="13"/>
  <c r="J1584" i="13"/>
  <c r="J1575" i="13"/>
  <c r="J1548" i="13"/>
  <c r="J1536" i="13"/>
  <c r="J1527" i="13"/>
  <c r="J1519" i="13"/>
  <c r="J1513" i="13"/>
  <c r="J1496" i="13"/>
  <c r="J1499" i="13"/>
  <c r="J1470" i="13"/>
  <c r="J1471" i="13"/>
  <c r="J1476" i="13"/>
  <c r="J1461" i="13"/>
  <c r="J1452" i="13"/>
  <c r="J1455" i="13"/>
  <c r="J1437" i="13"/>
  <c r="J1264" i="13"/>
  <c r="J1232" i="13"/>
  <c r="J1685" i="13"/>
  <c r="J1676" i="13"/>
  <c r="J1238" i="13"/>
  <c r="J1195" i="13"/>
  <c r="J1178" i="13"/>
  <c r="J1129" i="13"/>
  <c r="J1648" i="13"/>
  <c r="J1636" i="13"/>
  <c r="J1610" i="13"/>
  <c r="J1597" i="13"/>
  <c r="J1585" i="13"/>
  <c r="J1561" i="13"/>
  <c r="J1549" i="13"/>
  <c r="J1537" i="13"/>
  <c r="J1534" i="13"/>
  <c r="J1531" i="13"/>
  <c r="J1523" i="13"/>
  <c r="J1502" i="13"/>
  <c r="J1487" i="13"/>
  <c r="J1458" i="13"/>
  <c r="J1444" i="13"/>
  <c r="J1447" i="13"/>
  <c r="J1426" i="13"/>
  <c r="J1430" i="13"/>
  <c r="J1423" i="13"/>
  <c r="J1419" i="13"/>
  <c r="J1411" i="13"/>
  <c r="J1415" i="13"/>
  <c r="J1406" i="13"/>
  <c r="J1397" i="13"/>
  <c r="J1401" i="13"/>
  <c r="J1388" i="13"/>
  <c r="J1392" i="13"/>
  <c r="J1382" i="13"/>
  <c r="J1386" i="13"/>
  <c r="J1371" i="13"/>
  <c r="J1372" i="13"/>
  <c r="J1373" i="13"/>
  <c r="J1377" i="13"/>
  <c r="J1381" i="13"/>
  <c r="J1365" i="13"/>
  <c r="J1355" i="13"/>
  <c r="J1359" i="13"/>
  <c r="J1344" i="13"/>
  <c r="J1348" i="13"/>
  <c r="J1352" i="13"/>
  <c r="J1335" i="13"/>
  <c r="J1339" i="13"/>
  <c r="J1324" i="13"/>
  <c r="J1328" i="13"/>
  <c r="J1332" i="13"/>
  <c r="J1320" i="13"/>
  <c r="J1307" i="13"/>
  <c r="J1311" i="13"/>
  <c r="J1315" i="13"/>
  <c r="J1299" i="13"/>
  <c r="J1303" i="13"/>
  <c r="J1286" i="13"/>
  <c r="J1290" i="13"/>
  <c r="J1294" i="13"/>
  <c r="J1281" i="13"/>
  <c r="J1285" i="13"/>
  <c r="J1277" i="13"/>
  <c r="J1268" i="13"/>
  <c r="J1272" i="13"/>
  <c r="J1256" i="13"/>
  <c r="J1244" i="13"/>
  <c r="J1214" i="13"/>
  <c r="J1181" i="13"/>
  <c r="J1140" i="13"/>
  <c r="J1119" i="13"/>
  <c r="J1533" i="13"/>
  <c r="J1503" i="13"/>
  <c r="J1488" i="13"/>
  <c r="J1481" i="13"/>
  <c r="J1485" i="13"/>
  <c r="J1459" i="13"/>
  <c r="J1448" i="13"/>
  <c r="J1072" i="13"/>
  <c r="J1052" i="13"/>
  <c r="J1027" i="13"/>
  <c r="J1233" i="13"/>
  <c r="J1230" i="13"/>
  <c r="J1215" i="13"/>
  <c r="J1196" i="13"/>
  <c r="J1173" i="13"/>
  <c r="J1159" i="13"/>
  <c r="J1141" i="13"/>
  <c r="J1130" i="13"/>
  <c r="J1035" i="13"/>
  <c r="J917" i="13"/>
  <c r="J918" i="13"/>
  <c r="J1058" i="13"/>
  <c r="J1040" i="13"/>
  <c r="J1017" i="13"/>
  <c r="J1018" i="13"/>
  <c r="J1021" i="13"/>
  <c r="J1022" i="13"/>
  <c r="J1025" i="13"/>
  <c r="J1006" i="13"/>
  <c r="J1009" i="13"/>
  <c r="J1010" i="13"/>
  <c r="J1013" i="13"/>
  <c r="J1000" i="13"/>
  <c r="J1003" i="13"/>
  <c r="J1004" i="13"/>
  <c r="J994" i="13"/>
  <c r="J995" i="13"/>
  <c r="J998" i="13"/>
  <c r="J999" i="13"/>
  <c r="J988" i="13"/>
  <c r="J989" i="13"/>
  <c r="J992" i="13"/>
  <c r="J980" i="13"/>
  <c r="J983" i="13"/>
  <c r="J984" i="13"/>
  <c r="J973" i="13"/>
  <c r="J974" i="13"/>
  <c r="J977" i="13"/>
  <c r="J978" i="13"/>
  <c r="J965" i="13"/>
  <c r="J966" i="13"/>
  <c r="J969" i="13"/>
  <c r="J970" i="13"/>
  <c r="J953" i="13"/>
  <c r="J954" i="13"/>
  <c r="J957" i="13"/>
  <c r="J958" i="13"/>
  <c r="J961" i="13"/>
  <c r="J962" i="13"/>
  <c r="J947" i="13"/>
  <c r="J948" i="13"/>
  <c r="J951" i="13"/>
  <c r="J938" i="13"/>
  <c r="J941" i="13"/>
  <c r="J942" i="13"/>
  <c r="J945" i="13"/>
  <c r="J932" i="13"/>
  <c r="J935" i="13"/>
  <c r="J936" i="13"/>
  <c r="J928" i="13"/>
  <c r="J929" i="13"/>
  <c r="J811" i="13"/>
  <c r="J819" i="13"/>
  <c r="J756" i="13"/>
  <c r="J744" i="13"/>
  <c r="J796" i="13"/>
  <c r="J783" i="13"/>
  <c r="J791" i="13"/>
  <c r="J779" i="13"/>
  <c r="J757" i="13"/>
  <c r="J760" i="13"/>
  <c r="J745" i="13"/>
  <c r="J736" i="13"/>
  <c r="J734" i="13"/>
  <c r="J630" i="13"/>
  <c r="J619" i="13"/>
  <c r="J623" i="13"/>
  <c r="J605" i="13"/>
  <c r="J828" i="13"/>
  <c r="J815" i="13"/>
  <c r="J804" i="13"/>
  <c r="J795" i="13"/>
  <c r="J782" i="13"/>
  <c r="J790" i="13"/>
  <c r="J778" i="13"/>
  <c r="J780" i="13"/>
  <c r="J766" i="13"/>
  <c r="J761" i="13"/>
  <c r="J748" i="13"/>
  <c r="J737" i="13"/>
  <c r="J740" i="13"/>
  <c r="J725" i="13"/>
  <c r="J610" i="13"/>
  <c r="J593" i="13"/>
  <c r="J607" i="13"/>
  <c r="J590" i="13"/>
  <c r="J583" i="13"/>
  <c r="J575" i="13"/>
  <c r="J554" i="13"/>
  <c r="J555" i="13"/>
  <c r="J545" i="13"/>
  <c r="J546" i="13"/>
  <c r="J598" i="13"/>
  <c r="J587" i="13"/>
  <c r="J579" i="13"/>
  <c r="J566" i="13"/>
  <c r="J567" i="13"/>
  <c r="J549" i="13"/>
  <c r="J550" i="13"/>
  <c r="J534" i="13"/>
  <c r="J456" i="13"/>
  <c r="J457" i="13"/>
  <c r="J454" i="13"/>
  <c r="J455" i="13"/>
  <c r="J353" i="13"/>
  <c r="J325" i="13"/>
  <c r="J479" i="13"/>
  <c r="J461" i="13"/>
  <c r="J444" i="13"/>
  <c r="J370" i="13"/>
  <c r="J527" i="13"/>
  <c r="J465" i="13"/>
  <c r="J434" i="13"/>
  <c r="J319" i="13"/>
  <c r="J182" i="13"/>
  <c r="J169" i="13"/>
  <c r="J268" i="13"/>
  <c r="J256" i="13"/>
  <c r="J188" i="13"/>
  <c r="J162" i="13"/>
  <c r="J272" i="13"/>
  <c r="J243" i="13"/>
  <c r="J183" i="13"/>
  <c r="J170" i="13"/>
  <c r="J161" i="13"/>
  <c r="J128" i="13"/>
  <c r="J116" i="13"/>
  <c r="J89" i="13"/>
  <c r="J92" i="13"/>
  <c r="J146" i="13"/>
  <c r="J129" i="13"/>
  <c r="J132" i="13"/>
  <c r="J117" i="13"/>
  <c r="J108" i="13"/>
  <c r="J145" i="13"/>
  <c r="J147" i="13"/>
  <c r="J141" i="13"/>
  <c r="J133" i="13"/>
  <c r="J122" i="13"/>
  <c r="J112" i="13"/>
  <c r="J113" i="13"/>
  <c r="J102" i="13"/>
  <c r="J29" i="13"/>
  <c r="J120" i="13"/>
  <c r="J94" i="13"/>
  <c r="J53" i="13"/>
  <c r="J40" i="13"/>
  <c r="J31" i="13"/>
  <c r="J17" i="13"/>
  <c r="J11" i="13"/>
  <c r="J85" i="13"/>
  <c r="J77" i="13"/>
  <c r="J72" i="13"/>
  <c r="J57" i="13"/>
  <c r="J44" i="13"/>
  <c r="J32" i="13"/>
  <c r="J35" i="13"/>
  <c r="J18" i="13"/>
  <c r="J4" i="13"/>
  <c r="J76" i="13"/>
  <c r="J61" i="13"/>
  <c r="J62" i="13"/>
  <c r="J49" i="13"/>
  <c r="J50" i="13"/>
  <c r="J20" i="13"/>
  <c r="J5" i="13"/>
  <c r="J8" i="13"/>
</calcChain>
</file>

<file path=xl/sharedStrings.xml><?xml version="1.0" encoding="utf-8"?>
<sst xmlns="http://schemas.openxmlformats.org/spreadsheetml/2006/main" count="2517" uniqueCount="474">
  <si>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</si>
  <si>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</si>
  <si>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</si>
  <si>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</si>
  <si>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</si>
  <si>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</si>
  <si>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</si>
  <si>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</si>
  <si>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</si>
  <si>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</si>
  <si>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</si>
  <si>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</si>
  <si>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</si>
  <si>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</si>
  <si>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</si>
  <si>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</si>
  <si>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AY13</t>
  </si>
  <si>
    <t>AY14</t>
  </si>
  <si>
    <t>AY15</t>
  </si>
  <si>
    <t>AR1</t>
  </si>
  <si>
    <t>AR2</t>
  </si>
  <si>
    <t>AR3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</si>
  <si>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</si>
  <si>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</si>
  <si>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</si>
  <si>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</si>
  <si>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</si>
  <si>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</si>
  <si>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</si>
  <si>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</si>
  <si>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</si>
  <si>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</si>
  <si>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</si>
  <si>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</si>
  <si>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</si>
  <si>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</si>
  <si>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</si>
  <si>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</si>
  <si>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</si>
  <si>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</si>
  <si>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</si>
  <si>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</si>
  <si>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</si>
  <si>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</si>
  <si>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</si>
  <si>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</si>
  <si>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</si>
  <si>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</si>
  <si>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</si>
  <si>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</si>
  <si>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AN4</t>
  </si>
  <si>
    <t>AN5</t>
  </si>
  <si>
    <t>AN8</t>
  </si>
  <si>
    <t>AN9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</si>
  <si>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</si>
  <si>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</si>
  <si>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</si>
  <si>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</si>
  <si>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</si>
  <si>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</si>
  <si>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</si>
  <si>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</si>
  <si>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</si>
  <si>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AC11</t>
  </si>
  <si>
    <t>AC12</t>
  </si>
  <si>
    <t>AC13</t>
  </si>
  <si>
    <t>AC14</t>
  </si>
  <si>
    <t>AC15</t>
  </si>
  <si>
    <t>AC17</t>
  </si>
  <si>
    <t>AC18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</si>
  <si>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</si>
  <si>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</si>
  <si>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</si>
  <si>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</si>
  <si>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</si>
  <si>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</si>
  <si>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</si>
  <si>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</si>
  <si>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</si>
  <si>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</si>
  <si>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</si>
  <si>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</si>
  <si>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</si>
  <si>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</si>
  <si>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AC34</t>
  </si>
  <si>
    <t>AC35</t>
  </si>
  <si>
    <t>AC36</t>
  </si>
  <si>
    <t>AC37</t>
  </si>
  <si>
    <t>AC38</t>
  </si>
  <si>
    <t>AC39</t>
  </si>
  <si>
    <t>AC40</t>
  </si>
  <si>
    <t>AC41</t>
  </si>
  <si>
    <t>AC42</t>
  </si>
  <si>
    <t>AC43</t>
  </si>
  <si>
    <t>AC44</t>
  </si>
  <si>
    <t>AA2</t>
  </si>
  <si>
    <t>AA4</t>
  </si>
  <si>
    <t>AA5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</si>
  <si>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</si>
  <si>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</si>
  <si>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</si>
  <si>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</si>
  <si>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</si>
  <si>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</si>
  <si>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</si>
  <si>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</si>
  <si>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</si>
  <si>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AAP6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</si>
  <si>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</si>
  <si>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</si>
  <si>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</si>
  <si>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</si>
  <si>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</si>
  <si>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</si>
  <si>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</si>
  <si>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</si>
  <si>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</si>
  <si>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LED2</t>
  </si>
  <si>
    <t>LED3</t>
  </si>
  <si>
    <t>LED4</t>
  </si>
  <si>
    <t>LED5</t>
  </si>
  <si>
    <t>LED8</t>
  </si>
  <si>
    <t>LED9</t>
  </si>
  <si>
    <t>LED10</t>
  </si>
  <si>
    <t>LED12</t>
  </si>
  <si>
    <t>LED13</t>
  </si>
  <si>
    <t>LED14</t>
  </si>
  <si>
    <t>LED16</t>
  </si>
  <si>
    <t>LED17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</si>
  <si>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</si>
  <si>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</si>
  <si>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</si>
  <si>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</si>
  <si>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</si>
  <si>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</si>
  <si>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</si>
  <si>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</si>
  <si>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</si>
  <si>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</si>
  <si>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</si>
  <si>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</si>
  <si>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</si>
  <si>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</si>
  <si>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</si>
  <si>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</si>
  <si>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</si>
  <si>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</si>
  <si>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</si>
  <si>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</si>
  <si>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</si>
  <si>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</si>
  <si>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</si>
  <si>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LED44</t>
  </si>
  <si>
    <t>LED45</t>
  </si>
  <si>
    <t>LED46</t>
  </si>
  <si>
    <t>LED47</t>
  </si>
  <si>
    <t>LED48</t>
  </si>
  <si>
    <t>LED51</t>
  </si>
  <si>
    <t>LED52</t>
  </si>
  <si>
    <t>LED53</t>
  </si>
  <si>
    <t>LED54</t>
  </si>
  <si>
    <t>LED55</t>
  </si>
  <si>
    <t>LED56</t>
  </si>
  <si>
    <t>LED57</t>
  </si>
  <si>
    <t>LED59</t>
  </si>
  <si>
    <t>LED60</t>
  </si>
  <si>
    <t>LED61</t>
  </si>
  <si>
    <t>LED62</t>
  </si>
  <si>
    <t>LED63</t>
  </si>
  <si>
    <t>LED64</t>
  </si>
  <si>
    <t>LED65</t>
  </si>
  <si>
    <t>LED66</t>
  </si>
  <si>
    <t>LED68</t>
  </si>
  <si>
    <t>LED69</t>
  </si>
  <si>
    <t>LED70</t>
  </si>
  <si>
    <t>LED71</t>
  </si>
  <si>
    <t>LED72</t>
  </si>
  <si>
    <t>LED73</t>
  </si>
  <si>
    <t>LED74</t>
  </si>
  <si>
    <t>LED75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</si>
  <si>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</si>
  <si>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</si>
  <si>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</si>
  <si>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</si>
  <si>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</si>
  <si>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</si>
  <si>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</si>
  <si>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</si>
  <si>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</si>
  <si>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</si>
  <si>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</si>
  <si>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LED88</t>
  </si>
  <si>
    <t>LED89</t>
  </si>
  <si>
    <t>LED90</t>
  </si>
  <si>
    <t>LED92</t>
  </si>
  <si>
    <t>LED93</t>
  </si>
  <si>
    <t>LED94</t>
  </si>
  <si>
    <t>AP1</t>
  </si>
  <si>
    <t>AP3</t>
  </si>
  <si>
    <t>AP4</t>
  </si>
  <si>
    <t>AP5</t>
  </si>
  <si>
    <t>AP6</t>
  </si>
  <si>
    <t>AP7</t>
  </si>
  <si>
    <t>AP8</t>
  </si>
  <si>
    <t>AP9</t>
  </si>
  <si>
    <t>AP10</t>
  </si>
  <si>
    <t>AP12</t>
  </si>
  <si>
    <t>AP13</t>
  </si>
  <si>
    <t>AP14</t>
  </si>
  <si>
    <t>AP15</t>
  </si>
  <si>
    <t>AP17</t>
  </si>
  <si>
    <t>AP18</t>
  </si>
  <si>
    <t>AP20</t>
  </si>
  <si>
    <t>AP21</t>
  </si>
  <si>
    <t>AP22</t>
  </si>
  <si>
    <t>AP23</t>
  </si>
  <si>
    <t>AP24</t>
  </si>
  <si>
    <t>AP25</t>
  </si>
  <si>
    <t>AP26</t>
  </si>
  <si>
    <t>AP27</t>
  </si>
  <si>
    <t>AP29</t>
  </si>
  <si>
    <t>AP30</t>
  </si>
  <si>
    <t>AP31</t>
  </si>
  <si>
    <t>AP32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</si>
  <si>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</si>
  <si>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</si>
  <si>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</si>
  <si>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</si>
  <si>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</si>
  <si>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</si>
  <si>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</si>
  <si>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</si>
  <si>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</si>
  <si>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</si>
  <si>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</si>
  <si>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</si>
  <si>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</si>
  <si>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</si>
  <si>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</si>
  <si>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</si>
  <si>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</si>
  <si>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AP52</t>
  </si>
  <si>
    <t>AL1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</si>
  <si>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</si>
  <si>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</si>
  <si>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</si>
  <si>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</si>
  <si>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</si>
  <si>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</si>
  <si>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</si>
  <si>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</si>
  <si>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</si>
  <si>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AL14</t>
  </si>
  <si>
    <t>AL15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</si>
  <si>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</si>
  <si>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</si>
  <si>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</si>
  <si>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</si>
  <si>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</si>
  <si>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</si>
  <si>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</si>
  <si>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</si>
  <si>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</si>
  <si>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</si>
  <si>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</si>
  <si>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</si>
  <si>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</si>
  <si>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</si>
  <si>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</si>
  <si>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</si>
  <si>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</si>
  <si>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</si>
  <si>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</si>
  <si>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</si>
  <si>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</si>
  <si>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</si>
  <si>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</si>
  <si>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</si>
  <si>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</si>
  <si>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</si>
  <si>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</si>
  <si>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</si>
  <si>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</si>
  <si>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</si>
  <si>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</si>
  <si>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AL47</t>
  </si>
  <si>
    <t>AL48</t>
  </si>
  <si>
    <t>AL49</t>
  </si>
  <si>
    <t>AL50</t>
  </si>
  <si>
    <t>AL51</t>
  </si>
  <si>
    <t>AL52</t>
  </si>
  <si>
    <t>AL53</t>
  </si>
  <si>
    <t>AL54</t>
  </si>
  <si>
    <t>AL55</t>
  </si>
  <si>
    <t>AL56</t>
  </si>
  <si>
    <t>AL58</t>
  </si>
  <si>
    <t>AL59</t>
  </si>
  <si>
    <t>AL60</t>
  </si>
  <si>
    <t>AL61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</si>
  <si>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</si>
  <si>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</si>
  <si>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</si>
  <si>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</si>
  <si>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</si>
  <si>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</si>
  <si>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</si>
  <si>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</si>
  <si>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</si>
  <si>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</si>
  <si>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</si>
  <si>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</si>
  <si>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</si>
  <si>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</si>
  <si>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</si>
  <si>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</si>
  <si>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</si>
  <si>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</si>
  <si>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</si>
  <si>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AL81</t>
  </si>
  <si>
    <t>AL82</t>
  </si>
  <si>
    <t>AL83</t>
  </si>
  <si>
    <t>AL84</t>
  </si>
  <si>
    <t>AL86</t>
  </si>
  <si>
    <t>AL87</t>
  </si>
  <si>
    <t>AL88</t>
  </si>
  <si>
    <t>AL89</t>
  </si>
  <si>
    <t>AL90</t>
  </si>
  <si>
    <t>AL91</t>
  </si>
  <si>
    <t>AL92</t>
  </si>
  <si>
    <t>AL93</t>
  </si>
  <si>
    <t>AL94</t>
  </si>
  <si>
    <t>AL96</t>
  </si>
  <si>
    <t>AL97</t>
  </si>
  <si>
    <t>AL98</t>
  </si>
  <si>
    <t>AL99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</si>
  <si>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</si>
  <si>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</si>
  <si>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</si>
  <si>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</si>
  <si>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</si>
  <si>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</si>
  <si>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</si>
  <si>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</si>
  <si>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AL110</t>
  </si>
  <si>
    <t>AK1</t>
  </si>
  <si>
    <t>AK2</t>
  </si>
  <si>
    <t>AK3</t>
  </si>
  <si>
    <t>AK4</t>
  </si>
  <si>
    <t>AK5</t>
  </si>
  <si>
    <t>AK6</t>
  </si>
  <si>
    <t>AK7</t>
  </si>
  <si>
    <t>AK8</t>
  </si>
  <si>
    <t>AK9</t>
  </si>
  <si>
    <t>AK10</t>
  </si>
  <si>
    <t>AK11</t>
  </si>
  <si>
    <t>AK12</t>
  </si>
  <si>
    <t>AK13</t>
  </si>
  <si>
    <t>AK14</t>
  </si>
  <si>
    <t>AK15</t>
  </si>
  <si>
    <t>AK16</t>
  </si>
  <si>
    <t>AK17</t>
  </si>
  <si>
    <t>AK18</t>
  </si>
  <si>
    <t>AK19</t>
  </si>
  <si>
    <t>AK20</t>
  </si>
  <si>
    <t>AK30</t>
  </si>
  <si>
    <t>AK21</t>
  </si>
  <si>
    <t>AK23</t>
  </si>
  <si>
    <t>AK24</t>
  </si>
  <si>
    <t>AK25</t>
  </si>
  <si>
    <t>AK26</t>
  </si>
  <si>
    <t>AK27</t>
  </si>
  <si>
    <t>AK28</t>
  </si>
  <si>
    <t>AK29</t>
  </si>
  <si>
    <t>AB2</t>
  </si>
  <si>
    <t>AB3</t>
  </si>
  <si>
    <t>AB4</t>
  </si>
  <si>
    <t>AB5</t>
  </si>
  <si>
    <t>AB6</t>
  </si>
  <si>
    <t>AB7</t>
  </si>
  <si>
    <t>AB8</t>
  </si>
  <si>
    <t>AB9</t>
  </si>
  <si>
    <t>AB10</t>
  </si>
  <si>
    <t>AB11</t>
  </si>
  <si>
    <t>AB12</t>
  </si>
  <si>
    <t>AB13</t>
  </si>
  <si>
    <t>AB14</t>
  </si>
  <si>
    <t>AB15</t>
  </si>
  <si>
    <t>AB16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</si>
  <si>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</si>
  <si>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</si>
  <si>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</si>
  <si>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</si>
  <si>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</si>
  <si>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</si>
  <si>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</si>
  <si>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</si>
  <si>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</si>
  <si>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</si>
  <si>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</si>
  <si>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</si>
  <si>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</si>
  <si>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</si>
  <si>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</si>
  <si>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</si>
  <si>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</si>
  <si>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</si>
  <si>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</si>
  <si>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</si>
  <si>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</si>
  <si>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</si>
  <si>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</si>
  <si>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</si>
  <si>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</si>
  <si>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</si>
  <si>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</si>
  <si>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</si>
  <si>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</si>
  <si>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</si>
  <si>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</si>
  <si>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</si>
  <si>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</si>
  <si>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</si>
  <si>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</si>
  <si>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</si>
  <si>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</si>
  <si>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</si>
  <si>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</si>
  <si>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</si>
  <si>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</si>
  <si>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</si>
  <si>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</si>
  <si>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</si>
  <si>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</si>
  <si>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</si>
  <si>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</si>
  <si>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</si>
  <si>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</si>
  <si>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</si>
  <si>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</si>
  <si>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</si>
  <si>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</si>
  <si>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</si>
  <si>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</si>
  <si>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</si>
  <si>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</si>
  <si>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</si>
  <si>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</si>
  <si>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</si>
  <si>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</si>
  <si>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</si>
  <si>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</si>
  <si>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</si>
  <si>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</si>
  <si>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</si>
  <si>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</si>
  <si>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</si>
  <si>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</si>
  <si>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</si>
  <si>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</si>
  <si>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</si>
  <si>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</si>
  <si>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</si>
  <si>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</si>
  <si>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</si>
  <si>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</si>
  <si>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</si>
  <si>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</si>
  <si>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</si>
  <si>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</si>
  <si>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</si>
  <si>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</si>
  <si>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</si>
  <si>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</si>
  <si>
    <t>AAP5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</si>
</sst>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0" fontId="2" fillId="0" borderId="0" xfId="0" applyFont="1" applyBorder="1" applyAlignment="1">
      <alignment horizontal="center"/>
    </xf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649287</xdr:colOff>
      <xdr:row>12</xdr:row>
      <xdr:rowOff>38099</xdr:rowOff>
    </xdr:from>
    <xdr:to>
      <xdr:col>3</xdr:col>
      <xdr:colOff>444499</xdr:colOff>
      <xdr:row>13</xdr:row>
      <xdr:rowOff>115093</xdr:rowOff>
    </xdr:to>
    <xdr:sp macro="[0]!PENJUALAN2023" textlink="">
      <xdr:nvSpPr>
        <xdr:cNvPr id="2" name="Rounded Rectangle 1"/>
        <xdr:cNvSpPr/>
      </xdr:nvSpPr>
      <xdr:spPr>
        <a:xfrm>
          <a:off x="1260475" y="1943099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I15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9" x14ac:dyDescent="0.25">
      <c r="B4" s="5"/>
      <c r="C4" s="5"/>
      <c r="D4" s="5"/>
      <c r="F4" s="5"/>
      <c r="G4" s="5"/>
      <c r="H4" s="5"/>
      <c r="I4" s="5"/>
    </row>
    <row r="5" spans="2:9" x14ac:dyDescent="0.25">
      <c r="B5" s="6" t="s">
        <v>468</v>
      </c>
      <c r="D5" s="6"/>
      <c r="F5" s="5"/>
      <c r="G5" s="5"/>
      <c r="H5" s="5"/>
      <c r="I5" s="5"/>
    </row>
    <row r="6" spans="2:9" x14ac:dyDescent="0.25">
      <c r="F6" s="5"/>
      <c r="G6" s="5"/>
      <c r="H6" s="5"/>
      <c r="I6" s="5"/>
    </row>
    <row r="7" spans="2:9" x14ac:dyDescent="0.25">
      <c r="B7" s="6" t="s">
        <v>469</v>
      </c>
      <c r="D7" s="12"/>
      <c r="F7" s="5"/>
      <c r="G7" s="5"/>
      <c r="H7" s="7"/>
      <c r="I7" s="5"/>
    </row>
    <row r="8" spans="2:9" x14ac:dyDescent="0.25">
      <c r="B8" s="6" t="s">
        <v>470</v>
      </c>
      <c r="D8" s="1"/>
      <c r="F8" s="5"/>
      <c r="G8" s="5"/>
      <c r="H8" s="14"/>
      <c r="I8" s="5"/>
    </row>
    <row r="9" spans="2:9" x14ac:dyDescent="0.25">
      <c r="B9" s="6" t="s">
        <v>471</v>
      </c>
      <c r="D9" s="8"/>
      <c r="F9" s="5"/>
      <c r="G9" s="5"/>
      <c r="H9" s="10"/>
      <c r="I9" s="5"/>
    </row>
    <row r="10" spans="2:9" x14ac:dyDescent="0.25">
      <c r="B10" s="5"/>
      <c r="D10" s="8"/>
      <c r="F10" s="5"/>
      <c r="G10" s="5"/>
      <c r="H10" s="8"/>
      <c r="I10" s="5"/>
    </row>
    <row r="11" spans="2:9" x14ac:dyDescent="0.25">
      <c r="B11" s="6" t="s">
        <v>472</v>
      </c>
      <c r="D11" s="9"/>
      <c r="F11" s="5"/>
      <c r="G11" s="5"/>
      <c r="H11" s="9"/>
      <c r="I11" s="5"/>
    </row>
    <row r="12" spans="2:9" x14ac:dyDescent="0.25">
      <c r="F12" s="8"/>
      <c r="G12" s="5"/>
      <c r="H12" s="5"/>
      <c r="I12" s="5"/>
    </row>
    <row r="13" spans="2:9" x14ac:dyDescent="0.25">
      <c r="F13" s="9"/>
      <c r="G13" s="5"/>
      <c r="H13" s="5"/>
      <c r="I13" s="5"/>
    </row>
    <row r="14" spans="2:9" x14ac:dyDescent="0.25">
      <c r="F14" s="5"/>
      <c r="G14" s="5"/>
      <c r="H14" s="5"/>
      <c r="I14" s="5"/>
    </row>
    <row r="15" spans="2:9" x14ac:dyDescent="0.25">
      <c r="F15" s="5"/>
      <c r="G15" s="5"/>
      <c r="H15" s="5"/>
      <c r="I15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5"/>
  <sheetViews>
    <sheetView tabSelected="1" workbookViewId="0">
      <selection activeCell="C9" sqref="C9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8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462</v>
      </c>
      <c r="B1" s="4" t="s">
        <v>463</v>
      </c>
      <c r="C1" s="4" t="s">
        <v>0</v>
      </c>
      <c r="D1" s="4" t="s">
        <v>1</v>
      </c>
      <c r="E1" s="4" t="s">
        <v>464</v>
      </c>
      <c r="F1" s="4" t="s">
        <v>2</v>
      </c>
      <c r="G1" s="4" t="s">
        <v>3</v>
      </c>
      <c r="H1" s="4" t="s">
        <v>465</v>
      </c>
      <c r="I1" s="4" t="s">
        <v>466</v>
      </c>
      <c r="J1" s="4" t="s">
        <v>467</v>
      </c>
      <c r="K1" s="4" t="s">
        <v>4</v>
      </c>
      <c r="L1" s="3"/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5">
        <v>45291</v>
      </c>
      <c r="B3" s="16">
        <v>22302492</v>
      </c>
      <c r="C3" s="16" t="s">
        <v>33</v>
      </c>
      <c r="D3" s="16" t="str">
        <f>VLOOKUP(C3,[1]master_data!$A$2:$E$495,2,FALSE)</f>
        <v>MESIN YAMANO 1200</v>
      </c>
      <c r="E3" s="16">
        <v>5</v>
      </c>
      <c r="F3" s="16">
        <f>VLOOKUP(C3,[1]master_data!$A$2:$E$495,3,FALSE)</f>
        <v>27000</v>
      </c>
      <c r="G3" s="16">
        <f>VLOOKUP(C3,[1]master_data!$A$2:$E$495,4,FALSE)</f>
        <v>40000</v>
      </c>
      <c r="H3" s="16">
        <f>E3*F3</f>
        <v>135000</v>
      </c>
      <c r="I3" s="16">
        <f>E3*G3</f>
        <v>200000</v>
      </c>
      <c r="J3" s="16">
        <f>I3-H3</f>
        <v>65000</v>
      </c>
      <c r="K3" s="16" t="str">
        <f>VLOOKUP(C3,[1]master_data!$A$2:$E$495,5,FALSE)</f>
        <v>Aksesoris</v>
      </c>
      <c r="L3" s="3"/>
    </row>
    <row r="4" spans="1:12" ht="12" customHeight="1" x14ac:dyDescent="0.25">
      <c r="A4" s="15">
        <v>45291</v>
      </c>
      <c r="B4" s="16">
        <v>22302493</v>
      </c>
      <c r="C4" s="16" t="s">
        <v>388</v>
      </c>
      <c r="D4" s="16" t="str">
        <f>VLOOKUP(C4,[1]master_data!$A$2:$E$495,2,FALSE)</f>
        <v>CHANNA ASIATICA K</v>
      </c>
      <c r="E4" s="16">
        <v>1</v>
      </c>
      <c r="F4" s="16">
        <f>VLOOKUP(C4,[1]master_data!$A$2:$E$495,3,FALSE)</f>
        <v>10000</v>
      </c>
      <c r="G4" s="16">
        <f>VLOOKUP(C4,[1]master_data!$A$2:$E$495,4,FALSE)</f>
        <v>40000</v>
      </c>
      <c r="H4" s="16">
        <f>E4*F4</f>
        <v>10000</v>
      </c>
      <c r="I4" s="16">
        <f>E4*G4</f>
        <v>40000</v>
      </c>
      <c r="J4" s="16">
        <f>I4-H4</f>
        <v>30000</v>
      </c>
      <c r="K4" s="16" t="str">
        <f>VLOOKUP(C4,[1]master_data!$A$2:$E$495,5,FALSE)</f>
        <v>Ikan</v>
      </c>
      <c r="L4" s="1"/>
    </row>
    <row r="5" spans="1:12" ht="12" customHeight="1" x14ac:dyDescent="0.25">
      <c r="A5" s="15">
        <v>45291</v>
      </c>
      <c r="B5" s="16">
        <v>22302494</v>
      </c>
      <c r="C5" s="16" t="s">
        <v>460</v>
      </c>
      <c r="D5" s="16" t="str">
        <f>VLOOKUP(C5,[1]master_data!$A$2:$E$495,2,FALSE)</f>
        <v>SEPAT ALBINO</v>
      </c>
      <c r="E5" s="16">
        <v>10</v>
      </c>
      <c r="F5" s="16">
        <f>VLOOKUP(C5,[1]master_data!$A$2:$E$495,3,FALSE)</f>
        <v>2000</v>
      </c>
      <c r="G5" s="16">
        <f>VLOOKUP(C5,[1]master_data!$A$2:$E$495,4,FALSE)</f>
        <v>5000</v>
      </c>
      <c r="H5" s="16">
        <f>E5*F5</f>
        <v>20000</v>
      </c>
      <c r="I5" s="16">
        <f>E5*G5</f>
        <v>50000</v>
      </c>
      <c r="J5" s="16">
        <f>I5-H5</f>
        <v>30000</v>
      </c>
      <c r="K5" s="16" t="str">
        <f>VLOOKUP(C5,[1]master_data!$A$2:$E$495,5,FALSE)</f>
        <v>Ikan</v>
      </c>
      <c r="L5" s="1"/>
    </row>
    <row r="6" spans="1:12" ht="12" customHeight="1" x14ac:dyDescent="0.25">
      <c r="A6" s="15">
        <v>45291</v>
      </c>
      <c r="B6" s="16">
        <v>22302495</v>
      </c>
      <c r="C6" s="16" t="s">
        <v>373</v>
      </c>
      <c r="D6" s="16" t="str">
        <f>VLOOKUP(C6,[1]master_data!$A$2:$E$495,2,FALSE)</f>
        <v>PASIR HITAM B</v>
      </c>
      <c r="E6" s="16">
        <v>5</v>
      </c>
      <c r="F6" s="16">
        <f>VLOOKUP(C6,[1]master_data!$A$2:$E$495,3,FALSE)</f>
        <v>8000</v>
      </c>
      <c r="G6" s="16">
        <f>VLOOKUP(C6,[1]master_data!$A$2:$E$495,4,FALSE)</f>
        <v>15000</v>
      </c>
      <c r="H6" s="16">
        <f>E6*F6</f>
        <v>40000</v>
      </c>
      <c r="I6" s="16">
        <f>E6*G6</f>
        <v>75000</v>
      </c>
      <c r="J6" s="16">
        <f>I6-H6</f>
        <v>35000</v>
      </c>
      <c r="K6" s="16" t="str">
        <f>VLOOKUP(C6,[1]master_data!$A$2:$E$495,5,FALSE)</f>
        <v>Aksesoris</v>
      </c>
      <c r="L6" s="1"/>
    </row>
    <row r="7" spans="1:12" ht="12" customHeight="1" x14ac:dyDescent="0.25">
      <c r="A7" s="15">
        <v>45291</v>
      </c>
      <c r="B7" s="16">
        <v>22302496</v>
      </c>
      <c r="C7" s="16" t="s">
        <v>33</v>
      </c>
      <c r="D7" s="16" t="str">
        <f>VLOOKUP(C7,[1]master_data!$A$2:$E$495,2,FALSE)</f>
        <v>MESIN YAMANO 1200</v>
      </c>
      <c r="E7" s="16">
        <v>5</v>
      </c>
      <c r="F7" s="16">
        <f>VLOOKUP(C7,[1]master_data!$A$2:$E$495,3,FALSE)</f>
        <v>27000</v>
      </c>
      <c r="G7" s="16">
        <f>VLOOKUP(C7,[1]master_data!$A$2:$E$495,4,FALSE)</f>
        <v>40000</v>
      </c>
      <c r="H7" s="16">
        <f>E7*F7</f>
        <v>135000</v>
      </c>
      <c r="I7" s="16">
        <f>E7*G7</f>
        <v>200000</v>
      </c>
      <c r="J7" s="16">
        <f>I7-H7</f>
        <v>65000</v>
      </c>
      <c r="K7" s="16" t="str">
        <f>VLOOKUP(C7,[1]master_data!$A$2:$E$495,5,FALSE)</f>
        <v>Aksesoris</v>
      </c>
      <c r="L7" s="1"/>
    </row>
    <row r="8" spans="1:12" ht="12" customHeight="1" x14ac:dyDescent="0.25">
      <c r="A8" s="15">
        <v>45291</v>
      </c>
      <c r="B8" s="16">
        <v>22302497</v>
      </c>
      <c r="C8" s="16" t="s">
        <v>259</v>
      </c>
      <c r="D8" s="16" t="str">
        <f>VLOOKUP(C8,[1]master_data!$A$2:$E$495,2,FALSE)</f>
        <v>BONSAI</v>
      </c>
      <c r="E8" s="16">
        <v>10</v>
      </c>
      <c r="F8" s="16">
        <f>VLOOKUP(C8,[1]master_data!$A$2:$E$495,3,FALSE)</f>
        <v>15000</v>
      </c>
      <c r="G8" s="16">
        <f>VLOOKUP(C8,[1]master_data!$A$2:$E$495,4,FALSE)</f>
        <v>20000</v>
      </c>
      <c r="H8" s="16">
        <f>E8*F8</f>
        <v>150000</v>
      </c>
      <c r="I8" s="16">
        <f>E8*G8</f>
        <v>200000</v>
      </c>
      <c r="J8" s="16">
        <f>I8-H8</f>
        <v>50000</v>
      </c>
      <c r="K8" s="16" t="str">
        <f>VLOOKUP(C8,[1]master_data!$A$2:$E$495,5,FALSE)</f>
        <v>Aksesoris</v>
      </c>
      <c r="L8" s="1"/>
    </row>
    <row r="9" spans="1:12" ht="12" customHeight="1" x14ac:dyDescent="0.25">
      <c r="A9" s="15">
        <v>45291</v>
      </c>
      <c r="B9" s="16">
        <v>22302498</v>
      </c>
      <c r="C9" s="16" t="s">
        <v>448</v>
      </c>
      <c r="D9" s="16" t="str">
        <f>VLOOKUP(C9,[1]master_data!$A$2:$E$495,2,FALSE)</f>
        <v>SUMATRA BIASA</v>
      </c>
      <c r="E9" s="16">
        <v>25</v>
      </c>
      <c r="F9" s="16">
        <f>VLOOKUP(C9,[1]master_data!$A$2:$E$495,3,FALSE)</f>
        <v>800</v>
      </c>
      <c r="G9" s="16">
        <f>VLOOKUP(C9,[1]master_data!$A$2:$E$495,4,FALSE)</f>
        <v>2000</v>
      </c>
      <c r="H9" s="16">
        <f>E9*F9</f>
        <v>20000</v>
      </c>
      <c r="I9" s="16">
        <f>E9*G9</f>
        <v>50000</v>
      </c>
      <c r="J9" s="16">
        <f>I9-H9</f>
        <v>30000</v>
      </c>
      <c r="K9" s="16" t="str">
        <f>VLOOKUP(C9,[1]master_data!$A$2:$E$495,5,FALSE)</f>
        <v>Ikan</v>
      </c>
      <c r="L9" s="1"/>
    </row>
    <row r="10" spans="1:12" ht="12" customHeight="1" x14ac:dyDescent="0.25">
      <c r="A10" s="15">
        <v>45291</v>
      </c>
      <c r="B10" s="16">
        <v>22302499</v>
      </c>
      <c r="C10" s="16" t="s">
        <v>397</v>
      </c>
      <c r="D10" s="16" t="str">
        <f>VLOOKUP(C10,[1]master_data!$A$2:$E$495,2,FALSE)</f>
        <v>BUENOS AIRES TETRA</v>
      </c>
      <c r="E10" s="16">
        <v>30</v>
      </c>
      <c r="F10" s="16">
        <f>VLOOKUP(C10,[1]master_data!$A$2:$E$495,3,FALSE)</f>
        <v>800</v>
      </c>
      <c r="G10" s="16">
        <f>VLOOKUP(C10,[1]master_data!$A$2:$E$495,4,FALSE)</f>
        <v>2000</v>
      </c>
      <c r="H10" s="16">
        <f>E10*F10</f>
        <v>24000</v>
      </c>
      <c r="I10" s="16">
        <f>E10*G10</f>
        <v>60000</v>
      </c>
      <c r="J10" s="16">
        <f>I10-H10</f>
        <v>36000</v>
      </c>
      <c r="K10" s="16" t="str">
        <f>VLOOKUP(C10,[1]master_data!$A$2:$E$495,5,FALSE)</f>
        <v>Ikan</v>
      </c>
      <c r="L10" s="1"/>
    </row>
    <row r="11" spans="1:12" ht="12" customHeight="1" x14ac:dyDescent="0.25">
      <c r="A11" s="15">
        <v>45291</v>
      </c>
      <c r="B11" s="16">
        <v>22302500</v>
      </c>
      <c r="C11" s="16" t="s">
        <v>127</v>
      </c>
      <c r="D11" s="16" t="str">
        <f>VLOOKUP(C11,[1]master_data!$A$2:$E$495,2,FALSE)</f>
        <v>LED YAMANO 3W</v>
      </c>
      <c r="E11" s="16">
        <v>1</v>
      </c>
      <c r="F11" s="16">
        <f>VLOOKUP(C11,[1]master_data!$A$2:$E$495,3,FALSE)</f>
        <v>37000</v>
      </c>
      <c r="G11" s="16">
        <f>VLOOKUP(C11,[1]master_data!$A$2:$E$495,4,FALSE)</f>
        <v>60000</v>
      </c>
      <c r="H11" s="16">
        <f>E11*F11</f>
        <v>37000</v>
      </c>
      <c r="I11" s="16">
        <f>E11*G11</f>
        <v>60000</v>
      </c>
      <c r="J11" s="16">
        <f>I11-H11</f>
        <v>23000</v>
      </c>
      <c r="K11" s="16" t="str">
        <f>VLOOKUP(C11,[1]master_data!$A$2:$E$495,5,FALSE)</f>
        <v>Aksesoris</v>
      </c>
      <c r="L11" s="1"/>
    </row>
    <row r="12" spans="1:12" ht="12" customHeight="1" x14ac:dyDescent="0.25">
      <c r="A12" s="15">
        <v>45291</v>
      </c>
      <c r="B12" s="16">
        <v>22302501</v>
      </c>
      <c r="C12" s="16" t="s">
        <v>182</v>
      </c>
      <c r="D12" s="16" t="str">
        <f>VLOOKUP(C12,[1]master_data!$A$2:$E$495,2,FALSE)</f>
        <v>LED ARMADA 3 MODE M60</v>
      </c>
      <c r="E12" s="16">
        <v>1</v>
      </c>
      <c r="F12" s="16">
        <f>VLOOKUP(C12,[1]master_data!$A$2:$E$495,3,FALSE)</f>
        <v>29000</v>
      </c>
      <c r="G12" s="16">
        <f>VLOOKUP(C12,[1]master_data!$A$2:$E$495,4,FALSE)</f>
        <v>60000</v>
      </c>
      <c r="H12" s="16">
        <f>E12*F12</f>
        <v>29000</v>
      </c>
      <c r="I12" s="16">
        <f>E12*G12</f>
        <v>60000</v>
      </c>
      <c r="J12" s="16">
        <f>I12-H12</f>
        <v>31000</v>
      </c>
      <c r="K12" s="16" t="str">
        <f>VLOOKUP(C12,[1]master_data!$A$2:$E$495,5,FALSE)</f>
        <v>Aksesoris</v>
      </c>
      <c r="L12" s="1"/>
    </row>
    <row r="13" spans="1:12" ht="12" customHeight="1" x14ac:dyDescent="0.25">
      <c r="A13" s="15">
        <v>45290</v>
      </c>
      <c r="B13" s="16">
        <v>22302485</v>
      </c>
      <c r="C13" s="16" t="s">
        <v>442</v>
      </c>
      <c r="D13" s="16" t="str">
        <f>VLOOKUP(C13,[1]master_data!$A$2:$E$495,2,FALSE)</f>
        <v>PARROT</v>
      </c>
      <c r="E13" s="16">
        <v>2</v>
      </c>
      <c r="F13" s="16">
        <f>VLOOKUP(C13,[1]master_data!$A$2:$E$495,3,FALSE)</f>
        <v>27000</v>
      </c>
      <c r="G13" s="16">
        <f>VLOOKUP(C13,[1]master_data!$A$2:$E$495,4,FALSE)</f>
        <v>60000</v>
      </c>
      <c r="H13" s="16">
        <f>E13*F13</f>
        <v>54000</v>
      </c>
      <c r="I13" s="16">
        <f>E13*G13</f>
        <v>120000</v>
      </c>
      <c r="J13" s="16">
        <f>I13-H13</f>
        <v>66000</v>
      </c>
      <c r="K13" s="16" t="str">
        <f>VLOOKUP(C13,[1]master_data!$A$2:$E$495,5,FALSE)</f>
        <v>Ikan</v>
      </c>
      <c r="L13" s="1"/>
    </row>
    <row r="14" spans="1:12" ht="12" customHeight="1" x14ac:dyDescent="0.25">
      <c r="A14" s="15">
        <v>45290</v>
      </c>
      <c r="B14" s="16">
        <v>22302486</v>
      </c>
      <c r="C14" s="16" t="s">
        <v>444</v>
      </c>
      <c r="D14" s="16" t="str">
        <f>VLOOKUP(C14,[1]master_data!$A$2:$E$495,2,FALSE)</f>
        <v>REDFIN HITAM</v>
      </c>
      <c r="E14" s="16">
        <v>30</v>
      </c>
      <c r="F14" s="16">
        <f>VLOOKUP(C14,[1]master_data!$A$2:$E$495,3,FALSE)</f>
        <v>1500</v>
      </c>
      <c r="G14" s="16">
        <f>VLOOKUP(C14,[1]master_data!$A$2:$E$495,4,FALSE)</f>
        <v>4000</v>
      </c>
      <c r="H14" s="16">
        <f>E14*F14</f>
        <v>45000</v>
      </c>
      <c r="I14" s="16">
        <f>E14*G14</f>
        <v>120000</v>
      </c>
      <c r="J14" s="16">
        <f>I14-H14</f>
        <v>75000</v>
      </c>
      <c r="K14" s="16" t="str">
        <f>VLOOKUP(C14,[1]master_data!$A$2:$E$495,5,FALSE)</f>
        <v>Ikan</v>
      </c>
      <c r="L14" s="1"/>
    </row>
    <row r="15" spans="1:12" ht="12" customHeight="1" x14ac:dyDescent="0.25">
      <c r="A15" s="15">
        <v>45290</v>
      </c>
      <c r="B15" s="16">
        <v>22302487</v>
      </c>
      <c r="C15" s="16" t="s">
        <v>439</v>
      </c>
      <c r="D15" s="16" t="str">
        <f>VLOOKUP(C15,[1]master_data!$A$2:$E$495,2,FALSE)</f>
        <v>PEMBERSIH KACA BIASA</v>
      </c>
      <c r="E15" s="16">
        <v>30</v>
      </c>
      <c r="F15" s="16">
        <f>VLOOKUP(C15,[1]master_data!$A$2:$E$495,3,FALSE)</f>
        <v>2000</v>
      </c>
      <c r="G15" s="16">
        <f>VLOOKUP(C15,[1]master_data!$A$2:$E$495,4,FALSE)</f>
        <v>5000</v>
      </c>
      <c r="H15" s="16">
        <f>E15*F15</f>
        <v>60000</v>
      </c>
      <c r="I15" s="16">
        <f>E15*G15</f>
        <v>150000</v>
      </c>
      <c r="J15" s="16">
        <f>I15-H15</f>
        <v>90000</v>
      </c>
      <c r="K15" s="16" t="str">
        <f>VLOOKUP(C15,[1]master_data!$A$2:$E$495,5,FALSE)</f>
        <v>Ikan</v>
      </c>
      <c r="L15" s="1"/>
    </row>
    <row r="16" spans="1:12" ht="12" customHeight="1" x14ac:dyDescent="0.25">
      <c r="A16" s="15">
        <v>45290</v>
      </c>
      <c r="B16" s="16">
        <v>22302488</v>
      </c>
      <c r="C16" s="16" t="s">
        <v>403</v>
      </c>
      <c r="D16" s="16" t="str">
        <f>VLOOKUP(C16,[1]master_data!$A$2:$E$495,2,FALSE)</f>
        <v>KOMET BOKIM</v>
      </c>
      <c r="E16" s="16">
        <v>30</v>
      </c>
      <c r="F16" s="16">
        <f>VLOOKUP(C16,[1]master_data!$A$2:$E$495,3,FALSE)</f>
        <v>1500</v>
      </c>
      <c r="G16" s="16">
        <f>VLOOKUP(C16,[1]master_data!$A$2:$E$495,4,FALSE)</f>
        <v>5000</v>
      </c>
      <c r="H16" s="16">
        <f>E16*F16</f>
        <v>45000</v>
      </c>
      <c r="I16" s="16">
        <f>E16*G16</f>
        <v>150000</v>
      </c>
      <c r="J16" s="16">
        <f>I16-H16</f>
        <v>105000</v>
      </c>
      <c r="K16" s="16" t="str">
        <f>VLOOKUP(C16,[1]master_data!$A$2:$E$495,5,FALSE)</f>
        <v>Ikan</v>
      </c>
      <c r="L16" s="1"/>
    </row>
    <row r="17" spans="1:12" ht="12" customHeight="1" x14ac:dyDescent="0.25">
      <c r="A17" s="15">
        <v>45290</v>
      </c>
      <c r="B17" s="16">
        <v>22302489</v>
      </c>
      <c r="C17" s="16" t="s">
        <v>404</v>
      </c>
      <c r="D17" s="16" t="str">
        <f>VLOOKUP(C17,[1]master_data!$A$2:$E$495,2,FALSE)</f>
        <v>BARBIR</v>
      </c>
      <c r="E17" s="16">
        <v>30</v>
      </c>
      <c r="F17" s="16">
        <f>VLOOKUP(C17,[1]master_data!$A$2:$E$495,3,FALSE)</f>
        <v>800</v>
      </c>
      <c r="G17" s="16">
        <f>VLOOKUP(C17,[1]master_data!$A$2:$E$495,4,FALSE)</f>
        <v>2000</v>
      </c>
      <c r="H17" s="16">
        <f>E17*F17</f>
        <v>24000</v>
      </c>
      <c r="I17" s="16">
        <f>E17*G17</f>
        <v>60000</v>
      </c>
      <c r="J17" s="16">
        <f>I17-H17</f>
        <v>36000</v>
      </c>
      <c r="K17" s="16" t="str">
        <f>VLOOKUP(C17,[1]master_data!$A$2:$E$495,5,FALSE)</f>
        <v>Ikan</v>
      </c>
      <c r="L17" s="1"/>
    </row>
    <row r="18" spans="1:12" ht="12" customHeight="1" x14ac:dyDescent="0.25">
      <c r="A18" s="15">
        <v>45290</v>
      </c>
      <c r="B18" s="16">
        <v>22302490</v>
      </c>
      <c r="C18" s="16" t="s">
        <v>418</v>
      </c>
      <c r="D18" s="16" t="str">
        <f>VLOOKUP(C18,[1]master_data!$A$2:$E$495,2,FALSE)</f>
        <v>KAVIAT</v>
      </c>
      <c r="E18" s="16">
        <v>5</v>
      </c>
      <c r="F18" s="16">
        <f>VLOOKUP(C18,[1]master_data!$A$2:$E$495,3,FALSE)</f>
        <v>3500</v>
      </c>
      <c r="G18" s="16">
        <f>VLOOKUP(C18,[1]master_data!$A$2:$E$495,4,FALSE)</f>
        <v>8000</v>
      </c>
      <c r="H18" s="16">
        <f>E18*F18</f>
        <v>17500</v>
      </c>
      <c r="I18" s="16">
        <f>E18*G18</f>
        <v>40000</v>
      </c>
      <c r="J18" s="16">
        <f>I18-H18</f>
        <v>22500</v>
      </c>
      <c r="K18" s="16" t="str">
        <f>VLOOKUP(C18,[1]master_data!$A$2:$E$495,5,FALSE)</f>
        <v>Ikan</v>
      </c>
      <c r="L18" s="1"/>
    </row>
    <row r="19" spans="1:12" ht="12" customHeight="1" x14ac:dyDescent="0.25">
      <c r="A19" s="15">
        <v>45290</v>
      </c>
      <c r="B19" s="16">
        <v>22302491</v>
      </c>
      <c r="C19" s="16" t="s">
        <v>454</v>
      </c>
      <c r="D19" s="16" t="str">
        <f>VLOOKUP(C19,[1]master_data!$A$2:$E$495,2,FALSE)</f>
        <v>TOMAN</v>
      </c>
      <c r="E19" s="16">
        <v>1</v>
      </c>
      <c r="F19" s="16">
        <f>VLOOKUP(C19,[1]master_data!$A$2:$E$495,3,FALSE)</f>
        <v>10000</v>
      </c>
      <c r="G19" s="16">
        <f>VLOOKUP(C19,[1]master_data!$A$2:$E$495,4,FALSE)</f>
        <v>25000</v>
      </c>
      <c r="H19" s="16">
        <f>E19*F19</f>
        <v>10000</v>
      </c>
      <c r="I19" s="16">
        <f>E19*G19</f>
        <v>25000</v>
      </c>
      <c r="J19" s="16">
        <f>I19-H19</f>
        <v>15000</v>
      </c>
      <c r="K19" s="16" t="str">
        <f>VLOOKUP(C19,[1]master_data!$A$2:$E$495,5,FALSE)</f>
        <v>Ikan</v>
      </c>
      <c r="L19" s="1"/>
    </row>
    <row r="20" spans="1:12" ht="12" customHeight="1" x14ac:dyDescent="0.25">
      <c r="A20" s="15">
        <v>45289</v>
      </c>
      <c r="B20" s="16">
        <v>22302478</v>
      </c>
      <c r="C20" s="16" t="s">
        <v>62</v>
      </c>
      <c r="D20" s="16" t="str">
        <f>VLOOKUP(C20,[1]master_data!$A$2:$E$495,2,FALSE)</f>
        <v>MESIN KANDILA 1200</v>
      </c>
      <c r="E20" s="16">
        <v>2</v>
      </c>
      <c r="F20" s="16">
        <f>VLOOKUP(C20,[1]master_data!$A$2:$E$495,3,FALSE)</f>
        <v>19000</v>
      </c>
      <c r="G20" s="16">
        <f>VLOOKUP(C20,[1]master_data!$A$2:$E$495,4,FALSE)</f>
        <v>30000</v>
      </c>
      <c r="H20" s="16">
        <f>E20*F20</f>
        <v>38000</v>
      </c>
      <c r="I20" s="16">
        <f>E20*G20</f>
        <v>60000</v>
      </c>
      <c r="J20" s="16">
        <f>I20-H20</f>
        <v>22000</v>
      </c>
      <c r="K20" s="16" t="str">
        <f>VLOOKUP(C20,[1]master_data!$A$2:$E$495,5,FALSE)</f>
        <v>Aksesoris</v>
      </c>
      <c r="L20" s="1"/>
    </row>
    <row r="21" spans="1:12" ht="12" customHeight="1" x14ac:dyDescent="0.25">
      <c r="A21" s="15">
        <v>45289</v>
      </c>
      <c r="B21" s="16">
        <v>22302479</v>
      </c>
      <c r="C21" s="16" t="s">
        <v>405</v>
      </c>
      <c r="D21" s="16" t="str">
        <f>VLOOKUP(C21,[1]master_data!$A$2:$E$495,2,FALSE)</f>
        <v>CUPANG</v>
      </c>
      <c r="E21" s="16">
        <v>25</v>
      </c>
      <c r="F21" s="16">
        <f>VLOOKUP(C21,[1]master_data!$A$2:$E$495,3,FALSE)</f>
        <v>2000</v>
      </c>
      <c r="G21" s="16">
        <f>VLOOKUP(C21,[1]master_data!$A$2:$E$495,4,FALSE)</f>
        <v>5000</v>
      </c>
      <c r="H21" s="16">
        <f>E21*F21</f>
        <v>50000</v>
      </c>
      <c r="I21" s="16">
        <f>E21*G21</f>
        <v>125000</v>
      </c>
      <c r="J21" s="16">
        <f>I21-H21</f>
        <v>75000</v>
      </c>
      <c r="K21" s="16" t="str">
        <f>VLOOKUP(C21,[1]master_data!$A$2:$E$495,5,FALSE)</f>
        <v>Ikan</v>
      </c>
      <c r="L21" s="1"/>
    </row>
    <row r="22" spans="1:12" ht="12" customHeight="1" x14ac:dyDescent="0.25">
      <c r="A22" s="15">
        <v>45289</v>
      </c>
      <c r="B22" s="16">
        <v>22302480</v>
      </c>
      <c r="C22" s="16" t="s">
        <v>403</v>
      </c>
      <c r="D22" s="16" t="str">
        <f>VLOOKUP(C22,[1]master_data!$A$2:$E$495,2,FALSE)</f>
        <v>KOMET BOKIM</v>
      </c>
      <c r="E22" s="16">
        <v>30</v>
      </c>
      <c r="F22" s="16">
        <f>VLOOKUP(C22,[1]master_data!$A$2:$E$495,3,FALSE)</f>
        <v>1500</v>
      </c>
      <c r="G22" s="16">
        <f>VLOOKUP(C22,[1]master_data!$A$2:$E$495,4,FALSE)</f>
        <v>5000</v>
      </c>
      <c r="H22" s="16">
        <f>E22*F22</f>
        <v>45000</v>
      </c>
      <c r="I22" s="16">
        <f>E22*G22</f>
        <v>150000</v>
      </c>
      <c r="J22" s="16">
        <f>I22-H22</f>
        <v>105000</v>
      </c>
      <c r="K22" s="16" t="str">
        <f>VLOOKUP(C22,[1]master_data!$A$2:$E$495,5,FALSE)</f>
        <v>Ikan</v>
      </c>
      <c r="L22" s="1"/>
    </row>
    <row r="23" spans="1:12" ht="12" customHeight="1" x14ac:dyDescent="0.25">
      <c r="A23" s="15">
        <v>45289</v>
      </c>
      <c r="B23" s="16">
        <v>22302481</v>
      </c>
      <c r="C23" s="16" t="s">
        <v>73</v>
      </c>
      <c r="D23" s="16" t="str">
        <f>VLOOKUP(C23,[1]master_data!$A$2:$E$495,2,FALSE)</f>
        <v>TOP FILTER HAILONG 650</v>
      </c>
      <c r="E23" s="16">
        <v>9</v>
      </c>
      <c r="F23" s="16">
        <f>VLOOKUP(C23,[1]master_data!$A$2:$E$495,3,FALSE)</f>
        <v>41000</v>
      </c>
      <c r="G23" s="16">
        <f>VLOOKUP(C23,[1]master_data!$A$2:$E$495,4,FALSE)</f>
        <v>60000</v>
      </c>
      <c r="H23" s="16">
        <f>E23*F23</f>
        <v>369000</v>
      </c>
      <c r="I23" s="16">
        <f>E23*G23</f>
        <v>540000</v>
      </c>
      <c r="J23" s="16">
        <f>I23-H23</f>
        <v>171000</v>
      </c>
      <c r="K23" s="16" t="str">
        <f>VLOOKUP(C23,[1]master_data!$A$2:$E$495,5,FALSE)</f>
        <v>Aksesoris</v>
      </c>
      <c r="L23" s="1"/>
    </row>
    <row r="24" spans="1:12" ht="12" customHeight="1" x14ac:dyDescent="0.25">
      <c r="A24" s="15">
        <v>45289</v>
      </c>
      <c r="B24" s="16">
        <v>22302482</v>
      </c>
      <c r="C24" s="16" t="s">
        <v>403</v>
      </c>
      <c r="D24" s="16" t="str">
        <f>VLOOKUP(C24,[1]master_data!$A$2:$E$495,2,FALSE)</f>
        <v>KOMET BOKIM</v>
      </c>
      <c r="E24" s="16">
        <v>4</v>
      </c>
      <c r="F24" s="16">
        <f>VLOOKUP(C24,[1]master_data!$A$2:$E$495,3,FALSE)</f>
        <v>1500</v>
      </c>
      <c r="G24" s="16">
        <f>VLOOKUP(C24,[1]master_data!$A$2:$E$495,4,FALSE)</f>
        <v>5000</v>
      </c>
      <c r="H24" s="16">
        <f>E24*F24</f>
        <v>6000</v>
      </c>
      <c r="I24" s="16">
        <f>E24*G24</f>
        <v>20000</v>
      </c>
      <c r="J24" s="16">
        <f>I24-H24</f>
        <v>14000</v>
      </c>
      <c r="K24" s="16" t="str">
        <f>VLOOKUP(C24,[1]master_data!$A$2:$E$495,5,FALSE)</f>
        <v>Ikan</v>
      </c>
      <c r="L24" s="1"/>
    </row>
    <row r="25" spans="1:12" ht="12" customHeight="1" x14ac:dyDescent="0.25">
      <c r="A25" s="15">
        <v>45289</v>
      </c>
      <c r="B25" s="16">
        <v>22302483</v>
      </c>
      <c r="C25" s="16" t="s">
        <v>411</v>
      </c>
      <c r="D25" s="16" t="str">
        <f>VLOOKUP(C25,[1]master_data!$A$2:$E$495,2,FALSE)</f>
        <v>KOKI K</v>
      </c>
      <c r="E25" s="16">
        <v>1</v>
      </c>
      <c r="F25" s="16">
        <f>VLOOKUP(C25,[1]master_data!$A$2:$E$495,3,FALSE)</f>
        <v>3500</v>
      </c>
      <c r="G25" s="16">
        <f>VLOOKUP(C25,[1]master_data!$A$2:$E$495,4,FALSE)</f>
        <v>10000</v>
      </c>
      <c r="H25" s="16">
        <f>E25*F25</f>
        <v>3500</v>
      </c>
      <c r="I25" s="16">
        <f>E25*G25</f>
        <v>10000</v>
      </c>
      <c r="J25" s="16">
        <f>I25-H25</f>
        <v>6500</v>
      </c>
      <c r="K25" s="16" t="str">
        <f>VLOOKUP(C25,[1]master_data!$A$2:$E$495,5,FALSE)</f>
        <v>Ikan</v>
      </c>
      <c r="L25" s="1"/>
    </row>
    <row r="26" spans="1:12" ht="12" customHeight="1" x14ac:dyDescent="0.25">
      <c r="A26" s="15">
        <v>45289</v>
      </c>
      <c r="B26" s="16">
        <v>22302484</v>
      </c>
      <c r="C26" s="16" t="s">
        <v>441</v>
      </c>
      <c r="D26" s="16" t="str">
        <f>VLOOKUP(C26,[1]master_data!$A$2:$E$495,2,FALSE)</f>
        <v>PALMAS</v>
      </c>
      <c r="E26" s="16">
        <v>10</v>
      </c>
      <c r="F26" s="16">
        <f>VLOOKUP(C26,[1]master_data!$A$2:$E$495,3,FALSE)</f>
        <v>10000</v>
      </c>
      <c r="G26" s="16">
        <f>VLOOKUP(C26,[1]master_data!$A$2:$E$495,4,FALSE)</f>
        <v>25000</v>
      </c>
      <c r="H26" s="16">
        <f>E26*F26</f>
        <v>100000</v>
      </c>
      <c r="I26" s="16">
        <f>E26*G26</f>
        <v>250000</v>
      </c>
      <c r="J26" s="16">
        <f>I26-H26</f>
        <v>150000</v>
      </c>
      <c r="K26" s="16" t="str">
        <f>VLOOKUP(C26,[1]master_data!$A$2:$E$495,5,FALSE)</f>
        <v>Ikan</v>
      </c>
      <c r="L26" s="1"/>
    </row>
    <row r="27" spans="1:12" ht="12" customHeight="1" x14ac:dyDescent="0.25">
      <c r="A27" s="15">
        <v>45288</v>
      </c>
      <c r="B27" s="16">
        <v>22302469</v>
      </c>
      <c r="C27" s="16" t="s">
        <v>430</v>
      </c>
      <c r="D27" s="16" t="str">
        <f>VLOOKUP(C27,[1]master_data!$A$2:$E$495,2,FALSE)</f>
        <v>MARU K</v>
      </c>
      <c r="E27" s="16">
        <v>1</v>
      </c>
      <c r="F27" s="16">
        <f>VLOOKUP(C27,[1]master_data!$A$2:$E$495,3,FALSE)</f>
        <v>23000</v>
      </c>
      <c r="G27" s="16">
        <f>VLOOKUP(C27,[1]master_data!$A$2:$E$495,4,FALSE)</f>
        <v>50000</v>
      </c>
      <c r="H27" s="16">
        <f>E27*F27</f>
        <v>23000</v>
      </c>
      <c r="I27" s="16">
        <f>E27*G27</f>
        <v>50000</v>
      </c>
      <c r="J27" s="16">
        <f>I27-H27</f>
        <v>27000</v>
      </c>
      <c r="K27" s="16" t="str">
        <f>VLOOKUP(C27,[1]master_data!$A$2:$E$495,5,FALSE)</f>
        <v>Ikan</v>
      </c>
      <c r="L27" s="1"/>
    </row>
    <row r="28" spans="1:12" ht="12" customHeight="1" x14ac:dyDescent="0.25">
      <c r="A28" s="15">
        <v>45288</v>
      </c>
      <c r="B28" s="16">
        <v>22302470</v>
      </c>
      <c r="C28" s="16" t="s">
        <v>126</v>
      </c>
      <c r="D28" s="16" t="str">
        <f>VLOOKUP(C28,[1]master_data!$A$2:$E$495,2,FALSE)</f>
        <v>LAMPU YAMANO UV 9W</v>
      </c>
      <c r="E28" s="16">
        <v>2</v>
      </c>
      <c r="F28" s="16">
        <f>VLOOKUP(C28,[1]master_data!$A$2:$E$495,3,FALSE)</f>
        <v>66000</v>
      </c>
      <c r="G28" s="16">
        <f>VLOOKUP(C28,[1]master_data!$A$2:$E$495,4,FALSE)</f>
        <v>85000</v>
      </c>
      <c r="H28" s="16">
        <f>E28*F28</f>
        <v>132000</v>
      </c>
      <c r="I28" s="16">
        <f>E28*G28</f>
        <v>170000</v>
      </c>
      <c r="J28" s="16">
        <f>I28-H28</f>
        <v>38000</v>
      </c>
      <c r="K28" s="16" t="str">
        <f>VLOOKUP(C28,[1]master_data!$A$2:$E$495,5,FALSE)</f>
        <v>Aksesoris</v>
      </c>
      <c r="L28" s="1"/>
    </row>
    <row r="29" spans="1:12" ht="12" customHeight="1" x14ac:dyDescent="0.25">
      <c r="A29" s="15">
        <v>45288</v>
      </c>
      <c r="B29" s="16">
        <v>22302471</v>
      </c>
      <c r="C29" s="16" t="s">
        <v>98</v>
      </c>
      <c r="D29" s="16" t="str">
        <f>VLOOKUP(C29,[1]master_data!$A$2:$E$495,2,FALSE)</f>
        <v>MESIN AMARA 104</v>
      </c>
      <c r="E29" s="16">
        <v>2</v>
      </c>
      <c r="F29" s="16">
        <f>VLOOKUP(C29,[1]master_data!$A$2:$E$495,3,FALSE)</f>
        <v>120000</v>
      </c>
      <c r="G29" s="16">
        <f>VLOOKUP(C29,[1]master_data!$A$2:$E$495,4,FALSE)</f>
        <v>160000</v>
      </c>
      <c r="H29" s="16">
        <f>E29*F29</f>
        <v>240000</v>
      </c>
      <c r="I29" s="16">
        <f>E29*G29</f>
        <v>320000</v>
      </c>
      <c r="J29" s="16">
        <f>I29-H29</f>
        <v>80000</v>
      </c>
      <c r="K29" s="16" t="str">
        <f>VLOOKUP(C29,[1]master_data!$A$2:$E$495,5,FALSE)</f>
        <v>Aksesoris</v>
      </c>
      <c r="L29" s="1"/>
    </row>
    <row r="30" spans="1:12" ht="12" customHeight="1" x14ac:dyDescent="0.25">
      <c r="A30" s="15">
        <v>45288</v>
      </c>
      <c r="B30" s="16">
        <v>22302472</v>
      </c>
      <c r="C30" s="16" t="s">
        <v>436</v>
      </c>
      <c r="D30" s="16" t="str">
        <f>VLOOKUP(C30,[1]master_data!$A$2:$E$495,2,FALSE)</f>
        <v>NENTINEN</v>
      </c>
      <c r="E30" s="16">
        <v>15</v>
      </c>
      <c r="F30" s="16">
        <f>VLOOKUP(C30,[1]master_data!$A$2:$E$495,3,FALSE)</f>
        <v>1000</v>
      </c>
      <c r="G30" s="16">
        <f>VLOOKUP(C30,[1]master_data!$A$2:$E$495,4,FALSE)</f>
        <v>2500</v>
      </c>
      <c r="H30" s="16">
        <f>E30*F30</f>
        <v>15000</v>
      </c>
      <c r="I30" s="16">
        <f>E30*G30</f>
        <v>37500</v>
      </c>
      <c r="J30" s="16">
        <f>I30-H30</f>
        <v>22500</v>
      </c>
      <c r="K30" s="16" t="str">
        <f>VLOOKUP(C30,[1]master_data!$A$2:$E$495,5,FALSE)</f>
        <v>Ikan</v>
      </c>
      <c r="L30" s="1"/>
    </row>
    <row r="31" spans="1:12" ht="12" customHeight="1" x14ac:dyDescent="0.25">
      <c r="A31" s="15">
        <v>45288</v>
      </c>
      <c r="B31" s="16">
        <v>22302473</v>
      </c>
      <c r="C31" s="16" t="s">
        <v>450</v>
      </c>
      <c r="D31" s="16" t="str">
        <f>VLOOKUP(C31,[1]master_data!$A$2:$E$495,2,FALSE)</f>
        <v>SNOW WHITE</v>
      </c>
      <c r="E31" s="16">
        <v>25</v>
      </c>
      <c r="F31" s="16">
        <f>VLOOKUP(C31,[1]master_data!$A$2:$E$495,3,FALSE)</f>
        <v>1500</v>
      </c>
      <c r="G31" s="16">
        <f>VLOOKUP(C31,[1]master_data!$A$2:$E$495,4,FALSE)</f>
        <v>3000</v>
      </c>
      <c r="H31" s="16">
        <f>E31*F31</f>
        <v>37500</v>
      </c>
      <c r="I31" s="16">
        <f>E31*G31</f>
        <v>75000</v>
      </c>
      <c r="J31" s="16">
        <f>I31-H31</f>
        <v>37500</v>
      </c>
      <c r="K31" s="16" t="str">
        <f>VLOOKUP(C31,[1]master_data!$A$2:$E$495,5,FALSE)</f>
        <v>Ikan</v>
      </c>
      <c r="L31" s="1"/>
    </row>
    <row r="32" spans="1:12" ht="12" customHeight="1" x14ac:dyDescent="0.25">
      <c r="A32" s="15">
        <v>45288</v>
      </c>
      <c r="B32" s="16">
        <v>22302474</v>
      </c>
      <c r="C32" s="16" t="s">
        <v>141</v>
      </c>
      <c r="D32" s="16" t="str">
        <f>VLOOKUP(C32,[1]master_data!$A$2:$E$495,2,FALSE)</f>
        <v>LED YANG HW 30 CM</v>
      </c>
      <c r="E32" s="16">
        <v>2</v>
      </c>
      <c r="F32" s="16">
        <f>VLOOKUP(C32,[1]master_data!$A$2:$E$495,3,FALSE)</f>
        <v>56000</v>
      </c>
      <c r="G32" s="16">
        <f>VLOOKUP(C32,[1]master_data!$A$2:$E$495,4,FALSE)</f>
        <v>75000</v>
      </c>
      <c r="H32" s="16">
        <f>E32*F32</f>
        <v>112000</v>
      </c>
      <c r="I32" s="16">
        <f>E32*G32</f>
        <v>150000</v>
      </c>
      <c r="J32" s="16">
        <f>I32-H32</f>
        <v>38000</v>
      </c>
      <c r="K32" s="16" t="str">
        <f>VLOOKUP(C32,[1]master_data!$A$2:$E$495,5,FALSE)</f>
        <v>Aksesoris</v>
      </c>
      <c r="L32" s="1"/>
    </row>
    <row r="33" spans="1:12" ht="12" customHeight="1" x14ac:dyDescent="0.25">
      <c r="A33" s="15">
        <v>45288</v>
      </c>
      <c r="B33" s="16">
        <v>22302475</v>
      </c>
      <c r="C33" s="16" t="s">
        <v>416</v>
      </c>
      <c r="D33" s="16" t="str">
        <f>VLOOKUP(C33,[1]master_data!$A$2:$E$495,2,FALSE)</f>
        <v>KOI B</v>
      </c>
      <c r="E33" s="16">
        <v>1</v>
      </c>
      <c r="F33" s="16">
        <f>VLOOKUP(C33,[1]master_data!$A$2:$E$495,3,FALSE)</f>
        <v>9000</v>
      </c>
      <c r="G33" s="16">
        <f>VLOOKUP(C33,[1]master_data!$A$2:$E$495,4,FALSE)</f>
        <v>30000</v>
      </c>
      <c r="H33" s="16">
        <f>E33*F33</f>
        <v>9000</v>
      </c>
      <c r="I33" s="16">
        <f>E33*G33</f>
        <v>30000</v>
      </c>
      <c r="J33" s="16">
        <f>I33-H33</f>
        <v>21000</v>
      </c>
      <c r="K33" s="16" t="str">
        <f>VLOOKUP(C33,[1]master_data!$A$2:$E$495,5,FALSE)</f>
        <v>Ikan</v>
      </c>
      <c r="L33" s="1"/>
    </row>
    <row r="34" spans="1:12" ht="12" customHeight="1" x14ac:dyDescent="0.25">
      <c r="A34" s="15">
        <v>45288</v>
      </c>
      <c r="B34" s="16">
        <v>22302476</v>
      </c>
      <c r="C34" s="16" t="s">
        <v>438</v>
      </c>
      <c r="D34" s="16" t="str">
        <f>VLOOKUP(C34,[1]master_data!$A$2:$E$495,2,FALSE)</f>
        <v>OSCAR</v>
      </c>
      <c r="E34" s="16">
        <v>3</v>
      </c>
      <c r="F34" s="16">
        <f>VLOOKUP(C34,[1]master_data!$A$2:$E$495,3,FALSE)</f>
        <v>25000</v>
      </c>
      <c r="G34" s="16">
        <f>VLOOKUP(C34,[1]master_data!$A$2:$E$495,4,FALSE)</f>
        <v>50000</v>
      </c>
      <c r="H34" s="16">
        <f>E34*F34</f>
        <v>75000</v>
      </c>
      <c r="I34" s="16">
        <f>E34*G34</f>
        <v>150000</v>
      </c>
      <c r="J34" s="16">
        <f>I34-H34</f>
        <v>75000</v>
      </c>
      <c r="K34" s="16" t="str">
        <f>VLOOKUP(C34,[1]master_data!$A$2:$E$495,5,FALSE)</f>
        <v>Ikan</v>
      </c>
      <c r="L34" s="1"/>
    </row>
    <row r="35" spans="1:12" ht="12" customHeight="1" x14ac:dyDescent="0.25">
      <c r="A35" s="15">
        <v>45288</v>
      </c>
      <c r="B35" s="16">
        <v>22302477</v>
      </c>
      <c r="C35" s="16" t="s">
        <v>374</v>
      </c>
      <c r="D35" s="16" t="str">
        <f>VLOOKUP(C35,[1]master_data!$A$2:$E$495,2,FALSE)</f>
        <v>PASIR MERAH K</v>
      </c>
      <c r="E35" s="16">
        <v>1</v>
      </c>
      <c r="F35" s="16">
        <f>VLOOKUP(C35,[1]master_data!$A$2:$E$495,3,FALSE)</f>
        <v>2500</v>
      </c>
      <c r="G35" s="16">
        <f>VLOOKUP(C35,[1]master_data!$A$2:$E$495,4,FALSE)</f>
        <v>5000</v>
      </c>
      <c r="H35" s="16">
        <f>E35*F35</f>
        <v>2500</v>
      </c>
      <c r="I35" s="16">
        <f>E35*G35</f>
        <v>5000</v>
      </c>
      <c r="J35" s="16">
        <f>I35-H35</f>
        <v>2500</v>
      </c>
      <c r="K35" s="16" t="str">
        <f>VLOOKUP(C35,[1]master_data!$A$2:$E$495,5,FALSE)</f>
        <v>Aksesoris</v>
      </c>
      <c r="L35" s="1"/>
    </row>
    <row r="36" spans="1:12" ht="12" customHeight="1" x14ac:dyDescent="0.25">
      <c r="A36" s="15">
        <v>45287</v>
      </c>
      <c r="B36" s="16">
        <v>22302456</v>
      </c>
      <c r="C36" s="16" t="s">
        <v>450</v>
      </c>
      <c r="D36" s="16" t="str">
        <f>VLOOKUP(C36,[1]master_data!$A$2:$E$495,2,FALSE)</f>
        <v>SNOW WHITE</v>
      </c>
      <c r="E36" s="16">
        <v>10</v>
      </c>
      <c r="F36" s="16">
        <f>VLOOKUP(C36,[1]master_data!$A$2:$E$495,3,FALSE)</f>
        <v>1500</v>
      </c>
      <c r="G36" s="16">
        <f>VLOOKUP(C36,[1]master_data!$A$2:$E$495,4,FALSE)</f>
        <v>3000</v>
      </c>
      <c r="H36" s="16">
        <f>E36*F36</f>
        <v>15000</v>
      </c>
      <c r="I36" s="16">
        <f>E36*G36</f>
        <v>30000</v>
      </c>
      <c r="J36" s="16">
        <f>I36-H36</f>
        <v>15000</v>
      </c>
      <c r="K36" s="16" t="str">
        <f>VLOOKUP(C36,[1]master_data!$A$2:$E$495,5,FALSE)</f>
        <v>Ikan</v>
      </c>
      <c r="L36" s="1"/>
    </row>
    <row r="37" spans="1:12" ht="12" customHeight="1" x14ac:dyDescent="0.25">
      <c r="A37" s="15">
        <v>45287</v>
      </c>
      <c r="B37" s="16">
        <v>22302457</v>
      </c>
      <c r="C37" s="16" t="s">
        <v>406</v>
      </c>
      <c r="D37" s="16" t="str">
        <f>VLOOKUP(C37,[1]master_data!$A$2:$E$495,2,FALSE)</f>
        <v>CATFISH</v>
      </c>
      <c r="E37" s="16">
        <v>1</v>
      </c>
      <c r="F37" s="16">
        <f>VLOOKUP(C37,[1]master_data!$A$2:$E$495,3,FALSE)</f>
        <v>20000</v>
      </c>
      <c r="G37" s="16">
        <f>VLOOKUP(C37,[1]master_data!$A$2:$E$495,4,FALSE)</f>
        <v>50000</v>
      </c>
      <c r="H37" s="16">
        <f>E37*F37</f>
        <v>20000</v>
      </c>
      <c r="I37" s="16">
        <f>E37*G37</f>
        <v>50000</v>
      </c>
      <c r="J37" s="16">
        <f>I37-H37</f>
        <v>30000</v>
      </c>
      <c r="K37" s="16" t="str">
        <f>VLOOKUP(C37,[1]master_data!$A$2:$E$495,5,FALSE)</f>
        <v>Ikan</v>
      </c>
      <c r="L37" s="1"/>
    </row>
    <row r="38" spans="1:12" ht="12" customHeight="1" x14ac:dyDescent="0.25">
      <c r="A38" s="15">
        <v>45287</v>
      </c>
      <c r="B38" s="16">
        <v>22302458</v>
      </c>
      <c r="C38" s="16" t="s">
        <v>35</v>
      </c>
      <c r="D38" s="16" t="str">
        <f>VLOOKUP(C38,[1]master_data!$A$2:$E$495,2,FALSE)</f>
        <v>MESIN YAMANO 1800</v>
      </c>
      <c r="E38" s="16">
        <v>1</v>
      </c>
      <c r="F38" s="16">
        <f>VLOOKUP(C38,[1]master_data!$A$2:$E$495,3,FALSE)</f>
        <v>64000</v>
      </c>
      <c r="G38" s="16">
        <f>VLOOKUP(C38,[1]master_data!$A$2:$E$495,4,FALSE)</f>
        <v>110000</v>
      </c>
      <c r="H38" s="16">
        <f>E38*F38</f>
        <v>64000</v>
      </c>
      <c r="I38" s="16">
        <f>E38*G38</f>
        <v>110000</v>
      </c>
      <c r="J38" s="16">
        <f>I38-H38</f>
        <v>46000</v>
      </c>
      <c r="K38" s="16" t="str">
        <f>VLOOKUP(C38,[1]master_data!$A$2:$E$495,5,FALSE)</f>
        <v>Aksesoris</v>
      </c>
      <c r="L38" s="1"/>
    </row>
    <row r="39" spans="1:12" ht="12" customHeight="1" x14ac:dyDescent="0.25">
      <c r="A39" s="15">
        <v>45287</v>
      </c>
      <c r="B39" s="16">
        <v>22302459</v>
      </c>
      <c r="C39" s="16" t="s">
        <v>435</v>
      </c>
      <c r="D39" s="16" t="str">
        <f>VLOOKUP(C39,[1]master_data!$A$2:$E$495,2,FALSE)</f>
        <v>RED EYE TETRA</v>
      </c>
      <c r="E39" s="16">
        <v>25</v>
      </c>
      <c r="F39" s="16">
        <f>VLOOKUP(C39,[1]master_data!$A$2:$E$495,3,FALSE)</f>
        <v>900</v>
      </c>
      <c r="G39" s="16">
        <f>VLOOKUP(C39,[1]master_data!$A$2:$E$495,4,FALSE)</f>
        <v>2000</v>
      </c>
      <c r="H39" s="16">
        <f>E39*F39</f>
        <v>22500</v>
      </c>
      <c r="I39" s="16">
        <f>E39*G39</f>
        <v>50000</v>
      </c>
      <c r="J39" s="16">
        <f>I39-H39</f>
        <v>27500</v>
      </c>
      <c r="K39" s="16" t="str">
        <f>VLOOKUP(C39,[1]master_data!$A$2:$E$495,5,FALSE)</f>
        <v>Ikan</v>
      </c>
      <c r="L39" s="1"/>
    </row>
    <row r="40" spans="1:12" ht="12" customHeight="1" x14ac:dyDescent="0.25">
      <c r="A40" s="15">
        <v>45287</v>
      </c>
      <c r="B40" s="16">
        <v>22302460</v>
      </c>
      <c r="C40" s="16" t="s">
        <v>456</v>
      </c>
      <c r="D40" s="16" t="str">
        <f>VLOOKUP(C40,[1]master_data!$A$2:$E$495,2,FALSE)</f>
        <v>ZEBRA HIJAU</v>
      </c>
      <c r="E40" s="16">
        <v>15</v>
      </c>
      <c r="F40" s="16">
        <f>VLOOKUP(C40,[1]master_data!$A$2:$E$495,3,FALSE)</f>
        <v>800</v>
      </c>
      <c r="G40" s="16">
        <f>VLOOKUP(C40,[1]master_data!$A$2:$E$495,4,FALSE)</f>
        <v>2000</v>
      </c>
      <c r="H40" s="16">
        <f>E40*F40</f>
        <v>12000</v>
      </c>
      <c r="I40" s="16">
        <f>E40*G40</f>
        <v>30000</v>
      </c>
      <c r="J40" s="16">
        <f>I40-H40</f>
        <v>18000</v>
      </c>
      <c r="K40" s="16" t="str">
        <f>VLOOKUP(C40,[1]master_data!$A$2:$E$495,5,FALSE)</f>
        <v>Ikan</v>
      </c>
      <c r="L40" s="1"/>
    </row>
    <row r="41" spans="1:12" ht="12" customHeight="1" x14ac:dyDescent="0.25">
      <c r="A41" s="15">
        <v>45287</v>
      </c>
      <c r="B41" s="16">
        <v>22302461</v>
      </c>
      <c r="C41" s="16" t="s">
        <v>407</v>
      </c>
      <c r="D41" s="16" t="str">
        <f>VLOOKUP(C41,[1]master_data!$A$2:$E$495,2,FALSE)</f>
        <v>GOLD FISH</v>
      </c>
      <c r="E41" s="16">
        <v>25</v>
      </c>
      <c r="F41" s="16">
        <f>VLOOKUP(C41,[1]master_data!$A$2:$E$495,3,FALSE)</f>
        <v>800</v>
      </c>
      <c r="G41" s="16">
        <f>VLOOKUP(C41,[1]master_data!$A$2:$E$495,4,FALSE)</f>
        <v>2000</v>
      </c>
      <c r="H41" s="16">
        <f>E41*F41</f>
        <v>20000</v>
      </c>
      <c r="I41" s="16">
        <f>E41*G41</f>
        <v>50000</v>
      </c>
      <c r="J41" s="16">
        <f>I41-H41</f>
        <v>30000</v>
      </c>
      <c r="K41" s="16" t="str">
        <f>VLOOKUP(C41,[1]master_data!$A$2:$E$495,5,FALSE)</f>
        <v>Ikan</v>
      </c>
      <c r="L41" s="1"/>
    </row>
    <row r="42" spans="1:12" ht="12" customHeight="1" x14ac:dyDescent="0.25">
      <c r="A42" s="15">
        <v>45287</v>
      </c>
      <c r="B42" s="16">
        <v>22302462</v>
      </c>
      <c r="C42" s="16" t="s">
        <v>408</v>
      </c>
      <c r="D42" s="16" t="str">
        <f>VLOOKUP(C42,[1]master_data!$A$2:$E$495,2,FALSE)</f>
        <v>GUPY</v>
      </c>
      <c r="E42" s="16">
        <v>10</v>
      </c>
      <c r="F42" s="16">
        <f>VLOOKUP(C42,[1]master_data!$A$2:$E$495,3,FALSE)</f>
        <v>1200</v>
      </c>
      <c r="G42" s="16">
        <f>VLOOKUP(C42,[1]master_data!$A$2:$E$495,4,FALSE)</f>
        <v>2500</v>
      </c>
      <c r="H42" s="16">
        <f>E42*F42</f>
        <v>12000</v>
      </c>
      <c r="I42" s="16">
        <f>E42*G42</f>
        <v>25000</v>
      </c>
      <c r="J42" s="16">
        <f>I42-H42</f>
        <v>13000</v>
      </c>
      <c r="K42" s="16" t="str">
        <f>VLOOKUP(C42,[1]master_data!$A$2:$E$495,5,FALSE)</f>
        <v>Ikan</v>
      </c>
      <c r="L42" s="1"/>
    </row>
    <row r="43" spans="1:12" ht="12" customHeight="1" x14ac:dyDescent="0.25">
      <c r="A43" s="15">
        <v>45287</v>
      </c>
      <c r="B43" s="16">
        <v>22302463</v>
      </c>
      <c r="C43" s="16" t="s">
        <v>399</v>
      </c>
      <c r="D43" s="16" t="str">
        <f>VLOOKUP(C43,[1]master_data!$A$2:$E$495,2,FALSE)</f>
        <v>BALA BALA B</v>
      </c>
      <c r="E43" s="16">
        <v>5</v>
      </c>
      <c r="F43" s="16">
        <f>VLOOKUP(C43,[1]master_data!$A$2:$E$495,3,FALSE)</f>
        <v>7000</v>
      </c>
      <c r="G43" s="16">
        <f>VLOOKUP(C43,[1]master_data!$A$2:$E$495,4,FALSE)</f>
        <v>15000</v>
      </c>
      <c r="H43" s="16">
        <f>E43*F43</f>
        <v>35000</v>
      </c>
      <c r="I43" s="16">
        <f>E43*G43</f>
        <v>75000</v>
      </c>
      <c r="J43" s="16">
        <f>I43-H43</f>
        <v>40000</v>
      </c>
      <c r="K43" s="16" t="str">
        <f>VLOOKUP(C43,[1]master_data!$A$2:$E$495,5,FALSE)</f>
        <v>Ikan</v>
      </c>
      <c r="L43" s="1"/>
    </row>
    <row r="44" spans="1:12" ht="12" customHeight="1" x14ac:dyDescent="0.25">
      <c r="A44" s="15">
        <v>45287</v>
      </c>
      <c r="B44" s="16">
        <v>22302464</v>
      </c>
      <c r="C44" s="16" t="s">
        <v>218</v>
      </c>
      <c r="D44" s="16" t="str">
        <f>VLOOKUP(C44,[1]master_data!$A$2:$E$495,2,FALSE)</f>
        <v>HIRO COLOUR</v>
      </c>
      <c r="E44" s="16">
        <v>5</v>
      </c>
      <c r="F44" s="16">
        <f>VLOOKUP(C44,[1]master_data!$A$2:$E$495,3,FALSE)</f>
        <v>72000</v>
      </c>
      <c r="G44" s="16">
        <f>VLOOKUP(C44,[1]master_data!$A$2:$E$495,4,FALSE)</f>
        <v>80000</v>
      </c>
      <c r="H44" s="16">
        <f>E44*F44</f>
        <v>360000</v>
      </c>
      <c r="I44" s="16">
        <f>E44*G44</f>
        <v>400000</v>
      </c>
      <c r="J44" s="16">
        <f>I44-H44</f>
        <v>40000</v>
      </c>
      <c r="K44" s="16" t="str">
        <f>VLOOKUP(C44,[1]master_data!$A$2:$E$495,5,FALSE)</f>
        <v>Aksesoris</v>
      </c>
      <c r="L44" s="1"/>
    </row>
    <row r="45" spans="1:12" ht="12" customHeight="1" x14ac:dyDescent="0.25">
      <c r="A45" s="15">
        <v>45287</v>
      </c>
      <c r="B45" s="16">
        <v>22302465</v>
      </c>
      <c r="C45" s="16" t="s">
        <v>262</v>
      </c>
      <c r="D45" s="16" t="str">
        <f>VLOOKUP(C45,[1]master_data!$A$2:$E$495,2,FALSE)</f>
        <v>CORNER FILTER MULTI NAVIGATOR</v>
      </c>
      <c r="E45" s="16">
        <v>5</v>
      </c>
      <c r="F45" s="16">
        <f>VLOOKUP(C45,[1]master_data!$A$2:$E$495,3,FALSE)</f>
        <v>21000</v>
      </c>
      <c r="G45" s="16">
        <f>VLOOKUP(C45,[1]master_data!$A$2:$E$495,4,FALSE)</f>
        <v>30000</v>
      </c>
      <c r="H45" s="16">
        <f>E45*F45</f>
        <v>105000</v>
      </c>
      <c r="I45" s="16">
        <f>E45*G45</f>
        <v>150000</v>
      </c>
      <c r="J45" s="16">
        <f>I45-H45</f>
        <v>45000</v>
      </c>
      <c r="K45" s="16" t="str">
        <f>VLOOKUP(C45,[1]master_data!$A$2:$E$495,5,FALSE)</f>
        <v>Aksesoris</v>
      </c>
      <c r="L45" s="1"/>
    </row>
    <row r="46" spans="1:12" ht="12" customHeight="1" x14ac:dyDescent="0.25">
      <c r="A46" s="15">
        <v>45287</v>
      </c>
      <c r="B46" s="16">
        <v>22302466</v>
      </c>
      <c r="C46" s="16" t="s">
        <v>49</v>
      </c>
      <c r="D46" s="16" t="str">
        <f>VLOOKUP(C46,[1]master_data!$A$2:$E$495,2,FALSE)</f>
        <v>TOP FILTER NIKITA K</v>
      </c>
      <c r="E46" s="16">
        <v>1</v>
      </c>
      <c r="F46" s="16">
        <f>VLOOKUP(C46,[1]master_data!$A$2:$E$495,3,FALSE)</f>
        <v>36000</v>
      </c>
      <c r="G46" s="16">
        <f>VLOOKUP(C46,[1]master_data!$A$2:$E$495,4,FALSE)</f>
        <v>55000</v>
      </c>
      <c r="H46" s="16">
        <f>E46*F46</f>
        <v>36000</v>
      </c>
      <c r="I46" s="16">
        <f>E46*G46</f>
        <v>55000</v>
      </c>
      <c r="J46" s="16">
        <f>I46-H46</f>
        <v>19000</v>
      </c>
      <c r="K46" s="16" t="str">
        <f>VLOOKUP(C46,[1]master_data!$A$2:$E$495,5,FALSE)</f>
        <v>Aksesoris</v>
      </c>
      <c r="L46" s="1"/>
    </row>
    <row r="47" spans="1:12" ht="12" customHeight="1" x14ac:dyDescent="0.25">
      <c r="A47" s="15">
        <v>45287</v>
      </c>
      <c r="B47" s="16">
        <v>22302467</v>
      </c>
      <c r="C47" s="16" t="s">
        <v>282</v>
      </c>
      <c r="D47" s="16" t="str">
        <f>VLOOKUP(C47,[1]master_data!$A$2:$E$495,2,FALSE)</f>
        <v>HIASAN KELAPA</v>
      </c>
      <c r="E47" s="16">
        <v>1</v>
      </c>
      <c r="F47" s="16">
        <f>VLOOKUP(C47,[1]master_data!$A$2:$E$495,3,FALSE)</f>
        <v>8000</v>
      </c>
      <c r="G47" s="16">
        <f>VLOOKUP(C47,[1]master_data!$A$2:$E$495,4,FALSE)</f>
        <v>15000</v>
      </c>
      <c r="H47" s="16">
        <f>E47*F47</f>
        <v>8000</v>
      </c>
      <c r="I47" s="16">
        <f>E47*G47</f>
        <v>15000</v>
      </c>
      <c r="J47" s="16">
        <f>I47-H47</f>
        <v>7000</v>
      </c>
      <c r="K47" s="16" t="str">
        <f>VLOOKUP(C47,[1]master_data!$A$2:$E$495,5,FALSE)</f>
        <v>Aksesoris</v>
      </c>
      <c r="L47" s="1"/>
    </row>
    <row r="48" spans="1:12" ht="12" customHeight="1" x14ac:dyDescent="0.25">
      <c r="A48" s="15">
        <v>45287</v>
      </c>
      <c r="B48" s="16">
        <v>22302468</v>
      </c>
      <c r="C48" s="16" t="s">
        <v>439</v>
      </c>
      <c r="D48" s="16" t="str">
        <f>VLOOKUP(C48,[1]master_data!$A$2:$E$495,2,FALSE)</f>
        <v>PEMBERSIH KACA BIASA</v>
      </c>
      <c r="E48" s="16">
        <v>1</v>
      </c>
      <c r="F48" s="16">
        <f>VLOOKUP(C48,[1]master_data!$A$2:$E$495,3,FALSE)</f>
        <v>2000</v>
      </c>
      <c r="G48" s="16">
        <f>VLOOKUP(C48,[1]master_data!$A$2:$E$495,4,FALSE)</f>
        <v>5000</v>
      </c>
      <c r="H48" s="16">
        <f>E48*F48</f>
        <v>2000</v>
      </c>
      <c r="I48" s="16">
        <f>E48*G48</f>
        <v>5000</v>
      </c>
      <c r="J48" s="16">
        <f>I48-H48</f>
        <v>3000</v>
      </c>
      <c r="K48" s="16" t="str">
        <f>VLOOKUP(C48,[1]master_data!$A$2:$E$495,5,FALSE)</f>
        <v>Ikan</v>
      </c>
      <c r="L48" s="1"/>
    </row>
    <row r="49" spans="1:12" ht="12" customHeight="1" x14ac:dyDescent="0.25">
      <c r="A49" s="15">
        <v>45286</v>
      </c>
      <c r="B49" s="16">
        <v>22302452</v>
      </c>
      <c r="C49" s="16" t="s">
        <v>426</v>
      </c>
      <c r="D49" s="16" t="str">
        <f>VLOOKUP(C49,[1]master_data!$A$2:$E$495,2,FALSE)</f>
        <v>LOUHAN</v>
      </c>
      <c r="E49" s="16">
        <v>2</v>
      </c>
      <c r="F49" s="16">
        <f>VLOOKUP(C49,[1]master_data!$A$2:$E$495,3,FALSE)</f>
        <v>85000</v>
      </c>
      <c r="G49" s="16">
        <f>VLOOKUP(C49,[1]master_data!$A$2:$E$495,4,FALSE)</f>
        <v>200000</v>
      </c>
      <c r="H49" s="16">
        <f>E49*F49</f>
        <v>170000</v>
      </c>
      <c r="I49" s="16">
        <f>E49*G49</f>
        <v>400000</v>
      </c>
      <c r="J49" s="16">
        <f>I49-H49</f>
        <v>230000</v>
      </c>
      <c r="K49" s="16" t="str">
        <f>VLOOKUP(C49,[1]master_data!$A$2:$E$495,5,FALSE)</f>
        <v>Ikan</v>
      </c>
      <c r="L49" s="1"/>
    </row>
    <row r="50" spans="1:12" ht="12" customHeight="1" x14ac:dyDescent="0.25">
      <c r="A50" s="15">
        <v>45286</v>
      </c>
      <c r="B50" s="16">
        <v>22302453</v>
      </c>
      <c r="C50" s="16" t="s">
        <v>199</v>
      </c>
      <c r="D50" s="16" t="str">
        <f>VLOOKUP(C50,[1]master_data!$A$2:$E$495,2,FALSE)</f>
        <v>AKARI PREMIUM BLUE</v>
      </c>
      <c r="E50" s="16">
        <v>10</v>
      </c>
      <c r="F50" s="16">
        <f>VLOOKUP(C50,[1]master_data!$A$2:$E$495,3,FALSE)</f>
        <v>37000</v>
      </c>
      <c r="G50" s="16">
        <f>VLOOKUP(C50,[1]master_data!$A$2:$E$495,4,FALSE)</f>
        <v>50000</v>
      </c>
      <c r="H50" s="16">
        <f>E50*F50</f>
        <v>370000</v>
      </c>
      <c r="I50" s="16">
        <f>E50*G50</f>
        <v>500000</v>
      </c>
      <c r="J50" s="16">
        <f>I50-H50</f>
        <v>130000</v>
      </c>
      <c r="K50" s="16" t="str">
        <f>VLOOKUP(C50,[1]master_data!$A$2:$E$495,5,FALSE)</f>
        <v>Aksesoris</v>
      </c>
      <c r="L50" s="1"/>
    </row>
    <row r="51" spans="1:12" ht="12" customHeight="1" x14ac:dyDescent="0.25">
      <c r="A51" s="15">
        <v>45286</v>
      </c>
      <c r="B51" s="16">
        <v>22302454</v>
      </c>
      <c r="C51" s="16" t="s">
        <v>188</v>
      </c>
      <c r="D51" s="16" t="str">
        <f>VLOOKUP(C51,[1]master_data!$A$2:$E$495,2,FALSE)</f>
        <v>LED KANDILA PRO RED ECO 30 CM</v>
      </c>
      <c r="E51" s="16">
        <v>3</v>
      </c>
      <c r="F51" s="16">
        <f>VLOOKUP(C51,[1]master_data!$A$2:$E$495,3,FALSE)</f>
        <v>40000</v>
      </c>
      <c r="G51" s="16">
        <f>VLOOKUP(C51,[1]master_data!$A$2:$E$495,4,FALSE)</f>
        <v>60000</v>
      </c>
      <c r="H51" s="16">
        <f>E51*F51</f>
        <v>120000</v>
      </c>
      <c r="I51" s="16">
        <f>E51*G51</f>
        <v>180000</v>
      </c>
      <c r="J51" s="16">
        <f>I51-H51</f>
        <v>60000</v>
      </c>
      <c r="K51" s="16" t="str">
        <f>VLOOKUP(C51,[1]master_data!$A$2:$E$495,5,FALSE)</f>
        <v>Aksesoris</v>
      </c>
      <c r="L51" s="1"/>
    </row>
    <row r="52" spans="1:12" ht="12" customHeight="1" x14ac:dyDescent="0.25">
      <c r="A52" s="15">
        <v>45286</v>
      </c>
      <c r="B52" s="16">
        <v>22302455</v>
      </c>
      <c r="C52" s="16" t="s">
        <v>431</v>
      </c>
      <c r="D52" s="16" t="str">
        <f>VLOOKUP(C52,[1]master_data!$A$2:$E$495,2,FALSE)</f>
        <v>MARU B</v>
      </c>
      <c r="E52" s="16">
        <v>2</v>
      </c>
      <c r="F52" s="16">
        <f>VLOOKUP(C52,[1]master_data!$A$2:$E$495,3,FALSE)</f>
        <v>90000</v>
      </c>
      <c r="G52" s="16">
        <f>VLOOKUP(C52,[1]master_data!$A$2:$E$495,4,FALSE)</f>
        <v>150000</v>
      </c>
      <c r="H52" s="16">
        <f>E52*F52</f>
        <v>180000</v>
      </c>
      <c r="I52" s="16">
        <f>E52*G52</f>
        <v>300000</v>
      </c>
      <c r="J52" s="16">
        <f>I52-H52</f>
        <v>120000</v>
      </c>
      <c r="K52" s="16" t="str">
        <f>VLOOKUP(C52,[1]master_data!$A$2:$E$495,5,FALSE)</f>
        <v>Ikan</v>
      </c>
      <c r="L52" s="1"/>
    </row>
    <row r="53" spans="1:12" ht="12" customHeight="1" x14ac:dyDescent="0.25">
      <c r="A53" s="15">
        <v>45285</v>
      </c>
      <c r="B53" s="16">
        <v>22302444</v>
      </c>
      <c r="C53" s="16" t="s">
        <v>124</v>
      </c>
      <c r="D53" s="16" t="str">
        <f>VLOOKUP(C53,[1]master_data!$A$2:$E$495,2,FALSE)</f>
        <v>LED ROSTON 3 MODE 60 CM</v>
      </c>
      <c r="E53" s="16">
        <v>2</v>
      </c>
      <c r="F53" s="16">
        <f>VLOOKUP(C53,[1]master_data!$A$2:$E$495,3,FALSE)</f>
        <v>33000</v>
      </c>
      <c r="G53" s="16">
        <f>VLOOKUP(C53,[1]master_data!$A$2:$E$495,4,FALSE)</f>
        <v>70000</v>
      </c>
      <c r="H53" s="16">
        <f>E53*F53</f>
        <v>66000</v>
      </c>
      <c r="I53" s="16">
        <f>E53*G53</f>
        <v>140000</v>
      </c>
      <c r="J53" s="16">
        <f>I53-H53</f>
        <v>74000</v>
      </c>
      <c r="K53" s="16" t="str">
        <f>VLOOKUP(C53,[1]master_data!$A$2:$E$495,5,FALSE)</f>
        <v>Aksesoris</v>
      </c>
      <c r="L53" s="1"/>
    </row>
    <row r="54" spans="1:12" ht="12" customHeight="1" x14ac:dyDescent="0.25">
      <c r="A54" s="15">
        <v>45285</v>
      </c>
      <c r="B54" s="16">
        <v>22302445</v>
      </c>
      <c r="C54" s="16" t="s">
        <v>288</v>
      </c>
      <c r="D54" s="16" t="str">
        <f>VLOOKUP(C54,[1]master_data!$A$2:$E$495,2,FALSE)</f>
        <v>JARING 8</v>
      </c>
      <c r="E54" s="16">
        <v>25</v>
      </c>
      <c r="F54" s="16">
        <f>VLOOKUP(C54,[1]master_data!$A$2:$E$495,3,FALSE)</f>
        <v>3000</v>
      </c>
      <c r="G54" s="16">
        <f>VLOOKUP(C54,[1]master_data!$A$2:$E$495,4,FALSE)</f>
        <v>5000</v>
      </c>
      <c r="H54" s="16">
        <f>E54*F54</f>
        <v>75000</v>
      </c>
      <c r="I54" s="16">
        <f>E54*G54</f>
        <v>125000</v>
      </c>
      <c r="J54" s="16">
        <f>I54-H54</f>
        <v>50000</v>
      </c>
      <c r="K54" s="16" t="str">
        <f>VLOOKUP(C54,[1]master_data!$A$2:$E$495,5,FALSE)</f>
        <v>Aksesoris</v>
      </c>
      <c r="L54" s="1"/>
    </row>
    <row r="55" spans="1:12" ht="12" customHeight="1" x14ac:dyDescent="0.25">
      <c r="A55" s="15">
        <v>45285</v>
      </c>
      <c r="B55" s="16">
        <v>22302446</v>
      </c>
      <c r="C55" s="16" t="s">
        <v>372</v>
      </c>
      <c r="D55" s="16" t="str">
        <f>VLOOKUP(C55,[1]master_data!$A$2:$E$495,2,FALSE)</f>
        <v>SOLITER C2</v>
      </c>
      <c r="E55" s="16">
        <v>1</v>
      </c>
      <c r="F55" s="16">
        <f>VLOOKUP(C55,[1]master_data!$A$2:$E$495,3,FALSE)</f>
        <v>60000</v>
      </c>
      <c r="G55" s="16">
        <f>VLOOKUP(C55,[1]master_data!$A$2:$E$495,4,FALSE)</f>
        <v>85000</v>
      </c>
      <c r="H55" s="16">
        <f>E55*F55</f>
        <v>60000</v>
      </c>
      <c r="I55" s="16">
        <f>E55*G55</f>
        <v>85000</v>
      </c>
      <c r="J55" s="16">
        <f>I55-H55</f>
        <v>25000</v>
      </c>
      <c r="K55" s="16" t="str">
        <f>VLOOKUP(C55,[1]master_data!$A$2:$E$495,5,FALSE)</f>
        <v>Aksesoris</v>
      </c>
      <c r="L55" s="1"/>
    </row>
    <row r="56" spans="1:12" ht="12" customHeight="1" x14ac:dyDescent="0.25">
      <c r="A56" s="15">
        <v>45285</v>
      </c>
      <c r="B56" s="16">
        <v>22302447</v>
      </c>
      <c r="C56" s="16" t="s">
        <v>434</v>
      </c>
      <c r="D56" s="16" t="str">
        <f>VLOOKUP(C56,[1]master_data!$A$2:$E$495,2,FALSE)</f>
        <v>NIASA</v>
      </c>
      <c r="E56" s="16">
        <v>10</v>
      </c>
      <c r="F56" s="16">
        <f>VLOOKUP(C56,[1]master_data!$A$2:$E$495,3,FALSE)</f>
        <v>900</v>
      </c>
      <c r="G56" s="16">
        <f>VLOOKUP(C56,[1]master_data!$A$2:$E$495,4,FALSE)</f>
        <v>2000</v>
      </c>
      <c r="H56" s="16">
        <f>E56*F56</f>
        <v>9000</v>
      </c>
      <c r="I56" s="16">
        <f>E56*G56</f>
        <v>20000</v>
      </c>
      <c r="J56" s="16">
        <f>I56-H56</f>
        <v>11000</v>
      </c>
      <c r="K56" s="16" t="str">
        <f>VLOOKUP(C56,[1]master_data!$A$2:$E$495,5,FALSE)</f>
        <v>Ikan</v>
      </c>
      <c r="L56" s="1"/>
    </row>
    <row r="57" spans="1:12" ht="12" customHeight="1" x14ac:dyDescent="0.25">
      <c r="A57" s="15">
        <v>45285</v>
      </c>
      <c r="B57" s="16">
        <v>22302448</v>
      </c>
      <c r="C57" s="16" t="s">
        <v>442</v>
      </c>
      <c r="D57" s="16" t="str">
        <f>VLOOKUP(C57,[1]master_data!$A$2:$E$495,2,FALSE)</f>
        <v>PARROT</v>
      </c>
      <c r="E57" s="16">
        <v>4</v>
      </c>
      <c r="F57" s="16">
        <f>VLOOKUP(C57,[1]master_data!$A$2:$E$495,3,FALSE)</f>
        <v>27000</v>
      </c>
      <c r="G57" s="16">
        <f>VLOOKUP(C57,[1]master_data!$A$2:$E$495,4,FALSE)</f>
        <v>60000</v>
      </c>
      <c r="H57" s="16">
        <f>E57*F57</f>
        <v>108000</v>
      </c>
      <c r="I57" s="16">
        <f>E57*G57</f>
        <v>240000</v>
      </c>
      <c r="J57" s="16">
        <f>I57-H57</f>
        <v>132000</v>
      </c>
      <c r="K57" s="16" t="str">
        <f>VLOOKUP(C57,[1]master_data!$A$2:$E$495,5,FALSE)</f>
        <v>Ikan</v>
      </c>
      <c r="L57" s="1"/>
    </row>
    <row r="58" spans="1:12" ht="12" customHeight="1" x14ac:dyDescent="0.25">
      <c r="A58" s="15">
        <v>45285</v>
      </c>
      <c r="B58" s="16">
        <v>22302449</v>
      </c>
      <c r="C58" s="16" t="s">
        <v>198</v>
      </c>
      <c r="D58" s="16" t="str">
        <f>VLOOKUP(C58,[1]master_data!$A$2:$E$495,2,FALSE)</f>
        <v>AKARI PREMIUM YELLOW</v>
      </c>
      <c r="E58" s="16">
        <v>1</v>
      </c>
      <c r="F58" s="16">
        <f>VLOOKUP(C58,[1]master_data!$A$2:$E$495,3,FALSE)</f>
        <v>37000</v>
      </c>
      <c r="G58" s="16">
        <f>VLOOKUP(C58,[1]master_data!$A$2:$E$495,4,FALSE)</f>
        <v>50000</v>
      </c>
      <c r="H58" s="16">
        <f>E58*F58</f>
        <v>37000</v>
      </c>
      <c r="I58" s="16">
        <f>E58*G58</f>
        <v>50000</v>
      </c>
      <c r="J58" s="16">
        <f>I58-H58</f>
        <v>13000</v>
      </c>
      <c r="K58" s="16" t="str">
        <f>VLOOKUP(C58,[1]master_data!$A$2:$E$495,5,FALSE)</f>
        <v>Aksesoris</v>
      </c>
      <c r="L58" s="1"/>
    </row>
    <row r="59" spans="1:12" ht="12" customHeight="1" x14ac:dyDescent="0.25">
      <c r="A59" s="15">
        <v>45285</v>
      </c>
      <c r="B59" s="16">
        <v>22302450</v>
      </c>
      <c r="C59" s="16" t="s">
        <v>404</v>
      </c>
      <c r="D59" s="16" t="str">
        <f>VLOOKUP(C59,[1]master_data!$A$2:$E$495,2,FALSE)</f>
        <v>BARBIR</v>
      </c>
      <c r="E59" s="16">
        <v>7</v>
      </c>
      <c r="F59" s="16">
        <f>VLOOKUP(C59,[1]master_data!$A$2:$E$495,3,FALSE)</f>
        <v>800</v>
      </c>
      <c r="G59" s="16">
        <f>VLOOKUP(C59,[1]master_data!$A$2:$E$495,4,FALSE)</f>
        <v>2000</v>
      </c>
      <c r="H59" s="16">
        <f>E59*F59</f>
        <v>5600</v>
      </c>
      <c r="I59" s="16">
        <f>E59*G59</f>
        <v>14000</v>
      </c>
      <c r="J59" s="16">
        <f>I59-H59</f>
        <v>8400</v>
      </c>
      <c r="K59" s="16" t="str">
        <f>VLOOKUP(C59,[1]master_data!$A$2:$E$495,5,FALSE)</f>
        <v>Ikan</v>
      </c>
      <c r="L59" s="1"/>
    </row>
    <row r="60" spans="1:12" ht="12" customHeight="1" x14ac:dyDescent="0.25">
      <c r="A60" s="15">
        <v>45285</v>
      </c>
      <c r="B60" s="16">
        <v>22302451</v>
      </c>
      <c r="C60" s="16" t="s">
        <v>414</v>
      </c>
      <c r="D60" s="16" t="str">
        <f>VLOOKUP(C60,[1]master_data!$A$2:$E$495,2,FALSE)</f>
        <v>KOI K</v>
      </c>
      <c r="E60" s="16">
        <v>1</v>
      </c>
      <c r="F60" s="16">
        <f>VLOOKUP(C60,[1]master_data!$A$2:$E$495,3,FALSE)</f>
        <v>2500</v>
      </c>
      <c r="G60" s="16">
        <f>VLOOKUP(C60,[1]master_data!$A$2:$E$495,4,FALSE)</f>
        <v>10000</v>
      </c>
      <c r="H60" s="16">
        <f>E60*F60</f>
        <v>2500</v>
      </c>
      <c r="I60" s="16">
        <f>E60*G60</f>
        <v>10000</v>
      </c>
      <c r="J60" s="16">
        <f>I60-H60</f>
        <v>7500</v>
      </c>
      <c r="K60" s="16" t="str">
        <f>VLOOKUP(C60,[1]master_data!$A$2:$E$495,5,FALSE)</f>
        <v>Ikan</v>
      </c>
      <c r="L60" s="1"/>
    </row>
    <row r="61" spans="1:12" ht="12" customHeight="1" x14ac:dyDescent="0.25">
      <c r="A61" s="15">
        <v>45284</v>
      </c>
      <c r="B61" s="16">
        <v>22302436</v>
      </c>
      <c r="C61" s="16" t="s">
        <v>429</v>
      </c>
      <c r="D61" s="16" t="str">
        <f>VLOOKUP(C61,[1]master_data!$A$2:$E$495,2,FALSE)</f>
        <v>MANFISH B</v>
      </c>
      <c r="E61" s="16">
        <v>25</v>
      </c>
      <c r="F61" s="16">
        <f>VLOOKUP(C61,[1]master_data!$A$2:$E$495,3,FALSE)</f>
        <v>4000</v>
      </c>
      <c r="G61" s="16">
        <f>VLOOKUP(C61,[1]master_data!$A$2:$E$495,4,FALSE)</f>
        <v>10000</v>
      </c>
      <c r="H61" s="16">
        <f>E61*F61</f>
        <v>100000</v>
      </c>
      <c r="I61" s="16">
        <f>E61*G61</f>
        <v>250000</v>
      </c>
      <c r="J61" s="16">
        <f>I61-H61</f>
        <v>150000</v>
      </c>
      <c r="K61" s="16" t="str">
        <f>VLOOKUP(C61,[1]master_data!$A$2:$E$495,5,FALSE)</f>
        <v>Ikan</v>
      </c>
      <c r="L61" s="1"/>
    </row>
    <row r="62" spans="1:12" ht="12" customHeight="1" x14ac:dyDescent="0.25">
      <c r="A62" s="15">
        <v>45284</v>
      </c>
      <c r="B62" s="16">
        <v>22302437</v>
      </c>
      <c r="C62" s="16" t="s">
        <v>24</v>
      </c>
      <c r="D62" s="16" t="str">
        <f>VLOOKUP(C62,[1]master_data!$A$2:$E$495,2,FALSE)</f>
        <v>MESIN ROSTON 104</v>
      </c>
      <c r="E62" s="16">
        <v>2</v>
      </c>
      <c r="F62" s="16">
        <f>VLOOKUP(C62,[1]master_data!$A$2:$E$495,3,FALSE)</f>
        <v>55000</v>
      </c>
      <c r="G62" s="16">
        <f>VLOOKUP(C62,[1]master_data!$A$2:$E$495,4,FALSE)</f>
        <v>90000</v>
      </c>
      <c r="H62" s="16">
        <f>E62*F62</f>
        <v>110000</v>
      </c>
      <c r="I62" s="16">
        <f>E62*G62</f>
        <v>180000</v>
      </c>
      <c r="J62" s="16">
        <f>I62-H62</f>
        <v>70000</v>
      </c>
      <c r="K62" s="16" t="str">
        <f>VLOOKUP(C62,[1]master_data!$A$2:$E$495,5,FALSE)</f>
        <v>Aksesoris</v>
      </c>
      <c r="L62" s="1"/>
    </row>
    <row r="63" spans="1:12" ht="12" customHeight="1" x14ac:dyDescent="0.25">
      <c r="A63" s="15">
        <v>45284</v>
      </c>
      <c r="B63" s="16">
        <v>22302438</v>
      </c>
      <c r="C63" s="16" t="s">
        <v>409</v>
      </c>
      <c r="D63" s="16" t="str">
        <f>VLOOKUP(C63,[1]master_data!$A$2:$E$495,2,FALSE)</f>
        <v>GOLDEN BLACK</v>
      </c>
      <c r="E63" s="16">
        <v>20</v>
      </c>
      <c r="F63" s="16">
        <f>VLOOKUP(C63,[1]master_data!$A$2:$E$495,3,FALSE)</f>
        <v>800</v>
      </c>
      <c r="G63" s="16">
        <f>VLOOKUP(C63,[1]master_data!$A$2:$E$495,4,FALSE)</f>
        <v>2000</v>
      </c>
      <c r="H63" s="16">
        <f>E63*F63</f>
        <v>16000</v>
      </c>
      <c r="I63" s="16">
        <f>E63*G63</f>
        <v>40000</v>
      </c>
      <c r="J63" s="16">
        <f>I63-H63</f>
        <v>24000</v>
      </c>
      <c r="K63" s="16" t="str">
        <f>VLOOKUP(C63,[1]master_data!$A$2:$E$495,5,FALSE)</f>
        <v>Ikan</v>
      </c>
      <c r="L63" s="1"/>
    </row>
    <row r="64" spans="1:12" ht="12" customHeight="1" x14ac:dyDescent="0.25">
      <c r="A64" s="15">
        <v>45284</v>
      </c>
      <c r="B64" s="16">
        <v>22302439</v>
      </c>
      <c r="C64" s="16" t="s">
        <v>443</v>
      </c>
      <c r="D64" s="16" t="str">
        <f>VLOOKUP(C64,[1]master_data!$A$2:$E$495,2,FALSE)</f>
        <v>PESO</v>
      </c>
      <c r="E64" s="16">
        <v>2</v>
      </c>
      <c r="F64" s="16">
        <f>VLOOKUP(C64,[1]master_data!$A$2:$E$495,3,FALSE)</f>
        <v>19000</v>
      </c>
      <c r="G64" s="16">
        <f>VLOOKUP(C64,[1]master_data!$A$2:$E$495,4,FALSE)</f>
        <v>40000</v>
      </c>
      <c r="H64" s="16">
        <f>E64*F64</f>
        <v>38000</v>
      </c>
      <c r="I64" s="16">
        <f>E64*G64</f>
        <v>80000</v>
      </c>
      <c r="J64" s="16">
        <f>I64-H64</f>
        <v>42000</v>
      </c>
      <c r="K64" s="16" t="str">
        <f>VLOOKUP(C64,[1]master_data!$A$2:$E$495,5,FALSE)</f>
        <v>Ikan</v>
      </c>
      <c r="L64" s="1"/>
    </row>
    <row r="65" spans="1:12" ht="12" customHeight="1" x14ac:dyDescent="0.25">
      <c r="A65" s="15">
        <v>45284</v>
      </c>
      <c r="B65" s="16">
        <v>22302440</v>
      </c>
      <c r="C65" s="16" t="s">
        <v>459</v>
      </c>
      <c r="D65" s="16" t="str">
        <f>VLOOKUP(C65,[1]master_data!$A$2:$E$495,2,FALSE)</f>
        <v>SEPAT</v>
      </c>
      <c r="E65" s="16">
        <v>14</v>
      </c>
      <c r="F65" s="16">
        <f>VLOOKUP(C65,[1]master_data!$A$2:$E$495,3,FALSE)</f>
        <v>600</v>
      </c>
      <c r="G65" s="16">
        <f>VLOOKUP(C65,[1]master_data!$A$2:$E$495,4,FALSE)</f>
        <v>2000</v>
      </c>
      <c r="H65" s="16">
        <f>E65*F65</f>
        <v>8400</v>
      </c>
      <c r="I65" s="16">
        <f>E65*G65</f>
        <v>28000</v>
      </c>
      <c r="J65" s="16">
        <f>I65-H65</f>
        <v>19600</v>
      </c>
      <c r="K65" s="16" t="str">
        <f>VLOOKUP(C65,[1]master_data!$A$2:$E$495,5,FALSE)</f>
        <v>Ikan</v>
      </c>
      <c r="L65" s="1"/>
    </row>
    <row r="66" spans="1:12" ht="12" customHeight="1" x14ac:dyDescent="0.25">
      <c r="A66" s="15">
        <v>45284</v>
      </c>
      <c r="B66" s="16">
        <v>22302441</v>
      </c>
      <c r="C66" s="16" t="s">
        <v>432</v>
      </c>
      <c r="D66" s="16" t="str">
        <f>VLOOKUP(C66,[1]master_data!$A$2:$E$495,2,FALSE)</f>
        <v>MOLI PAKAN</v>
      </c>
      <c r="E66" s="16">
        <v>10</v>
      </c>
      <c r="F66" s="16">
        <f>VLOOKUP(C66,[1]master_data!$A$2:$E$495,3,FALSE)</f>
        <v>100</v>
      </c>
      <c r="G66" s="16">
        <f>VLOOKUP(C66,[1]master_data!$A$2:$E$495,4,FALSE)</f>
        <v>200</v>
      </c>
      <c r="H66" s="16">
        <f>E66*F66</f>
        <v>1000</v>
      </c>
      <c r="I66" s="16">
        <f>E66*G66</f>
        <v>2000</v>
      </c>
      <c r="J66" s="16">
        <f>I66-H66</f>
        <v>1000</v>
      </c>
      <c r="K66" s="16" t="str">
        <f>VLOOKUP(C66,[1]master_data!$A$2:$E$495,5,FALSE)</f>
        <v>Ikan</v>
      </c>
      <c r="L66" s="1"/>
    </row>
    <row r="67" spans="1:12" ht="12" customHeight="1" x14ac:dyDescent="0.25">
      <c r="A67" s="15">
        <v>45284</v>
      </c>
      <c r="B67" s="16">
        <v>22302442</v>
      </c>
      <c r="C67" s="16" t="s">
        <v>122</v>
      </c>
      <c r="D67" s="16" t="str">
        <f>VLOOKUP(C67,[1]master_data!$A$2:$E$495,2,FALSE)</f>
        <v>LED ROSTON 50 CM</v>
      </c>
      <c r="E67" s="16">
        <v>1</v>
      </c>
      <c r="F67" s="16">
        <f>VLOOKUP(C67,[1]master_data!$A$2:$E$495,3,FALSE)</f>
        <v>27000</v>
      </c>
      <c r="G67" s="16">
        <f>VLOOKUP(C67,[1]master_data!$A$2:$E$495,4,FALSE)</f>
        <v>50000</v>
      </c>
      <c r="H67" s="16">
        <f>E67*F67</f>
        <v>27000</v>
      </c>
      <c r="I67" s="16">
        <f>E67*G67</f>
        <v>50000</v>
      </c>
      <c r="J67" s="16">
        <f>I67-H67</f>
        <v>23000</v>
      </c>
      <c r="K67" s="16" t="str">
        <f>VLOOKUP(C67,[1]master_data!$A$2:$E$495,5,FALSE)</f>
        <v>Aksesoris</v>
      </c>
      <c r="L67" s="1"/>
    </row>
    <row r="68" spans="1:12" ht="12" customHeight="1" x14ac:dyDescent="0.25">
      <c r="A68" s="15">
        <v>45284</v>
      </c>
      <c r="B68" s="16">
        <v>22302443</v>
      </c>
      <c r="C68" s="16" t="s">
        <v>422</v>
      </c>
      <c r="D68" s="16" t="str">
        <f>VLOOKUP(C68,[1]master_data!$A$2:$E$495,2,FALSE)</f>
        <v>KOI SLAYER B</v>
      </c>
      <c r="E68" s="16">
        <v>10</v>
      </c>
      <c r="F68" s="16">
        <f>VLOOKUP(C68,[1]master_data!$A$2:$E$495,3,FALSE)</f>
        <v>8000</v>
      </c>
      <c r="G68" s="16">
        <f>VLOOKUP(C68,[1]master_data!$A$2:$E$495,4,FALSE)</f>
        <v>20000</v>
      </c>
      <c r="H68" s="16">
        <f>E68*F68</f>
        <v>80000</v>
      </c>
      <c r="I68" s="16">
        <f>E68*G68</f>
        <v>200000</v>
      </c>
      <c r="J68" s="16">
        <f>I68-H68</f>
        <v>120000</v>
      </c>
      <c r="K68" s="16" t="str">
        <f>VLOOKUP(C68,[1]master_data!$A$2:$E$495,5,FALSE)</f>
        <v>Ikan</v>
      </c>
      <c r="L68" s="1"/>
    </row>
    <row r="69" spans="1:12" ht="12" customHeight="1" x14ac:dyDescent="0.25">
      <c r="A69" s="15">
        <v>45283</v>
      </c>
      <c r="B69" s="16">
        <v>22302429</v>
      </c>
      <c r="C69" s="16" t="s">
        <v>273</v>
      </c>
      <c r="D69" s="16" t="str">
        <f>VLOOKUP(C69,[1]master_data!$A$2:$E$495,2,FALSE)</f>
        <v>JARING 12</v>
      </c>
      <c r="E69" s="16">
        <v>10</v>
      </c>
      <c r="F69" s="16">
        <f>VLOOKUP(C69,[1]master_data!$A$2:$E$495,3,FALSE)</f>
        <v>4000</v>
      </c>
      <c r="G69" s="16">
        <f>VLOOKUP(C69,[1]master_data!$A$2:$E$495,4,FALSE)</f>
        <v>7000</v>
      </c>
      <c r="H69" s="16">
        <f>E69*F69</f>
        <v>40000</v>
      </c>
      <c r="I69" s="16">
        <f>E69*G69</f>
        <v>70000</v>
      </c>
      <c r="J69" s="16">
        <f>I69-H69</f>
        <v>30000</v>
      </c>
      <c r="K69" s="16" t="str">
        <f>VLOOKUP(C69,[1]master_data!$A$2:$E$495,5,FALSE)</f>
        <v>Aksesoris</v>
      </c>
      <c r="L69" s="1"/>
    </row>
    <row r="70" spans="1:12" ht="12" customHeight="1" x14ac:dyDescent="0.25">
      <c r="A70" s="15">
        <v>45283</v>
      </c>
      <c r="B70" s="16">
        <v>22302430</v>
      </c>
      <c r="C70" s="16" t="s">
        <v>71</v>
      </c>
      <c r="D70" s="16" t="str">
        <f>VLOOKUP(C70,[1]master_data!$A$2:$E$495,2,FALSE)</f>
        <v>BOX KOSONG K</v>
      </c>
      <c r="E70" s="16">
        <v>5</v>
      </c>
      <c r="F70" s="16">
        <f>VLOOKUP(C70,[1]master_data!$A$2:$E$495,3,FALSE)</f>
        <v>10000</v>
      </c>
      <c r="G70" s="16">
        <f>VLOOKUP(C70,[1]master_data!$A$2:$E$495,4,FALSE)</f>
        <v>20000</v>
      </c>
      <c r="H70" s="16">
        <f>E70*F70</f>
        <v>50000</v>
      </c>
      <c r="I70" s="16">
        <f>E70*G70</f>
        <v>100000</v>
      </c>
      <c r="J70" s="16">
        <f>I70-H70</f>
        <v>50000</v>
      </c>
      <c r="K70" s="16" t="str">
        <f>VLOOKUP(C70,[1]master_data!$A$2:$E$495,5,FALSE)</f>
        <v>Aksesoris</v>
      </c>
      <c r="L70" s="1"/>
    </row>
    <row r="71" spans="1:12" ht="12" customHeight="1" x14ac:dyDescent="0.25">
      <c r="A71" s="15">
        <v>45283</v>
      </c>
      <c r="B71" s="16">
        <v>22302431</v>
      </c>
      <c r="C71" s="16" t="s">
        <v>450</v>
      </c>
      <c r="D71" s="16" t="str">
        <f>VLOOKUP(C71,[1]master_data!$A$2:$E$495,2,FALSE)</f>
        <v>SNOW WHITE</v>
      </c>
      <c r="E71" s="16">
        <v>15</v>
      </c>
      <c r="F71" s="16">
        <f>VLOOKUP(C71,[1]master_data!$A$2:$E$495,3,FALSE)</f>
        <v>1500</v>
      </c>
      <c r="G71" s="16">
        <f>VLOOKUP(C71,[1]master_data!$A$2:$E$495,4,FALSE)</f>
        <v>3000</v>
      </c>
      <c r="H71" s="16">
        <f>E71*F71</f>
        <v>22500</v>
      </c>
      <c r="I71" s="16">
        <f>E71*G71</f>
        <v>45000</v>
      </c>
      <c r="J71" s="16">
        <f>I71-H71</f>
        <v>22500</v>
      </c>
      <c r="K71" s="16" t="str">
        <f>VLOOKUP(C71,[1]master_data!$A$2:$E$495,5,FALSE)</f>
        <v>Ikan</v>
      </c>
      <c r="L71" s="1"/>
    </row>
    <row r="72" spans="1:12" ht="12" customHeight="1" x14ac:dyDescent="0.25">
      <c r="A72" s="15">
        <v>45283</v>
      </c>
      <c r="B72" s="16">
        <v>22302432</v>
      </c>
      <c r="C72" s="16" t="s">
        <v>438</v>
      </c>
      <c r="D72" s="16" t="str">
        <f>VLOOKUP(C72,[1]master_data!$A$2:$E$495,2,FALSE)</f>
        <v>OSCAR</v>
      </c>
      <c r="E72" s="16">
        <v>5</v>
      </c>
      <c r="F72" s="16">
        <f>VLOOKUP(C72,[1]master_data!$A$2:$E$495,3,FALSE)</f>
        <v>25000</v>
      </c>
      <c r="G72" s="16">
        <f>VLOOKUP(C72,[1]master_data!$A$2:$E$495,4,FALSE)</f>
        <v>50000</v>
      </c>
      <c r="H72" s="16">
        <f>E72*F72</f>
        <v>125000</v>
      </c>
      <c r="I72" s="16">
        <f>E72*G72</f>
        <v>250000</v>
      </c>
      <c r="J72" s="16">
        <f>I72-H72</f>
        <v>125000</v>
      </c>
      <c r="K72" s="16" t="str">
        <f>VLOOKUP(C72,[1]master_data!$A$2:$E$495,5,FALSE)</f>
        <v>Ikan</v>
      </c>
      <c r="L72" s="1"/>
    </row>
    <row r="73" spans="1:12" ht="12" customHeight="1" x14ac:dyDescent="0.25">
      <c r="A73" s="15">
        <v>45283</v>
      </c>
      <c r="B73" s="16">
        <v>22302433</v>
      </c>
      <c r="C73" s="16" t="s">
        <v>416</v>
      </c>
      <c r="D73" s="16" t="str">
        <f>VLOOKUP(C73,[1]master_data!$A$2:$E$495,2,FALSE)</f>
        <v>KOI B</v>
      </c>
      <c r="E73" s="16">
        <v>2</v>
      </c>
      <c r="F73" s="16">
        <f>VLOOKUP(C73,[1]master_data!$A$2:$E$495,3,FALSE)</f>
        <v>9000</v>
      </c>
      <c r="G73" s="16">
        <f>VLOOKUP(C73,[1]master_data!$A$2:$E$495,4,FALSE)</f>
        <v>30000</v>
      </c>
      <c r="H73" s="16">
        <f>E73*F73</f>
        <v>18000</v>
      </c>
      <c r="I73" s="16">
        <f>E73*G73</f>
        <v>60000</v>
      </c>
      <c r="J73" s="16">
        <f>I73-H73</f>
        <v>42000</v>
      </c>
      <c r="K73" s="16" t="str">
        <f>VLOOKUP(C73,[1]master_data!$A$2:$E$495,5,FALSE)</f>
        <v>Ikan</v>
      </c>
      <c r="L73" s="1"/>
    </row>
    <row r="74" spans="1:12" ht="12" customHeight="1" x14ac:dyDescent="0.25">
      <c r="A74" s="15">
        <v>45283</v>
      </c>
      <c r="B74" s="16">
        <v>22302434</v>
      </c>
      <c r="C74" s="16" t="s">
        <v>114</v>
      </c>
      <c r="D74" s="16" t="str">
        <f>VLOOKUP(C74,[1]master_data!$A$2:$E$495,2,FALSE)</f>
        <v>AIRATOR KANDILA LUB 2</v>
      </c>
      <c r="E74" s="16">
        <v>1</v>
      </c>
      <c r="F74" s="16">
        <f>VLOOKUP(C74,[1]master_data!$A$2:$E$495,3,FALSE)</f>
        <v>26000</v>
      </c>
      <c r="G74" s="16">
        <f>VLOOKUP(C74,[1]master_data!$A$2:$E$495,4,FALSE)</f>
        <v>50000</v>
      </c>
      <c r="H74" s="16">
        <f>E74*F74</f>
        <v>26000</v>
      </c>
      <c r="I74" s="16">
        <f>E74*G74</f>
        <v>50000</v>
      </c>
      <c r="J74" s="16">
        <f>I74-H74</f>
        <v>24000</v>
      </c>
      <c r="K74" s="16" t="str">
        <f>VLOOKUP(C74,[1]master_data!$A$2:$E$495,5,FALSE)</f>
        <v>Aksesoris</v>
      </c>
      <c r="L74" s="1"/>
    </row>
    <row r="75" spans="1:12" ht="12" customHeight="1" x14ac:dyDescent="0.25">
      <c r="A75" s="15">
        <v>45283</v>
      </c>
      <c r="B75" s="16">
        <v>22302435</v>
      </c>
      <c r="C75" s="16" t="s">
        <v>100</v>
      </c>
      <c r="D75" s="16" t="str">
        <f>VLOOKUP(C75,[1]master_data!$A$2:$E$495,2,FALSE)</f>
        <v>MESIN AMARA 106</v>
      </c>
      <c r="E75" s="16">
        <v>1</v>
      </c>
      <c r="F75" s="16">
        <f>VLOOKUP(C75,[1]master_data!$A$2:$E$495,3,FALSE)</f>
        <v>270000</v>
      </c>
      <c r="G75" s="16">
        <f>VLOOKUP(C75,[1]master_data!$A$2:$E$495,4,FALSE)</f>
        <v>330000</v>
      </c>
      <c r="H75" s="16">
        <f>E75*F75</f>
        <v>270000</v>
      </c>
      <c r="I75" s="16">
        <f>E75*G75</f>
        <v>330000</v>
      </c>
      <c r="J75" s="16">
        <f>I75-H75</f>
        <v>60000</v>
      </c>
      <c r="K75" s="16" t="str">
        <f>VLOOKUP(C75,[1]master_data!$A$2:$E$495,5,FALSE)</f>
        <v>Aksesoris</v>
      </c>
      <c r="L75" s="1"/>
    </row>
    <row r="76" spans="1:12" ht="12" customHeight="1" x14ac:dyDescent="0.25">
      <c r="A76" s="15">
        <v>45282</v>
      </c>
      <c r="B76" s="16">
        <v>22302425</v>
      </c>
      <c r="C76" s="16" t="s">
        <v>423</v>
      </c>
      <c r="D76" s="16" t="str">
        <f>VLOOKUP(C76,[1]master_data!$A$2:$E$495,2,FALSE)</f>
        <v>CAROLINE</v>
      </c>
      <c r="E76" s="16">
        <v>15</v>
      </c>
      <c r="F76" s="16">
        <f>VLOOKUP(C76,[1]master_data!$A$2:$E$495,3,FALSE)</f>
        <v>900</v>
      </c>
      <c r="G76" s="16">
        <f>VLOOKUP(C76,[1]master_data!$A$2:$E$495,4,FALSE)</f>
        <v>2000</v>
      </c>
      <c r="H76" s="16">
        <f>E76*F76</f>
        <v>13500</v>
      </c>
      <c r="I76" s="16">
        <f>E76*G76</f>
        <v>30000</v>
      </c>
      <c r="J76" s="16">
        <f>I76-H76</f>
        <v>16500</v>
      </c>
      <c r="K76" s="16" t="str">
        <f>VLOOKUP(C76,[1]master_data!$A$2:$E$495,5,FALSE)</f>
        <v>Ikan</v>
      </c>
      <c r="L76" s="1"/>
    </row>
    <row r="77" spans="1:12" ht="12" customHeight="1" x14ac:dyDescent="0.25">
      <c r="A77" s="15">
        <v>45282</v>
      </c>
      <c r="B77" s="16">
        <v>22302426</v>
      </c>
      <c r="C77" s="16" t="s">
        <v>413</v>
      </c>
      <c r="D77" s="16" t="str">
        <f>VLOOKUP(C77,[1]master_data!$A$2:$E$495,2,FALSE)</f>
        <v>KOKI B</v>
      </c>
      <c r="E77" s="16">
        <v>9</v>
      </c>
      <c r="F77" s="16">
        <f>VLOOKUP(C77,[1]master_data!$A$2:$E$495,3,FALSE)</f>
        <v>20000</v>
      </c>
      <c r="G77" s="16">
        <f>VLOOKUP(C77,[1]master_data!$A$2:$E$495,4,FALSE)</f>
        <v>50000</v>
      </c>
      <c r="H77" s="16">
        <f>E77*F77</f>
        <v>180000</v>
      </c>
      <c r="I77" s="16">
        <f>E77*G77</f>
        <v>450000</v>
      </c>
      <c r="J77" s="16">
        <f>I77-H77</f>
        <v>270000</v>
      </c>
      <c r="K77" s="16" t="str">
        <f>VLOOKUP(C77,[1]master_data!$A$2:$E$495,5,FALSE)</f>
        <v>Ikan</v>
      </c>
      <c r="L77" s="1"/>
    </row>
    <row r="78" spans="1:12" ht="12" customHeight="1" x14ac:dyDescent="0.25">
      <c r="A78" s="15">
        <v>45282</v>
      </c>
      <c r="B78" s="16">
        <v>22302427</v>
      </c>
      <c r="C78" s="16" t="s">
        <v>20</v>
      </c>
      <c r="D78" s="16" t="str">
        <f>VLOOKUP(C78,[1]master_data!$A$2:$E$495,2,FALSE)</f>
        <v>MESIN ROSTON 1200</v>
      </c>
      <c r="E78" s="16">
        <v>1</v>
      </c>
      <c r="F78" s="16">
        <f>VLOOKUP(C78,[1]master_data!$A$2:$E$495,3,FALSE)</f>
        <v>23000</v>
      </c>
      <c r="G78" s="16">
        <f>VLOOKUP(C78,[1]master_data!$A$2:$E$495,4,FALSE)</f>
        <v>35000</v>
      </c>
      <c r="H78" s="16">
        <f>E78*F78</f>
        <v>23000</v>
      </c>
      <c r="I78" s="16">
        <f>E78*G78</f>
        <v>35000</v>
      </c>
      <c r="J78" s="16">
        <f>I78-H78</f>
        <v>12000</v>
      </c>
      <c r="K78" s="16" t="str">
        <f>VLOOKUP(C78,[1]master_data!$A$2:$E$495,5,FALSE)</f>
        <v>Aksesoris</v>
      </c>
      <c r="L78" s="1"/>
    </row>
    <row r="79" spans="1:12" ht="12" customHeight="1" x14ac:dyDescent="0.25">
      <c r="A79" s="15">
        <v>45282</v>
      </c>
      <c r="B79" s="16">
        <v>22302428</v>
      </c>
      <c r="C79" s="16" t="s">
        <v>392</v>
      </c>
      <c r="D79" s="16" t="str">
        <f>VLOOKUP(C79,[1]master_data!$A$2:$E$495,2,FALSE)</f>
        <v>ARWANA SILVER K</v>
      </c>
      <c r="E79" s="16">
        <v>1</v>
      </c>
      <c r="F79" s="16">
        <f>VLOOKUP(C79,[1]master_data!$A$2:$E$495,3,FALSE)</f>
        <v>100000</v>
      </c>
      <c r="G79" s="16">
        <f>VLOOKUP(C79,[1]master_data!$A$2:$E$495,4,FALSE)</f>
        <v>200000</v>
      </c>
      <c r="H79" s="16">
        <f>E79*F79</f>
        <v>100000</v>
      </c>
      <c r="I79" s="16">
        <f>E79*G79</f>
        <v>200000</v>
      </c>
      <c r="J79" s="16">
        <f>I79-H79</f>
        <v>100000</v>
      </c>
      <c r="K79" s="16" t="str">
        <f>VLOOKUP(C79,[1]master_data!$A$2:$E$495,5,FALSE)</f>
        <v>Ikan</v>
      </c>
      <c r="L79" s="1"/>
    </row>
    <row r="80" spans="1:12" ht="12" customHeight="1" x14ac:dyDescent="0.25">
      <c r="A80" s="15">
        <v>45281</v>
      </c>
      <c r="B80" s="16">
        <v>22302422</v>
      </c>
      <c r="C80" s="16" t="s">
        <v>78</v>
      </c>
      <c r="D80" s="16" t="str">
        <f>VLOOKUP(C80,[1]master_data!$A$2:$E$495,2,FALSE)</f>
        <v>MESIN KIYOSAKI 1200</v>
      </c>
      <c r="E80" s="16">
        <v>10</v>
      </c>
      <c r="F80" s="16">
        <f>VLOOKUP(C80,[1]master_data!$A$2:$E$495,3,FALSE)</f>
        <v>21500</v>
      </c>
      <c r="G80" s="16">
        <f>VLOOKUP(C80,[1]master_data!$A$2:$E$495,4,FALSE)</f>
        <v>35000</v>
      </c>
      <c r="H80" s="16">
        <f>E80*F80</f>
        <v>215000</v>
      </c>
      <c r="I80" s="16">
        <f>E80*G80</f>
        <v>350000</v>
      </c>
      <c r="J80" s="16">
        <f>I80-H80</f>
        <v>135000</v>
      </c>
      <c r="K80" s="16" t="str">
        <f>VLOOKUP(C80,[1]master_data!$A$2:$E$495,5,FALSE)</f>
        <v>Aksesoris</v>
      </c>
      <c r="L80" s="1"/>
    </row>
    <row r="81" spans="1:12" ht="12" customHeight="1" x14ac:dyDescent="0.25">
      <c r="A81" s="15">
        <v>45281</v>
      </c>
      <c r="B81" s="16">
        <v>22302423</v>
      </c>
      <c r="C81" s="16" t="s">
        <v>418</v>
      </c>
      <c r="D81" s="16" t="str">
        <f>VLOOKUP(C81,[1]master_data!$A$2:$E$495,2,FALSE)</f>
        <v>KAVIAT</v>
      </c>
      <c r="E81" s="16">
        <v>10</v>
      </c>
      <c r="F81" s="16">
        <f>VLOOKUP(C81,[1]master_data!$A$2:$E$495,3,FALSE)</f>
        <v>3500</v>
      </c>
      <c r="G81" s="16">
        <f>VLOOKUP(C81,[1]master_data!$A$2:$E$495,4,FALSE)</f>
        <v>8000</v>
      </c>
      <c r="H81" s="16">
        <f>E81*F81</f>
        <v>35000</v>
      </c>
      <c r="I81" s="16">
        <f>E81*G81</f>
        <v>80000</v>
      </c>
      <c r="J81" s="16">
        <f>I81-H81</f>
        <v>45000</v>
      </c>
      <c r="K81" s="16" t="str">
        <f>VLOOKUP(C81,[1]master_data!$A$2:$E$495,5,FALSE)</f>
        <v>Ikan</v>
      </c>
      <c r="L81" s="1"/>
    </row>
    <row r="82" spans="1:12" ht="12" customHeight="1" x14ac:dyDescent="0.25">
      <c r="A82" s="15">
        <v>45281</v>
      </c>
      <c r="B82" s="16">
        <v>22302424</v>
      </c>
      <c r="C82" s="16" t="s">
        <v>389</v>
      </c>
      <c r="D82" s="16" t="str">
        <f>VLOOKUP(C82,[1]master_data!$A$2:$E$495,2,FALSE)</f>
        <v>CHANNA ANDRAO K</v>
      </c>
      <c r="E82" s="16">
        <v>8</v>
      </c>
      <c r="F82" s="16">
        <f>VLOOKUP(C82,[1]master_data!$A$2:$E$495,3,FALSE)</f>
        <v>20000</v>
      </c>
      <c r="G82" s="16">
        <f>VLOOKUP(C82,[1]master_data!$A$2:$E$495,4,FALSE)</f>
        <v>50000</v>
      </c>
      <c r="H82" s="16">
        <f>E82*F82</f>
        <v>160000</v>
      </c>
      <c r="I82" s="16">
        <f>E82*G82</f>
        <v>400000</v>
      </c>
      <c r="J82" s="16">
        <f>I82-H82</f>
        <v>240000</v>
      </c>
      <c r="K82" s="16" t="str">
        <f>VLOOKUP(C82,[1]master_data!$A$2:$E$495,5,FALSE)</f>
        <v>Ikan</v>
      </c>
      <c r="L82" s="1"/>
    </row>
    <row r="83" spans="1:12" ht="12" customHeight="1" x14ac:dyDescent="0.25">
      <c r="A83" s="15">
        <v>45280</v>
      </c>
      <c r="B83" s="16">
        <v>22302416</v>
      </c>
      <c r="C83" s="16" t="s">
        <v>261</v>
      </c>
      <c r="D83" s="16" t="str">
        <f>VLOOKUP(C83,[1]master_data!$A$2:$E$495,2,FALSE)</f>
        <v>COP SEKAT KACA</v>
      </c>
      <c r="E83" s="16">
        <v>30</v>
      </c>
      <c r="F83" s="16">
        <f>VLOOKUP(C83,[1]master_data!$A$2:$E$495,3,FALSE)</f>
        <v>800</v>
      </c>
      <c r="G83" s="16">
        <f>VLOOKUP(C83,[1]master_data!$A$2:$E$495,4,FALSE)</f>
        <v>2000</v>
      </c>
      <c r="H83" s="16">
        <f>E83*F83</f>
        <v>24000</v>
      </c>
      <c r="I83" s="16">
        <f>E83*G83</f>
        <v>60000</v>
      </c>
      <c r="J83" s="16">
        <f>I83-H83</f>
        <v>36000</v>
      </c>
      <c r="K83" s="16" t="str">
        <f>VLOOKUP(C83,[1]master_data!$A$2:$E$495,5,FALSE)</f>
        <v>Aksesoris</v>
      </c>
      <c r="L83" s="1"/>
    </row>
    <row r="84" spans="1:12" ht="12" customHeight="1" x14ac:dyDescent="0.25">
      <c r="A84" s="15">
        <v>45280</v>
      </c>
      <c r="B84" s="16">
        <v>22302417</v>
      </c>
      <c r="C84" s="16" t="s">
        <v>400</v>
      </c>
      <c r="D84" s="16" t="str">
        <f>VLOOKUP(C84,[1]master_data!$A$2:$E$495,2,FALSE)</f>
        <v>BLACK GHOST</v>
      </c>
      <c r="E84" s="16">
        <v>20</v>
      </c>
      <c r="F84" s="16">
        <f>VLOOKUP(C84,[1]master_data!$A$2:$E$495,3,FALSE)</f>
        <v>4000</v>
      </c>
      <c r="G84" s="16">
        <f>VLOOKUP(C84,[1]master_data!$A$2:$E$495,4,FALSE)</f>
        <v>10000</v>
      </c>
      <c r="H84" s="16">
        <f>E84*F84</f>
        <v>80000</v>
      </c>
      <c r="I84" s="16">
        <f>E84*G84</f>
        <v>200000</v>
      </c>
      <c r="J84" s="16">
        <f>I84-H84</f>
        <v>120000</v>
      </c>
      <c r="K84" s="16" t="str">
        <f>VLOOKUP(C84,[1]master_data!$A$2:$E$495,5,FALSE)</f>
        <v>Ikan</v>
      </c>
      <c r="L84" s="1"/>
    </row>
    <row r="85" spans="1:12" ht="12" customHeight="1" x14ac:dyDescent="0.25">
      <c r="A85" s="15">
        <v>45280</v>
      </c>
      <c r="B85" s="16">
        <v>22302418</v>
      </c>
      <c r="C85" s="16" t="s">
        <v>232</v>
      </c>
      <c r="D85" s="16" t="str">
        <f>VLOOKUP(C85,[1]master_data!$A$2:$E$495,2,FALSE)</f>
        <v>MIZUKO</v>
      </c>
      <c r="E85" s="16">
        <v>1</v>
      </c>
      <c r="F85" s="16">
        <f>VLOOKUP(C85,[1]master_data!$A$2:$E$495,3,FALSE)</f>
        <v>30000</v>
      </c>
      <c r="G85" s="16">
        <f>VLOOKUP(C85,[1]master_data!$A$2:$E$495,4,FALSE)</f>
        <v>50000</v>
      </c>
      <c r="H85" s="16">
        <f>E85*F85</f>
        <v>30000</v>
      </c>
      <c r="I85" s="16">
        <f>E85*G85</f>
        <v>50000</v>
      </c>
      <c r="J85" s="16">
        <f>I85-H85</f>
        <v>20000</v>
      </c>
      <c r="K85" s="16" t="str">
        <f>VLOOKUP(C85,[1]master_data!$A$2:$E$495,5,FALSE)</f>
        <v>Aksesoris</v>
      </c>
      <c r="L85" s="1"/>
    </row>
    <row r="86" spans="1:12" ht="12" customHeight="1" x14ac:dyDescent="0.25">
      <c r="A86" s="15">
        <v>45280</v>
      </c>
      <c r="B86" s="16">
        <v>22302419</v>
      </c>
      <c r="C86" s="16" t="s">
        <v>437</v>
      </c>
      <c r="D86" s="16" t="str">
        <f>VLOOKUP(C86,[1]master_data!$A$2:$E$495,2,FALSE)</f>
        <v>NEON</v>
      </c>
      <c r="E86" s="16">
        <v>25</v>
      </c>
      <c r="F86" s="16">
        <f>VLOOKUP(C86,[1]master_data!$A$2:$E$495,3,FALSE)</f>
        <v>1250</v>
      </c>
      <c r="G86" s="16">
        <f>VLOOKUP(C86,[1]master_data!$A$2:$E$495,4,FALSE)</f>
        <v>5000</v>
      </c>
      <c r="H86" s="16">
        <f>E86*F86</f>
        <v>31250</v>
      </c>
      <c r="I86" s="16">
        <f>E86*G86</f>
        <v>125000</v>
      </c>
      <c r="J86" s="16">
        <f>I86-H86</f>
        <v>93750</v>
      </c>
      <c r="K86" s="16" t="str">
        <f>VLOOKUP(C86,[1]master_data!$A$2:$E$495,5,FALSE)</f>
        <v>Ikan</v>
      </c>
      <c r="L86" s="1"/>
    </row>
    <row r="87" spans="1:12" ht="12" customHeight="1" x14ac:dyDescent="0.25">
      <c r="A87" s="15">
        <v>45280</v>
      </c>
      <c r="B87" s="16">
        <v>22302420</v>
      </c>
      <c r="C87" s="16" t="s">
        <v>363</v>
      </c>
      <c r="D87" s="16" t="str">
        <f>VLOOKUP(C87,[1]master_data!$A$2:$E$495,2,FALSE)</f>
        <v>AKUARIUM 50 POLOS</v>
      </c>
      <c r="E87" s="16">
        <v>1</v>
      </c>
      <c r="F87" s="16">
        <f>VLOOKUP(C87,[1]master_data!$A$2:$E$495,3,FALSE)</f>
        <v>100000</v>
      </c>
      <c r="G87" s="16">
        <f>VLOOKUP(C87,[1]master_data!$A$2:$E$495,4,FALSE)</f>
        <v>130000</v>
      </c>
      <c r="H87" s="16">
        <f>E87*F87</f>
        <v>100000</v>
      </c>
      <c r="I87" s="16">
        <f>E87*G87</f>
        <v>130000</v>
      </c>
      <c r="J87" s="16">
        <f>I87-H87</f>
        <v>30000</v>
      </c>
      <c r="K87" s="16" t="str">
        <f>VLOOKUP(C87,[1]master_data!$A$2:$E$495,5,FALSE)</f>
        <v>Aksesoris</v>
      </c>
      <c r="L87" s="1"/>
    </row>
    <row r="88" spans="1:12" ht="12" customHeight="1" x14ac:dyDescent="0.25">
      <c r="A88" s="15">
        <v>45280</v>
      </c>
      <c r="B88" s="16">
        <v>22302421</v>
      </c>
      <c r="C88" s="16" t="s">
        <v>398</v>
      </c>
      <c r="D88" s="16" t="str">
        <f>VLOOKUP(C88,[1]master_data!$A$2:$E$495,2,FALSE)</f>
        <v>BALA BALA K</v>
      </c>
      <c r="E88" s="16">
        <v>1</v>
      </c>
      <c r="F88" s="16">
        <f>VLOOKUP(C88,[1]master_data!$A$2:$E$495,3,FALSE)</f>
        <v>4000</v>
      </c>
      <c r="G88" s="16">
        <f>VLOOKUP(C88,[1]master_data!$A$2:$E$495,4,FALSE)</f>
        <v>8000</v>
      </c>
      <c r="H88" s="16">
        <f>E88*F88</f>
        <v>4000</v>
      </c>
      <c r="I88" s="16">
        <f>E88*G88</f>
        <v>8000</v>
      </c>
      <c r="J88" s="16">
        <f>I88-H88</f>
        <v>4000</v>
      </c>
      <c r="K88" s="16" t="str">
        <f>VLOOKUP(C88,[1]master_data!$A$2:$E$495,5,FALSE)</f>
        <v>Ikan</v>
      </c>
      <c r="L88" s="1"/>
    </row>
    <row r="89" spans="1:12" ht="12" customHeight="1" x14ac:dyDescent="0.25">
      <c r="A89" s="15">
        <v>45279</v>
      </c>
      <c r="B89" s="16">
        <v>22302411</v>
      </c>
      <c r="C89" s="16" t="s">
        <v>455</v>
      </c>
      <c r="D89" s="16" t="str">
        <f>VLOOKUP(C89,[1]master_data!$A$2:$E$495,2,FALSE)</f>
        <v>ZEBRA PINK</v>
      </c>
      <c r="E89" s="16">
        <v>40</v>
      </c>
      <c r="F89" s="16">
        <f>VLOOKUP(C89,[1]master_data!$A$2:$E$495,3,FALSE)</f>
        <v>800</v>
      </c>
      <c r="G89" s="16">
        <f>VLOOKUP(C89,[1]master_data!$A$2:$E$495,4,FALSE)</f>
        <v>2000</v>
      </c>
      <c r="H89" s="16">
        <f>E89*F89</f>
        <v>32000</v>
      </c>
      <c r="I89" s="16">
        <f>E89*G89</f>
        <v>80000</v>
      </c>
      <c r="J89" s="16">
        <f>I89-H89</f>
        <v>48000</v>
      </c>
      <c r="K89" s="16" t="str">
        <f>VLOOKUP(C89,[1]master_data!$A$2:$E$495,5,FALSE)</f>
        <v>Ikan</v>
      </c>
      <c r="L89" s="1"/>
    </row>
    <row r="90" spans="1:12" ht="12" customHeight="1" x14ac:dyDescent="0.25">
      <c r="A90" s="15">
        <v>45279</v>
      </c>
      <c r="B90" s="16">
        <v>22302412</v>
      </c>
      <c r="C90" s="16" t="s">
        <v>396</v>
      </c>
      <c r="D90" s="16" t="str">
        <f>VLOOKUP(C90,[1]master_data!$A$2:$E$495,2,FALSE)</f>
        <v>BIPOLAR</v>
      </c>
      <c r="E90" s="16">
        <v>20</v>
      </c>
      <c r="F90" s="16">
        <f>VLOOKUP(C90,[1]master_data!$A$2:$E$495,3,FALSE)</f>
        <v>1000</v>
      </c>
      <c r="G90" s="16">
        <f>VLOOKUP(C90,[1]master_data!$A$2:$E$495,4,FALSE)</f>
        <v>2500</v>
      </c>
      <c r="H90" s="16">
        <f>E90*F90</f>
        <v>20000</v>
      </c>
      <c r="I90" s="16">
        <f>E90*G90</f>
        <v>50000</v>
      </c>
      <c r="J90" s="16">
        <f>I90-H90</f>
        <v>30000</v>
      </c>
      <c r="K90" s="16" t="str">
        <f>VLOOKUP(C90,[1]master_data!$A$2:$E$495,5,FALSE)</f>
        <v>Ikan</v>
      </c>
      <c r="L90" s="1"/>
    </row>
    <row r="91" spans="1:12" ht="12" customHeight="1" x14ac:dyDescent="0.25">
      <c r="A91" s="15">
        <v>45279</v>
      </c>
      <c r="B91" s="16">
        <v>22302413</v>
      </c>
      <c r="C91" s="16" t="s">
        <v>424</v>
      </c>
      <c r="D91" s="16" t="str">
        <f>VLOOKUP(C91,[1]master_data!$A$2:$E$495,2,FALSE)</f>
        <v>DISCUS</v>
      </c>
      <c r="E91" s="16">
        <v>4</v>
      </c>
      <c r="F91" s="16">
        <f>VLOOKUP(C91,[1]master_data!$A$2:$E$495,3,FALSE)</f>
        <v>50000</v>
      </c>
      <c r="G91" s="16">
        <f>VLOOKUP(C91,[1]master_data!$A$2:$E$495,4,FALSE)</f>
        <v>150000</v>
      </c>
      <c r="H91" s="16">
        <f>E91*F91</f>
        <v>200000</v>
      </c>
      <c r="I91" s="16">
        <f>E91*G91</f>
        <v>600000</v>
      </c>
      <c r="J91" s="16">
        <f>I91-H91</f>
        <v>400000</v>
      </c>
      <c r="K91" s="16" t="str">
        <f>VLOOKUP(C91,[1]master_data!$A$2:$E$495,5,FALSE)</f>
        <v>Ikan</v>
      </c>
      <c r="L91" s="1"/>
    </row>
    <row r="92" spans="1:12" ht="12" customHeight="1" x14ac:dyDescent="0.25">
      <c r="A92" s="15">
        <v>45279</v>
      </c>
      <c r="B92" s="16">
        <v>22302414</v>
      </c>
      <c r="C92" s="16" t="s">
        <v>416</v>
      </c>
      <c r="D92" s="16" t="str">
        <f>VLOOKUP(C92,[1]master_data!$A$2:$E$495,2,FALSE)</f>
        <v>KOI B</v>
      </c>
      <c r="E92" s="16">
        <v>2</v>
      </c>
      <c r="F92" s="16">
        <f>VLOOKUP(C92,[1]master_data!$A$2:$E$495,3,FALSE)</f>
        <v>9000</v>
      </c>
      <c r="G92" s="16">
        <f>VLOOKUP(C92,[1]master_data!$A$2:$E$495,4,FALSE)</f>
        <v>30000</v>
      </c>
      <c r="H92" s="16">
        <f>E92*F92</f>
        <v>18000</v>
      </c>
      <c r="I92" s="16">
        <f>E92*G92</f>
        <v>60000</v>
      </c>
      <c r="J92" s="16">
        <f>I92-H92</f>
        <v>42000</v>
      </c>
      <c r="K92" s="16" t="str">
        <f>VLOOKUP(C92,[1]master_data!$A$2:$E$495,5,FALSE)</f>
        <v>Ikan</v>
      </c>
      <c r="L92" s="1"/>
    </row>
    <row r="93" spans="1:12" ht="12" customHeight="1" x14ac:dyDescent="0.25">
      <c r="A93" s="15">
        <v>45279</v>
      </c>
      <c r="B93" s="16">
        <v>22302415</v>
      </c>
      <c r="C93" s="16" t="s">
        <v>96</v>
      </c>
      <c r="D93" s="16" t="str">
        <f>VLOOKUP(C93,[1]master_data!$A$2:$E$495,2,FALSE)</f>
        <v>MESIN AMARA 2600</v>
      </c>
      <c r="E93" s="16">
        <v>1</v>
      </c>
      <c r="F93" s="16">
        <f>VLOOKUP(C93,[1]master_data!$A$2:$E$495,3,FALSE)</f>
        <v>50000</v>
      </c>
      <c r="G93" s="16">
        <f>VLOOKUP(C93,[1]master_data!$A$2:$E$495,4,FALSE)</f>
        <v>59000</v>
      </c>
      <c r="H93" s="16">
        <f>E93*F93</f>
        <v>50000</v>
      </c>
      <c r="I93" s="16">
        <f>E93*G93</f>
        <v>59000</v>
      </c>
      <c r="J93" s="16">
        <f>I93-H93</f>
        <v>9000</v>
      </c>
      <c r="K93" s="16" t="str">
        <f>VLOOKUP(C93,[1]master_data!$A$2:$E$495,5,FALSE)</f>
        <v>Aksesoris</v>
      </c>
      <c r="L93" s="1"/>
    </row>
    <row r="94" spans="1:12" ht="12" customHeight="1" x14ac:dyDescent="0.25">
      <c r="A94" s="15">
        <v>45278</v>
      </c>
      <c r="B94" s="16">
        <v>22302405</v>
      </c>
      <c r="C94" s="16" t="s">
        <v>320</v>
      </c>
      <c r="D94" s="16" t="str">
        <f>VLOOKUP(C94,[1]master_data!$A$2:$E$495,2,FALSE)</f>
        <v>AIRSTONE PANJANG 8</v>
      </c>
      <c r="E94" s="16">
        <v>2</v>
      </c>
      <c r="F94" s="16">
        <f>VLOOKUP(C94,[1]master_data!$A$2:$E$495,3,FALSE)</f>
        <v>9000</v>
      </c>
      <c r="G94" s="16">
        <f>VLOOKUP(C94,[1]master_data!$A$2:$E$495,4,FALSE)</f>
        <v>17000</v>
      </c>
      <c r="H94" s="16">
        <f>E94*F94</f>
        <v>18000</v>
      </c>
      <c r="I94" s="16">
        <f>E94*G94</f>
        <v>34000</v>
      </c>
      <c r="J94" s="16">
        <f>I94-H94</f>
        <v>16000</v>
      </c>
      <c r="K94" s="16" t="str">
        <f>VLOOKUP(C94,[1]master_data!$A$2:$E$495,5,FALSE)</f>
        <v>Aksesoris</v>
      </c>
      <c r="L94" s="1"/>
    </row>
    <row r="95" spans="1:12" ht="12" customHeight="1" x14ac:dyDescent="0.25">
      <c r="A95" s="15">
        <v>45278</v>
      </c>
      <c r="B95" s="16">
        <v>22302406</v>
      </c>
      <c r="C95" s="16" t="s">
        <v>405</v>
      </c>
      <c r="D95" s="16" t="str">
        <f>VLOOKUP(C95,[1]master_data!$A$2:$E$495,2,FALSE)</f>
        <v>CUPANG</v>
      </c>
      <c r="E95" s="16">
        <v>20</v>
      </c>
      <c r="F95" s="16">
        <f>VLOOKUP(C95,[1]master_data!$A$2:$E$495,3,FALSE)</f>
        <v>2000</v>
      </c>
      <c r="G95" s="16">
        <f>VLOOKUP(C95,[1]master_data!$A$2:$E$495,4,FALSE)</f>
        <v>5000</v>
      </c>
      <c r="H95" s="16">
        <f>E95*F95</f>
        <v>40000</v>
      </c>
      <c r="I95" s="16">
        <f>E95*G95</f>
        <v>100000</v>
      </c>
      <c r="J95" s="16">
        <f>I95-H95</f>
        <v>60000</v>
      </c>
      <c r="K95" s="16" t="str">
        <f>VLOOKUP(C95,[1]master_data!$A$2:$E$495,5,FALSE)</f>
        <v>Ikan</v>
      </c>
      <c r="L95" s="1"/>
    </row>
    <row r="96" spans="1:12" ht="12" customHeight="1" x14ac:dyDescent="0.25">
      <c r="A96" s="15">
        <v>45278</v>
      </c>
      <c r="B96" s="16">
        <v>22302407</v>
      </c>
      <c r="C96" s="16" t="s">
        <v>394</v>
      </c>
      <c r="D96" s="16" t="str">
        <f>VLOOKUP(C96,[1]master_data!$A$2:$E$495,2,FALSE)</f>
        <v>ALGA EATER</v>
      </c>
      <c r="E96" s="16">
        <v>30</v>
      </c>
      <c r="F96" s="16">
        <f>VLOOKUP(C96,[1]master_data!$A$2:$E$495,3,FALSE)</f>
        <v>1750</v>
      </c>
      <c r="G96" s="16">
        <f>VLOOKUP(C96,[1]master_data!$A$2:$E$495,4,FALSE)</f>
        <v>5000</v>
      </c>
      <c r="H96" s="16">
        <f>E96*F96</f>
        <v>52500</v>
      </c>
      <c r="I96" s="16">
        <f>E96*G96</f>
        <v>150000</v>
      </c>
      <c r="J96" s="16">
        <f>I96-H96</f>
        <v>97500</v>
      </c>
      <c r="K96" s="16" t="str">
        <f>VLOOKUP(C96,[1]master_data!$A$2:$E$495,5,FALSE)</f>
        <v>Ikan</v>
      </c>
      <c r="L96" s="1"/>
    </row>
    <row r="97" spans="1:12" ht="12" customHeight="1" x14ac:dyDescent="0.25">
      <c r="A97" s="15">
        <v>45278</v>
      </c>
      <c r="B97" s="16">
        <v>22302408</v>
      </c>
      <c r="C97" s="16" t="s">
        <v>365</v>
      </c>
      <c r="D97" s="16" t="str">
        <f>VLOOKUP(C97,[1]master_data!$A$2:$E$495,2,FALSE)</f>
        <v>AKUARIUM 40 ROBOT</v>
      </c>
      <c r="E97" s="16">
        <v>1</v>
      </c>
      <c r="F97" s="16">
        <f>VLOOKUP(C97,[1]master_data!$A$2:$E$495,3,FALSE)</f>
        <v>9000</v>
      </c>
      <c r="G97" s="16">
        <f>VLOOKUP(C97,[1]master_data!$A$2:$E$495,4,FALSE)</f>
        <v>135000</v>
      </c>
      <c r="H97" s="16">
        <f>E97*F97</f>
        <v>9000</v>
      </c>
      <c r="I97" s="16">
        <f>E97*G97</f>
        <v>135000</v>
      </c>
      <c r="J97" s="16">
        <f>I97-H97</f>
        <v>126000</v>
      </c>
      <c r="K97" s="16" t="str">
        <f>VLOOKUP(C97,[1]master_data!$A$2:$E$495,5,FALSE)</f>
        <v>Aksesoris</v>
      </c>
      <c r="L97" s="1"/>
    </row>
    <row r="98" spans="1:12" ht="12" customHeight="1" x14ac:dyDescent="0.25">
      <c r="A98" s="15">
        <v>45278</v>
      </c>
      <c r="B98" s="16">
        <v>22302409</v>
      </c>
      <c r="C98" s="16" t="s">
        <v>398</v>
      </c>
      <c r="D98" s="16" t="str">
        <f>VLOOKUP(C98,[1]master_data!$A$2:$E$495,2,FALSE)</f>
        <v>BALA BALA K</v>
      </c>
      <c r="E98" s="16">
        <v>1</v>
      </c>
      <c r="F98" s="16">
        <f>VLOOKUP(C98,[1]master_data!$A$2:$E$495,3,FALSE)</f>
        <v>4000</v>
      </c>
      <c r="G98" s="16">
        <f>VLOOKUP(C98,[1]master_data!$A$2:$E$495,4,FALSE)</f>
        <v>8000</v>
      </c>
      <c r="H98" s="16">
        <f>E98*F98</f>
        <v>4000</v>
      </c>
      <c r="I98" s="16">
        <f>E98*G98</f>
        <v>8000</v>
      </c>
      <c r="J98" s="16">
        <f>I98-H98</f>
        <v>4000</v>
      </c>
      <c r="K98" s="16" t="str">
        <f>VLOOKUP(C98,[1]master_data!$A$2:$E$495,5,FALSE)</f>
        <v>Ikan</v>
      </c>
      <c r="L98" s="1"/>
    </row>
    <row r="99" spans="1:12" ht="12" customHeight="1" x14ac:dyDescent="0.25">
      <c r="A99" s="15">
        <v>45278</v>
      </c>
      <c r="B99" s="16">
        <v>22302410</v>
      </c>
      <c r="C99" s="16" t="s">
        <v>428</v>
      </c>
      <c r="D99" s="16" t="str">
        <f>VLOOKUP(C99,[1]master_data!$A$2:$E$495,2,FALSE)</f>
        <v>MANFISH K</v>
      </c>
      <c r="E99" s="16">
        <v>100</v>
      </c>
      <c r="F99" s="16">
        <f>VLOOKUP(C99,[1]master_data!$A$2:$E$495,3,FALSE)</f>
        <v>2000</v>
      </c>
      <c r="G99" s="16">
        <f>VLOOKUP(C99,[1]master_data!$A$2:$E$495,4,FALSE)</f>
        <v>5000</v>
      </c>
      <c r="H99" s="16">
        <f>E99*F99</f>
        <v>200000</v>
      </c>
      <c r="I99" s="16">
        <f>E99*G99</f>
        <v>500000</v>
      </c>
      <c r="J99" s="16">
        <f>I99-H99</f>
        <v>300000</v>
      </c>
      <c r="K99" s="16" t="str">
        <f>VLOOKUP(C99,[1]master_data!$A$2:$E$495,5,FALSE)</f>
        <v>Ikan</v>
      </c>
      <c r="L99" s="1"/>
    </row>
    <row r="100" spans="1:12" ht="12" customHeight="1" x14ac:dyDescent="0.25">
      <c r="A100" s="15">
        <v>45277</v>
      </c>
      <c r="B100" s="16">
        <v>22302396</v>
      </c>
      <c r="C100" s="16" t="s">
        <v>385</v>
      </c>
      <c r="D100" s="16" t="str">
        <f>VLOOKUP(C100,[1]master_data!$A$2:$E$495,2,FALSE)</f>
        <v>BATU KARANG JAHE</v>
      </c>
      <c r="E100" s="16">
        <v>1</v>
      </c>
      <c r="F100" s="16">
        <f>VLOOKUP(C100,[1]master_data!$A$2:$E$495,3,FALSE)</f>
        <v>15000</v>
      </c>
      <c r="G100" s="16">
        <f>VLOOKUP(C100,[1]master_data!$A$2:$E$495,4,FALSE)</f>
        <v>25000</v>
      </c>
      <c r="H100" s="16">
        <f>E100*F100</f>
        <v>15000</v>
      </c>
      <c r="I100" s="16">
        <f>E100*G100</f>
        <v>25000</v>
      </c>
      <c r="J100" s="16">
        <f>I100-H100</f>
        <v>10000</v>
      </c>
      <c r="K100" s="16" t="str">
        <f>VLOOKUP(C100,[1]master_data!$A$2:$E$495,5,FALSE)</f>
        <v>Aksesoris</v>
      </c>
      <c r="L100" s="1"/>
    </row>
    <row r="101" spans="1:12" ht="12" customHeight="1" x14ac:dyDescent="0.25">
      <c r="A101" s="15">
        <v>45277</v>
      </c>
      <c r="B101" s="16">
        <v>22302397</v>
      </c>
      <c r="C101" s="16" t="s">
        <v>225</v>
      </c>
      <c r="D101" s="16" t="str">
        <f>VLOOKUP(C101,[1]master_data!$A$2:$E$495,2,FALSE)</f>
        <v>MAGOT BESAR</v>
      </c>
      <c r="E101" s="16">
        <v>10</v>
      </c>
      <c r="F101" s="16">
        <f>VLOOKUP(C101,[1]master_data!$A$2:$E$495,3,FALSE)</f>
        <v>7000</v>
      </c>
      <c r="G101" s="16">
        <f>VLOOKUP(C101,[1]master_data!$A$2:$E$495,4,FALSE)</f>
        <v>12000</v>
      </c>
      <c r="H101" s="16">
        <f>E101*F101</f>
        <v>70000</v>
      </c>
      <c r="I101" s="16">
        <f>E101*G101</f>
        <v>120000</v>
      </c>
      <c r="J101" s="16">
        <f>I101-H101</f>
        <v>50000</v>
      </c>
      <c r="K101" s="16" t="str">
        <f>VLOOKUP(C101,[1]master_data!$A$2:$E$495,5,FALSE)</f>
        <v>Aksesoris</v>
      </c>
      <c r="L101" s="1"/>
    </row>
    <row r="102" spans="1:12" ht="12" customHeight="1" x14ac:dyDescent="0.25">
      <c r="A102" s="15">
        <v>45277</v>
      </c>
      <c r="B102" s="16">
        <v>22302398</v>
      </c>
      <c r="C102" s="16" t="s">
        <v>311</v>
      </c>
      <c r="D102" s="16" t="str">
        <f>VLOOKUP(C102,[1]master_data!$A$2:$E$495,2,FALSE)</f>
        <v>T PIPA</v>
      </c>
      <c r="E102" s="16">
        <v>20</v>
      </c>
      <c r="F102" s="16">
        <f>VLOOKUP(C102,[1]master_data!$A$2:$E$495,3,FALSE)</f>
        <v>800</v>
      </c>
      <c r="G102" s="16">
        <f>VLOOKUP(C102,[1]master_data!$A$2:$E$495,4,FALSE)</f>
        <v>2000</v>
      </c>
      <c r="H102" s="16">
        <f>E102*F102</f>
        <v>16000</v>
      </c>
      <c r="I102" s="16">
        <f>E102*G102</f>
        <v>40000</v>
      </c>
      <c r="J102" s="16">
        <f>I102-H102</f>
        <v>24000</v>
      </c>
      <c r="K102" s="16" t="str">
        <f>VLOOKUP(C102,[1]master_data!$A$2:$E$495,5,FALSE)</f>
        <v>Aksesoris</v>
      </c>
      <c r="L102" s="1"/>
    </row>
    <row r="103" spans="1:12" ht="12" customHeight="1" x14ac:dyDescent="0.25">
      <c r="A103" s="15">
        <v>45277</v>
      </c>
      <c r="B103" s="16">
        <v>22302399</v>
      </c>
      <c r="C103" s="16" t="s">
        <v>140</v>
      </c>
      <c r="D103" s="16" t="str">
        <f>VLOOKUP(C103,[1]master_data!$A$2:$E$495,2,FALSE)</f>
        <v>LED NIKITA 3 MODE 80 CM</v>
      </c>
      <c r="E103" s="16">
        <v>5</v>
      </c>
      <c r="F103" s="16">
        <f>VLOOKUP(C103,[1]master_data!$A$2:$E$495,3,FALSE)</f>
        <v>53000</v>
      </c>
      <c r="G103" s="16">
        <f>VLOOKUP(C103,[1]master_data!$A$2:$E$495,4,FALSE)</f>
        <v>80000</v>
      </c>
      <c r="H103" s="16">
        <f>E103*F103</f>
        <v>265000</v>
      </c>
      <c r="I103" s="16">
        <f>E103*G103</f>
        <v>400000</v>
      </c>
      <c r="J103" s="16">
        <f>I103-H103</f>
        <v>135000</v>
      </c>
      <c r="K103" s="16" t="str">
        <f>VLOOKUP(C103,[1]master_data!$A$2:$E$495,5,FALSE)</f>
        <v>Aksesoris</v>
      </c>
      <c r="L103" s="1"/>
    </row>
    <row r="104" spans="1:12" ht="12" customHeight="1" x14ac:dyDescent="0.25">
      <c r="A104" s="15">
        <v>45277</v>
      </c>
      <c r="B104" s="16">
        <v>22302400</v>
      </c>
      <c r="C104" s="16" t="s">
        <v>397</v>
      </c>
      <c r="D104" s="16" t="str">
        <f>VLOOKUP(C104,[1]master_data!$A$2:$E$495,2,FALSE)</f>
        <v>BUENOS AIRES TETRA</v>
      </c>
      <c r="E104" s="16">
        <v>10</v>
      </c>
      <c r="F104" s="16">
        <f>VLOOKUP(C104,[1]master_data!$A$2:$E$495,3,FALSE)</f>
        <v>800</v>
      </c>
      <c r="G104" s="16">
        <f>VLOOKUP(C104,[1]master_data!$A$2:$E$495,4,FALSE)</f>
        <v>2000</v>
      </c>
      <c r="H104" s="16">
        <f>E104*F104</f>
        <v>8000</v>
      </c>
      <c r="I104" s="16">
        <f>E104*G104</f>
        <v>20000</v>
      </c>
      <c r="J104" s="16">
        <f>I104-H104</f>
        <v>12000</v>
      </c>
      <c r="K104" s="16" t="str">
        <f>VLOOKUP(C104,[1]master_data!$A$2:$E$495,5,FALSE)</f>
        <v>Ikan</v>
      </c>
      <c r="L104" s="1"/>
    </row>
    <row r="105" spans="1:12" ht="12" customHeight="1" x14ac:dyDescent="0.25">
      <c r="A105" s="15">
        <v>45277</v>
      </c>
      <c r="B105" s="16">
        <v>22302401</v>
      </c>
      <c r="C105" s="16" t="s">
        <v>400</v>
      </c>
      <c r="D105" s="16" t="str">
        <f>VLOOKUP(C105,[1]master_data!$A$2:$E$495,2,FALSE)</f>
        <v>BLACK GHOST</v>
      </c>
      <c r="E105" s="16">
        <v>10</v>
      </c>
      <c r="F105" s="16">
        <f>VLOOKUP(C105,[1]master_data!$A$2:$E$495,3,FALSE)</f>
        <v>4000</v>
      </c>
      <c r="G105" s="16">
        <f>VLOOKUP(C105,[1]master_data!$A$2:$E$495,4,FALSE)</f>
        <v>10000</v>
      </c>
      <c r="H105" s="16">
        <f>E105*F105</f>
        <v>40000</v>
      </c>
      <c r="I105" s="16">
        <f>E105*G105</f>
        <v>100000</v>
      </c>
      <c r="J105" s="16">
        <f>I105-H105</f>
        <v>60000</v>
      </c>
      <c r="K105" s="16" t="str">
        <f>VLOOKUP(C105,[1]master_data!$A$2:$E$495,5,FALSE)</f>
        <v>Ikan</v>
      </c>
      <c r="L105" s="1"/>
    </row>
    <row r="106" spans="1:12" ht="12" customHeight="1" x14ac:dyDescent="0.25">
      <c r="A106" s="15">
        <v>45277</v>
      </c>
      <c r="B106" s="16">
        <v>22302402</v>
      </c>
      <c r="C106" s="16" t="s">
        <v>221</v>
      </c>
      <c r="D106" s="16" t="str">
        <f>VLOOKUP(C106,[1]master_data!$A$2:$E$495,2,FALSE)</f>
        <v>HOKKY KOI COLOUR</v>
      </c>
      <c r="E106" s="16">
        <v>1</v>
      </c>
      <c r="F106" s="16">
        <f>VLOOKUP(C106,[1]master_data!$A$2:$E$495,3,FALSE)</f>
        <v>55000</v>
      </c>
      <c r="G106" s="16">
        <f>VLOOKUP(C106,[1]master_data!$A$2:$E$495,4,FALSE)</f>
        <v>60000</v>
      </c>
      <c r="H106" s="16">
        <f>E106*F106</f>
        <v>55000</v>
      </c>
      <c r="I106" s="16">
        <f>E106*G106</f>
        <v>60000</v>
      </c>
      <c r="J106" s="16">
        <f>I106-H106</f>
        <v>5000</v>
      </c>
      <c r="K106" s="16" t="str">
        <f>VLOOKUP(C106,[1]master_data!$A$2:$E$495,5,FALSE)</f>
        <v>Aksesoris</v>
      </c>
      <c r="L106" s="1"/>
    </row>
    <row r="107" spans="1:12" ht="12" customHeight="1" x14ac:dyDescent="0.25">
      <c r="A107" s="15">
        <v>45277</v>
      </c>
      <c r="B107" s="16">
        <v>22302403</v>
      </c>
      <c r="C107" s="16" t="s">
        <v>25</v>
      </c>
      <c r="D107" s="16" t="str">
        <f>VLOOKUP(C107,[1]master_data!$A$2:$E$495,2,FALSE)</f>
        <v>MESIN ROSTON 105</v>
      </c>
      <c r="E107" s="16">
        <v>1</v>
      </c>
      <c r="F107" s="16">
        <f>VLOOKUP(C107,[1]master_data!$A$2:$E$495,3,FALSE)</f>
        <v>75000</v>
      </c>
      <c r="G107" s="16">
        <f>VLOOKUP(C107,[1]master_data!$A$2:$E$495,4,FALSE)</f>
        <v>110000</v>
      </c>
      <c r="H107" s="16">
        <f>E107*F107</f>
        <v>75000</v>
      </c>
      <c r="I107" s="16">
        <f>E107*G107</f>
        <v>110000</v>
      </c>
      <c r="J107" s="16">
        <f>I107-H107</f>
        <v>35000</v>
      </c>
      <c r="K107" s="16" t="str">
        <f>VLOOKUP(C107,[1]master_data!$A$2:$E$495,5,FALSE)</f>
        <v>Aksesoris</v>
      </c>
      <c r="L107" s="1"/>
    </row>
    <row r="108" spans="1:12" ht="12" customHeight="1" x14ac:dyDescent="0.25">
      <c r="A108" s="15">
        <v>45277</v>
      </c>
      <c r="B108" s="16">
        <v>22302404</v>
      </c>
      <c r="C108" s="16" t="s">
        <v>415</v>
      </c>
      <c r="D108" s="16" t="str">
        <f>VLOOKUP(C108,[1]master_data!$A$2:$E$495,2,FALSE)</f>
        <v>KOI T</v>
      </c>
      <c r="E108" s="16">
        <v>10</v>
      </c>
      <c r="F108" s="16">
        <f>VLOOKUP(C108,[1]master_data!$A$2:$E$495,3,FALSE)</f>
        <v>7000</v>
      </c>
      <c r="G108" s="16">
        <f>VLOOKUP(C108,[1]master_data!$A$2:$E$495,4,FALSE)</f>
        <v>20000</v>
      </c>
      <c r="H108" s="16">
        <f>E108*F108</f>
        <v>70000</v>
      </c>
      <c r="I108" s="16">
        <f>E108*G108</f>
        <v>200000</v>
      </c>
      <c r="J108" s="16">
        <f>I108-H108</f>
        <v>130000</v>
      </c>
      <c r="K108" s="16" t="str">
        <f>VLOOKUP(C108,[1]master_data!$A$2:$E$495,5,FALSE)</f>
        <v>Ikan</v>
      </c>
      <c r="L108" s="1"/>
    </row>
    <row r="109" spans="1:12" ht="12" customHeight="1" x14ac:dyDescent="0.25">
      <c r="A109" s="15">
        <v>45276</v>
      </c>
      <c r="B109" s="16">
        <v>22302391</v>
      </c>
      <c r="C109" s="16" t="s">
        <v>456</v>
      </c>
      <c r="D109" s="16" t="str">
        <f>VLOOKUP(C109,[1]master_data!$A$2:$E$495,2,FALSE)</f>
        <v>ZEBRA HIJAU</v>
      </c>
      <c r="E109" s="16">
        <v>20</v>
      </c>
      <c r="F109" s="16">
        <f>VLOOKUP(C109,[1]master_data!$A$2:$E$495,3,FALSE)</f>
        <v>800</v>
      </c>
      <c r="G109" s="16">
        <f>VLOOKUP(C109,[1]master_data!$A$2:$E$495,4,FALSE)</f>
        <v>2000</v>
      </c>
      <c r="H109" s="16">
        <f>E109*F109</f>
        <v>16000</v>
      </c>
      <c r="I109" s="16">
        <f>E109*G109</f>
        <v>40000</v>
      </c>
      <c r="J109" s="16">
        <f>I109-H109</f>
        <v>24000</v>
      </c>
      <c r="K109" s="16" t="str">
        <f>VLOOKUP(C109,[1]master_data!$A$2:$E$495,5,FALSE)</f>
        <v>Ikan</v>
      </c>
      <c r="L109" s="1"/>
    </row>
    <row r="110" spans="1:12" ht="12" customHeight="1" x14ac:dyDescent="0.25">
      <c r="A110" s="15">
        <v>45276</v>
      </c>
      <c r="B110" s="16">
        <v>22302392</v>
      </c>
      <c r="C110" s="16" t="s">
        <v>69</v>
      </c>
      <c r="D110" s="16" t="str">
        <f>VLOOKUP(C110,[1]master_data!$A$2:$E$495,2,FALSE)</f>
        <v>BIO FOAM L</v>
      </c>
      <c r="E110" s="16">
        <v>10</v>
      </c>
      <c r="F110" s="16">
        <f>VLOOKUP(C110,[1]master_data!$A$2:$E$495,3,FALSE)</f>
        <v>22000</v>
      </c>
      <c r="G110" s="16">
        <f>VLOOKUP(C110,[1]master_data!$A$2:$E$495,4,FALSE)</f>
        <v>35000</v>
      </c>
      <c r="H110" s="16">
        <f>E110*F110</f>
        <v>220000</v>
      </c>
      <c r="I110" s="16">
        <f>E110*G110</f>
        <v>350000</v>
      </c>
      <c r="J110" s="16">
        <f>I110-H110</f>
        <v>130000</v>
      </c>
      <c r="K110" s="16" t="str">
        <f>VLOOKUP(C110,[1]master_data!$A$2:$E$495,5,FALSE)</f>
        <v>Aksesoris</v>
      </c>
      <c r="L110" s="1"/>
    </row>
    <row r="111" spans="1:12" ht="12" customHeight="1" x14ac:dyDescent="0.25">
      <c r="A111" s="15">
        <v>45276</v>
      </c>
      <c r="B111" s="16">
        <v>22302393</v>
      </c>
      <c r="C111" s="16" t="s">
        <v>454</v>
      </c>
      <c r="D111" s="16" t="str">
        <f>VLOOKUP(C111,[1]master_data!$A$2:$E$495,2,FALSE)</f>
        <v>TOMAN</v>
      </c>
      <c r="E111" s="16">
        <v>9</v>
      </c>
      <c r="F111" s="16">
        <f>VLOOKUP(C111,[1]master_data!$A$2:$E$495,3,FALSE)</f>
        <v>10000</v>
      </c>
      <c r="G111" s="16">
        <f>VLOOKUP(C111,[1]master_data!$A$2:$E$495,4,FALSE)</f>
        <v>25000</v>
      </c>
      <c r="H111" s="16">
        <f>E111*F111</f>
        <v>90000</v>
      </c>
      <c r="I111" s="16">
        <f>E111*G111</f>
        <v>225000</v>
      </c>
      <c r="J111" s="16">
        <f>I111-H111</f>
        <v>135000</v>
      </c>
      <c r="K111" s="16" t="str">
        <f>VLOOKUP(C111,[1]master_data!$A$2:$E$495,5,FALSE)</f>
        <v>Ikan</v>
      </c>
      <c r="L111" s="1"/>
    </row>
    <row r="112" spans="1:12" ht="12" customHeight="1" x14ac:dyDescent="0.25">
      <c r="A112" s="15">
        <v>45276</v>
      </c>
      <c r="B112" s="16">
        <v>22302394</v>
      </c>
      <c r="C112" s="16" t="s">
        <v>310</v>
      </c>
      <c r="D112" s="16" t="str">
        <f>VLOOKUP(C112,[1]master_data!$A$2:$E$495,2,FALSE)</f>
        <v>L PIPA</v>
      </c>
      <c r="E112" s="16">
        <v>9</v>
      </c>
      <c r="F112" s="16">
        <f>VLOOKUP(C112,[1]master_data!$A$2:$E$495,3,FALSE)</f>
        <v>800</v>
      </c>
      <c r="G112" s="16">
        <f>VLOOKUP(C112,[1]master_data!$A$2:$E$495,4,FALSE)</f>
        <v>2000</v>
      </c>
      <c r="H112" s="16">
        <f>E112*F112</f>
        <v>7200</v>
      </c>
      <c r="I112" s="16">
        <f>E112*G112</f>
        <v>18000</v>
      </c>
      <c r="J112" s="16">
        <f>I112-H112</f>
        <v>10800</v>
      </c>
      <c r="K112" s="16" t="str">
        <f>VLOOKUP(C112,[1]master_data!$A$2:$E$495,5,FALSE)</f>
        <v>Aksesoris</v>
      </c>
      <c r="L112" s="1"/>
    </row>
    <row r="113" spans="1:12" ht="12" customHeight="1" x14ac:dyDescent="0.25">
      <c r="A113" s="15">
        <v>45276</v>
      </c>
      <c r="B113" s="16">
        <v>22302395</v>
      </c>
      <c r="C113" s="16" t="s">
        <v>433</v>
      </c>
      <c r="D113" s="16" t="str">
        <f>VLOOKUP(C113,[1]master_data!$A$2:$E$495,2,FALSE)</f>
        <v>MOLI BALON</v>
      </c>
      <c r="E113" s="16">
        <v>1</v>
      </c>
      <c r="F113" s="16">
        <f>VLOOKUP(C113,[1]master_data!$A$2:$E$495,3,FALSE)</f>
        <v>800</v>
      </c>
      <c r="G113" s="16">
        <f>VLOOKUP(C113,[1]master_data!$A$2:$E$495,4,FALSE)</f>
        <v>2000</v>
      </c>
      <c r="H113" s="16">
        <f>E113*F113</f>
        <v>800</v>
      </c>
      <c r="I113" s="16">
        <f>E113*G113</f>
        <v>2000</v>
      </c>
      <c r="J113" s="16">
        <f>I113-H113</f>
        <v>1200</v>
      </c>
      <c r="K113" s="16" t="str">
        <f>VLOOKUP(C113,[1]master_data!$A$2:$E$495,5,FALSE)</f>
        <v>Ikan</v>
      </c>
      <c r="L113" s="1"/>
    </row>
    <row r="114" spans="1:12" ht="12" customHeight="1" x14ac:dyDescent="0.25">
      <c r="A114" s="15">
        <v>45275</v>
      </c>
      <c r="B114" s="16">
        <v>22302383</v>
      </c>
      <c r="C114" s="16" t="s">
        <v>405</v>
      </c>
      <c r="D114" s="16" t="str">
        <f>VLOOKUP(C114,[1]master_data!$A$2:$E$495,2,FALSE)</f>
        <v>CUPANG</v>
      </c>
      <c r="E114" s="16">
        <v>15</v>
      </c>
      <c r="F114" s="16">
        <f>VLOOKUP(C114,[1]master_data!$A$2:$E$495,3,FALSE)</f>
        <v>2000</v>
      </c>
      <c r="G114" s="16">
        <f>VLOOKUP(C114,[1]master_data!$A$2:$E$495,4,FALSE)</f>
        <v>5000</v>
      </c>
      <c r="H114" s="16">
        <f>E114*F114</f>
        <v>30000</v>
      </c>
      <c r="I114" s="16">
        <f>E114*G114</f>
        <v>75000</v>
      </c>
      <c r="J114" s="16">
        <f>I114-H114</f>
        <v>45000</v>
      </c>
      <c r="K114" s="16" t="str">
        <f>VLOOKUP(C114,[1]master_data!$A$2:$E$495,5,FALSE)</f>
        <v>Ikan</v>
      </c>
      <c r="L114" s="1"/>
    </row>
    <row r="115" spans="1:12" ht="12" customHeight="1" x14ac:dyDescent="0.25">
      <c r="A115" s="15">
        <v>45275</v>
      </c>
      <c r="B115" s="16">
        <v>22302384</v>
      </c>
      <c r="C115" s="16" t="s">
        <v>407</v>
      </c>
      <c r="D115" s="16" t="str">
        <f>VLOOKUP(C115,[1]master_data!$A$2:$E$495,2,FALSE)</f>
        <v>GOLD FISH</v>
      </c>
      <c r="E115" s="16">
        <v>10</v>
      </c>
      <c r="F115" s="16">
        <f>VLOOKUP(C115,[1]master_data!$A$2:$E$495,3,FALSE)</f>
        <v>800</v>
      </c>
      <c r="G115" s="16">
        <f>VLOOKUP(C115,[1]master_data!$A$2:$E$495,4,FALSE)</f>
        <v>2000</v>
      </c>
      <c r="H115" s="16">
        <f>E115*F115</f>
        <v>8000</v>
      </c>
      <c r="I115" s="16">
        <f>E115*G115</f>
        <v>20000</v>
      </c>
      <c r="J115" s="16">
        <f>I115-H115</f>
        <v>12000</v>
      </c>
      <c r="K115" s="16" t="str">
        <f>VLOOKUP(C115,[1]master_data!$A$2:$E$495,5,FALSE)</f>
        <v>Ikan</v>
      </c>
      <c r="L115" s="1"/>
    </row>
    <row r="116" spans="1:12" ht="12" customHeight="1" x14ac:dyDescent="0.25">
      <c r="A116" s="15">
        <v>45275</v>
      </c>
      <c r="B116" s="16">
        <v>22302385</v>
      </c>
      <c r="C116" s="16" t="s">
        <v>455</v>
      </c>
      <c r="D116" s="16" t="str">
        <f>VLOOKUP(C116,[1]master_data!$A$2:$E$495,2,FALSE)</f>
        <v>ZEBRA PINK</v>
      </c>
      <c r="E116" s="16">
        <v>50</v>
      </c>
      <c r="F116" s="16">
        <f>VLOOKUP(C116,[1]master_data!$A$2:$E$495,3,FALSE)</f>
        <v>800</v>
      </c>
      <c r="G116" s="16">
        <f>VLOOKUP(C116,[1]master_data!$A$2:$E$495,4,FALSE)</f>
        <v>2000</v>
      </c>
      <c r="H116" s="16">
        <f>E116*F116</f>
        <v>40000</v>
      </c>
      <c r="I116" s="16">
        <f>E116*G116</f>
        <v>100000</v>
      </c>
      <c r="J116" s="16">
        <f>I116-H116</f>
        <v>60000</v>
      </c>
      <c r="K116" s="16" t="str">
        <f>VLOOKUP(C116,[1]master_data!$A$2:$E$495,5,FALSE)</f>
        <v>Ikan</v>
      </c>
      <c r="L116" s="1"/>
    </row>
    <row r="117" spans="1:12" ht="12" customHeight="1" x14ac:dyDescent="0.25">
      <c r="A117" s="15">
        <v>45275</v>
      </c>
      <c r="B117" s="16">
        <v>22302386</v>
      </c>
      <c r="C117" s="16" t="s">
        <v>227</v>
      </c>
      <c r="D117" s="16" t="str">
        <f>VLOOKUP(C117,[1]master_data!$A$2:$E$495,2,FALSE)</f>
        <v>OK IKO LOUHAN HITAM</v>
      </c>
      <c r="E117" s="16">
        <v>1</v>
      </c>
      <c r="F117" s="16">
        <f>VLOOKUP(C117,[1]master_data!$A$2:$E$495,3,FALSE)</f>
        <v>31500</v>
      </c>
      <c r="G117" s="16">
        <f>VLOOKUP(C117,[1]master_data!$A$2:$E$495,4,FALSE)</f>
        <v>50000</v>
      </c>
      <c r="H117" s="16">
        <f>E117*F117</f>
        <v>31500</v>
      </c>
      <c r="I117" s="16">
        <f>E117*G117</f>
        <v>50000</v>
      </c>
      <c r="J117" s="16">
        <f>I117-H117</f>
        <v>18500</v>
      </c>
      <c r="K117" s="16" t="str">
        <f>VLOOKUP(C117,[1]master_data!$A$2:$E$495,5,FALSE)</f>
        <v>Aksesoris</v>
      </c>
      <c r="L117" s="1"/>
    </row>
    <row r="118" spans="1:12" ht="12" customHeight="1" x14ac:dyDescent="0.25">
      <c r="A118" s="15">
        <v>45275</v>
      </c>
      <c r="B118" s="16">
        <v>22302387</v>
      </c>
      <c r="C118" s="16" t="s">
        <v>22</v>
      </c>
      <c r="D118" s="16" t="str">
        <f>VLOOKUP(C118,[1]master_data!$A$2:$E$495,2,FALSE)</f>
        <v>MESIN ROSTON 2600</v>
      </c>
      <c r="E118" s="16">
        <v>5</v>
      </c>
      <c r="F118" s="16">
        <f>VLOOKUP(C118,[1]master_data!$A$2:$E$495,3,FALSE)</f>
        <v>45000</v>
      </c>
      <c r="G118" s="16">
        <f>VLOOKUP(C118,[1]master_data!$A$2:$E$495,4,FALSE)</f>
        <v>75000</v>
      </c>
      <c r="H118" s="16">
        <f>E118*F118</f>
        <v>225000</v>
      </c>
      <c r="I118" s="16">
        <f>E118*G118</f>
        <v>375000</v>
      </c>
      <c r="J118" s="16">
        <f>I118-H118</f>
        <v>150000</v>
      </c>
      <c r="K118" s="16" t="str">
        <f>VLOOKUP(C118,[1]master_data!$A$2:$E$495,5,FALSE)</f>
        <v>Aksesoris</v>
      </c>
      <c r="L118" s="1"/>
    </row>
    <row r="119" spans="1:12" ht="12" customHeight="1" x14ac:dyDescent="0.25">
      <c r="A119" s="15">
        <v>45275</v>
      </c>
      <c r="B119" s="16">
        <v>22302388</v>
      </c>
      <c r="C119" s="16" t="s">
        <v>440</v>
      </c>
      <c r="D119" s="16" t="str">
        <f>VLOOKUP(C119,[1]master_data!$A$2:$E$495,2,FALSE)</f>
        <v>PEMBERSIH KACA ALBINO</v>
      </c>
      <c r="E119" s="16">
        <v>17</v>
      </c>
      <c r="F119" s="16">
        <f>VLOOKUP(C119,[1]master_data!$A$2:$E$495,3,FALSE)</f>
        <v>2500</v>
      </c>
      <c r="G119" s="16">
        <f>VLOOKUP(C119,[1]master_data!$A$2:$E$495,4,FALSE)</f>
        <v>5000</v>
      </c>
      <c r="H119" s="16">
        <f>E119*F119</f>
        <v>42500</v>
      </c>
      <c r="I119" s="16">
        <f>E119*G119</f>
        <v>85000</v>
      </c>
      <c r="J119" s="16">
        <f>I119-H119</f>
        <v>42500</v>
      </c>
      <c r="K119" s="16" t="str">
        <f>VLOOKUP(C119,[1]master_data!$A$2:$E$495,5,FALSE)</f>
        <v>Ikan</v>
      </c>
      <c r="L119" s="1"/>
    </row>
    <row r="120" spans="1:12" ht="12" customHeight="1" x14ac:dyDescent="0.25">
      <c r="A120" s="15">
        <v>45275</v>
      </c>
      <c r="B120" s="16">
        <v>22302389</v>
      </c>
      <c r="C120" s="16" t="s">
        <v>26</v>
      </c>
      <c r="D120" s="16" t="str">
        <f>VLOOKUP(C120,[1]master_data!$A$2:$E$495,2,FALSE)</f>
        <v>MESIN ROSTON 105+</v>
      </c>
      <c r="E120" s="16">
        <v>1</v>
      </c>
      <c r="F120" s="16">
        <f>VLOOKUP(C120,[1]master_data!$A$2:$E$495,3,FALSE)</f>
        <v>95000</v>
      </c>
      <c r="G120" s="16">
        <f>VLOOKUP(C120,[1]master_data!$A$2:$E$495,4,FALSE)</f>
        <v>145000</v>
      </c>
      <c r="H120" s="16">
        <f>E120*F120</f>
        <v>95000</v>
      </c>
      <c r="I120" s="16">
        <f>E120*G120</f>
        <v>145000</v>
      </c>
      <c r="J120" s="16">
        <f>I120-H120</f>
        <v>50000</v>
      </c>
      <c r="K120" s="16" t="str">
        <f>VLOOKUP(C120,[1]master_data!$A$2:$E$495,5,FALSE)</f>
        <v>Aksesoris</v>
      </c>
      <c r="L120" s="1"/>
    </row>
    <row r="121" spans="1:12" ht="12" customHeight="1" x14ac:dyDescent="0.25">
      <c r="A121" s="15">
        <v>45275</v>
      </c>
      <c r="B121" s="16">
        <v>22302390</v>
      </c>
      <c r="C121" s="16" t="s">
        <v>415</v>
      </c>
      <c r="D121" s="16" t="str">
        <f>VLOOKUP(C121,[1]master_data!$A$2:$E$495,2,FALSE)</f>
        <v>KOI T</v>
      </c>
      <c r="E121" s="16">
        <v>10</v>
      </c>
      <c r="F121" s="16">
        <f>VLOOKUP(C121,[1]master_data!$A$2:$E$495,3,FALSE)</f>
        <v>7000</v>
      </c>
      <c r="G121" s="16">
        <f>VLOOKUP(C121,[1]master_data!$A$2:$E$495,4,FALSE)</f>
        <v>20000</v>
      </c>
      <c r="H121" s="16">
        <f>E121*F121</f>
        <v>70000</v>
      </c>
      <c r="I121" s="16">
        <f>E121*G121</f>
        <v>200000</v>
      </c>
      <c r="J121" s="16">
        <f>I121-H121</f>
        <v>130000</v>
      </c>
      <c r="K121" s="16" t="str">
        <f>VLOOKUP(C121,[1]master_data!$A$2:$E$495,5,FALSE)</f>
        <v>Ikan</v>
      </c>
      <c r="L121" s="1"/>
    </row>
    <row r="122" spans="1:12" ht="12" customHeight="1" x14ac:dyDescent="0.25">
      <c r="A122" s="15">
        <v>45274</v>
      </c>
      <c r="B122" s="16">
        <v>22302377</v>
      </c>
      <c r="C122" s="16" t="s">
        <v>42</v>
      </c>
      <c r="D122" s="16" t="str">
        <f>VLOOKUP(C122,[1]master_data!$A$2:$E$495,2,FALSE)</f>
        <v>MESIN YAMANO ACO 001</v>
      </c>
      <c r="E122" s="16">
        <v>1</v>
      </c>
      <c r="F122" s="16">
        <f>VLOOKUP(C122,[1]master_data!$A$2:$E$495,3,FALSE)</f>
        <v>275000</v>
      </c>
      <c r="G122" s="16">
        <f>VLOOKUP(C122,[1]master_data!$A$2:$E$495,4,FALSE)</f>
        <v>350000</v>
      </c>
      <c r="H122" s="16">
        <f>E122*F122</f>
        <v>275000</v>
      </c>
      <c r="I122" s="16">
        <f>E122*G122</f>
        <v>350000</v>
      </c>
      <c r="J122" s="16">
        <f>I122-H122</f>
        <v>75000</v>
      </c>
      <c r="K122" s="16" t="str">
        <f>VLOOKUP(C122,[1]master_data!$A$2:$E$495,5,FALSE)</f>
        <v>Aksesoris</v>
      </c>
      <c r="L122" s="1"/>
    </row>
    <row r="123" spans="1:12" ht="12" customHeight="1" x14ac:dyDescent="0.25">
      <c r="A123" s="15">
        <v>45274</v>
      </c>
      <c r="B123" s="16">
        <v>22302378</v>
      </c>
      <c r="C123" s="16" t="s">
        <v>211</v>
      </c>
      <c r="D123" s="16" t="str">
        <f>VLOOKUP(C123,[1]master_data!$A$2:$E$495,2,FALSE)</f>
        <v>UDANG KERING</v>
      </c>
      <c r="E123" s="16">
        <v>10</v>
      </c>
      <c r="F123" s="16">
        <f>VLOOKUP(C123,[1]master_data!$A$2:$E$495,3,FALSE)</f>
        <v>4500</v>
      </c>
      <c r="G123" s="16">
        <f>VLOOKUP(C123,[1]master_data!$A$2:$E$495,4,FALSE)</f>
        <v>10000</v>
      </c>
      <c r="H123" s="16">
        <f>E123*F123</f>
        <v>45000</v>
      </c>
      <c r="I123" s="16">
        <f>E123*G123</f>
        <v>100000</v>
      </c>
      <c r="J123" s="16">
        <f>I123-H123</f>
        <v>55000</v>
      </c>
      <c r="K123" s="16" t="str">
        <f>VLOOKUP(C123,[1]master_data!$A$2:$E$495,5,FALSE)</f>
        <v>Aksesoris</v>
      </c>
      <c r="L123" s="1"/>
    </row>
    <row r="124" spans="1:12" ht="12" customHeight="1" x14ac:dyDescent="0.25">
      <c r="A124" s="15">
        <v>45274</v>
      </c>
      <c r="B124" s="16">
        <v>22302379</v>
      </c>
      <c r="C124" s="16" t="s">
        <v>405</v>
      </c>
      <c r="D124" s="16" t="str">
        <f>VLOOKUP(C124,[1]master_data!$A$2:$E$495,2,FALSE)</f>
        <v>CUPANG</v>
      </c>
      <c r="E124" s="16">
        <v>10</v>
      </c>
      <c r="F124" s="16">
        <f>VLOOKUP(C124,[1]master_data!$A$2:$E$495,3,FALSE)</f>
        <v>2000</v>
      </c>
      <c r="G124" s="16">
        <f>VLOOKUP(C124,[1]master_data!$A$2:$E$495,4,FALSE)</f>
        <v>5000</v>
      </c>
      <c r="H124" s="16">
        <f>E124*F124</f>
        <v>20000</v>
      </c>
      <c r="I124" s="16">
        <f>E124*G124</f>
        <v>50000</v>
      </c>
      <c r="J124" s="16">
        <f>I124-H124</f>
        <v>30000</v>
      </c>
      <c r="K124" s="16" t="str">
        <f>VLOOKUP(C124,[1]master_data!$A$2:$E$495,5,FALSE)</f>
        <v>Ikan</v>
      </c>
      <c r="L124" s="1"/>
    </row>
    <row r="125" spans="1:12" ht="12" customHeight="1" x14ac:dyDescent="0.25">
      <c r="A125" s="15">
        <v>45274</v>
      </c>
      <c r="B125" s="16">
        <v>22302380</v>
      </c>
      <c r="C125" s="16" t="s">
        <v>41</v>
      </c>
      <c r="D125" s="16" t="str">
        <f>VLOOKUP(C125,[1]master_data!$A$2:$E$495,2,FALSE)</f>
        <v>MESIN YAMANO 107</v>
      </c>
      <c r="E125" s="16">
        <v>2</v>
      </c>
      <c r="F125" s="16">
        <f>VLOOKUP(C125,[1]master_data!$A$2:$E$495,3,FALSE)</f>
        <v>280000</v>
      </c>
      <c r="G125" s="16">
        <f>VLOOKUP(C125,[1]master_data!$A$2:$E$495,4,FALSE)</f>
        <v>321000</v>
      </c>
      <c r="H125" s="16">
        <f>E125*F125</f>
        <v>560000</v>
      </c>
      <c r="I125" s="16">
        <f>E125*G125</f>
        <v>642000</v>
      </c>
      <c r="J125" s="16">
        <f>I125-H125</f>
        <v>82000</v>
      </c>
      <c r="K125" s="16" t="str">
        <f>VLOOKUP(C125,[1]master_data!$A$2:$E$495,5,FALSE)</f>
        <v>Aksesoris</v>
      </c>
      <c r="L125" s="1"/>
    </row>
    <row r="126" spans="1:12" ht="12" customHeight="1" x14ac:dyDescent="0.25">
      <c r="A126" s="15">
        <v>45274</v>
      </c>
      <c r="B126" s="16">
        <v>22302381</v>
      </c>
      <c r="C126" s="16" t="s">
        <v>428</v>
      </c>
      <c r="D126" s="16" t="str">
        <f>VLOOKUP(C126,[1]master_data!$A$2:$E$495,2,FALSE)</f>
        <v>MANFISH K</v>
      </c>
      <c r="E126" s="16">
        <v>15</v>
      </c>
      <c r="F126" s="16">
        <f>VLOOKUP(C126,[1]master_data!$A$2:$E$495,3,FALSE)</f>
        <v>2000</v>
      </c>
      <c r="G126" s="16">
        <f>VLOOKUP(C126,[1]master_data!$A$2:$E$495,4,FALSE)</f>
        <v>5000</v>
      </c>
      <c r="H126" s="16">
        <f>E126*F126</f>
        <v>30000</v>
      </c>
      <c r="I126" s="16">
        <f>E126*G126</f>
        <v>75000</v>
      </c>
      <c r="J126" s="16">
        <f>I126-H126</f>
        <v>45000</v>
      </c>
      <c r="K126" s="16" t="str">
        <f>VLOOKUP(C126,[1]master_data!$A$2:$E$495,5,FALSE)</f>
        <v>Ikan</v>
      </c>
      <c r="L126" s="1"/>
    </row>
    <row r="127" spans="1:12" ht="12" customHeight="1" x14ac:dyDescent="0.25">
      <c r="A127" s="15">
        <v>45274</v>
      </c>
      <c r="B127" s="16">
        <v>22302382</v>
      </c>
      <c r="C127" s="16" t="s">
        <v>303</v>
      </c>
      <c r="D127" s="16" t="str">
        <f>VLOOKUP(C127,[1]master_data!$A$2:$E$495,2,FALSE)</f>
        <v>PINSET KANDILA</v>
      </c>
      <c r="E127" s="16">
        <v>1</v>
      </c>
      <c r="F127" s="16">
        <f>VLOOKUP(C127,[1]master_data!$A$2:$E$495,3,FALSE)</f>
        <v>18000</v>
      </c>
      <c r="G127" s="16">
        <f>VLOOKUP(C127,[1]master_data!$A$2:$E$495,4,FALSE)</f>
        <v>35000</v>
      </c>
      <c r="H127" s="16">
        <f>E127*F127</f>
        <v>18000</v>
      </c>
      <c r="I127" s="16">
        <f>E127*G127</f>
        <v>35000</v>
      </c>
      <c r="J127" s="16">
        <f>I127-H127</f>
        <v>17000</v>
      </c>
      <c r="K127" s="16" t="str">
        <f>VLOOKUP(C127,[1]master_data!$A$2:$E$495,5,FALSE)</f>
        <v>Aksesoris</v>
      </c>
      <c r="L127" s="1"/>
    </row>
    <row r="128" spans="1:12" ht="12" customHeight="1" x14ac:dyDescent="0.25">
      <c r="A128" s="15">
        <v>45273</v>
      </c>
      <c r="B128" s="16">
        <v>22302369</v>
      </c>
      <c r="C128" s="16" t="s">
        <v>335</v>
      </c>
      <c r="D128" s="16" t="str">
        <f>VLOOKUP(C128,[1]master_data!$A$2:$E$495,2,FALSE)</f>
        <v>MAGNET 09</v>
      </c>
      <c r="E128" s="16">
        <v>2</v>
      </c>
      <c r="F128" s="16">
        <f>VLOOKUP(C128,[1]master_data!$A$2:$E$495,3,FALSE)</f>
        <v>58000</v>
      </c>
      <c r="G128" s="16">
        <f>VLOOKUP(C128,[1]master_data!$A$2:$E$495,4,FALSE)</f>
        <v>80000</v>
      </c>
      <c r="H128" s="16">
        <f>E128*F128</f>
        <v>116000</v>
      </c>
      <c r="I128" s="16">
        <f>E128*G128</f>
        <v>160000</v>
      </c>
      <c r="J128" s="16">
        <f>I128-H128</f>
        <v>44000</v>
      </c>
      <c r="K128" s="16" t="str">
        <f>VLOOKUP(C128,[1]master_data!$A$2:$E$495,5,FALSE)</f>
        <v>Aksesoris</v>
      </c>
      <c r="L128" s="1"/>
    </row>
    <row r="129" spans="1:12" ht="12" customHeight="1" x14ac:dyDescent="0.25">
      <c r="A129" s="15">
        <v>45273</v>
      </c>
      <c r="B129" s="16">
        <v>22302370</v>
      </c>
      <c r="C129" s="16" t="s">
        <v>419</v>
      </c>
      <c r="D129" s="16" t="str">
        <f>VLOOKUP(C129,[1]master_data!$A$2:$E$495,2,FALSE)</f>
        <v>KOMET PAKAN</v>
      </c>
      <c r="E129" s="16">
        <v>90</v>
      </c>
      <c r="F129" s="16">
        <f>VLOOKUP(C129,[1]master_data!$A$2:$E$495,3,FALSE)</f>
        <v>300</v>
      </c>
      <c r="G129" s="16">
        <f>VLOOKUP(C129,[1]master_data!$A$2:$E$495,4,FALSE)</f>
        <v>1000</v>
      </c>
      <c r="H129" s="16">
        <f>E129*F129</f>
        <v>27000</v>
      </c>
      <c r="I129" s="16">
        <f>E129*G129</f>
        <v>90000</v>
      </c>
      <c r="J129" s="16">
        <f>I129-H129</f>
        <v>63000</v>
      </c>
      <c r="K129" s="16" t="str">
        <f>VLOOKUP(C129,[1]master_data!$A$2:$E$495,5,FALSE)</f>
        <v>Ikan</v>
      </c>
      <c r="L129" s="1"/>
    </row>
    <row r="130" spans="1:12" ht="12" customHeight="1" x14ac:dyDescent="0.25">
      <c r="A130" s="15">
        <v>45273</v>
      </c>
      <c r="B130" s="16">
        <v>22302371</v>
      </c>
      <c r="C130" s="16" t="s">
        <v>94</v>
      </c>
      <c r="D130" s="16" t="str">
        <f>VLOOKUP(C130,[1]master_data!$A$2:$E$495,2,FALSE)</f>
        <v>MESIN KANDILA MAGURA 104</v>
      </c>
      <c r="E130" s="16">
        <v>2</v>
      </c>
      <c r="F130" s="16">
        <f>VLOOKUP(C130,[1]master_data!$A$2:$E$495,3,FALSE)</f>
        <v>100000</v>
      </c>
      <c r="G130" s="16">
        <f>VLOOKUP(C130,[1]master_data!$A$2:$E$495,4,FALSE)</f>
        <v>135000</v>
      </c>
      <c r="H130" s="16">
        <f>E130*F130</f>
        <v>200000</v>
      </c>
      <c r="I130" s="16">
        <f>E130*G130</f>
        <v>270000</v>
      </c>
      <c r="J130" s="16">
        <f>I130-H130</f>
        <v>70000</v>
      </c>
      <c r="K130" s="16" t="str">
        <f>VLOOKUP(C130,[1]master_data!$A$2:$E$495,5,FALSE)</f>
        <v>Aksesoris</v>
      </c>
      <c r="L130" s="1"/>
    </row>
    <row r="131" spans="1:12" ht="12" customHeight="1" x14ac:dyDescent="0.25">
      <c r="A131" s="15">
        <v>45273</v>
      </c>
      <c r="B131" s="16">
        <v>22302372</v>
      </c>
      <c r="C131" s="16" t="s">
        <v>271</v>
      </c>
      <c r="D131" s="16" t="str">
        <f>VLOOKUP(C131,[1]master_data!$A$2:$E$495,2,FALSE)</f>
        <v>HEATER KACA 100 W</v>
      </c>
      <c r="E131" s="16">
        <v>1</v>
      </c>
      <c r="F131" s="16">
        <f>VLOOKUP(C131,[1]master_data!$A$2:$E$495,3,FALSE)</f>
        <v>33000</v>
      </c>
      <c r="G131" s="16">
        <f>VLOOKUP(C131,[1]master_data!$A$2:$E$495,4,FALSE)</f>
        <v>50000</v>
      </c>
      <c r="H131" s="16">
        <f>E131*F131</f>
        <v>33000</v>
      </c>
      <c r="I131" s="16">
        <f>E131*G131</f>
        <v>50000</v>
      </c>
      <c r="J131" s="16">
        <f>I131-H131</f>
        <v>17000</v>
      </c>
      <c r="K131" s="16" t="str">
        <f>VLOOKUP(C131,[1]master_data!$A$2:$E$495,5,FALSE)</f>
        <v>Aksesoris</v>
      </c>
      <c r="L131" s="1"/>
    </row>
    <row r="132" spans="1:12" ht="12" customHeight="1" x14ac:dyDescent="0.25">
      <c r="A132" s="15">
        <v>45273</v>
      </c>
      <c r="B132" s="16">
        <v>22302373</v>
      </c>
      <c r="C132" s="16" t="s">
        <v>441</v>
      </c>
      <c r="D132" s="16" t="str">
        <f>VLOOKUP(C132,[1]master_data!$A$2:$E$495,2,FALSE)</f>
        <v>PALMAS</v>
      </c>
      <c r="E132" s="16">
        <v>5</v>
      </c>
      <c r="F132" s="16">
        <f>VLOOKUP(C132,[1]master_data!$A$2:$E$495,3,FALSE)</f>
        <v>10000</v>
      </c>
      <c r="G132" s="16">
        <f>VLOOKUP(C132,[1]master_data!$A$2:$E$495,4,FALSE)</f>
        <v>25000</v>
      </c>
      <c r="H132" s="16">
        <f>E132*F132</f>
        <v>50000</v>
      </c>
      <c r="I132" s="16">
        <f>E132*G132</f>
        <v>125000</v>
      </c>
      <c r="J132" s="16">
        <f>I132-H132</f>
        <v>75000</v>
      </c>
      <c r="K132" s="16" t="str">
        <f>VLOOKUP(C132,[1]master_data!$A$2:$E$495,5,FALSE)</f>
        <v>Ikan</v>
      </c>
      <c r="L132" s="1"/>
    </row>
    <row r="133" spans="1:12" ht="12" customHeight="1" x14ac:dyDescent="0.25">
      <c r="A133" s="15">
        <v>45273</v>
      </c>
      <c r="B133" s="16">
        <v>22302374</v>
      </c>
      <c r="C133" s="16" t="s">
        <v>386</v>
      </c>
      <c r="D133" s="16" t="str">
        <f>VLOOKUP(C133,[1]master_data!$A$2:$E$495,2,FALSE)</f>
        <v>OISTER</v>
      </c>
      <c r="E133" s="16">
        <v>2</v>
      </c>
      <c r="F133" s="16">
        <f>VLOOKUP(C133,[1]master_data!$A$2:$E$495,3,FALSE)</f>
        <v>15000</v>
      </c>
      <c r="G133" s="16">
        <f>VLOOKUP(C133,[1]master_data!$A$2:$E$495,4,FALSE)</f>
        <v>25000</v>
      </c>
      <c r="H133" s="16">
        <f>E133*F133</f>
        <v>30000</v>
      </c>
      <c r="I133" s="16">
        <f>E133*G133</f>
        <v>50000</v>
      </c>
      <c r="J133" s="16">
        <f>I133-H133</f>
        <v>20000</v>
      </c>
      <c r="K133" s="16" t="str">
        <f>VLOOKUP(C133,[1]master_data!$A$2:$E$495,5,FALSE)</f>
        <v>Aksesoris</v>
      </c>
      <c r="L133" s="1"/>
    </row>
    <row r="134" spans="1:12" ht="12" customHeight="1" x14ac:dyDescent="0.25">
      <c r="A134" s="15">
        <v>45273</v>
      </c>
      <c r="B134" s="16">
        <v>22302375</v>
      </c>
      <c r="C134" s="16" t="s">
        <v>287</v>
      </c>
      <c r="D134" s="16" t="str">
        <f>VLOOKUP(C134,[1]master_data!$A$2:$E$495,2,FALSE)</f>
        <v>KAPAS 2X1</v>
      </c>
      <c r="E134" s="16">
        <v>10</v>
      </c>
      <c r="F134" s="16">
        <f>VLOOKUP(C134,[1]master_data!$A$2:$E$495,3,FALSE)</f>
        <v>35000</v>
      </c>
      <c r="G134" s="16">
        <f>VLOOKUP(C134,[1]master_data!$A$2:$E$495,4,FALSE)</f>
        <v>40000</v>
      </c>
      <c r="H134" s="16">
        <f>E134*F134</f>
        <v>350000</v>
      </c>
      <c r="I134" s="16">
        <f>E134*G134</f>
        <v>400000</v>
      </c>
      <c r="J134" s="16">
        <f>I134-H134</f>
        <v>50000</v>
      </c>
      <c r="K134" s="16" t="str">
        <f>VLOOKUP(C134,[1]master_data!$A$2:$E$495,5,FALSE)</f>
        <v>Aksesoris</v>
      </c>
      <c r="L134" s="1"/>
    </row>
    <row r="135" spans="1:12" ht="12" customHeight="1" x14ac:dyDescent="0.25">
      <c r="A135" s="15">
        <v>45273</v>
      </c>
      <c r="B135" s="16">
        <v>22302376</v>
      </c>
      <c r="C135" s="16" t="s">
        <v>27</v>
      </c>
      <c r="D135" s="16" t="str">
        <f>VLOOKUP(C135,[1]master_data!$A$2:$E$495,2,FALSE)</f>
        <v>MESIN ROSTON 106</v>
      </c>
      <c r="E135" s="16">
        <v>1</v>
      </c>
      <c r="F135" s="16">
        <f>VLOOKUP(C135,[1]master_data!$A$2:$E$495,3,FALSE)</f>
        <v>100000</v>
      </c>
      <c r="G135" s="16">
        <f>VLOOKUP(C135,[1]master_data!$A$2:$E$495,4,FALSE)</f>
        <v>150000</v>
      </c>
      <c r="H135" s="16">
        <f>E135*F135</f>
        <v>100000</v>
      </c>
      <c r="I135" s="16">
        <f>E135*G135</f>
        <v>150000</v>
      </c>
      <c r="J135" s="16">
        <f>I135-H135</f>
        <v>50000</v>
      </c>
      <c r="K135" s="16" t="str">
        <f>VLOOKUP(C135,[1]master_data!$A$2:$E$495,5,FALSE)</f>
        <v>Aksesoris</v>
      </c>
      <c r="L135" s="1"/>
    </row>
    <row r="136" spans="1:12" ht="12" customHeight="1" x14ac:dyDescent="0.25">
      <c r="A136" s="15">
        <v>45272</v>
      </c>
      <c r="B136" s="16">
        <v>22302365</v>
      </c>
      <c r="C136" s="16" t="s">
        <v>305</v>
      </c>
      <c r="D136" s="16" t="str">
        <f>VLOOKUP(C136,[1]master_data!$A$2:$E$495,2,FALSE)</f>
        <v>SEDOTAN</v>
      </c>
      <c r="E136" s="16">
        <v>5</v>
      </c>
      <c r="F136" s="16">
        <f>VLOOKUP(C136,[1]master_data!$A$2:$E$495,3,FALSE)</f>
        <v>10000</v>
      </c>
      <c r="G136" s="16">
        <f>VLOOKUP(C136,[1]master_data!$A$2:$E$495,4,FALSE)</f>
        <v>15000</v>
      </c>
      <c r="H136" s="16">
        <f>E136*F136</f>
        <v>50000</v>
      </c>
      <c r="I136" s="16">
        <f>E136*G136</f>
        <v>75000</v>
      </c>
      <c r="J136" s="16">
        <f>I136-H136</f>
        <v>25000</v>
      </c>
      <c r="K136" s="16" t="str">
        <f>VLOOKUP(C136,[1]master_data!$A$2:$E$495,5,FALSE)</f>
        <v>Aksesoris</v>
      </c>
      <c r="L136" s="1"/>
    </row>
    <row r="137" spans="1:12" ht="12" customHeight="1" x14ac:dyDescent="0.25">
      <c r="A137" s="15">
        <v>45272</v>
      </c>
      <c r="B137" s="16">
        <v>22302366</v>
      </c>
      <c r="C137" s="16" t="s">
        <v>457</v>
      </c>
      <c r="D137" s="16" t="str">
        <f>VLOOKUP(C137,[1]master_data!$A$2:$E$495,2,FALSE)</f>
        <v>ZEBRA UNGU</v>
      </c>
      <c r="E137" s="16">
        <v>15</v>
      </c>
      <c r="F137" s="16">
        <f>VLOOKUP(C137,[1]master_data!$A$2:$E$495,3,FALSE)</f>
        <v>800</v>
      </c>
      <c r="G137" s="16">
        <f>VLOOKUP(C137,[1]master_data!$A$2:$E$495,4,FALSE)</f>
        <v>2000</v>
      </c>
      <c r="H137" s="16">
        <f>E137*F137</f>
        <v>12000</v>
      </c>
      <c r="I137" s="16">
        <f>E137*G137</f>
        <v>30000</v>
      </c>
      <c r="J137" s="16">
        <f>I137-H137</f>
        <v>18000</v>
      </c>
      <c r="K137" s="16" t="str">
        <f>VLOOKUP(C137,[1]master_data!$A$2:$E$495,5,FALSE)</f>
        <v>Ikan</v>
      </c>
      <c r="L137" s="1"/>
    </row>
    <row r="138" spans="1:12" ht="12" customHeight="1" x14ac:dyDescent="0.25">
      <c r="A138" s="15">
        <v>45272</v>
      </c>
      <c r="B138" s="16">
        <v>22302367</v>
      </c>
      <c r="C138" s="16" t="s">
        <v>308</v>
      </c>
      <c r="D138" s="16" t="str">
        <f>VLOOKUP(C138,[1]master_data!$A$2:$E$495,2,FALSE)</f>
        <v>SELANG SPIRAL</v>
      </c>
      <c r="E138" s="16">
        <v>30</v>
      </c>
      <c r="F138" s="16">
        <f>VLOOKUP(C138,[1]master_data!$A$2:$E$495,3,FALSE)</f>
        <v>2600</v>
      </c>
      <c r="G138" s="16">
        <f>VLOOKUP(C138,[1]master_data!$A$2:$E$495,4,FALSE)</f>
        <v>5000</v>
      </c>
      <c r="H138" s="16">
        <f>E138*F138</f>
        <v>78000</v>
      </c>
      <c r="I138" s="16">
        <f>E138*G138</f>
        <v>150000</v>
      </c>
      <c r="J138" s="16">
        <f>I138-H138</f>
        <v>72000</v>
      </c>
      <c r="K138" s="16" t="str">
        <f>VLOOKUP(C138,[1]master_data!$A$2:$E$495,5,FALSE)</f>
        <v>Aksesoris</v>
      </c>
      <c r="L138" s="1"/>
    </row>
    <row r="139" spans="1:12" ht="12" customHeight="1" x14ac:dyDescent="0.25">
      <c r="A139" s="15">
        <v>45272</v>
      </c>
      <c r="B139" s="16">
        <v>22302368</v>
      </c>
      <c r="C139" s="16" t="s">
        <v>393</v>
      </c>
      <c r="D139" s="16" t="str">
        <f>VLOOKUP(C139,[1]master_data!$A$2:$E$495,2,FALSE)</f>
        <v>ARWANA SILVER B</v>
      </c>
      <c r="E139" s="16">
        <v>1</v>
      </c>
      <c r="F139" s="16">
        <f>VLOOKUP(C139,[1]master_data!$A$2:$E$495,3,FALSE)</f>
        <v>300000</v>
      </c>
      <c r="G139" s="16">
        <f>VLOOKUP(C139,[1]master_data!$A$2:$E$495,4,FALSE)</f>
        <v>500000</v>
      </c>
      <c r="H139" s="16">
        <f>E139*F139</f>
        <v>300000</v>
      </c>
      <c r="I139" s="16">
        <f>E139*G139</f>
        <v>500000</v>
      </c>
      <c r="J139" s="16">
        <f>I139-H139</f>
        <v>200000</v>
      </c>
      <c r="K139" s="16" t="str">
        <f>VLOOKUP(C139,[1]master_data!$A$2:$E$495,5,FALSE)</f>
        <v>Ikan</v>
      </c>
      <c r="L139" s="1"/>
    </row>
    <row r="140" spans="1:12" ht="12" customHeight="1" x14ac:dyDescent="0.25">
      <c r="A140" s="15">
        <v>45271</v>
      </c>
      <c r="B140" s="16">
        <v>22302360</v>
      </c>
      <c r="C140" s="16" t="s">
        <v>423</v>
      </c>
      <c r="D140" s="16" t="str">
        <f>VLOOKUP(C140,[1]master_data!$A$2:$E$495,2,FALSE)</f>
        <v>CAROLINE</v>
      </c>
      <c r="E140" s="16">
        <v>20</v>
      </c>
      <c r="F140" s="16">
        <f>VLOOKUP(C140,[1]master_data!$A$2:$E$495,3,FALSE)</f>
        <v>900</v>
      </c>
      <c r="G140" s="16">
        <f>VLOOKUP(C140,[1]master_data!$A$2:$E$495,4,FALSE)</f>
        <v>2000</v>
      </c>
      <c r="H140" s="16">
        <f>E140*F140</f>
        <v>18000</v>
      </c>
      <c r="I140" s="16">
        <f>E140*G140</f>
        <v>40000</v>
      </c>
      <c r="J140" s="16">
        <f>I140-H140</f>
        <v>22000</v>
      </c>
      <c r="K140" s="16" t="str">
        <f>VLOOKUP(C140,[1]master_data!$A$2:$E$495,5,FALSE)</f>
        <v>Ikan</v>
      </c>
      <c r="L140" s="1"/>
    </row>
    <row r="141" spans="1:12" ht="12" customHeight="1" x14ac:dyDescent="0.25">
      <c r="A141" s="15">
        <v>45271</v>
      </c>
      <c r="B141" s="16">
        <v>22302361</v>
      </c>
      <c r="C141" s="16" t="s">
        <v>398</v>
      </c>
      <c r="D141" s="16" t="str">
        <f>VLOOKUP(C141,[1]master_data!$A$2:$E$495,2,FALSE)</f>
        <v>BALA BALA K</v>
      </c>
      <c r="E141" s="16">
        <v>30</v>
      </c>
      <c r="F141" s="16">
        <f>VLOOKUP(C141,[1]master_data!$A$2:$E$495,3,FALSE)</f>
        <v>4000</v>
      </c>
      <c r="G141" s="16">
        <f>VLOOKUP(C141,[1]master_data!$A$2:$E$495,4,FALSE)</f>
        <v>8000</v>
      </c>
      <c r="H141" s="16">
        <f>E141*F141</f>
        <v>120000</v>
      </c>
      <c r="I141" s="16">
        <f>E141*G141</f>
        <v>240000</v>
      </c>
      <c r="J141" s="16">
        <f>I141-H141</f>
        <v>120000</v>
      </c>
      <c r="K141" s="16" t="str">
        <f>VLOOKUP(C141,[1]master_data!$A$2:$E$495,5,FALSE)</f>
        <v>Ikan</v>
      </c>
      <c r="L141" s="1"/>
    </row>
    <row r="142" spans="1:12" ht="12" customHeight="1" x14ac:dyDescent="0.25">
      <c r="A142" s="15">
        <v>45271</v>
      </c>
      <c r="B142" s="16">
        <v>22302362</v>
      </c>
      <c r="C142" s="16" t="s">
        <v>407</v>
      </c>
      <c r="D142" s="16" t="str">
        <f>VLOOKUP(C142,[1]master_data!$A$2:$E$495,2,FALSE)</f>
        <v>GOLD FISH</v>
      </c>
      <c r="E142" s="16">
        <v>15</v>
      </c>
      <c r="F142" s="16">
        <f>VLOOKUP(C142,[1]master_data!$A$2:$E$495,3,FALSE)</f>
        <v>800</v>
      </c>
      <c r="G142" s="16">
        <f>VLOOKUP(C142,[1]master_data!$A$2:$E$495,4,FALSE)</f>
        <v>2000</v>
      </c>
      <c r="H142" s="16">
        <f>E142*F142</f>
        <v>12000</v>
      </c>
      <c r="I142" s="16">
        <f>E142*G142</f>
        <v>30000</v>
      </c>
      <c r="J142" s="16">
        <f>I142-H142</f>
        <v>18000</v>
      </c>
      <c r="K142" s="16" t="str">
        <f>VLOOKUP(C142,[1]master_data!$A$2:$E$495,5,FALSE)</f>
        <v>Ikan</v>
      </c>
      <c r="L142" s="1"/>
    </row>
    <row r="143" spans="1:12" ht="12" customHeight="1" x14ac:dyDescent="0.25">
      <c r="A143" s="15">
        <v>45271</v>
      </c>
      <c r="B143" s="16">
        <v>22302363</v>
      </c>
      <c r="C143" s="16" t="s">
        <v>128</v>
      </c>
      <c r="D143" s="16" t="str">
        <f>VLOOKUP(C143,[1]master_data!$A$2:$E$495,2,FALSE)</f>
        <v>LED YAMANO 6W</v>
      </c>
      <c r="E143" s="16">
        <v>4</v>
      </c>
      <c r="F143" s="16">
        <f>VLOOKUP(C143,[1]master_data!$A$2:$E$495,3,FALSE)</f>
        <v>45000</v>
      </c>
      <c r="G143" s="16">
        <f>VLOOKUP(C143,[1]master_data!$A$2:$E$495,4,FALSE)</f>
        <v>75000</v>
      </c>
      <c r="H143" s="16">
        <f>E143*F143</f>
        <v>180000</v>
      </c>
      <c r="I143" s="16">
        <f>E143*G143</f>
        <v>300000</v>
      </c>
      <c r="J143" s="16">
        <f>I143-H143</f>
        <v>120000</v>
      </c>
      <c r="K143" s="16" t="str">
        <f>VLOOKUP(C143,[1]master_data!$A$2:$E$495,5,FALSE)</f>
        <v>Aksesoris</v>
      </c>
      <c r="L143" s="1"/>
    </row>
    <row r="144" spans="1:12" ht="12" customHeight="1" x14ac:dyDescent="0.25">
      <c r="A144" s="15">
        <v>45271</v>
      </c>
      <c r="B144" s="16">
        <v>22302364</v>
      </c>
      <c r="C144" s="16" t="s">
        <v>35</v>
      </c>
      <c r="D144" s="16" t="str">
        <f>VLOOKUP(C144,[1]master_data!$A$2:$E$495,2,FALSE)</f>
        <v>MESIN YAMANO 1800</v>
      </c>
      <c r="E144" s="16">
        <v>1</v>
      </c>
      <c r="F144" s="16">
        <f>VLOOKUP(C144,[1]master_data!$A$2:$E$495,3,FALSE)</f>
        <v>64000</v>
      </c>
      <c r="G144" s="16">
        <f>VLOOKUP(C144,[1]master_data!$A$2:$E$495,4,FALSE)</f>
        <v>110000</v>
      </c>
      <c r="H144" s="16">
        <f>E144*F144</f>
        <v>64000</v>
      </c>
      <c r="I144" s="16">
        <f>E144*G144</f>
        <v>110000</v>
      </c>
      <c r="J144" s="16">
        <f>I144-H144</f>
        <v>46000</v>
      </c>
      <c r="K144" s="16" t="str">
        <f>VLOOKUP(C144,[1]master_data!$A$2:$E$495,5,FALSE)</f>
        <v>Aksesoris</v>
      </c>
      <c r="L144" s="1"/>
    </row>
    <row r="145" spans="1:12" ht="12" customHeight="1" x14ac:dyDescent="0.25">
      <c r="A145" s="15">
        <v>45270</v>
      </c>
      <c r="B145" s="16">
        <v>22302356</v>
      </c>
      <c r="C145" s="16" t="s">
        <v>161</v>
      </c>
      <c r="D145" s="16" t="str">
        <f>VLOOKUP(C145,[1]master_data!$A$2:$E$495,2,FALSE)</f>
        <v>LED KANDILA PRO RED 100 CM</v>
      </c>
      <c r="E145" s="16">
        <v>2</v>
      </c>
      <c r="F145" s="16">
        <f>VLOOKUP(C145,[1]master_data!$A$2:$E$495,3,FALSE)</f>
        <v>225000</v>
      </c>
      <c r="G145" s="16">
        <f>VLOOKUP(C145,[1]master_data!$A$2:$E$495,4,FALSE)</f>
        <v>270000</v>
      </c>
      <c r="H145" s="16">
        <f>E145*F145</f>
        <v>450000</v>
      </c>
      <c r="I145" s="16">
        <f>E145*G145</f>
        <v>540000</v>
      </c>
      <c r="J145" s="16">
        <f>I145-H145</f>
        <v>90000</v>
      </c>
      <c r="K145" s="16" t="str">
        <f>VLOOKUP(C145,[1]master_data!$A$2:$E$495,5,FALSE)</f>
        <v>Aksesoris</v>
      </c>
      <c r="L145" s="1"/>
    </row>
    <row r="146" spans="1:12" ht="12" customHeight="1" x14ac:dyDescent="0.25">
      <c r="A146" s="15">
        <v>45270</v>
      </c>
      <c r="B146" s="16">
        <v>22302357</v>
      </c>
      <c r="C146" s="16" t="s">
        <v>460</v>
      </c>
      <c r="D146" s="16" t="str">
        <f>VLOOKUP(C146,[1]master_data!$A$2:$E$495,2,FALSE)</f>
        <v>SEPAT ALBINO</v>
      </c>
      <c r="E146" s="16">
        <v>15</v>
      </c>
      <c r="F146" s="16">
        <f>VLOOKUP(C146,[1]master_data!$A$2:$E$495,3,FALSE)</f>
        <v>2000</v>
      </c>
      <c r="G146" s="16">
        <f>VLOOKUP(C146,[1]master_data!$A$2:$E$495,4,FALSE)</f>
        <v>5000</v>
      </c>
      <c r="H146" s="16">
        <f>E146*F146</f>
        <v>30000</v>
      </c>
      <c r="I146" s="16">
        <f>E146*G146</f>
        <v>75000</v>
      </c>
      <c r="J146" s="16">
        <f>I146-H146</f>
        <v>45000</v>
      </c>
      <c r="K146" s="16" t="str">
        <f>VLOOKUP(C146,[1]master_data!$A$2:$E$495,5,FALSE)</f>
        <v>Ikan</v>
      </c>
      <c r="L146" s="1"/>
    </row>
    <row r="147" spans="1:12" ht="12" customHeight="1" x14ac:dyDescent="0.25">
      <c r="A147" s="15">
        <v>45270</v>
      </c>
      <c r="B147" s="16">
        <v>22302358</v>
      </c>
      <c r="C147" s="16" t="s">
        <v>395</v>
      </c>
      <c r="D147" s="16" t="str">
        <f>VLOOKUP(C147,[1]master_data!$A$2:$E$495,2,FALSE)</f>
        <v>ALIGATOR</v>
      </c>
      <c r="E147" s="16">
        <v>9</v>
      </c>
      <c r="F147" s="16">
        <f>VLOOKUP(C147,[1]master_data!$A$2:$E$495,3,FALSE)</f>
        <v>17000</v>
      </c>
      <c r="G147" s="16">
        <f>VLOOKUP(C147,[1]master_data!$A$2:$E$495,4,FALSE)</f>
        <v>35000</v>
      </c>
      <c r="H147" s="16">
        <f>E147*F147</f>
        <v>153000</v>
      </c>
      <c r="I147" s="16">
        <f>E147*G147</f>
        <v>315000</v>
      </c>
      <c r="J147" s="16">
        <f>I147-H147</f>
        <v>162000</v>
      </c>
      <c r="K147" s="16" t="str">
        <f>VLOOKUP(C147,[1]master_data!$A$2:$E$495,5,FALSE)</f>
        <v>Ikan</v>
      </c>
      <c r="L147" s="1"/>
    </row>
    <row r="148" spans="1:12" ht="12" customHeight="1" x14ac:dyDescent="0.25">
      <c r="A148" s="15">
        <v>45270</v>
      </c>
      <c r="B148" s="16">
        <v>22302359</v>
      </c>
      <c r="C148" s="16" t="s">
        <v>413</v>
      </c>
      <c r="D148" s="16" t="str">
        <f>VLOOKUP(C148,[1]master_data!$A$2:$E$495,2,FALSE)</f>
        <v>KOKI B</v>
      </c>
      <c r="E148" s="16">
        <v>1</v>
      </c>
      <c r="F148" s="16">
        <f>VLOOKUP(C148,[1]master_data!$A$2:$E$495,3,FALSE)</f>
        <v>20000</v>
      </c>
      <c r="G148" s="16">
        <f>VLOOKUP(C148,[1]master_data!$A$2:$E$495,4,FALSE)</f>
        <v>50000</v>
      </c>
      <c r="H148" s="16">
        <f>E148*F148</f>
        <v>20000</v>
      </c>
      <c r="I148" s="16">
        <f>E148*G148</f>
        <v>50000</v>
      </c>
      <c r="J148" s="16">
        <f>I148-H148</f>
        <v>30000</v>
      </c>
      <c r="K148" s="16" t="str">
        <f>VLOOKUP(C148,[1]master_data!$A$2:$E$495,5,FALSE)</f>
        <v>Ikan</v>
      </c>
      <c r="L148" s="1"/>
    </row>
    <row r="149" spans="1:12" ht="12" customHeight="1" x14ac:dyDescent="0.25">
      <c r="A149" s="15">
        <v>45269</v>
      </c>
      <c r="B149" s="16">
        <v>22302349</v>
      </c>
      <c r="C149" s="16" t="s">
        <v>100</v>
      </c>
      <c r="D149" s="16" t="str">
        <f>VLOOKUP(C149,[1]master_data!$A$2:$E$495,2,FALSE)</f>
        <v>MESIN AMARA 106</v>
      </c>
      <c r="E149" s="16">
        <v>2</v>
      </c>
      <c r="F149" s="16">
        <f>VLOOKUP(C149,[1]master_data!$A$2:$E$495,3,FALSE)</f>
        <v>270000</v>
      </c>
      <c r="G149" s="16">
        <f>VLOOKUP(C149,[1]master_data!$A$2:$E$495,4,FALSE)</f>
        <v>330000</v>
      </c>
      <c r="H149" s="16">
        <f>E149*F149</f>
        <v>540000</v>
      </c>
      <c r="I149" s="16">
        <f>E149*G149</f>
        <v>660000</v>
      </c>
      <c r="J149" s="16">
        <f>I149-H149</f>
        <v>120000</v>
      </c>
      <c r="K149" s="16" t="str">
        <f>VLOOKUP(C149,[1]master_data!$A$2:$E$495,5,FALSE)</f>
        <v>Aksesoris</v>
      </c>
      <c r="L149" s="1"/>
    </row>
    <row r="150" spans="1:12" ht="12" customHeight="1" x14ac:dyDescent="0.25">
      <c r="A150" s="15">
        <v>45269</v>
      </c>
      <c r="B150" s="16">
        <v>22302350</v>
      </c>
      <c r="C150" s="16" t="s">
        <v>422</v>
      </c>
      <c r="D150" s="16" t="str">
        <f>VLOOKUP(C150,[1]master_data!$A$2:$E$495,2,FALSE)</f>
        <v>KOI SLAYER B</v>
      </c>
      <c r="E150" s="16">
        <v>2</v>
      </c>
      <c r="F150" s="16">
        <f>VLOOKUP(C150,[1]master_data!$A$2:$E$495,3,FALSE)</f>
        <v>8000</v>
      </c>
      <c r="G150" s="16">
        <f>VLOOKUP(C150,[1]master_data!$A$2:$E$495,4,FALSE)</f>
        <v>20000</v>
      </c>
      <c r="H150" s="16">
        <f>E150*F150</f>
        <v>16000</v>
      </c>
      <c r="I150" s="16">
        <f>E150*G150</f>
        <v>40000</v>
      </c>
      <c r="J150" s="16">
        <f>I150-H150</f>
        <v>24000</v>
      </c>
      <c r="K150" s="16" t="str">
        <f>VLOOKUP(C150,[1]master_data!$A$2:$E$495,5,FALSE)</f>
        <v>Ikan</v>
      </c>
      <c r="L150" s="1"/>
    </row>
    <row r="151" spans="1:12" ht="12" customHeight="1" x14ac:dyDescent="0.25">
      <c r="A151" s="15">
        <v>45269</v>
      </c>
      <c r="B151" s="16">
        <v>22302351</v>
      </c>
      <c r="C151" s="16" t="s">
        <v>268</v>
      </c>
      <c r="D151" s="16" t="str">
        <f>VLOOKUP(C151,[1]master_data!$A$2:$E$495,2,FALSE)</f>
        <v>HEATER KACA 25 W</v>
      </c>
      <c r="E151" s="16">
        <v>1</v>
      </c>
      <c r="F151" s="16">
        <f>VLOOKUP(C151,[1]master_data!$A$2:$E$495,3,FALSE)</f>
        <v>33000</v>
      </c>
      <c r="G151" s="16">
        <f>VLOOKUP(C151,[1]master_data!$A$2:$E$495,4,FALSE)</f>
        <v>50000</v>
      </c>
      <c r="H151" s="16">
        <f>E151*F151</f>
        <v>33000</v>
      </c>
      <c r="I151" s="16">
        <f>E151*G151</f>
        <v>50000</v>
      </c>
      <c r="J151" s="16">
        <f>I151-H151</f>
        <v>17000</v>
      </c>
      <c r="K151" s="16" t="str">
        <f>VLOOKUP(C151,[1]master_data!$A$2:$E$495,5,FALSE)</f>
        <v>Aksesoris</v>
      </c>
      <c r="L151" s="1"/>
    </row>
    <row r="152" spans="1:12" ht="12" customHeight="1" x14ac:dyDescent="0.25">
      <c r="A152" s="15">
        <v>45269</v>
      </c>
      <c r="B152" s="16">
        <v>22302352</v>
      </c>
      <c r="C152" s="16" t="s">
        <v>106</v>
      </c>
      <c r="D152" s="16" t="str">
        <f>VLOOKUP(C152,[1]master_data!$A$2:$E$495,2,FALSE)</f>
        <v>AIRATOR AMARA LUB 1</v>
      </c>
      <c r="E152" s="16">
        <v>2</v>
      </c>
      <c r="F152" s="16">
        <f>VLOOKUP(C152,[1]master_data!$A$2:$E$495,3,FALSE)</f>
        <v>17500</v>
      </c>
      <c r="G152" s="16">
        <f>VLOOKUP(C152,[1]master_data!$A$2:$E$495,4,FALSE)</f>
        <v>30000</v>
      </c>
      <c r="H152" s="16">
        <f>E152*F152</f>
        <v>35000</v>
      </c>
      <c r="I152" s="16">
        <f>E152*G152</f>
        <v>60000</v>
      </c>
      <c r="J152" s="16">
        <f>I152-H152</f>
        <v>25000</v>
      </c>
      <c r="K152" s="16" t="str">
        <f>VLOOKUP(C152,[1]master_data!$A$2:$E$495,5,FALSE)</f>
        <v>Aksesoris</v>
      </c>
      <c r="L152" s="1"/>
    </row>
    <row r="153" spans="1:12" ht="12" customHeight="1" x14ac:dyDescent="0.25">
      <c r="A153" s="15">
        <v>45269</v>
      </c>
      <c r="B153" s="16">
        <v>22302353</v>
      </c>
      <c r="C153" s="16" t="s">
        <v>398</v>
      </c>
      <c r="D153" s="16" t="str">
        <f>VLOOKUP(C153,[1]master_data!$A$2:$E$495,2,FALSE)</f>
        <v>BALA BALA K</v>
      </c>
      <c r="E153" s="16">
        <v>25</v>
      </c>
      <c r="F153" s="16">
        <f>VLOOKUP(C153,[1]master_data!$A$2:$E$495,3,FALSE)</f>
        <v>4000</v>
      </c>
      <c r="G153" s="16">
        <f>VLOOKUP(C153,[1]master_data!$A$2:$E$495,4,FALSE)</f>
        <v>8000</v>
      </c>
      <c r="H153" s="16">
        <f>E153*F153</f>
        <v>100000</v>
      </c>
      <c r="I153" s="16">
        <f>E153*G153</f>
        <v>200000</v>
      </c>
      <c r="J153" s="16">
        <f>I153-H153</f>
        <v>100000</v>
      </c>
      <c r="K153" s="16" t="str">
        <f>VLOOKUP(C153,[1]master_data!$A$2:$E$495,5,FALSE)</f>
        <v>Ikan</v>
      </c>
      <c r="L153" s="1"/>
    </row>
    <row r="154" spans="1:12" ht="12" customHeight="1" x14ac:dyDescent="0.25">
      <c r="A154" s="15">
        <v>45269</v>
      </c>
      <c r="B154" s="16">
        <v>22302354</v>
      </c>
      <c r="C154" s="16" t="s">
        <v>324</v>
      </c>
      <c r="D154" s="16" t="str">
        <f>VLOOKUP(C154,[1]master_data!$A$2:$E$495,2,FALSE)</f>
        <v>HEATER STENLEES 75 W</v>
      </c>
      <c r="E154" s="16">
        <v>1</v>
      </c>
      <c r="F154" s="16">
        <f>VLOOKUP(C154,[1]master_data!$A$2:$E$495,3,FALSE)</f>
        <v>70000</v>
      </c>
      <c r="G154" s="16">
        <f>VLOOKUP(C154,[1]master_data!$A$2:$E$495,4,FALSE)</f>
        <v>90000</v>
      </c>
      <c r="H154" s="16">
        <f>E154*F154</f>
        <v>70000</v>
      </c>
      <c r="I154" s="16">
        <f>E154*G154</f>
        <v>90000</v>
      </c>
      <c r="J154" s="16">
        <f>I154-H154</f>
        <v>20000</v>
      </c>
      <c r="K154" s="16" t="str">
        <f>VLOOKUP(C154,[1]master_data!$A$2:$E$495,5,FALSE)</f>
        <v>Aksesoris</v>
      </c>
      <c r="L154" s="1"/>
    </row>
    <row r="155" spans="1:12" ht="12" customHeight="1" x14ac:dyDescent="0.25">
      <c r="A155" s="15">
        <v>45269</v>
      </c>
      <c r="B155" s="16">
        <v>22302355</v>
      </c>
      <c r="C155" s="16" t="s">
        <v>52</v>
      </c>
      <c r="D155" s="16" t="str">
        <f>VLOOKUP(C155,[1]master_data!$A$2:$E$495,2,FALSE)</f>
        <v>MESIN SWI 1600</v>
      </c>
      <c r="E155" s="16">
        <v>1</v>
      </c>
      <c r="F155" s="16">
        <f>VLOOKUP(C155,[1]master_data!$A$2:$E$495,3,FALSE)</f>
        <v>37500</v>
      </c>
      <c r="G155" s="16">
        <f>VLOOKUP(C155,[1]master_data!$A$2:$E$495,4,FALSE)</f>
        <v>55000</v>
      </c>
      <c r="H155" s="16">
        <f>E155*F155</f>
        <v>37500</v>
      </c>
      <c r="I155" s="16">
        <f>E155*G155</f>
        <v>55000</v>
      </c>
      <c r="J155" s="16">
        <f>I155-H155</f>
        <v>17500</v>
      </c>
      <c r="K155" s="16" t="str">
        <f>VLOOKUP(C155,[1]master_data!$A$2:$E$495,5,FALSE)</f>
        <v>Aksesoris</v>
      </c>
      <c r="L155" s="1"/>
    </row>
    <row r="156" spans="1:12" ht="12" customHeight="1" x14ac:dyDescent="0.25">
      <c r="A156" s="15">
        <v>45268</v>
      </c>
      <c r="B156" s="16">
        <v>22302343</v>
      </c>
      <c r="C156" s="16" t="s">
        <v>402</v>
      </c>
      <c r="D156" s="16" t="str">
        <f>VLOOKUP(C156,[1]master_data!$A$2:$E$495,2,FALSE)</f>
        <v>CHANNA BLUE PULCHRA B</v>
      </c>
      <c r="E156" s="16">
        <v>1</v>
      </c>
      <c r="F156" s="16">
        <f>VLOOKUP(C156,[1]master_data!$A$2:$E$495,3,FALSE)</f>
        <v>125000</v>
      </c>
      <c r="G156" s="16">
        <f>VLOOKUP(C156,[1]master_data!$A$2:$E$495,4,FALSE)</f>
        <v>200000</v>
      </c>
      <c r="H156" s="16">
        <f>E156*F156</f>
        <v>125000</v>
      </c>
      <c r="I156" s="16">
        <f>E156*G156</f>
        <v>200000</v>
      </c>
      <c r="J156" s="16">
        <f>I156-H156</f>
        <v>75000</v>
      </c>
      <c r="K156" s="16" t="str">
        <f>VLOOKUP(C156,[1]master_data!$A$2:$E$495,5,FALSE)</f>
        <v>Ikan</v>
      </c>
      <c r="L156" s="1"/>
    </row>
    <row r="157" spans="1:12" ht="12" customHeight="1" x14ac:dyDescent="0.25">
      <c r="A157" s="15">
        <v>45268</v>
      </c>
      <c r="B157" s="16">
        <v>22302344</v>
      </c>
      <c r="C157" s="16" t="s">
        <v>212</v>
      </c>
      <c r="D157" s="16" t="str">
        <f>VLOOKUP(C157,[1]master_data!$A$2:$E$495,2,FALSE)</f>
        <v>ARTEMIA SUPREME PLUS</v>
      </c>
      <c r="E157" s="16">
        <v>2</v>
      </c>
      <c r="F157" s="16">
        <f>VLOOKUP(C157,[1]master_data!$A$2:$E$495,3,FALSE)</f>
        <v>14500</v>
      </c>
      <c r="G157" s="16">
        <f>VLOOKUP(C157,[1]master_data!$A$2:$E$495,4,FALSE)</f>
        <v>25000</v>
      </c>
      <c r="H157" s="16">
        <f>E157*F157</f>
        <v>29000</v>
      </c>
      <c r="I157" s="16">
        <f>E157*G157</f>
        <v>50000</v>
      </c>
      <c r="J157" s="16">
        <f>I157-H157</f>
        <v>21000</v>
      </c>
      <c r="K157" s="16" t="str">
        <f>VLOOKUP(C157,[1]master_data!$A$2:$E$495,5,FALSE)</f>
        <v>Aksesoris</v>
      </c>
      <c r="L157" s="1"/>
    </row>
    <row r="158" spans="1:12" ht="12" customHeight="1" x14ac:dyDescent="0.25">
      <c r="A158" s="15">
        <v>45268</v>
      </c>
      <c r="B158" s="16">
        <v>22302345</v>
      </c>
      <c r="C158" s="16" t="s">
        <v>432</v>
      </c>
      <c r="D158" s="16" t="str">
        <f>VLOOKUP(C158,[1]master_data!$A$2:$E$495,2,FALSE)</f>
        <v>MOLI PAKAN</v>
      </c>
      <c r="E158" s="16">
        <v>15</v>
      </c>
      <c r="F158" s="16">
        <f>VLOOKUP(C158,[1]master_data!$A$2:$E$495,3,FALSE)</f>
        <v>100</v>
      </c>
      <c r="G158" s="16">
        <f>VLOOKUP(C158,[1]master_data!$A$2:$E$495,4,FALSE)</f>
        <v>200</v>
      </c>
      <c r="H158" s="16">
        <f>E158*F158</f>
        <v>1500</v>
      </c>
      <c r="I158" s="16">
        <f>E158*G158</f>
        <v>3000</v>
      </c>
      <c r="J158" s="16">
        <f>I158-H158</f>
        <v>1500</v>
      </c>
      <c r="K158" s="16" t="str">
        <f>VLOOKUP(C158,[1]master_data!$A$2:$E$495,5,FALSE)</f>
        <v>Ikan</v>
      </c>
      <c r="L158" s="1"/>
    </row>
    <row r="159" spans="1:12" ht="12" customHeight="1" x14ac:dyDescent="0.25">
      <c r="A159" s="15">
        <v>45268</v>
      </c>
      <c r="B159" s="16">
        <v>22302346</v>
      </c>
      <c r="C159" s="16" t="s">
        <v>184</v>
      </c>
      <c r="D159" s="16" t="str">
        <f>VLOOKUP(C159,[1]master_data!$A$2:$E$495,2,FALSE)</f>
        <v>LED KANDILA PRO RED 150 CM</v>
      </c>
      <c r="E159" s="16">
        <v>2</v>
      </c>
      <c r="F159" s="16">
        <f>VLOOKUP(C159,[1]master_data!$A$2:$E$495,3,FALSE)</f>
        <v>265000</v>
      </c>
      <c r="G159" s="16">
        <f>VLOOKUP(C159,[1]master_data!$A$2:$E$495,4,FALSE)</f>
        <v>365000</v>
      </c>
      <c r="H159" s="16">
        <f>E159*F159</f>
        <v>530000</v>
      </c>
      <c r="I159" s="16">
        <f>E159*G159</f>
        <v>730000</v>
      </c>
      <c r="J159" s="16">
        <f>I159-H159</f>
        <v>200000</v>
      </c>
      <c r="K159" s="16" t="str">
        <f>VLOOKUP(C159,[1]master_data!$A$2:$E$495,5,FALSE)</f>
        <v>Aksesoris</v>
      </c>
      <c r="L159" s="1"/>
    </row>
    <row r="160" spans="1:12" ht="12" customHeight="1" x14ac:dyDescent="0.25">
      <c r="A160" s="15">
        <v>45268</v>
      </c>
      <c r="B160" s="16">
        <v>22302347</v>
      </c>
      <c r="C160" s="16" t="s">
        <v>107</v>
      </c>
      <c r="D160" s="16" t="str">
        <f>VLOOKUP(C160,[1]master_data!$A$2:$E$495,2,FALSE)</f>
        <v>AIRATOR NIKITA LUB 1</v>
      </c>
      <c r="E160" s="16">
        <v>2</v>
      </c>
      <c r="F160" s="16">
        <f>VLOOKUP(C160,[1]master_data!$A$2:$E$495,3,FALSE)</f>
        <v>20500</v>
      </c>
      <c r="G160" s="16">
        <f>VLOOKUP(C160,[1]master_data!$A$2:$E$495,4,FALSE)</f>
        <v>30000</v>
      </c>
      <c r="H160" s="16">
        <f>E160*F160</f>
        <v>41000</v>
      </c>
      <c r="I160" s="16">
        <f>E160*G160</f>
        <v>60000</v>
      </c>
      <c r="J160" s="16">
        <f>I160-H160</f>
        <v>19000</v>
      </c>
      <c r="K160" s="16" t="str">
        <f>VLOOKUP(C160,[1]master_data!$A$2:$E$495,5,FALSE)</f>
        <v>Aksesoris</v>
      </c>
      <c r="L160" s="1"/>
    </row>
    <row r="161" spans="1:12" ht="12" customHeight="1" x14ac:dyDescent="0.25">
      <c r="A161" s="15">
        <v>45268</v>
      </c>
      <c r="B161" s="16">
        <v>22302348</v>
      </c>
      <c r="C161" s="16" t="s">
        <v>203</v>
      </c>
      <c r="D161" s="16" t="str">
        <f>VLOOKUP(C161,[1]master_data!$A$2:$E$495,2,FALSE)</f>
        <v>HOKKY COLOUR MAX</v>
      </c>
      <c r="E161" s="16">
        <v>1</v>
      </c>
      <c r="F161" s="16">
        <f>VLOOKUP(C161,[1]master_data!$A$2:$E$495,3,FALSE)</f>
        <v>7600</v>
      </c>
      <c r="G161" s="16">
        <f>VLOOKUP(C161,[1]master_data!$A$2:$E$495,4,FALSE)</f>
        <v>10000</v>
      </c>
      <c r="H161" s="16">
        <f>E161*F161</f>
        <v>7600</v>
      </c>
      <c r="I161" s="16">
        <f>E161*G161</f>
        <v>10000</v>
      </c>
      <c r="J161" s="16">
        <f>I161-H161</f>
        <v>2400</v>
      </c>
      <c r="K161" s="16" t="str">
        <f>VLOOKUP(C161,[1]master_data!$A$2:$E$495,5,FALSE)</f>
        <v>Aksesoris</v>
      </c>
      <c r="L161" s="1"/>
    </row>
    <row r="162" spans="1:12" ht="12" customHeight="1" x14ac:dyDescent="0.25">
      <c r="A162" s="15">
        <v>45267</v>
      </c>
      <c r="B162" s="16">
        <v>22302337</v>
      </c>
      <c r="C162" s="16" t="s">
        <v>183</v>
      </c>
      <c r="D162" s="16" t="str">
        <f>VLOOKUP(C162,[1]master_data!$A$2:$E$495,2,FALSE)</f>
        <v>LED HIRO 20 CM</v>
      </c>
      <c r="E162" s="16">
        <v>1</v>
      </c>
      <c r="F162" s="16">
        <f>VLOOKUP(C162,[1]master_data!$A$2:$E$495,3,FALSE)</f>
        <v>17000</v>
      </c>
      <c r="G162" s="16">
        <f>VLOOKUP(C162,[1]master_data!$A$2:$E$495,4,FALSE)</f>
        <v>25000</v>
      </c>
      <c r="H162" s="16">
        <f>E162*F162</f>
        <v>17000</v>
      </c>
      <c r="I162" s="16">
        <f>E162*G162</f>
        <v>25000</v>
      </c>
      <c r="J162" s="16">
        <f>I162-H162</f>
        <v>8000</v>
      </c>
      <c r="K162" s="16" t="str">
        <f>VLOOKUP(C162,[1]master_data!$A$2:$E$495,5,FALSE)</f>
        <v>Aksesoris</v>
      </c>
      <c r="L162" s="1"/>
    </row>
    <row r="163" spans="1:12" ht="12" customHeight="1" x14ac:dyDescent="0.25">
      <c r="A163" s="15">
        <v>45267</v>
      </c>
      <c r="B163" s="16">
        <v>22302338</v>
      </c>
      <c r="C163" s="16" t="s">
        <v>402</v>
      </c>
      <c r="D163" s="16" t="str">
        <f>VLOOKUP(C163,[1]master_data!$A$2:$E$495,2,FALSE)</f>
        <v>CHANNA BLUE PULCHRA B</v>
      </c>
      <c r="E163" s="16">
        <v>2</v>
      </c>
      <c r="F163" s="16">
        <f>VLOOKUP(C163,[1]master_data!$A$2:$E$495,3,FALSE)</f>
        <v>125000</v>
      </c>
      <c r="G163" s="16">
        <f>VLOOKUP(C163,[1]master_data!$A$2:$E$495,4,FALSE)</f>
        <v>200000</v>
      </c>
      <c r="H163" s="16">
        <f>E163*F163</f>
        <v>250000</v>
      </c>
      <c r="I163" s="16">
        <f>E163*G163</f>
        <v>400000</v>
      </c>
      <c r="J163" s="16">
        <f>I163-H163</f>
        <v>150000</v>
      </c>
      <c r="K163" s="16" t="str">
        <f>VLOOKUP(C163,[1]master_data!$A$2:$E$495,5,FALSE)</f>
        <v>Ikan</v>
      </c>
      <c r="L163" s="1"/>
    </row>
    <row r="164" spans="1:12" ht="12" customHeight="1" x14ac:dyDescent="0.25">
      <c r="A164" s="15">
        <v>45267</v>
      </c>
      <c r="B164" s="16">
        <v>22302339</v>
      </c>
      <c r="C164" s="16" t="s">
        <v>438</v>
      </c>
      <c r="D164" s="16" t="str">
        <f>VLOOKUP(C164,[1]master_data!$A$2:$E$495,2,FALSE)</f>
        <v>OSCAR</v>
      </c>
      <c r="E164" s="16">
        <v>1</v>
      </c>
      <c r="F164" s="16">
        <f>VLOOKUP(C164,[1]master_data!$A$2:$E$495,3,FALSE)</f>
        <v>25000</v>
      </c>
      <c r="G164" s="16">
        <f>VLOOKUP(C164,[1]master_data!$A$2:$E$495,4,FALSE)</f>
        <v>50000</v>
      </c>
      <c r="H164" s="16">
        <f>E164*F164</f>
        <v>25000</v>
      </c>
      <c r="I164" s="16">
        <f>E164*G164</f>
        <v>50000</v>
      </c>
      <c r="J164" s="16">
        <f>I164-H164</f>
        <v>25000</v>
      </c>
      <c r="K164" s="16" t="str">
        <f>VLOOKUP(C164,[1]master_data!$A$2:$E$495,5,FALSE)</f>
        <v>Ikan</v>
      </c>
      <c r="L164" s="1"/>
    </row>
    <row r="165" spans="1:12" ht="12" customHeight="1" x14ac:dyDescent="0.25">
      <c r="A165" s="15">
        <v>45267</v>
      </c>
      <c r="B165" s="16">
        <v>22302340</v>
      </c>
      <c r="C165" s="16" t="s">
        <v>256</v>
      </c>
      <c r="D165" s="16" t="str">
        <f>VLOOKUP(C165,[1]master_data!$A$2:$E$495,2,FALSE)</f>
        <v>BIOBOL</v>
      </c>
      <c r="E165" s="16">
        <v>25</v>
      </c>
      <c r="F165" s="16">
        <f>VLOOKUP(C165,[1]master_data!$A$2:$E$495,3,FALSE)</f>
        <v>4000</v>
      </c>
      <c r="G165" s="16">
        <f>VLOOKUP(C165,[1]master_data!$A$2:$E$495,4,FALSE)</f>
        <v>7500</v>
      </c>
      <c r="H165" s="16">
        <f>E165*F165</f>
        <v>100000</v>
      </c>
      <c r="I165" s="16">
        <f>E165*G165</f>
        <v>187500</v>
      </c>
      <c r="J165" s="16">
        <f>I165-H165</f>
        <v>87500</v>
      </c>
      <c r="K165" s="16" t="str">
        <f>VLOOKUP(C165,[1]master_data!$A$2:$E$495,5,FALSE)</f>
        <v>Aksesoris</v>
      </c>
      <c r="L165" s="1"/>
    </row>
    <row r="166" spans="1:12" ht="12" customHeight="1" x14ac:dyDescent="0.25">
      <c r="A166" s="15">
        <v>45267</v>
      </c>
      <c r="B166" s="16">
        <v>22302341</v>
      </c>
      <c r="C166" s="16" t="s">
        <v>204</v>
      </c>
      <c r="D166" s="16" t="str">
        <f>VLOOKUP(C166,[1]master_data!$A$2:$E$495,2,FALSE)</f>
        <v>HOKKY 3 IN 1</v>
      </c>
      <c r="E166" s="16">
        <v>1</v>
      </c>
      <c r="F166" s="16">
        <f>VLOOKUP(C166,[1]master_data!$A$2:$E$495,3,FALSE)</f>
        <v>20000</v>
      </c>
      <c r="G166" s="16">
        <f>VLOOKUP(C166,[1]master_data!$A$2:$E$495,4,FALSE)</f>
        <v>30000</v>
      </c>
      <c r="H166" s="16">
        <f>E166*F166</f>
        <v>20000</v>
      </c>
      <c r="I166" s="16">
        <f>E166*G166</f>
        <v>30000</v>
      </c>
      <c r="J166" s="16">
        <f>I166-H166</f>
        <v>10000</v>
      </c>
      <c r="K166" s="16" t="str">
        <f>VLOOKUP(C166,[1]master_data!$A$2:$E$495,5,FALSE)</f>
        <v>Aksesoris</v>
      </c>
      <c r="L166" s="1"/>
    </row>
    <row r="167" spans="1:12" ht="12" customHeight="1" x14ac:dyDescent="0.25">
      <c r="A167" s="15">
        <v>45267</v>
      </c>
      <c r="B167" s="16">
        <v>22302342</v>
      </c>
      <c r="C167" s="16" t="s">
        <v>177</v>
      </c>
      <c r="D167" s="16" t="str">
        <f>VLOOKUP(C167,[1]master_data!$A$2:$E$495,2,FALSE)</f>
        <v>LED KANDILA PRO RED 180 CM</v>
      </c>
      <c r="E167" s="16">
        <v>1</v>
      </c>
      <c r="F167" s="16">
        <f>VLOOKUP(C167,[1]master_data!$A$2:$E$495,3,FALSE)</f>
        <v>317000</v>
      </c>
      <c r="G167" s="16">
        <f>VLOOKUP(C167,[1]master_data!$A$2:$E$495,4,FALSE)</f>
        <v>425000</v>
      </c>
      <c r="H167" s="16">
        <f>E167*F167</f>
        <v>317000</v>
      </c>
      <c r="I167" s="16">
        <f>E167*G167</f>
        <v>425000</v>
      </c>
      <c r="J167" s="16">
        <f>I167-H167</f>
        <v>108000</v>
      </c>
      <c r="K167" s="16" t="str">
        <f>VLOOKUP(C167,[1]master_data!$A$2:$E$495,5,FALSE)</f>
        <v>Aksesoris</v>
      </c>
      <c r="L167" s="1"/>
    </row>
    <row r="168" spans="1:12" ht="12" customHeight="1" x14ac:dyDescent="0.25">
      <c r="A168" s="15">
        <v>45266</v>
      </c>
      <c r="B168" s="16">
        <v>22302330</v>
      </c>
      <c r="C168" s="16" t="s">
        <v>428</v>
      </c>
      <c r="D168" s="16" t="str">
        <f>VLOOKUP(C168,[1]master_data!$A$2:$E$495,2,FALSE)</f>
        <v>MANFISH K</v>
      </c>
      <c r="E168" s="16">
        <v>10</v>
      </c>
      <c r="F168" s="16">
        <f>VLOOKUP(C168,[1]master_data!$A$2:$E$495,3,FALSE)</f>
        <v>2000</v>
      </c>
      <c r="G168" s="16">
        <f>VLOOKUP(C168,[1]master_data!$A$2:$E$495,4,FALSE)</f>
        <v>5000</v>
      </c>
      <c r="H168" s="16">
        <f>E168*F168</f>
        <v>20000</v>
      </c>
      <c r="I168" s="16">
        <f>E168*G168</f>
        <v>50000</v>
      </c>
      <c r="J168" s="16">
        <f>I168-H168</f>
        <v>30000</v>
      </c>
      <c r="K168" s="16" t="str">
        <f>VLOOKUP(C168,[1]master_data!$A$2:$E$495,5,FALSE)</f>
        <v>Ikan</v>
      </c>
      <c r="L168" s="1"/>
    </row>
    <row r="169" spans="1:12" ht="12" customHeight="1" x14ac:dyDescent="0.25">
      <c r="A169" s="15">
        <v>45266</v>
      </c>
      <c r="B169" s="16">
        <v>22302331</v>
      </c>
      <c r="C169" s="16" t="s">
        <v>445</v>
      </c>
      <c r="D169" s="16" t="str">
        <f>VLOOKUP(C169,[1]master_data!$A$2:$E$495,2,FALSE)</f>
        <v>REDFIN ALBINO</v>
      </c>
      <c r="E169" s="16">
        <v>25</v>
      </c>
      <c r="F169" s="16">
        <f>VLOOKUP(C169,[1]master_data!$A$2:$E$495,3,FALSE)</f>
        <v>1500</v>
      </c>
      <c r="G169" s="16">
        <f>VLOOKUP(C169,[1]master_data!$A$2:$E$495,4,FALSE)</f>
        <v>4000</v>
      </c>
      <c r="H169" s="16">
        <f>E169*F169</f>
        <v>37500</v>
      </c>
      <c r="I169" s="16">
        <f>E169*G169</f>
        <v>100000</v>
      </c>
      <c r="J169" s="16">
        <f>I169-H169</f>
        <v>62500</v>
      </c>
      <c r="K169" s="16" t="str">
        <f>VLOOKUP(C169,[1]master_data!$A$2:$E$495,5,FALSE)</f>
        <v>Ikan</v>
      </c>
      <c r="L169" s="1"/>
    </row>
    <row r="170" spans="1:12" ht="12" customHeight="1" x14ac:dyDescent="0.25">
      <c r="A170" s="15">
        <v>45266</v>
      </c>
      <c r="B170" s="16">
        <v>22302332</v>
      </c>
      <c r="C170" s="16" t="s">
        <v>444</v>
      </c>
      <c r="D170" s="16" t="str">
        <f>VLOOKUP(C170,[1]master_data!$A$2:$E$495,2,FALSE)</f>
        <v>REDFIN HITAM</v>
      </c>
      <c r="E170" s="16">
        <v>10</v>
      </c>
      <c r="F170" s="16">
        <f>VLOOKUP(C170,[1]master_data!$A$2:$E$495,3,FALSE)</f>
        <v>1500</v>
      </c>
      <c r="G170" s="16">
        <f>VLOOKUP(C170,[1]master_data!$A$2:$E$495,4,FALSE)</f>
        <v>4000</v>
      </c>
      <c r="H170" s="16">
        <f>E170*F170</f>
        <v>15000</v>
      </c>
      <c r="I170" s="16">
        <f>E170*G170</f>
        <v>40000</v>
      </c>
      <c r="J170" s="16">
        <f>I170-H170</f>
        <v>25000</v>
      </c>
      <c r="K170" s="16" t="str">
        <f>VLOOKUP(C170,[1]master_data!$A$2:$E$495,5,FALSE)</f>
        <v>Ikan</v>
      </c>
      <c r="L170" s="1"/>
    </row>
    <row r="171" spans="1:12" ht="12" customHeight="1" x14ac:dyDescent="0.25">
      <c r="A171" s="15">
        <v>45266</v>
      </c>
      <c r="B171" s="16">
        <v>22302333</v>
      </c>
      <c r="C171" s="16" t="s">
        <v>399</v>
      </c>
      <c r="D171" s="16" t="str">
        <f>VLOOKUP(C171,[1]master_data!$A$2:$E$495,2,FALSE)</f>
        <v>BALA BALA B</v>
      </c>
      <c r="E171" s="16">
        <v>2</v>
      </c>
      <c r="F171" s="16">
        <f>VLOOKUP(C171,[1]master_data!$A$2:$E$495,3,FALSE)</f>
        <v>7000</v>
      </c>
      <c r="G171" s="16">
        <f>VLOOKUP(C171,[1]master_data!$A$2:$E$495,4,FALSE)</f>
        <v>15000</v>
      </c>
      <c r="H171" s="16">
        <f>E171*F171</f>
        <v>14000</v>
      </c>
      <c r="I171" s="16">
        <f>E171*G171</f>
        <v>30000</v>
      </c>
      <c r="J171" s="16">
        <f>I171-H171</f>
        <v>16000</v>
      </c>
      <c r="K171" s="16" t="str">
        <f>VLOOKUP(C171,[1]master_data!$A$2:$E$495,5,FALSE)</f>
        <v>Ikan</v>
      </c>
      <c r="L171" s="1"/>
    </row>
    <row r="172" spans="1:12" ht="12" customHeight="1" x14ac:dyDescent="0.25">
      <c r="A172" s="15">
        <v>45266</v>
      </c>
      <c r="B172" s="16">
        <v>22302334</v>
      </c>
      <c r="C172" s="16" t="s">
        <v>438</v>
      </c>
      <c r="D172" s="16" t="str">
        <f>VLOOKUP(C172,[1]master_data!$A$2:$E$495,2,FALSE)</f>
        <v>OSCAR</v>
      </c>
      <c r="E172" s="16">
        <v>5</v>
      </c>
      <c r="F172" s="16">
        <f>VLOOKUP(C172,[1]master_data!$A$2:$E$495,3,FALSE)</f>
        <v>25000</v>
      </c>
      <c r="G172" s="16">
        <f>VLOOKUP(C172,[1]master_data!$A$2:$E$495,4,FALSE)</f>
        <v>50000</v>
      </c>
      <c r="H172" s="16">
        <f>E172*F172</f>
        <v>125000</v>
      </c>
      <c r="I172" s="16">
        <f>E172*G172</f>
        <v>250000</v>
      </c>
      <c r="J172" s="16">
        <f>I172-H172</f>
        <v>125000</v>
      </c>
      <c r="K172" s="16" t="str">
        <f>VLOOKUP(C172,[1]master_data!$A$2:$E$495,5,FALSE)</f>
        <v>Ikan</v>
      </c>
      <c r="L172" s="1"/>
    </row>
    <row r="173" spans="1:12" ht="12" customHeight="1" x14ac:dyDescent="0.25">
      <c r="A173" s="15">
        <v>45266</v>
      </c>
      <c r="B173" s="16">
        <v>22302335</v>
      </c>
      <c r="C173" s="16" t="s">
        <v>346</v>
      </c>
      <c r="D173" s="16" t="str">
        <f>VLOOKUP(C173,[1]master_data!$A$2:$E$495,2,FALSE)</f>
        <v>AKUARIUM NIKITA L</v>
      </c>
      <c r="E173" s="16">
        <v>1</v>
      </c>
      <c r="F173" s="16">
        <f>VLOOKUP(C173,[1]master_data!$A$2:$E$495,3,FALSE)</f>
        <v>60000</v>
      </c>
      <c r="G173" s="16">
        <f>VLOOKUP(C173,[1]master_data!$A$2:$E$495,4,FALSE)</f>
        <v>130000</v>
      </c>
      <c r="H173" s="16">
        <f>E173*F173</f>
        <v>60000</v>
      </c>
      <c r="I173" s="16">
        <f>E173*G173</f>
        <v>130000</v>
      </c>
      <c r="J173" s="16">
        <f>I173-H173</f>
        <v>70000</v>
      </c>
      <c r="K173" s="16" t="str">
        <f>VLOOKUP(C173,[1]master_data!$A$2:$E$495,5,FALSE)</f>
        <v>Aksesoris</v>
      </c>
      <c r="L173" s="1"/>
    </row>
    <row r="174" spans="1:12" ht="12" customHeight="1" x14ac:dyDescent="0.25">
      <c r="A174" s="15">
        <v>45266</v>
      </c>
      <c r="B174" s="16">
        <v>22302336</v>
      </c>
      <c r="C174" s="16" t="s">
        <v>399</v>
      </c>
      <c r="D174" s="16" t="str">
        <f>VLOOKUP(C174,[1]master_data!$A$2:$E$495,2,FALSE)</f>
        <v>BALA BALA B</v>
      </c>
      <c r="E174" s="16">
        <v>1</v>
      </c>
      <c r="F174" s="16">
        <f>VLOOKUP(C174,[1]master_data!$A$2:$E$495,3,FALSE)</f>
        <v>7000</v>
      </c>
      <c r="G174" s="16">
        <f>VLOOKUP(C174,[1]master_data!$A$2:$E$495,4,FALSE)</f>
        <v>15000</v>
      </c>
      <c r="H174" s="16">
        <f>E174*F174</f>
        <v>7000</v>
      </c>
      <c r="I174" s="16">
        <f>E174*G174</f>
        <v>15000</v>
      </c>
      <c r="J174" s="16">
        <f>I174-H174</f>
        <v>8000</v>
      </c>
      <c r="K174" s="16" t="str">
        <f>VLOOKUP(C174,[1]master_data!$A$2:$E$495,5,FALSE)</f>
        <v>Ikan</v>
      </c>
      <c r="L174" s="1"/>
    </row>
    <row r="175" spans="1:12" ht="12" customHeight="1" x14ac:dyDescent="0.25">
      <c r="A175" s="15">
        <v>45265</v>
      </c>
      <c r="B175" s="16">
        <v>22302324</v>
      </c>
      <c r="C175" s="16" t="s">
        <v>71</v>
      </c>
      <c r="D175" s="16" t="str">
        <f>VLOOKUP(C175,[1]master_data!$A$2:$E$495,2,FALSE)</f>
        <v>BOX KOSONG K</v>
      </c>
      <c r="E175" s="16">
        <v>5</v>
      </c>
      <c r="F175" s="16">
        <f>VLOOKUP(C175,[1]master_data!$A$2:$E$495,3,FALSE)</f>
        <v>10000</v>
      </c>
      <c r="G175" s="16">
        <f>VLOOKUP(C175,[1]master_data!$A$2:$E$495,4,FALSE)</f>
        <v>20000</v>
      </c>
      <c r="H175" s="16">
        <f>E175*F175</f>
        <v>50000</v>
      </c>
      <c r="I175" s="16">
        <f>E175*G175</f>
        <v>100000</v>
      </c>
      <c r="J175" s="16">
        <f>I175-H175</f>
        <v>50000</v>
      </c>
      <c r="K175" s="16" t="str">
        <f>VLOOKUP(C175,[1]master_data!$A$2:$E$495,5,FALSE)</f>
        <v>Aksesoris</v>
      </c>
      <c r="L175" s="1"/>
    </row>
    <row r="176" spans="1:12" ht="12" customHeight="1" x14ac:dyDescent="0.25">
      <c r="A176" s="15">
        <v>45265</v>
      </c>
      <c r="B176" s="16">
        <v>22302325</v>
      </c>
      <c r="C176" s="16" t="s">
        <v>396</v>
      </c>
      <c r="D176" s="16" t="str">
        <f>VLOOKUP(C176,[1]master_data!$A$2:$E$495,2,FALSE)</f>
        <v>BIPOLAR</v>
      </c>
      <c r="E176" s="16">
        <v>10</v>
      </c>
      <c r="F176" s="16">
        <f>VLOOKUP(C176,[1]master_data!$A$2:$E$495,3,FALSE)</f>
        <v>1000</v>
      </c>
      <c r="G176" s="16">
        <f>VLOOKUP(C176,[1]master_data!$A$2:$E$495,4,FALSE)</f>
        <v>2500</v>
      </c>
      <c r="H176" s="16">
        <f>E176*F176</f>
        <v>10000</v>
      </c>
      <c r="I176" s="16">
        <f>E176*G176</f>
        <v>25000</v>
      </c>
      <c r="J176" s="16">
        <f>I176-H176</f>
        <v>15000</v>
      </c>
      <c r="K176" s="16" t="str">
        <f>VLOOKUP(C176,[1]master_data!$A$2:$E$495,5,FALSE)</f>
        <v>Ikan</v>
      </c>
      <c r="L176" s="1"/>
    </row>
    <row r="177" spans="1:12" ht="12" customHeight="1" x14ac:dyDescent="0.25">
      <c r="A177" s="15">
        <v>45265</v>
      </c>
      <c r="B177" s="16">
        <v>22302326</v>
      </c>
      <c r="C177" s="16" t="s">
        <v>15</v>
      </c>
      <c r="D177" s="16" t="str">
        <f>VLOOKUP(C177,[1]master_data!$A$2:$E$495,2,FALSE)</f>
        <v>MESIN YANG 107</v>
      </c>
      <c r="E177" s="16">
        <v>2</v>
      </c>
      <c r="F177" s="16">
        <f>VLOOKUP(C177,[1]master_data!$A$2:$E$495,3,FALSE)</f>
        <v>330000</v>
      </c>
      <c r="G177" s="16">
        <f>VLOOKUP(C177,[1]master_data!$A$2:$E$495,4,FALSE)</f>
        <v>400000</v>
      </c>
      <c r="H177" s="16">
        <f>E177*F177</f>
        <v>660000</v>
      </c>
      <c r="I177" s="16">
        <f>E177*G177</f>
        <v>800000</v>
      </c>
      <c r="J177" s="16">
        <f>I177-H177</f>
        <v>140000</v>
      </c>
      <c r="K177" s="16" t="str">
        <f>VLOOKUP(C177,[1]master_data!$A$2:$E$495,5,FALSE)</f>
        <v>Aksesoris</v>
      </c>
      <c r="L177" s="1"/>
    </row>
    <row r="178" spans="1:12" ht="12" customHeight="1" x14ac:dyDescent="0.25">
      <c r="A178" s="15">
        <v>45265</v>
      </c>
      <c r="B178" s="16">
        <v>22302327</v>
      </c>
      <c r="C178" s="16" t="s">
        <v>66</v>
      </c>
      <c r="D178" s="16" t="str">
        <f>VLOOKUP(C178,[1]master_data!$A$2:$E$495,2,FALSE)</f>
        <v>BOX KOSONG TANGGUNG</v>
      </c>
      <c r="E178" s="16">
        <v>1</v>
      </c>
      <c r="F178" s="16">
        <f>VLOOKUP(C178,[1]master_data!$A$2:$E$495,3,FALSE)</f>
        <v>15000</v>
      </c>
      <c r="G178" s="16">
        <f>VLOOKUP(C178,[1]master_data!$A$2:$E$495,4,FALSE)</f>
        <v>25000</v>
      </c>
      <c r="H178" s="16">
        <f>E178*F178</f>
        <v>15000</v>
      </c>
      <c r="I178" s="16">
        <f>E178*G178</f>
        <v>25000</v>
      </c>
      <c r="J178" s="16">
        <f>I178-H178</f>
        <v>10000</v>
      </c>
      <c r="K178" s="16" t="str">
        <f>VLOOKUP(C178,[1]master_data!$A$2:$E$495,5,FALSE)</f>
        <v>Aksesoris</v>
      </c>
      <c r="L178" s="1"/>
    </row>
    <row r="179" spans="1:12" ht="12" customHeight="1" x14ac:dyDescent="0.25">
      <c r="A179" s="15">
        <v>45265</v>
      </c>
      <c r="B179" s="16">
        <v>22302328</v>
      </c>
      <c r="C179" s="16" t="s">
        <v>222</v>
      </c>
      <c r="D179" s="16" t="str">
        <f>VLOOKUP(C179,[1]master_data!$A$2:$E$495,2,FALSE)</f>
        <v>HOKKY KOI GROWTH</v>
      </c>
      <c r="E179" s="16">
        <v>10</v>
      </c>
      <c r="F179" s="16">
        <f>VLOOKUP(C179,[1]master_data!$A$2:$E$495,3,FALSE)</f>
        <v>49000</v>
      </c>
      <c r="G179" s="16">
        <f>VLOOKUP(C179,[1]master_data!$A$2:$E$495,4,FALSE)</f>
        <v>55000</v>
      </c>
      <c r="H179" s="16">
        <f>E179*F179</f>
        <v>490000</v>
      </c>
      <c r="I179" s="16">
        <f>E179*G179</f>
        <v>550000</v>
      </c>
      <c r="J179" s="16">
        <f>I179-H179</f>
        <v>60000</v>
      </c>
      <c r="K179" s="16" t="str">
        <f>VLOOKUP(C179,[1]master_data!$A$2:$E$495,5,FALSE)</f>
        <v>Aksesoris</v>
      </c>
      <c r="L179" s="1"/>
    </row>
    <row r="180" spans="1:12" ht="12" customHeight="1" x14ac:dyDescent="0.25">
      <c r="A180" s="15">
        <v>45265</v>
      </c>
      <c r="B180" s="16">
        <v>22302329</v>
      </c>
      <c r="C180" s="16" t="s">
        <v>447</v>
      </c>
      <c r="D180" s="16" t="str">
        <f>VLOOKUP(C180,[1]master_data!$A$2:$E$495,2,FALSE)</f>
        <v>CHANNA RED BARITO B</v>
      </c>
      <c r="E180" s="16">
        <v>1</v>
      </c>
      <c r="F180" s="16">
        <f>VLOOKUP(C180,[1]master_data!$A$2:$E$495,3,FALSE)</f>
        <v>120000</v>
      </c>
      <c r="G180" s="16">
        <f>VLOOKUP(C180,[1]master_data!$A$2:$E$495,4,FALSE)</f>
        <v>200000</v>
      </c>
      <c r="H180" s="16">
        <f>E180*F180</f>
        <v>120000</v>
      </c>
      <c r="I180" s="16">
        <f>E180*G180</f>
        <v>200000</v>
      </c>
      <c r="J180" s="16">
        <f>I180-H180</f>
        <v>80000</v>
      </c>
      <c r="K180" s="16" t="str">
        <f>VLOOKUP(C180,[1]master_data!$A$2:$E$495,5,FALSE)</f>
        <v>Ikan</v>
      </c>
      <c r="L180" s="1"/>
    </row>
    <row r="181" spans="1:12" ht="12" customHeight="1" x14ac:dyDescent="0.25">
      <c r="A181" s="15">
        <v>45264</v>
      </c>
      <c r="B181" s="16">
        <v>22302314</v>
      </c>
      <c r="C181" s="16" t="s">
        <v>434</v>
      </c>
      <c r="D181" s="16" t="str">
        <f>VLOOKUP(C181,[1]master_data!$A$2:$E$495,2,FALSE)</f>
        <v>NIASA</v>
      </c>
      <c r="E181" s="16">
        <v>10</v>
      </c>
      <c r="F181" s="16">
        <f>VLOOKUP(C181,[1]master_data!$A$2:$E$495,3,FALSE)</f>
        <v>900</v>
      </c>
      <c r="G181" s="16">
        <f>VLOOKUP(C181,[1]master_data!$A$2:$E$495,4,FALSE)</f>
        <v>2000</v>
      </c>
      <c r="H181" s="16">
        <f>E181*F181</f>
        <v>9000</v>
      </c>
      <c r="I181" s="16">
        <f>E181*G181</f>
        <v>20000</v>
      </c>
      <c r="J181" s="16">
        <f>I181-H181</f>
        <v>11000</v>
      </c>
      <c r="K181" s="16" t="str">
        <f>VLOOKUP(C181,[1]master_data!$A$2:$E$495,5,FALSE)</f>
        <v>Ikan</v>
      </c>
      <c r="L181" s="1"/>
    </row>
    <row r="182" spans="1:12" ht="12" customHeight="1" x14ac:dyDescent="0.25">
      <c r="A182" s="15">
        <v>45264</v>
      </c>
      <c r="B182" s="16">
        <v>22302315</v>
      </c>
      <c r="C182" s="16" t="s">
        <v>456</v>
      </c>
      <c r="D182" s="16" t="str">
        <f>VLOOKUP(C182,[1]master_data!$A$2:$E$495,2,FALSE)</f>
        <v>ZEBRA HIJAU</v>
      </c>
      <c r="E182" s="16">
        <v>10</v>
      </c>
      <c r="F182" s="16">
        <f>VLOOKUP(C182,[1]master_data!$A$2:$E$495,3,FALSE)</f>
        <v>800</v>
      </c>
      <c r="G182" s="16">
        <f>VLOOKUP(C182,[1]master_data!$A$2:$E$495,4,FALSE)</f>
        <v>2000</v>
      </c>
      <c r="H182" s="16">
        <f>E182*F182</f>
        <v>8000</v>
      </c>
      <c r="I182" s="16">
        <f>E182*G182</f>
        <v>20000</v>
      </c>
      <c r="J182" s="16">
        <f>I182-H182</f>
        <v>12000</v>
      </c>
      <c r="K182" s="16" t="str">
        <f>VLOOKUP(C182,[1]master_data!$A$2:$E$495,5,FALSE)</f>
        <v>Ikan</v>
      </c>
      <c r="L182" s="1"/>
    </row>
    <row r="183" spans="1:12" ht="12" customHeight="1" x14ac:dyDescent="0.25">
      <c r="A183" s="15">
        <v>45264</v>
      </c>
      <c r="B183" s="16">
        <v>22302316</v>
      </c>
      <c r="C183" s="16" t="s">
        <v>412</v>
      </c>
      <c r="D183" s="16" t="str">
        <f>VLOOKUP(C183,[1]master_data!$A$2:$E$495,2,FALSE)</f>
        <v>KOKI T</v>
      </c>
      <c r="E183" s="16">
        <v>1</v>
      </c>
      <c r="F183" s="16">
        <f>VLOOKUP(C183,[1]master_data!$A$2:$E$495,3,FALSE)</f>
        <v>8000</v>
      </c>
      <c r="G183" s="16">
        <f>VLOOKUP(C183,[1]master_data!$A$2:$E$495,4,FALSE)</f>
        <v>15000</v>
      </c>
      <c r="H183" s="16">
        <f>E183*F183</f>
        <v>8000</v>
      </c>
      <c r="I183" s="16">
        <f>E183*G183</f>
        <v>15000</v>
      </c>
      <c r="J183" s="16">
        <f>I183-H183</f>
        <v>7000</v>
      </c>
      <c r="K183" s="16" t="str">
        <f>VLOOKUP(C183,[1]master_data!$A$2:$E$495,5,FALSE)</f>
        <v>Ikan</v>
      </c>
      <c r="L183" s="1"/>
    </row>
    <row r="184" spans="1:12" ht="12" customHeight="1" x14ac:dyDescent="0.25">
      <c r="A184" s="15">
        <v>45264</v>
      </c>
      <c r="B184" s="16">
        <v>22302317</v>
      </c>
      <c r="C184" s="16" t="s">
        <v>422</v>
      </c>
      <c r="D184" s="16" t="str">
        <f>VLOOKUP(C184,[1]master_data!$A$2:$E$495,2,FALSE)</f>
        <v>KOI SLAYER B</v>
      </c>
      <c r="E184" s="16">
        <v>5</v>
      </c>
      <c r="F184" s="16">
        <f>VLOOKUP(C184,[1]master_data!$A$2:$E$495,3,FALSE)</f>
        <v>8000</v>
      </c>
      <c r="G184" s="16">
        <f>VLOOKUP(C184,[1]master_data!$A$2:$E$495,4,FALSE)</f>
        <v>20000</v>
      </c>
      <c r="H184" s="16">
        <f>E184*F184</f>
        <v>40000</v>
      </c>
      <c r="I184" s="16">
        <f>E184*G184</f>
        <v>100000</v>
      </c>
      <c r="J184" s="16">
        <f>I184-H184</f>
        <v>60000</v>
      </c>
      <c r="K184" s="16" t="str">
        <f>VLOOKUP(C184,[1]master_data!$A$2:$E$495,5,FALSE)</f>
        <v>Ikan</v>
      </c>
      <c r="L184" s="1"/>
    </row>
    <row r="185" spans="1:12" ht="12" customHeight="1" x14ac:dyDescent="0.25">
      <c r="A185" s="15">
        <v>45264</v>
      </c>
      <c r="B185" s="16">
        <v>22302318</v>
      </c>
      <c r="C185" s="16" t="s">
        <v>300</v>
      </c>
      <c r="D185" s="16" t="str">
        <f>VLOOKUP(C185,[1]master_data!$A$2:$E$495,2,FALSE)</f>
        <v>MAINAN NAGA DRAGON</v>
      </c>
      <c r="E185" s="16">
        <v>5</v>
      </c>
      <c r="F185" s="16">
        <f>VLOOKUP(C185,[1]master_data!$A$2:$E$495,3,FALSE)</f>
        <v>26000</v>
      </c>
      <c r="G185" s="16">
        <f>VLOOKUP(C185,[1]master_data!$A$2:$E$495,4,FALSE)</f>
        <v>40000</v>
      </c>
      <c r="H185" s="16">
        <f>E185*F185</f>
        <v>130000</v>
      </c>
      <c r="I185" s="16">
        <f>E185*G185</f>
        <v>200000</v>
      </c>
      <c r="J185" s="16">
        <f>I185-H185</f>
        <v>70000</v>
      </c>
      <c r="K185" s="16" t="str">
        <f>VLOOKUP(C185,[1]master_data!$A$2:$E$495,5,FALSE)</f>
        <v>Aksesoris</v>
      </c>
      <c r="L185" s="1"/>
    </row>
    <row r="186" spans="1:12" ht="12" customHeight="1" x14ac:dyDescent="0.25">
      <c r="A186" s="15">
        <v>45264</v>
      </c>
      <c r="B186" s="16">
        <v>22302319</v>
      </c>
      <c r="C186" s="16" t="s">
        <v>461</v>
      </c>
      <c r="D186" s="16" t="str">
        <f>VLOOKUP(C186,[1]master_data!$A$2:$E$495,2,FALSE)</f>
        <v>CHANNA STEWARTI</v>
      </c>
      <c r="E186" s="16">
        <v>4</v>
      </c>
      <c r="F186" s="16">
        <f>VLOOKUP(C186,[1]master_data!$A$2:$E$495,3,FALSE)</f>
        <v>15000</v>
      </c>
      <c r="G186" s="16">
        <f>VLOOKUP(C186,[1]master_data!$A$2:$E$495,4,FALSE)</f>
        <v>40000</v>
      </c>
      <c r="H186" s="16">
        <f>E186*F186</f>
        <v>60000</v>
      </c>
      <c r="I186" s="16">
        <f>E186*G186</f>
        <v>160000</v>
      </c>
      <c r="J186" s="16">
        <f>I186-H186</f>
        <v>100000</v>
      </c>
      <c r="K186" s="16" t="str">
        <f>VLOOKUP(C186,[1]master_data!$A$2:$E$495,5,FALSE)</f>
        <v>Ikan</v>
      </c>
      <c r="L186" s="1"/>
    </row>
    <row r="187" spans="1:12" ht="12" customHeight="1" x14ac:dyDescent="0.25">
      <c r="A187" s="15">
        <v>45264</v>
      </c>
      <c r="B187" s="16">
        <v>22302320</v>
      </c>
      <c r="C187" s="16" t="s">
        <v>341</v>
      </c>
      <c r="D187" s="16" t="str">
        <f>VLOOKUP(C187,[1]master_data!$A$2:$E$495,2,FALSE)</f>
        <v>FISH ALL ANTI ALGAE</v>
      </c>
      <c r="E187" s="16">
        <v>1</v>
      </c>
      <c r="F187" s="16">
        <f>VLOOKUP(C187,[1]master_data!$A$2:$E$495,3,FALSE)</f>
        <v>6000</v>
      </c>
      <c r="G187" s="16">
        <f>VLOOKUP(C187,[1]master_data!$A$2:$E$495,4,FALSE)</f>
        <v>12000</v>
      </c>
      <c r="H187" s="16">
        <f>E187*F187</f>
        <v>6000</v>
      </c>
      <c r="I187" s="16">
        <f>E187*G187</f>
        <v>12000</v>
      </c>
      <c r="J187" s="16">
        <f>I187-H187</f>
        <v>6000</v>
      </c>
      <c r="K187" s="16" t="str">
        <f>VLOOKUP(C187,[1]master_data!$A$2:$E$495,5,FALSE)</f>
        <v>Aksesoris</v>
      </c>
      <c r="L187" s="1"/>
    </row>
    <row r="188" spans="1:12" ht="12" customHeight="1" x14ac:dyDescent="0.25">
      <c r="A188" s="15">
        <v>45264</v>
      </c>
      <c r="B188" s="16">
        <v>22302321</v>
      </c>
      <c r="C188" s="16" t="s">
        <v>449</v>
      </c>
      <c r="D188" s="16" t="str">
        <f>VLOOKUP(C188,[1]master_data!$A$2:$E$495,2,FALSE)</f>
        <v>SUMATRA GOLD FISH</v>
      </c>
      <c r="E188" s="16">
        <v>40</v>
      </c>
      <c r="F188" s="16">
        <f>VLOOKUP(C188,[1]master_data!$A$2:$E$495,3,FALSE)</f>
        <v>2500</v>
      </c>
      <c r="G188" s="16">
        <f>VLOOKUP(C188,[1]master_data!$A$2:$E$495,4,FALSE)</f>
        <v>4000</v>
      </c>
      <c r="H188" s="16">
        <f>E188*F188</f>
        <v>100000</v>
      </c>
      <c r="I188" s="16">
        <f>E188*G188</f>
        <v>160000</v>
      </c>
      <c r="J188" s="16">
        <f>I188-H188</f>
        <v>60000</v>
      </c>
      <c r="K188" s="16" t="str">
        <f>VLOOKUP(C188,[1]master_data!$A$2:$E$495,5,FALSE)</f>
        <v>Ikan</v>
      </c>
      <c r="L188" s="1"/>
    </row>
    <row r="189" spans="1:12" ht="12" customHeight="1" x14ac:dyDescent="0.25">
      <c r="A189" s="15">
        <v>45264</v>
      </c>
      <c r="B189" s="16">
        <v>22302322</v>
      </c>
      <c r="C189" s="16" t="s">
        <v>395</v>
      </c>
      <c r="D189" s="16" t="str">
        <f>VLOOKUP(C189,[1]master_data!$A$2:$E$495,2,FALSE)</f>
        <v>ALIGATOR</v>
      </c>
      <c r="E189" s="16">
        <v>1</v>
      </c>
      <c r="F189" s="16">
        <f>VLOOKUP(C189,[1]master_data!$A$2:$E$495,3,FALSE)</f>
        <v>17000</v>
      </c>
      <c r="G189" s="16">
        <f>VLOOKUP(C189,[1]master_data!$A$2:$E$495,4,FALSE)</f>
        <v>35000</v>
      </c>
      <c r="H189" s="16">
        <f>E189*F189</f>
        <v>17000</v>
      </c>
      <c r="I189" s="16">
        <f>E189*G189</f>
        <v>35000</v>
      </c>
      <c r="J189" s="16">
        <f>I189-H189</f>
        <v>18000</v>
      </c>
      <c r="K189" s="16" t="str">
        <f>VLOOKUP(C189,[1]master_data!$A$2:$E$495,5,FALSE)</f>
        <v>Ikan</v>
      </c>
      <c r="L189" s="1"/>
    </row>
    <row r="190" spans="1:12" ht="12" customHeight="1" x14ac:dyDescent="0.25">
      <c r="A190" s="15">
        <v>45264</v>
      </c>
      <c r="B190" s="16">
        <v>22302323</v>
      </c>
      <c r="C190" s="16" t="s">
        <v>403</v>
      </c>
      <c r="D190" s="16" t="str">
        <f>VLOOKUP(C190,[1]master_data!$A$2:$E$495,2,FALSE)</f>
        <v>KOMET BOKIM</v>
      </c>
      <c r="E190" s="16">
        <v>32</v>
      </c>
      <c r="F190" s="16">
        <f>VLOOKUP(C190,[1]master_data!$A$2:$E$495,3,FALSE)</f>
        <v>1500</v>
      </c>
      <c r="G190" s="16">
        <f>VLOOKUP(C190,[1]master_data!$A$2:$E$495,4,FALSE)</f>
        <v>5000</v>
      </c>
      <c r="H190" s="16">
        <f>E190*F190</f>
        <v>48000</v>
      </c>
      <c r="I190" s="16">
        <f>E190*G190</f>
        <v>160000</v>
      </c>
      <c r="J190" s="16">
        <f>I190-H190</f>
        <v>112000</v>
      </c>
      <c r="K190" s="16" t="str">
        <f>VLOOKUP(C190,[1]master_data!$A$2:$E$495,5,FALSE)</f>
        <v>Ikan</v>
      </c>
      <c r="L190" s="1"/>
    </row>
    <row r="191" spans="1:12" ht="12" customHeight="1" x14ac:dyDescent="0.25">
      <c r="A191" s="15">
        <v>45263</v>
      </c>
      <c r="B191" s="16">
        <v>22302305</v>
      </c>
      <c r="C191" s="16" t="s">
        <v>437</v>
      </c>
      <c r="D191" s="16" t="str">
        <f>VLOOKUP(C191,[1]master_data!$A$2:$E$495,2,FALSE)</f>
        <v>NEON</v>
      </c>
      <c r="E191" s="16">
        <v>25</v>
      </c>
      <c r="F191" s="16">
        <f>VLOOKUP(C191,[1]master_data!$A$2:$E$495,3,FALSE)</f>
        <v>1250</v>
      </c>
      <c r="G191" s="16">
        <f>VLOOKUP(C191,[1]master_data!$A$2:$E$495,4,FALSE)</f>
        <v>5000</v>
      </c>
      <c r="H191" s="16">
        <f>E191*F191</f>
        <v>31250</v>
      </c>
      <c r="I191" s="16">
        <f>E191*G191</f>
        <v>125000</v>
      </c>
      <c r="J191" s="16">
        <f>I191-H191</f>
        <v>93750</v>
      </c>
      <c r="K191" s="16" t="str">
        <f>VLOOKUP(C191,[1]master_data!$A$2:$E$495,5,FALSE)</f>
        <v>Ikan</v>
      </c>
      <c r="L191" s="1"/>
    </row>
    <row r="192" spans="1:12" ht="12" customHeight="1" x14ac:dyDescent="0.25">
      <c r="A192" s="15">
        <v>45263</v>
      </c>
      <c r="B192" s="16">
        <v>22302306</v>
      </c>
      <c r="C192" s="16" t="s">
        <v>165</v>
      </c>
      <c r="D192" s="16" t="str">
        <f>VLOOKUP(C192,[1]master_data!$A$2:$E$495,2,FALSE)</f>
        <v>LED KANDILA DnN 30 CM</v>
      </c>
      <c r="E192" s="16">
        <v>1</v>
      </c>
      <c r="F192" s="16">
        <f>VLOOKUP(C192,[1]master_data!$A$2:$E$495,3,FALSE)</f>
        <v>30000</v>
      </c>
      <c r="G192" s="16">
        <f>VLOOKUP(C192,[1]master_data!$A$2:$E$495,4,FALSE)</f>
        <v>45000</v>
      </c>
      <c r="H192" s="16">
        <f>E192*F192</f>
        <v>30000</v>
      </c>
      <c r="I192" s="16">
        <f>E192*G192</f>
        <v>45000</v>
      </c>
      <c r="J192" s="16">
        <f>I192-H192</f>
        <v>15000</v>
      </c>
      <c r="K192" s="16" t="str">
        <f>VLOOKUP(C192,[1]master_data!$A$2:$E$495,5,FALSE)</f>
        <v>Aksesoris</v>
      </c>
      <c r="L192" s="1"/>
    </row>
    <row r="193" spans="1:12" ht="12" customHeight="1" x14ac:dyDescent="0.25">
      <c r="A193" s="15">
        <v>45263</v>
      </c>
      <c r="B193" s="16">
        <v>22302307</v>
      </c>
      <c r="C193" s="16" t="s">
        <v>425</v>
      </c>
      <c r="D193" s="16" t="str">
        <f>VLOOKUP(C193,[1]master_data!$A$2:$E$495,2,FALSE)</f>
        <v>LEMON</v>
      </c>
      <c r="E193" s="16">
        <v>15</v>
      </c>
      <c r="F193" s="16">
        <f>VLOOKUP(C193,[1]master_data!$A$2:$E$495,3,FALSE)</f>
        <v>1000</v>
      </c>
      <c r="G193" s="16">
        <f>VLOOKUP(C193,[1]master_data!$A$2:$E$495,4,FALSE)</f>
        <v>2000</v>
      </c>
      <c r="H193" s="16">
        <f>E193*F193</f>
        <v>15000</v>
      </c>
      <c r="I193" s="16">
        <f>E193*G193</f>
        <v>30000</v>
      </c>
      <c r="J193" s="16">
        <f>I193-H193</f>
        <v>15000</v>
      </c>
      <c r="K193" s="16" t="str">
        <f>VLOOKUP(C193,[1]master_data!$A$2:$E$495,5,FALSE)</f>
        <v>Ikan</v>
      </c>
      <c r="L193" s="1"/>
    </row>
    <row r="194" spans="1:12" ht="12" customHeight="1" x14ac:dyDescent="0.25">
      <c r="A194" s="15">
        <v>45263</v>
      </c>
      <c r="B194" s="16">
        <v>22302308</v>
      </c>
      <c r="C194" s="16" t="s">
        <v>245</v>
      </c>
      <c r="D194" s="16" t="str">
        <f>VLOOKUP(C194,[1]master_data!$A$2:$E$495,2,FALSE)</f>
        <v>AIRSTONE BAKSO B</v>
      </c>
      <c r="E194" s="16">
        <v>20</v>
      </c>
      <c r="F194" s="16">
        <f>VLOOKUP(C194,[1]master_data!$A$2:$E$495,3,FALSE)</f>
        <v>7700</v>
      </c>
      <c r="G194" s="16">
        <f>VLOOKUP(C194,[1]master_data!$A$2:$E$495,4,FALSE)</f>
        <v>10000</v>
      </c>
      <c r="H194" s="16">
        <f>E194*F194</f>
        <v>154000</v>
      </c>
      <c r="I194" s="16">
        <f>E194*G194</f>
        <v>200000</v>
      </c>
      <c r="J194" s="16">
        <f>I194-H194</f>
        <v>46000</v>
      </c>
      <c r="K194" s="16" t="str">
        <f>VLOOKUP(C194,[1]master_data!$A$2:$E$495,5,FALSE)</f>
        <v>Aksesoris</v>
      </c>
      <c r="L194" s="1"/>
    </row>
    <row r="195" spans="1:12" ht="12" customHeight="1" x14ac:dyDescent="0.25">
      <c r="A195" s="15">
        <v>45263</v>
      </c>
      <c r="B195" s="16">
        <v>22302309</v>
      </c>
      <c r="C195" s="16" t="s">
        <v>401</v>
      </c>
      <c r="D195" s="16" t="str">
        <f>VLOOKUP(C195,[1]master_data!$A$2:$E$495,2,FALSE)</f>
        <v>CHANNA BLUE PULCHRA K</v>
      </c>
      <c r="E195" s="16">
        <v>1</v>
      </c>
      <c r="F195" s="16">
        <f>VLOOKUP(C195,[1]master_data!$A$2:$E$495,3,FALSE)</f>
        <v>25000</v>
      </c>
      <c r="G195" s="16">
        <f>VLOOKUP(C195,[1]master_data!$A$2:$E$495,4,FALSE)</f>
        <v>50000</v>
      </c>
      <c r="H195" s="16">
        <f>E195*F195</f>
        <v>25000</v>
      </c>
      <c r="I195" s="16">
        <f>E195*G195</f>
        <v>50000</v>
      </c>
      <c r="J195" s="16">
        <f>I195-H195</f>
        <v>25000</v>
      </c>
      <c r="K195" s="16" t="str">
        <f>VLOOKUP(C195,[1]master_data!$A$2:$E$495,5,FALSE)</f>
        <v>Ikan</v>
      </c>
      <c r="L195" s="1"/>
    </row>
    <row r="196" spans="1:12" ht="12" customHeight="1" x14ac:dyDescent="0.25">
      <c r="A196" s="15">
        <v>45263</v>
      </c>
      <c r="B196" s="16">
        <v>22302310</v>
      </c>
      <c r="C196" s="16" t="s">
        <v>71</v>
      </c>
      <c r="D196" s="16" t="str">
        <f>VLOOKUP(C196,[1]master_data!$A$2:$E$495,2,FALSE)</f>
        <v>BOX KOSONG K</v>
      </c>
      <c r="E196" s="16">
        <v>2</v>
      </c>
      <c r="F196" s="16">
        <f>VLOOKUP(C196,[1]master_data!$A$2:$E$495,3,FALSE)</f>
        <v>10000</v>
      </c>
      <c r="G196" s="16">
        <f>VLOOKUP(C196,[1]master_data!$A$2:$E$495,4,FALSE)</f>
        <v>20000</v>
      </c>
      <c r="H196" s="16">
        <f>E196*F196</f>
        <v>20000</v>
      </c>
      <c r="I196" s="16">
        <f>E196*G196</f>
        <v>40000</v>
      </c>
      <c r="J196" s="16">
        <f>I196-H196</f>
        <v>20000</v>
      </c>
      <c r="K196" s="16" t="str">
        <f>VLOOKUP(C196,[1]master_data!$A$2:$E$495,5,FALSE)</f>
        <v>Aksesoris</v>
      </c>
      <c r="L196" s="1"/>
    </row>
    <row r="197" spans="1:12" ht="12" customHeight="1" x14ac:dyDescent="0.25">
      <c r="A197" s="15">
        <v>45263</v>
      </c>
      <c r="B197" s="16">
        <v>22302311</v>
      </c>
      <c r="C197" s="16" t="s">
        <v>450</v>
      </c>
      <c r="D197" s="16" t="str">
        <f>VLOOKUP(C197,[1]master_data!$A$2:$E$495,2,FALSE)</f>
        <v>SNOW WHITE</v>
      </c>
      <c r="E197" s="16">
        <v>10</v>
      </c>
      <c r="F197" s="16">
        <f>VLOOKUP(C197,[1]master_data!$A$2:$E$495,3,FALSE)</f>
        <v>1500</v>
      </c>
      <c r="G197" s="16">
        <f>VLOOKUP(C197,[1]master_data!$A$2:$E$495,4,FALSE)</f>
        <v>3000</v>
      </c>
      <c r="H197" s="16">
        <f>E197*F197</f>
        <v>15000</v>
      </c>
      <c r="I197" s="16">
        <f>E197*G197</f>
        <v>30000</v>
      </c>
      <c r="J197" s="16">
        <f>I197-H197</f>
        <v>15000</v>
      </c>
      <c r="K197" s="16" t="str">
        <f>VLOOKUP(C197,[1]master_data!$A$2:$E$495,5,FALSE)</f>
        <v>Ikan</v>
      </c>
      <c r="L197" s="1"/>
    </row>
    <row r="198" spans="1:12" ht="12" customHeight="1" x14ac:dyDescent="0.25">
      <c r="A198" s="15">
        <v>45263</v>
      </c>
      <c r="B198" s="16">
        <v>22302312</v>
      </c>
      <c r="C198" s="16" t="s">
        <v>421</v>
      </c>
      <c r="D198" s="16" t="str">
        <f>VLOOKUP(C198,[1]master_data!$A$2:$E$495,2,FALSE)</f>
        <v>KOI SLAYER K</v>
      </c>
      <c r="E198" s="16">
        <v>20</v>
      </c>
      <c r="F198" s="16">
        <f>VLOOKUP(C198,[1]master_data!$A$2:$E$495,3,FALSE)</f>
        <v>3500</v>
      </c>
      <c r="G198" s="16">
        <f>VLOOKUP(C198,[1]master_data!$A$2:$E$495,4,FALSE)</f>
        <v>10000</v>
      </c>
      <c r="H198" s="16">
        <f>E198*F198</f>
        <v>70000</v>
      </c>
      <c r="I198" s="16">
        <f>E198*G198</f>
        <v>200000</v>
      </c>
      <c r="J198" s="16">
        <f>I198-H198</f>
        <v>130000</v>
      </c>
      <c r="K198" s="16" t="str">
        <f>VLOOKUP(C198,[1]master_data!$A$2:$E$495,5,FALSE)</f>
        <v>Ikan</v>
      </c>
      <c r="L198" s="1"/>
    </row>
    <row r="199" spans="1:12" ht="12" customHeight="1" x14ac:dyDescent="0.25">
      <c r="A199" s="15">
        <v>45263</v>
      </c>
      <c r="B199" s="16">
        <v>22302313</v>
      </c>
      <c r="C199" s="16" t="s">
        <v>116</v>
      </c>
      <c r="D199" s="16" t="str">
        <f>VLOOKUP(C199,[1]master_data!$A$2:$E$495,2,FALSE)</f>
        <v>AIRATOR ROSTON LUB 1</v>
      </c>
      <c r="E199" s="16">
        <v>1</v>
      </c>
      <c r="F199" s="16">
        <f>VLOOKUP(C199,[1]master_data!$A$2:$E$495,3,FALSE)</f>
        <v>20000</v>
      </c>
      <c r="G199" s="16">
        <f>VLOOKUP(C199,[1]master_data!$A$2:$E$495,4,FALSE)</f>
        <v>30000</v>
      </c>
      <c r="H199" s="16">
        <f>E199*F199</f>
        <v>20000</v>
      </c>
      <c r="I199" s="16">
        <f>E199*G199</f>
        <v>30000</v>
      </c>
      <c r="J199" s="16">
        <f>I199-H199</f>
        <v>10000</v>
      </c>
      <c r="K199" s="16" t="str">
        <f>VLOOKUP(C199,[1]master_data!$A$2:$E$495,5,FALSE)</f>
        <v>Aksesoris</v>
      </c>
      <c r="L199" s="1"/>
    </row>
    <row r="200" spans="1:12" ht="12" customHeight="1" x14ac:dyDescent="0.25">
      <c r="A200" s="15">
        <v>45262</v>
      </c>
      <c r="B200" s="16">
        <v>22302301</v>
      </c>
      <c r="C200" s="16" t="s">
        <v>398</v>
      </c>
      <c r="D200" s="16" t="str">
        <f>VLOOKUP(C200,[1]master_data!$A$2:$E$495,2,FALSE)</f>
        <v>BALA BALA K</v>
      </c>
      <c r="E200" s="16">
        <v>15</v>
      </c>
      <c r="F200" s="16">
        <f>VLOOKUP(C200,[1]master_data!$A$2:$E$495,3,FALSE)</f>
        <v>4000</v>
      </c>
      <c r="G200" s="16">
        <f>VLOOKUP(C200,[1]master_data!$A$2:$E$495,4,FALSE)</f>
        <v>8000</v>
      </c>
      <c r="H200" s="16">
        <f>E200*F200</f>
        <v>60000</v>
      </c>
      <c r="I200" s="16">
        <f>E200*G200</f>
        <v>120000</v>
      </c>
      <c r="J200" s="16">
        <f>I200-H200</f>
        <v>60000</v>
      </c>
      <c r="K200" s="16" t="str">
        <f>VLOOKUP(C200,[1]master_data!$A$2:$E$495,5,FALSE)</f>
        <v>Ikan</v>
      </c>
      <c r="L200" s="1"/>
    </row>
    <row r="201" spans="1:12" ht="12" customHeight="1" x14ac:dyDescent="0.25">
      <c r="A201" s="15">
        <v>45262</v>
      </c>
      <c r="B201" s="16">
        <v>22302302</v>
      </c>
      <c r="C201" s="16" t="s">
        <v>414</v>
      </c>
      <c r="D201" s="16" t="str">
        <f>VLOOKUP(C201,[1]master_data!$A$2:$E$495,2,FALSE)</f>
        <v>KOI K</v>
      </c>
      <c r="E201" s="16">
        <v>30</v>
      </c>
      <c r="F201" s="16">
        <f>VLOOKUP(C201,[1]master_data!$A$2:$E$495,3,FALSE)</f>
        <v>2500</v>
      </c>
      <c r="G201" s="16">
        <f>VLOOKUP(C201,[1]master_data!$A$2:$E$495,4,FALSE)</f>
        <v>10000</v>
      </c>
      <c r="H201" s="16">
        <f>E201*F201</f>
        <v>75000</v>
      </c>
      <c r="I201" s="16">
        <f>E201*G201</f>
        <v>300000</v>
      </c>
      <c r="J201" s="16">
        <f>I201-H201</f>
        <v>225000</v>
      </c>
      <c r="K201" s="16" t="str">
        <f>VLOOKUP(C201,[1]master_data!$A$2:$E$495,5,FALSE)</f>
        <v>Ikan</v>
      </c>
      <c r="L201" s="1"/>
    </row>
    <row r="202" spans="1:12" ht="12" customHeight="1" x14ac:dyDescent="0.25">
      <c r="A202" s="15">
        <v>45262</v>
      </c>
      <c r="B202" s="16">
        <v>22302303</v>
      </c>
      <c r="C202" s="16" t="s">
        <v>419</v>
      </c>
      <c r="D202" s="16" t="str">
        <f>VLOOKUP(C202,[1]master_data!$A$2:$E$495,2,FALSE)</f>
        <v>KOMET PAKAN</v>
      </c>
      <c r="E202" s="16">
        <v>45</v>
      </c>
      <c r="F202" s="16">
        <f>VLOOKUP(C202,[1]master_data!$A$2:$E$495,3,FALSE)</f>
        <v>300</v>
      </c>
      <c r="G202" s="16">
        <f>VLOOKUP(C202,[1]master_data!$A$2:$E$495,4,FALSE)</f>
        <v>1000</v>
      </c>
      <c r="H202" s="16">
        <f>E202*F202</f>
        <v>13500</v>
      </c>
      <c r="I202" s="16">
        <f>E202*G202</f>
        <v>45000</v>
      </c>
      <c r="J202" s="16">
        <f>I202-H202</f>
        <v>31500</v>
      </c>
      <c r="K202" s="16" t="str">
        <f>VLOOKUP(C202,[1]master_data!$A$2:$E$495,5,FALSE)</f>
        <v>Ikan</v>
      </c>
      <c r="L202" s="1"/>
    </row>
    <row r="203" spans="1:12" ht="12" customHeight="1" x14ac:dyDescent="0.25">
      <c r="A203" s="15">
        <v>45262</v>
      </c>
      <c r="B203" s="16">
        <v>22302304</v>
      </c>
      <c r="C203" s="16" t="s">
        <v>308</v>
      </c>
      <c r="D203" s="16" t="str">
        <f>VLOOKUP(C203,[1]master_data!$A$2:$E$495,2,FALSE)</f>
        <v>SELANG SPIRAL</v>
      </c>
      <c r="E203" s="16">
        <v>20</v>
      </c>
      <c r="F203" s="16">
        <f>VLOOKUP(C203,[1]master_data!$A$2:$E$495,3,FALSE)</f>
        <v>2600</v>
      </c>
      <c r="G203" s="16">
        <f>VLOOKUP(C203,[1]master_data!$A$2:$E$495,4,FALSE)</f>
        <v>5000</v>
      </c>
      <c r="H203" s="16">
        <f>E203*F203</f>
        <v>52000</v>
      </c>
      <c r="I203" s="16">
        <f>E203*G203</f>
        <v>100000</v>
      </c>
      <c r="J203" s="16">
        <f>I203-H203</f>
        <v>48000</v>
      </c>
      <c r="K203" s="16" t="str">
        <f>VLOOKUP(C203,[1]master_data!$A$2:$E$495,5,FALSE)</f>
        <v>Aksesoris</v>
      </c>
      <c r="L203" s="1"/>
    </row>
    <row r="204" spans="1:12" ht="12" customHeight="1" x14ac:dyDescent="0.25">
      <c r="A204" s="15">
        <v>45261</v>
      </c>
      <c r="B204" s="16">
        <v>22302292</v>
      </c>
      <c r="C204" s="16" t="s">
        <v>448</v>
      </c>
      <c r="D204" s="16" t="str">
        <f>VLOOKUP(C204,[1]master_data!$A$2:$E$495,2,FALSE)</f>
        <v>SUMATRA BIASA</v>
      </c>
      <c r="E204" s="16">
        <v>25</v>
      </c>
      <c r="F204" s="16">
        <f>VLOOKUP(C204,[1]master_data!$A$2:$E$495,3,FALSE)</f>
        <v>800</v>
      </c>
      <c r="G204" s="16">
        <f>VLOOKUP(C204,[1]master_data!$A$2:$E$495,4,FALSE)</f>
        <v>2000</v>
      </c>
      <c r="H204" s="16">
        <f>E204*F204</f>
        <v>20000</v>
      </c>
      <c r="I204" s="16">
        <f>E204*G204</f>
        <v>50000</v>
      </c>
      <c r="J204" s="16">
        <f>I204-H204</f>
        <v>30000</v>
      </c>
      <c r="K204" s="16" t="str">
        <f>VLOOKUP(C204,[1]master_data!$A$2:$E$495,5,FALSE)</f>
        <v>Ikan</v>
      </c>
      <c r="L204" s="1"/>
    </row>
    <row r="205" spans="1:12" ht="12" customHeight="1" x14ac:dyDescent="0.25">
      <c r="A205" s="15">
        <v>45261</v>
      </c>
      <c r="B205" s="16">
        <v>22302293</v>
      </c>
      <c r="C205" s="16" t="s">
        <v>239</v>
      </c>
      <c r="D205" s="16" t="str">
        <f>VLOOKUP(C205,[1]master_data!$A$2:$E$495,2,FALSE)</f>
        <v>PAKAN GOLD FISH HITAM</v>
      </c>
      <c r="E205" s="16">
        <v>5</v>
      </c>
      <c r="F205" s="16">
        <f>VLOOKUP(C205,[1]master_data!$A$2:$E$495,3,FALSE)</f>
        <v>7000</v>
      </c>
      <c r="G205" s="16">
        <f>VLOOKUP(C205,[1]master_data!$A$2:$E$495,4,FALSE)</f>
        <v>12000</v>
      </c>
      <c r="H205" s="16">
        <f>E205*F205</f>
        <v>35000</v>
      </c>
      <c r="I205" s="16">
        <f>E205*G205</f>
        <v>60000</v>
      </c>
      <c r="J205" s="16">
        <f>I205-H205</f>
        <v>25000</v>
      </c>
      <c r="K205" s="16" t="str">
        <f>VLOOKUP(C205,[1]master_data!$A$2:$E$495,5,FALSE)</f>
        <v>Aksesoris</v>
      </c>
      <c r="L205" s="1"/>
    </row>
    <row r="206" spans="1:12" ht="12" customHeight="1" x14ac:dyDescent="0.25">
      <c r="A206" s="15">
        <v>45261</v>
      </c>
      <c r="B206" s="16">
        <v>22302294</v>
      </c>
      <c r="C206" s="16" t="s">
        <v>395</v>
      </c>
      <c r="D206" s="16" t="str">
        <f>VLOOKUP(C206,[1]master_data!$A$2:$E$495,2,FALSE)</f>
        <v>ALIGATOR</v>
      </c>
      <c r="E206" s="16">
        <v>1</v>
      </c>
      <c r="F206" s="16">
        <f>VLOOKUP(C206,[1]master_data!$A$2:$E$495,3,FALSE)</f>
        <v>17000</v>
      </c>
      <c r="G206" s="16">
        <f>VLOOKUP(C206,[1]master_data!$A$2:$E$495,4,FALSE)</f>
        <v>35000</v>
      </c>
      <c r="H206" s="16">
        <f>E206*F206</f>
        <v>17000</v>
      </c>
      <c r="I206" s="16">
        <f>E206*G206</f>
        <v>35000</v>
      </c>
      <c r="J206" s="16">
        <f>I206-H206</f>
        <v>18000</v>
      </c>
      <c r="K206" s="16" t="str">
        <f>VLOOKUP(C206,[1]master_data!$A$2:$E$495,5,FALSE)</f>
        <v>Ikan</v>
      </c>
      <c r="L206" s="1"/>
    </row>
    <row r="207" spans="1:12" ht="12" customHeight="1" x14ac:dyDescent="0.25">
      <c r="A207" s="15">
        <v>45261</v>
      </c>
      <c r="B207" s="16">
        <v>22302295</v>
      </c>
      <c r="C207" s="16" t="s">
        <v>178</v>
      </c>
      <c r="D207" s="16" t="str">
        <f>VLOOKUP(C207,[1]master_data!$A$2:$E$495,2,FALSE)</f>
        <v>LED HAILONG H400</v>
      </c>
      <c r="E207" s="16">
        <v>5</v>
      </c>
      <c r="F207" s="16">
        <f>VLOOKUP(C207,[1]master_data!$A$2:$E$495,3,FALSE)</f>
        <v>54000</v>
      </c>
      <c r="G207" s="16">
        <f>VLOOKUP(C207,[1]master_data!$A$2:$E$495,4,FALSE)</f>
        <v>80000</v>
      </c>
      <c r="H207" s="16">
        <f>E207*F207</f>
        <v>270000</v>
      </c>
      <c r="I207" s="16">
        <f>E207*G207</f>
        <v>400000</v>
      </c>
      <c r="J207" s="16">
        <f>I207-H207</f>
        <v>130000</v>
      </c>
      <c r="K207" s="16" t="str">
        <f>VLOOKUP(C207,[1]master_data!$A$2:$E$495,5,FALSE)</f>
        <v>Aksesoris</v>
      </c>
      <c r="L207" s="1"/>
    </row>
    <row r="208" spans="1:12" ht="12" customHeight="1" x14ac:dyDescent="0.25">
      <c r="A208" s="15">
        <v>45261</v>
      </c>
      <c r="B208" s="16">
        <v>22302296</v>
      </c>
      <c r="C208" s="16" t="s">
        <v>417</v>
      </c>
      <c r="D208" s="16" t="str">
        <f>VLOOKUP(C208,[1]master_data!$A$2:$E$495,2,FALSE)</f>
        <v>KURA - KURA</v>
      </c>
      <c r="E208" s="16">
        <v>1</v>
      </c>
      <c r="F208" s="16">
        <f>VLOOKUP(C208,[1]master_data!$A$2:$E$495,3,FALSE)</f>
        <v>25000</v>
      </c>
      <c r="G208" s="16">
        <f>VLOOKUP(C208,[1]master_data!$A$2:$E$495,4,FALSE)</f>
        <v>35000</v>
      </c>
      <c r="H208" s="16">
        <f>E208*F208</f>
        <v>25000</v>
      </c>
      <c r="I208" s="16">
        <f>E208*G208</f>
        <v>35000</v>
      </c>
      <c r="J208" s="16">
        <f>I208-H208</f>
        <v>10000</v>
      </c>
      <c r="K208" s="16" t="str">
        <f>VLOOKUP(C208,[1]master_data!$A$2:$E$495,5,FALSE)</f>
        <v>Ikan</v>
      </c>
      <c r="L208" s="1"/>
    </row>
    <row r="209" spans="1:12" ht="12" customHeight="1" x14ac:dyDescent="0.25">
      <c r="A209" s="15">
        <v>45261</v>
      </c>
      <c r="B209" s="16">
        <v>22302297</v>
      </c>
      <c r="C209" s="16" t="s">
        <v>392</v>
      </c>
      <c r="D209" s="16" t="str">
        <f>VLOOKUP(C209,[1]master_data!$A$2:$E$495,2,FALSE)</f>
        <v>ARWANA SILVER K</v>
      </c>
      <c r="E209" s="16">
        <v>1</v>
      </c>
      <c r="F209" s="16">
        <f>VLOOKUP(C209,[1]master_data!$A$2:$E$495,3,FALSE)</f>
        <v>100000</v>
      </c>
      <c r="G209" s="16">
        <f>VLOOKUP(C209,[1]master_data!$A$2:$E$495,4,FALSE)</f>
        <v>200000</v>
      </c>
      <c r="H209" s="16">
        <f>E209*F209</f>
        <v>100000</v>
      </c>
      <c r="I209" s="16">
        <f>E209*G209</f>
        <v>200000</v>
      </c>
      <c r="J209" s="16">
        <f>I209-H209</f>
        <v>100000</v>
      </c>
      <c r="K209" s="16" t="str">
        <f>VLOOKUP(C209,[1]master_data!$A$2:$E$495,5,FALSE)</f>
        <v>Ikan</v>
      </c>
      <c r="L209" s="1"/>
    </row>
    <row r="210" spans="1:12" ht="12" customHeight="1" x14ac:dyDescent="0.25">
      <c r="A210" s="15">
        <v>45261</v>
      </c>
      <c r="B210" s="16">
        <v>22302298</v>
      </c>
      <c r="C210" s="16" t="s">
        <v>229</v>
      </c>
      <c r="D210" s="16" t="str">
        <f>VLOOKUP(C210,[1]master_data!$A$2:$E$495,2,FALSE)</f>
        <v>KOHAKO GROWTH</v>
      </c>
      <c r="E210" s="16">
        <v>5</v>
      </c>
      <c r="F210" s="16">
        <f>VLOOKUP(C210,[1]master_data!$A$2:$E$495,3,FALSE)</f>
        <v>33500</v>
      </c>
      <c r="G210" s="16">
        <f>VLOOKUP(C210,[1]master_data!$A$2:$E$495,4,FALSE)</f>
        <v>45000</v>
      </c>
      <c r="H210" s="16">
        <f>E210*F210</f>
        <v>167500</v>
      </c>
      <c r="I210" s="16">
        <f>E210*G210</f>
        <v>225000</v>
      </c>
      <c r="J210" s="16">
        <f>I210-H210</f>
        <v>57500</v>
      </c>
      <c r="K210" s="16" t="str">
        <f>VLOOKUP(C210,[1]master_data!$A$2:$E$495,5,FALSE)</f>
        <v>Aksesoris</v>
      </c>
      <c r="L210" s="1"/>
    </row>
    <row r="211" spans="1:12" ht="12" customHeight="1" x14ac:dyDescent="0.25">
      <c r="A211" s="15">
        <v>45261</v>
      </c>
      <c r="B211" s="16">
        <v>22302299</v>
      </c>
      <c r="C211" s="16" t="s">
        <v>435</v>
      </c>
      <c r="D211" s="16" t="str">
        <f>VLOOKUP(C211,[1]master_data!$A$2:$E$495,2,FALSE)</f>
        <v>RED EYE TETRA</v>
      </c>
      <c r="E211" s="16">
        <v>13</v>
      </c>
      <c r="F211" s="16">
        <f>VLOOKUP(C211,[1]master_data!$A$2:$E$495,3,FALSE)</f>
        <v>900</v>
      </c>
      <c r="G211" s="16">
        <f>VLOOKUP(C211,[1]master_data!$A$2:$E$495,4,FALSE)</f>
        <v>2000</v>
      </c>
      <c r="H211" s="16">
        <f>E211*F211</f>
        <v>11700</v>
      </c>
      <c r="I211" s="16">
        <f>E211*G211</f>
        <v>26000</v>
      </c>
      <c r="J211" s="16">
        <f>I211-H211</f>
        <v>14300</v>
      </c>
      <c r="K211" s="16" t="str">
        <f>VLOOKUP(C211,[1]master_data!$A$2:$E$495,5,FALSE)</f>
        <v>Ikan</v>
      </c>
      <c r="L211" s="1"/>
    </row>
    <row r="212" spans="1:12" ht="12" customHeight="1" x14ac:dyDescent="0.25">
      <c r="A212" s="15">
        <v>45261</v>
      </c>
      <c r="B212" s="16">
        <v>22302300</v>
      </c>
      <c r="C212" s="16" t="s">
        <v>34</v>
      </c>
      <c r="D212" s="16" t="str">
        <f>VLOOKUP(C212,[1]master_data!$A$2:$E$495,2,FALSE)</f>
        <v>MESIN YAMANO 1600</v>
      </c>
      <c r="E212" s="16">
        <v>1</v>
      </c>
      <c r="F212" s="16">
        <f>VLOOKUP(C212,[1]master_data!$A$2:$E$495,3,FALSE)</f>
        <v>55000</v>
      </c>
      <c r="G212" s="16">
        <f>VLOOKUP(C212,[1]master_data!$A$2:$E$495,4,FALSE)</f>
        <v>75000</v>
      </c>
      <c r="H212" s="16">
        <f>E212*F212</f>
        <v>55000</v>
      </c>
      <c r="I212" s="16">
        <f>E212*G212</f>
        <v>75000</v>
      </c>
      <c r="J212" s="16">
        <f>I212-H212</f>
        <v>20000</v>
      </c>
      <c r="K212" s="16" t="str">
        <f>VLOOKUP(C212,[1]master_data!$A$2:$E$495,5,FALSE)</f>
        <v>Aksesoris</v>
      </c>
      <c r="L212" s="1"/>
    </row>
    <row r="213" spans="1:12" ht="12" customHeight="1" x14ac:dyDescent="0.25">
      <c r="A213" s="15">
        <v>45260</v>
      </c>
      <c r="B213" s="16">
        <v>22302287</v>
      </c>
      <c r="C213" s="16" t="s">
        <v>402</v>
      </c>
      <c r="D213" s="16" t="str">
        <f>VLOOKUP(C213,[1]master_data!$A$2:$E$495,2,FALSE)</f>
        <v>CHANNA BLUE PULCHRA B</v>
      </c>
      <c r="E213" s="16">
        <v>1</v>
      </c>
      <c r="F213" s="16">
        <f>VLOOKUP(C213,[1]master_data!$A$2:$E$495,3,FALSE)</f>
        <v>125000</v>
      </c>
      <c r="G213" s="16">
        <f>VLOOKUP(C213,[1]master_data!$A$2:$E$495,4,FALSE)</f>
        <v>200000</v>
      </c>
      <c r="H213" s="16">
        <f>E213*F213</f>
        <v>125000</v>
      </c>
      <c r="I213" s="16">
        <f>E213*G213</f>
        <v>200000</v>
      </c>
      <c r="J213" s="16">
        <f>I213-H213</f>
        <v>75000</v>
      </c>
      <c r="K213" s="16" t="str">
        <f>VLOOKUP(C213,[1]master_data!$A$2:$E$495,5,FALSE)</f>
        <v>Ikan</v>
      </c>
      <c r="L213" s="1"/>
    </row>
    <row r="214" spans="1:12" ht="12" customHeight="1" x14ac:dyDescent="0.25">
      <c r="A214" s="15">
        <v>45260</v>
      </c>
      <c r="B214" s="16">
        <v>22302288</v>
      </c>
      <c r="C214" s="16" t="s">
        <v>400</v>
      </c>
      <c r="D214" s="16" t="str">
        <f>VLOOKUP(C214,[1]master_data!$A$2:$E$495,2,FALSE)</f>
        <v>BLACK GHOST</v>
      </c>
      <c r="E214" s="16">
        <v>30</v>
      </c>
      <c r="F214" s="16">
        <f>VLOOKUP(C214,[1]master_data!$A$2:$E$495,3,FALSE)</f>
        <v>4000</v>
      </c>
      <c r="G214" s="16">
        <f>VLOOKUP(C214,[1]master_data!$A$2:$E$495,4,FALSE)</f>
        <v>10000</v>
      </c>
      <c r="H214" s="16">
        <f>E214*F214</f>
        <v>120000</v>
      </c>
      <c r="I214" s="16">
        <f>E214*G214</f>
        <v>300000</v>
      </c>
      <c r="J214" s="16">
        <f>I214-H214</f>
        <v>180000</v>
      </c>
      <c r="K214" s="16" t="str">
        <f>VLOOKUP(C214,[1]master_data!$A$2:$E$495,5,FALSE)</f>
        <v>Ikan</v>
      </c>
      <c r="L214" s="1"/>
    </row>
    <row r="215" spans="1:12" ht="12" customHeight="1" x14ac:dyDescent="0.25">
      <c r="A215" s="15">
        <v>45260</v>
      </c>
      <c r="B215" s="16">
        <v>22302289</v>
      </c>
      <c r="C215" s="16" t="s">
        <v>245</v>
      </c>
      <c r="D215" s="16" t="str">
        <f>VLOOKUP(C215,[1]master_data!$A$2:$E$495,2,FALSE)</f>
        <v>AIRSTONE BAKSO B</v>
      </c>
      <c r="E215" s="16">
        <v>30</v>
      </c>
      <c r="F215" s="16">
        <f>VLOOKUP(C215,[1]master_data!$A$2:$E$495,3,FALSE)</f>
        <v>7700</v>
      </c>
      <c r="G215" s="16">
        <f>VLOOKUP(C215,[1]master_data!$A$2:$E$495,4,FALSE)</f>
        <v>10000</v>
      </c>
      <c r="H215" s="16">
        <f>E215*F215</f>
        <v>231000</v>
      </c>
      <c r="I215" s="16">
        <f>E215*G215</f>
        <v>300000</v>
      </c>
      <c r="J215" s="16">
        <f>I215-H215</f>
        <v>69000</v>
      </c>
      <c r="K215" s="16" t="str">
        <f>VLOOKUP(C215,[1]master_data!$A$2:$E$495,5,FALSE)</f>
        <v>Aksesoris</v>
      </c>
      <c r="L215" s="1"/>
    </row>
    <row r="216" spans="1:12" ht="12" customHeight="1" x14ac:dyDescent="0.25">
      <c r="A216" s="15">
        <v>45260</v>
      </c>
      <c r="B216" s="16">
        <v>22302290</v>
      </c>
      <c r="C216" s="16" t="s">
        <v>444</v>
      </c>
      <c r="D216" s="16" t="str">
        <f>VLOOKUP(C216,[1]master_data!$A$2:$E$495,2,FALSE)</f>
        <v>REDFIN HITAM</v>
      </c>
      <c r="E216" s="16">
        <v>28</v>
      </c>
      <c r="F216" s="16">
        <f>VLOOKUP(C216,[1]master_data!$A$2:$E$495,3,FALSE)</f>
        <v>1500</v>
      </c>
      <c r="G216" s="16">
        <f>VLOOKUP(C216,[1]master_data!$A$2:$E$495,4,FALSE)</f>
        <v>4000</v>
      </c>
      <c r="H216" s="16">
        <f>E216*F216</f>
        <v>42000</v>
      </c>
      <c r="I216" s="16">
        <f>E216*G216</f>
        <v>112000</v>
      </c>
      <c r="J216" s="16">
        <f>I216-H216</f>
        <v>70000</v>
      </c>
      <c r="K216" s="16" t="str">
        <f>VLOOKUP(C216,[1]master_data!$A$2:$E$495,5,FALSE)</f>
        <v>Ikan</v>
      </c>
      <c r="L216" s="1"/>
    </row>
    <row r="217" spans="1:12" ht="12" customHeight="1" x14ac:dyDescent="0.25">
      <c r="A217" s="15">
        <v>45260</v>
      </c>
      <c r="B217" s="16">
        <v>22302291</v>
      </c>
      <c r="C217" s="16" t="s">
        <v>198</v>
      </c>
      <c r="D217" s="16" t="str">
        <f>VLOOKUP(C217,[1]master_data!$A$2:$E$495,2,FALSE)</f>
        <v>AKARI PREMIUM YELLOW</v>
      </c>
      <c r="E217" s="16">
        <v>1</v>
      </c>
      <c r="F217" s="16">
        <f>VLOOKUP(C217,[1]master_data!$A$2:$E$495,3,FALSE)</f>
        <v>37000</v>
      </c>
      <c r="G217" s="16">
        <f>VLOOKUP(C217,[1]master_data!$A$2:$E$495,4,FALSE)</f>
        <v>50000</v>
      </c>
      <c r="H217" s="16">
        <f>E217*F217</f>
        <v>37000</v>
      </c>
      <c r="I217" s="16">
        <f>E217*G217</f>
        <v>50000</v>
      </c>
      <c r="J217" s="16">
        <f>I217-H217</f>
        <v>13000</v>
      </c>
      <c r="K217" s="16" t="str">
        <f>VLOOKUP(C217,[1]master_data!$A$2:$E$495,5,FALSE)</f>
        <v>Aksesoris</v>
      </c>
      <c r="L217" s="1"/>
    </row>
    <row r="218" spans="1:12" ht="12" customHeight="1" x14ac:dyDescent="0.25">
      <c r="A218" s="15">
        <v>45259</v>
      </c>
      <c r="B218" s="16">
        <v>22302279</v>
      </c>
      <c r="C218" s="16" t="s">
        <v>81</v>
      </c>
      <c r="D218" s="16" t="str">
        <f>VLOOKUP(C218,[1]master_data!$A$2:$E$495,2,FALSE)</f>
        <v>MESIN KIYOSAKI 105B</v>
      </c>
      <c r="E218" s="16">
        <v>2</v>
      </c>
      <c r="F218" s="16">
        <f>VLOOKUP(C218,[1]master_data!$A$2:$E$495,3,FALSE)</f>
        <v>110000</v>
      </c>
      <c r="G218" s="16">
        <f>VLOOKUP(C218,[1]master_data!$A$2:$E$495,4,FALSE)</f>
        <v>160000</v>
      </c>
      <c r="H218" s="16">
        <f>E218*F218</f>
        <v>220000</v>
      </c>
      <c r="I218" s="16">
        <f>E218*G218</f>
        <v>320000</v>
      </c>
      <c r="J218" s="16">
        <f>I218-H218</f>
        <v>100000</v>
      </c>
      <c r="K218" s="16" t="str">
        <f>VLOOKUP(C218,[1]master_data!$A$2:$E$495,5,FALSE)</f>
        <v>Aksesoris</v>
      </c>
      <c r="L218" s="1"/>
    </row>
    <row r="219" spans="1:12" ht="12" customHeight="1" x14ac:dyDescent="0.25">
      <c r="A219" s="15">
        <v>45259</v>
      </c>
      <c r="B219" s="16">
        <v>22302280</v>
      </c>
      <c r="C219" s="16" t="s">
        <v>411</v>
      </c>
      <c r="D219" s="16" t="str">
        <f>VLOOKUP(C219,[1]master_data!$A$2:$E$495,2,FALSE)</f>
        <v>KOKI K</v>
      </c>
      <c r="E219" s="16">
        <v>10</v>
      </c>
      <c r="F219" s="16">
        <f>VLOOKUP(C219,[1]master_data!$A$2:$E$495,3,FALSE)</f>
        <v>3500</v>
      </c>
      <c r="G219" s="16">
        <f>VLOOKUP(C219,[1]master_data!$A$2:$E$495,4,FALSE)</f>
        <v>10000</v>
      </c>
      <c r="H219" s="16">
        <f>E219*F219</f>
        <v>35000</v>
      </c>
      <c r="I219" s="16">
        <f>E219*G219</f>
        <v>100000</v>
      </c>
      <c r="J219" s="16">
        <f>I219-H219</f>
        <v>65000</v>
      </c>
      <c r="K219" s="16" t="str">
        <f>VLOOKUP(C219,[1]master_data!$A$2:$E$495,5,FALSE)</f>
        <v>Ikan</v>
      </c>
      <c r="L219" s="1"/>
    </row>
    <row r="220" spans="1:12" ht="12" customHeight="1" x14ac:dyDescent="0.25">
      <c r="A220" s="15">
        <v>45259</v>
      </c>
      <c r="B220" s="16">
        <v>22302281</v>
      </c>
      <c r="C220" s="16" t="s">
        <v>398</v>
      </c>
      <c r="D220" s="16" t="str">
        <f>VLOOKUP(C220,[1]master_data!$A$2:$E$495,2,FALSE)</f>
        <v>BALA BALA K</v>
      </c>
      <c r="E220" s="16">
        <v>30</v>
      </c>
      <c r="F220" s="16">
        <f>VLOOKUP(C220,[1]master_data!$A$2:$E$495,3,FALSE)</f>
        <v>4000</v>
      </c>
      <c r="G220" s="16">
        <f>VLOOKUP(C220,[1]master_data!$A$2:$E$495,4,FALSE)</f>
        <v>8000</v>
      </c>
      <c r="H220" s="16">
        <f>E220*F220</f>
        <v>120000</v>
      </c>
      <c r="I220" s="16">
        <f>E220*G220</f>
        <v>240000</v>
      </c>
      <c r="J220" s="16">
        <f>I220-H220</f>
        <v>120000</v>
      </c>
      <c r="K220" s="16" t="str">
        <f>VLOOKUP(C220,[1]master_data!$A$2:$E$495,5,FALSE)</f>
        <v>Ikan</v>
      </c>
      <c r="L220" s="1"/>
    </row>
    <row r="221" spans="1:12" ht="12" customHeight="1" x14ac:dyDescent="0.25">
      <c r="A221" s="15">
        <v>45259</v>
      </c>
      <c r="B221" s="16">
        <v>22302282</v>
      </c>
      <c r="C221" s="16" t="s">
        <v>397</v>
      </c>
      <c r="D221" s="16" t="str">
        <f>VLOOKUP(C221,[1]master_data!$A$2:$E$495,2,FALSE)</f>
        <v>BUENOS AIRES TETRA</v>
      </c>
      <c r="E221" s="16">
        <v>10</v>
      </c>
      <c r="F221" s="16">
        <f>VLOOKUP(C221,[1]master_data!$A$2:$E$495,3,FALSE)</f>
        <v>800</v>
      </c>
      <c r="G221" s="16">
        <f>VLOOKUP(C221,[1]master_data!$A$2:$E$495,4,FALSE)</f>
        <v>2000</v>
      </c>
      <c r="H221" s="16">
        <f>E221*F221</f>
        <v>8000</v>
      </c>
      <c r="I221" s="16">
        <f>E221*G221</f>
        <v>20000</v>
      </c>
      <c r="J221" s="16">
        <f>I221-H221</f>
        <v>12000</v>
      </c>
      <c r="K221" s="16" t="str">
        <f>VLOOKUP(C221,[1]master_data!$A$2:$E$495,5,FALSE)</f>
        <v>Ikan</v>
      </c>
      <c r="L221" s="1"/>
    </row>
    <row r="222" spans="1:12" ht="12" customHeight="1" x14ac:dyDescent="0.25">
      <c r="A222" s="15">
        <v>45259</v>
      </c>
      <c r="B222" s="16">
        <v>22302283</v>
      </c>
      <c r="C222" s="16" t="s">
        <v>436</v>
      </c>
      <c r="D222" s="16" t="str">
        <f>VLOOKUP(C222,[1]master_data!$A$2:$E$495,2,FALSE)</f>
        <v>NENTINEN</v>
      </c>
      <c r="E222" s="16">
        <v>15</v>
      </c>
      <c r="F222" s="16">
        <f>VLOOKUP(C222,[1]master_data!$A$2:$E$495,3,FALSE)</f>
        <v>1000</v>
      </c>
      <c r="G222" s="16">
        <f>VLOOKUP(C222,[1]master_data!$A$2:$E$495,4,FALSE)</f>
        <v>2500</v>
      </c>
      <c r="H222" s="16">
        <f>E222*F222</f>
        <v>15000</v>
      </c>
      <c r="I222" s="16">
        <f>E222*G222</f>
        <v>37500</v>
      </c>
      <c r="J222" s="16">
        <f>I222-H222</f>
        <v>22500</v>
      </c>
      <c r="K222" s="16" t="str">
        <f>VLOOKUP(C222,[1]master_data!$A$2:$E$495,5,FALSE)</f>
        <v>Ikan</v>
      </c>
      <c r="L222" s="1"/>
    </row>
    <row r="223" spans="1:12" ht="12" customHeight="1" x14ac:dyDescent="0.25">
      <c r="A223" s="15">
        <v>45259</v>
      </c>
      <c r="B223" s="16">
        <v>22302284</v>
      </c>
      <c r="C223" s="16" t="s">
        <v>295</v>
      </c>
      <c r="D223" s="16" t="str">
        <f>VLOOKUP(C223,[1]master_data!$A$2:$E$495,2,FALSE)</f>
        <v>MAGNET S</v>
      </c>
      <c r="E223" s="16">
        <v>2</v>
      </c>
      <c r="F223" s="16">
        <f>VLOOKUP(C223,[1]master_data!$A$2:$E$495,3,FALSE)</f>
        <v>20000</v>
      </c>
      <c r="G223" s="16">
        <f>VLOOKUP(C223,[1]master_data!$A$2:$E$495,4,FALSE)</f>
        <v>30000</v>
      </c>
      <c r="H223" s="16">
        <f>E223*F223</f>
        <v>40000</v>
      </c>
      <c r="I223" s="16">
        <f>E223*G223</f>
        <v>60000</v>
      </c>
      <c r="J223" s="16">
        <f>I223-H223</f>
        <v>20000</v>
      </c>
      <c r="K223" s="16" t="str">
        <f>VLOOKUP(C223,[1]master_data!$A$2:$E$495,5,FALSE)</f>
        <v>Aksesoris</v>
      </c>
      <c r="L223" s="1"/>
    </row>
    <row r="224" spans="1:12" ht="12" customHeight="1" x14ac:dyDescent="0.25">
      <c r="A224" s="15">
        <v>45259</v>
      </c>
      <c r="B224" s="16">
        <v>22302285</v>
      </c>
      <c r="C224" s="16" t="s">
        <v>453</v>
      </c>
      <c r="D224" s="16" t="str">
        <f>VLOOKUP(C224,[1]master_data!$A$2:$E$495,2,FALSE)</f>
        <v>TETRA</v>
      </c>
      <c r="E224" s="16">
        <v>25</v>
      </c>
      <c r="F224" s="16">
        <f>VLOOKUP(C224,[1]master_data!$A$2:$E$495,3,FALSE)</f>
        <v>800</v>
      </c>
      <c r="G224" s="16">
        <f>VLOOKUP(C224,[1]master_data!$A$2:$E$495,4,FALSE)</f>
        <v>2000</v>
      </c>
      <c r="H224" s="16">
        <f>E224*F224</f>
        <v>20000</v>
      </c>
      <c r="I224" s="16">
        <f>E224*G224</f>
        <v>50000</v>
      </c>
      <c r="J224" s="16">
        <f>I224-H224</f>
        <v>30000</v>
      </c>
      <c r="K224" s="16" t="str">
        <f>VLOOKUP(C224,[1]master_data!$A$2:$E$495,5,FALSE)</f>
        <v>Ikan</v>
      </c>
      <c r="L224" s="1"/>
    </row>
    <row r="225" spans="1:12" ht="12" customHeight="1" x14ac:dyDescent="0.25">
      <c r="A225" s="15">
        <v>45259</v>
      </c>
      <c r="B225" s="16">
        <v>22302286</v>
      </c>
      <c r="C225" s="16" t="s">
        <v>294</v>
      </c>
      <c r="D225" s="16" t="str">
        <f>VLOOKUP(C225,[1]master_data!$A$2:$E$495,2,FALSE)</f>
        <v>LEM SEALANT</v>
      </c>
      <c r="E225" s="16">
        <v>11</v>
      </c>
      <c r="F225" s="16">
        <f>VLOOKUP(C225,[1]master_data!$A$2:$E$495,3,FALSE)</f>
        <v>7000</v>
      </c>
      <c r="G225" s="16">
        <f>VLOOKUP(C225,[1]master_data!$A$2:$E$495,4,FALSE)</f>
        <v>10000</v>
      </c>
      <c r="H225" s="16">
        <f>E225*F225</f>
        <v>77000</v>
      </c>
      <c r="I225" s="16">
        <f>E225*G225</f>
        <v>110000</v>
      </c>
      <c r="J225" s="16">
        <f>I225-H225</f>
        <v>33000</v>
      </c>
      <c r="K225" s="16" t="str">
        <f>VLOOKUP(C225,[1]master_data!$A$2:$E$495,5,FALSE)</f>
        <v>Aksesoris</v>
      </c>
      <c r="L225" s="1"/>
    </row>
    <row r="226" spans="1:12" ht="12" customHeight="1" x14ac:dyDescent="0.25">
      <c r="A226" s="15">
        <v>45258</v>
      </c>
      <c r="B226" s="16">
        <v>22302272</v>
      </c>
      <c r="C226" s="16" t="s">
        <v>362</v>
      </c>
      <c r="D226" s="16" t="str">
        <f>VLOOKUP(C226,[1]master_data!$A$2:$E$495,2,FALSE)</f>
        <v>AKUARIUM 60 POLOS</v>
      </c>
      <c r="E226" s="16">
        <v>2</v>
      </c>
      <c r="F226" s="16">
        <f>VLOOKUP(C226,[1]master_data!$A$2:$E$495,3,FALSE)</f>
        <v>120000</v>
      </c>
      <c r="G226" s="16">
        <f>VLOOKUP(C226,[1]master_data!$A$2:$E$495,4,FALSE)</f>
        <v>175000</v>
      </c>
      <c r="H226" s="16">
        <f>E226*F226</f>
        <v>240000</v>
      </c>
      <c r="I226" s="16">
        <f>E226*G226</f>
        <v>350000</v>
      </c>
      <c r="J226" s="16">
        <f>I226-H226</f>
        <v>110000</v>
      </c>
      <c r="K226" s="16" t="str">
        <f>VLOOKUP(C226,[1]master_data!$A$2:$E$495,5,FALSE)</f>
        <v>Aksesoris</v>
      </c>
      <c r="L226" s="1"/>
    </row>
    <row r="227" spans="1:12" ht="12" customHeight="1" x14ac:dyDescent="0.25">
      <c r="A227" s="15">
        <v>45258</v>
      </c>
      <c r="B227" s="16">
        <v>22302273</v>
      </c>
      <c r="C227" s="16" t="s">
        <v>428</v>
      </c>
      <c r="D227" s="16" t="str">
        <f>VLOOKUP(C227,[1]master_data!$A$2:$E$495,2,FALSE)</f>
        <v>MANFISH K</v>
      </c>
      <c r="E227" s="16">
        <v>20</v>
      </c>
      <c r="F227" s="16">
        <f>VLOOKUP(C227,[1]master_data!$A$2:$E$495,3,FALSE)</f>
        <v>2000</v>
      </c>
      <c r="G227" s="16">
        <f>VLOOKUP(C227,[1]master_data!$A$2:$E$495,4,FALSE)</f>
        <v>5000</v>
      </c>
      <c r="H227" s="16">
        <f>E227*F227</f>
        <v>40000</v>
      </c>
      <c r="I227" s="16">
        <f>E227*G227</f>
        <v>100000</v>
      </c>
      <c r="J227" s="16">
        <f>I227-H227</f>
        <v>60000</v>
      </c>
      <c r="K227" s="16" t="str">
        <f>VLOOKUP(C227,[1]master_data!$A$2:$E$495,5,FALSE)</f>
        <v>Ikan</v>
      </c>
      <c r="L227" s="1"/>
    </row>
    <row r="228" spans="1:12" ht="12" customHeight="1" x14ac:dyDescent="0.25">
      <c r="A228" s="15">
        <v>45258</v>
      </c>
      <c r="B228" s="16">
        <v>22302274</v>
      </c>
      <c r="C228" s="16" t="s">
        <v>418</v>
      </c>
      <c r="D228" s="16" t="str">
        <f>VLOOKUP(C228,[1]master_data!$A$2:$E$495,2,FALSE)</f>
        <v>KAVIAT</v>
      </c>
      <c r="E228" s="16">
        <v>20</v>
      </c>
      <c r="F228" s="16">
        <f>VLOOKUP(C228,[1]master_data!$A$2:$E$495,3,FALSE)</f>
        <v>3500</v>
      </c>
      <c r="G228" s="16">
        <f>VLOOKUP(C228,[1]master_data!$A$2:$E$495,4,FALSE)</f>
        <v>8000</v>
      </c>
      <c r="H228" s="16">
        <f>E228*F228</f>
        <v>70000</v>
      </c>
      <c r="I228" s="16">
        <f>E228*G228</f>
        <v>160000</v>
      </c>
      <c r="J228" s="16">
        <f>I228-H228</f>
        <v>90000</v>
      </c>
      <c r="K228" s="16" t="str">
        <f>VLOOKUP(C228,[1]master_data!$A$2:$E$495,5,FALSE)</f>
        <v>Ikan</v>
      </c>
      <c r="L228" s="1"/>
    </row>
    <row r="229" spans="1:12" ht="12" customHeight="1" x14ac:dyDescent="0.25">
      <c r="A229" s="15">
        <v>45258</v>
      </c>
      <c r="B229" s="16">
        <v>22302275</v>
      </c>
      <c r="C229" s="16" t="s">
        <v>451</v>
      </c>
      <c r="D229" s="16" t="str">
        <f>VLOOKUP(C229,[1]master_data!$A$2:$E$495,2,FALSE)</f>
        <v>SYNODONTIS K</v>
      </c>
      <c r="E229" s="16">
        <v>20</v>
      </c>
      <c r="F229" s="16">
        <f>VLOOKUP(C229,[1]master_data!$A$2:$E$495,3,FALSE)</f>
        <v>1500</v>
      </c>
      <c r="G229" s="16">
        <f>VLOOKUP(C229,[1]master_data!$A$2:$E$495,4,FALSE)</f>
        <v>5000</v>
      </c>
      <c r="H229" s="16">
        <f>E229*F229</f>
        <v>30000</v>
      </c>
      <c r="I229" s="16">
        <f>E229*G229</f>
        <v>100000</v>
      </c>
      <c r="J229" s="16">
        <f>I229-H229</f>
        <v>70000</v>
      </c>
      <c r="K229" s="16" t="str">
        <f>VLOOKUP(C229,[1]master_data!$A$2:$E$495,5,FALSE)</f>
        <v>Ikan</v>
      </c>
      <c r="L229" s="1"/>
    </row>
    <row r="230" spans="1:12" ht="12" customHeight="1" x14ac:dyDescent="0.25">
      <c r="A230" s="15">
        <v>45258</v>
      </c>
      <c r="B230" s="16">
        <v>22302276</v>
      </c>
      <c r="C230" s="16" t="s">
        <v>160</v>
      </c>
      <c r="D230" s="16" t="str">
        <f>VLOOKUP(C230,[1]master_data!$A$2:$E$495,2,FALSE)</f>
        <v>LED KANDILA PRO RED 80 CM</v>
      </c>
      <c r="E230" s="16">
        <v>1</v>
      </c>
      <c r="F230" s="16">
        <f>VLOOKUP(C230,[1]master_data!$A$2:$E$495,3,FALSE)</f>
        <v>176500</v>
      </c>
      <c r="G230" s="16">
        <f>VLOOKUP(C230,[1]master_data!$A$2:$E$495,4,FALSE)</f>
        <v>235000</v>
      </c>
      <c r="H230" s="16">
        <f>E230*F230</f>
        <v>176500</v>
      </c>
      <c r="I230" s="16">
        <f>E230*G230</f>
        <v>235000</v>
      </c>
      <c r="J230" s="16">
        <f>I230-H230</f>
        <v>58500</v>
      </c>
      <c r="K230" s="16" t="str">
        <f>VLOOKUP(C230,[1]master_data!$A$2:$E$495,5,FALSE)</f>
        <v>Aksesoris</v>
      </c>
      <c r="L230" s="1"/>
    </row>
    <row r="231" spans="1:12" ht="12" customHeight="1" x14ac:dyDescent="0.25">
      <c r="A231" s="15">
        <v>45258</v>
      </c>
      <c r="B231" s="16">
        <v>22302277</v>
      </c>
      <c r="C231" s="16" t="s">
        <v>175</v>
      </c>
      <c r="D231" s="16" t="str">
        <f>VLOOKUP(C231,[1]master_data!$A$2:$E$495,2,FALSE)</f>
        <v>LED ARMADA 3 BRS AP 600</v>
      </c>
      <c r="E231" s="16">
        <v>1</v>
      </c>
      <c r="F231" s="16">
        <f>VLOOKUP(C231,[1]master_data!$A$2:$E$495,3,FALSE)</f>
        <v>55000</v>
      </c>
      <c r="G231" s="16">
        <f>VLOOKUP(C231,[1]master_data!$A$2:$E$495,4,FALSE)</f>
        <v>80000</v>
      </c>
      <c r="H231" s="16">
        <f>E231*F231</f>
        <v>55000</v>
      </c>
      <c r="I231" s="16">
        <f>E231*G231</f>
        <v>80000</v>
      </c>
      <c r="J231" s="16">
        <f>I231-H231</f>
        <v>25000</v>
      </c>
      <c r="K231" s="16" t="str">
        <f>VLOOKUP(C231,[1]master_data!$A$2:$E$495,5,FALSE)</f>
        <v>Aksesoris</v>
      </c>
      <c r="L231" s="1"/>
    </row>
    <row r="232" spans="1:12" ht="12" customHeight="1" x14ac:dyDescent="0.25">
      <c r="A232" s="15">
        <v>45258</v>
      </c>
      <c r="B232" s="16">
        <v>22302278</v>
      </c>
      <c r="C232" s="16" t="s">
        <v>418</v>
      </c>
      <c r="D232" s="16" t="str">
        <f>VLOOKUP(C232,[1]master_data!$A$2:$E$495,2,FALSE)</f>
        <v>KAVIAT</v>
      </c>
      <c r="E232" s="16">
        <v>1</v>
      </c>
      <c r="F232" s="16">
        <f>VLOOKUP(C232,[1]master_data!$A$2:$E$495,3,FALSE)</f>
        <v>3500</v>
      </c>
      <c r="G232" s="16">
        <f>VLOOKUP(C232,[1]master_data!$A$2:$E$495,4,FALSE)</f>
        <v>8000</v>
      </c>
      <c r="H232" s="16">
        <f>E232*F232</f>
        <v>3500</v>
      </c>
      <c r="I232" s="16">
        <f>E232*G232</f>
        <v>8000</v>
      </c>
      <c r="J232" s="16">
        <f>I232-H232</f>
        <v>4500</v>
      </c>
      <c r="K232" s="16" t="str">
        <f>VLOOKUP(C232,[1]master_data!$A$2:$E$495,5,FALSE)</f>
        <v>Ikan</v>
      </c>
      <c r="L232" s="1"/>
    </row>
    <row r="233" spans="1:12" ht="12" customHeight="1" x14ac:dyDescent="0.25">
      <c r="A233" s="15">
        <v>45257</v>
      </c>
      <c r="B233" s="16">
        <v>22302267</v>
      </c>
      <c r="C233" s="16" t="s">
        <v>15</v>
      </c>
      <c r="D233" s="16" t="str">
        <f>VLOOKUP(C233,[1]master_data!$A$2:$E$495,2,FALSE)</f>
        <v>MESIN YANG 107</v>
      </c>
      <c r="E233" s="16">
        <v>1</v>
      </c>
      <c r="F233" s="16">
        <f>VLOOKUP(C233,[1]master_data!$A$2:$E$495,3,FALSE)</f>
        <v>330000</v>
      </c>
      <c r="G233" s="16">
        <f>VLOOKUP(C233,[1]master_data!$A$2:$E$495,4,FALSE)</f>
        <v>400000</v>
      </c>
      <c r="H233" s="16">
        <f>E233*F233</f>
        <v>330000</v>
      </c>
      <c r="I233" s="16">
        <f>E233*G233</f>
        <v>400000</v>
      </c>
      <c r="J233" s="16">
        <f>I233-H233</f>
        <v>70000</v>
      </c>
      <c r="K233" s="16" t="str">
        <f>VLOOKUP(C233,[1]master_data!$A$2:$E$495,5,FALSE)</f>
        <v>Aksesoris</v>
      </c>
      <c r="L233" s="1"/>
    </row>
    <row r="234" spans="1:12" ht="12" customHeight="1" x14ac:dyDescent="0.25">
      <c r="A234" s="15">
        <v>45257</v>
      </c>
      <c r="B234" s="16">
        <v>22302268</v>
      </c>
      <c r="C234" s="16" t="s">
        <v>401</v>
      </c>
      <c r="D234" s="16" t="str">
        <f>VLOOKUP(C234,[1]master_data!$A$2:$E$495,2,FALSE)</f>
        <v>CHANNA BLUE PULCHRA K</v>
      </c>
      <c r="E234" s="16">
        <v>1</v>
      </c>
      <c r="F234" s="16">
        <f>VLOOKUP(C234,[1]master_data!$A$2:$E$495,3,FALSE)</f>
        <v>25000</v>
      </c>
      <c r="G234" s="16">
        <f>VLOOKUP(C234,[1]master_data!$A$2:$E$495,4,FALSE)</f>
        <v>50000</v>
      </c>
      <c r="H234" s="16">
        <f>E234*F234</f>
        <v>25000</v>
      </c>
      <c r="I234" s="16">
        <f>E234*G234</f>
        <v>50000</v>
      </c>
      <c r="J234" s="16">
        <f>I234-H234</f>
        <v>25000</v>
      </c>
      <c r="K234" s="16" t="str">
        <f>VLOOKUP(C234,[1]master_data!$A$2:$E$495,5,FALSE)</f>
        <v>Ikan</v>
      </c>
      <c r="L234" s="1"/>
    </row>
    <row r="235" spans="1:12" ht="12" customHeight="1" x14ac:dyDescent="0.25">
      <c r="A235" s="15">
        <v>45257</v>
      </c>
      <c r="B235" s="16">
        <v>22302269</v>
      </c>
      <c r="C235" s="16" t="s">
        <v>392</v>
      </c>
      <c r="D235" s="16" t="str">
        <f>VLOOKUP(C235,[1]master_data!$A$2:$E$495,2,FALSE)</f>
        <v>ARWANA SILVER K</v>
      </c>
      <c r="E235" s="16">
        <v>2</v>
      </c>
      <c r="F235" s="16">
        <f>VLOOKUP(C235,[1]master_data!$A$2:$E$495,3,FALSE)</f>
        <v>100000</v>
      </c>
      <c r="G235" s="16">
        <f>VLOOKUP(C235,[1]master_data!$A$2:$E$495,4,FALSE)</f>
        <v>200000</v>
      </c>
      <c r="H235" s="16">
        <f>E235*F235</f>
        <v>200000</v>
      </c>
      <c r="I235" s="16">
        <f>E235*G235</f>
        <v>400000</v>
      </c>
      <c r="J235" s="16">
        <f>I235-H235</f>
        <v>200000</v>
      </c>
      <c r="K235" s="16" t="str">
        <f>VLOOKUP(C235,[1]master_data!$A$2:$E$495,5,FALSE)</f>
        <v>Ikan</v>
      </c>
      <c r="L235" s="1"/>
    </row>
    <row r="236" spans="1:12" ht="12" customHeight="1" x14ac:dyDescent="0.25">
      <c r="A236" s="15">
        <v>45257</v>
      </c>
      <c r="B236" s="16">
        <v>22302270</v>
      </c>
      <c r="C236" s="16" t="s">
        <v>260</v>
      </c>
      <c r="D236" s="16" t="str">
        <f>VLOOKUP(C236,[1]master_data!$A$2:$E$495,2,FALSE)</f>
        <v>COP PIPA</v>
      </c>
      <c r="E236" s="16">
        <v>1</v>
      </c>
      <c r="F236" s="16">
        <f>VLOOKUP(C236,[1]master_data!$A$2:$E$495,3,FALSE)</f>
        <v>800</v>
      </c>
      <c r="G236" s="16">
        <f>VLOOKUP(C236,[1]master_data!$A$2:$E$495,4,FALSE)</f>
        <v>2000</v>
      </c>
      <c r="H236" s="16">
        <f>E236*F236</f>
        <v>800</v>
      </c>
      <c r="I236" s="16">
        <f>E236*G236</f>
        <v>2000</v>
      </c>
      <c r="J236" s="16">
        <f>I236-H236</f>
        <v>1200</v>
      </c>
      <c r="K236" s="16" t="str">
        <f>VLOOKUP(C236,[1]master_data!$A$2:$E$495,5,FALSE)</f>
        <v>Aksesoris</v>
      </c>
      <c r="L236" s="1"/>
    </row>
    <row r="237" spans="1:12" ht="12" customHeight="1" x14ac:dyDescent="0.25">
      <c r="A237" s="15">
        <v>45257</v>
      </c>
      <c r="B237" s="16">
        <v>22302271</v>
      </c>
      <c r="C237" s="16" t="s">
        <v>153</v>
      </c>
      <c r="D237" s="16" t="str">
        <f>VLOOKUP(C237,[1]master_data!$A$2:$E$495,2,FALSE)</f>
        <v>LED VOSSO A 600</v>
      </c>
      <c r="E237" s="16">
        <v>1</v>
      </c>
      <c r="F237" s="16">
        <f>VLOOKUP(C237,[1]master_data!$A$2:$E$495,3,FALSE)</f>
        <v>55000</v>
      </c>
      <c r="G237" s="16">
        <f>VLOOKUP(C237,[1]master_data!$A$2:$E$495,4,FALSE)</f>
        <v>75000</v>
      </c>
      <c r="H237" s="16">
        <f>E237*F237</f>
        <v>55000</v>
      </c>
      <c r="I237" s="16">
        <f>E237*G237</f>
        <v>75000</v>
      </c>
      <c r="J237" s="16">
        <f>I237-H237</f>
        <v>20000</v>
      </c>
      <c r="K237" s="16" t="str">
        <f>VLOOKUP(C237,[1]master_data!$A$2:$E$495,5,FALSE)</f>
        <v>Aksesoris</v>
      </c>
      <c r="L237" s="1"/>
    </row>
    <row r="238" spans="1:12" ht="12" customHeight="1" x14ac:dyDescent="0.25">
      <c r="A238" s="15">
        <v>45256</v>
      </c>
      <c r="B238" s="16">
        <v>22302262</v>
      </c>
      <c r="C238" s="16" t="s">
        <v>395</v>
      </c>
      <c r="D238" s="16" t="str">
        <f>VLOOKUP(C238,[1]master_data!$A$2:$E$495,2,FALSE)</f>
        <v>ALIGATOR</v>
      </c>
      <c r="E238" s="16">
        <v>10</v>
      </c>
      <c r="F238" s="16">
        <f>VLOOKUP(C238,[1]master_data!$A$2:$E$495,3,FALSE)</f>
        <v>17000</v>
      </c>
      <c r="G238" s="16">
        <f>VLOOKUP(C238,[1]master_data!$A$2:$E$495,4,FALSE)</f>
        <v>35000</v>
      </c>
      <c r="H238" s="16">
        <f>E238*F238</f>
        <v>170000</v>
      </c>
      <c r="I238" s="16">
        <f>E238*G238</f>
        <v>350000</v>
      </c>
      <c r="J238" s="16">
        <f>I238-H238</f>
        <v>180000</v>
      </c>
      <c r="K238" s="16" t="str">
        <f>VLOOKUP(C238,[1]master_data!$A$2:$E$495,5,FALSE)</f>
        <v>Ikan</v>
      </c>
      <c r="L238" s="1"/>
    </row>
    <row r="239" spans="1:12" ht="12" customHeight="1" x14ac:dyDescent="0.25">
      <c r="A239" s="15">
        <v>45256</v>
      </c>
      <c r="B239" s="16">
        <v>22302263</v>
      </c>
      <c r="C239" s="16" t="s">
        <v>405</v>
      </c>
      <c r="D239" s="16" t="str">
        <f>VLOOKUP(C239,[1]master_data!$A$2:$E$495,2,FALSE)</f>
        <v>CUPANG</v>
      </c>
      <c r="E239" s="16">
        <v>20</v>
      </c>
      <c r="F239" s="16">
        <f>VLOOKUP(C239,[1]master_data!$A$2:$E$495,3,FALSE)</f>
        <v>2000</v>
      </c>
      <c r="G239" s="16">
        <f>VLOOKUP(C239,[1]master_data!$A$2:$E$495,4,FALSE)</f>
        <v>5000</v>
      </c>
      <c r="H239" s="16">
        <f>E239*F239</f>
        <v>40000</v>
      </c>
      <c r="I239" s="16">
        <f>E239*G239</f>
        <v>100000</v>
      </c>
      <c r="J239" s="16">
        <f>I239-H239</f>
        <v>60000</v>
      </c>
      <c r="K239" s="16" t="str">
        <f>VLOOKUP(C239,[1]master_data!$A$2:$E$495,5,FALSE)</f>
        <v>Ikan</v>
      </c>
      <c r="L239" s="1"/>
    </row>
    <row r="240" spans="1:12" ht="12" customHeight="1" x14ac:dyDescent="0.25">
      <c r="A240" s="15">
        <v>45256</v>
      </c>
      <c r="B240" s="16">
        <v>22302264</v>
      </c>
      <c r="C240" s="16" t="s">
        <v>459</v>
      </c>
      <c r="D240" s="16" t="str">
        <f>VLOOKUP(C240,[1]master_data!$A$2:$E$495,2,FALSE)</f>
        <v>SEPAT</v>
      </c>
      <c r="E240" s="16">
        <v>10</v>
      </c>
      <c r="F240" s="16">
        <f>VLOOKUP(C240,[1]master_data!$A$2:$E$495,3,FALSE)</f>
        <v>600</v>
      </c>
      <c r="G240" s="16">
        <f>VLOOKUP(C240,[1]master_data!$A$2:$E$495,4,FALSE)</f>
        <v>2000</v>
      </c>
      <c r="H240" s="16">
        <f>E240*F240</f>
        <v>6000</v>
      </c>
      <c r="I240" s="16">
        <f>E240*G240</f>
        <v>20000</v>
      </c>
      <c r="J240" s="16">
        <f>I240-H240</f>
        <v>14000</v>
      </c>
      <c r="K240" s="16" t="str">
        <f>VLOOKUP(C240,[1]master_data!$A$2:$E$495,5,FALSE)</f>
        <v>Ikan</v>
      </c>
      <c r="L240" s="1"/>
    </row>
    <row r="241" spans="1:12" ht="12" customHeight="1" x14ac:dyDescent="0.25">
      <c r="A241" s="15">
        <v>45256</v>
      </c>
      <c r="B241" s="16">
        <v>22302265</v>
      </c>
      <c r="C241" s="16" t="s">
        <v>128</v>
      </c>
      <c r="D241" s="16" t="str">
        <f>VLOOKUP(C241,[1]master_data!$A$2:$E$495,2,FALSE)</f>
        <v>LED YAMANO 6W</v>
      </c>
      <c r="E241" s="16">
        <v>1</v>
      </c>
      <c r="F241" s="16">
        <f>VLOOKUP(C241,[1]master_data!$A$2:$E$495,3,FALSE)</f>
        <v>45000</v>
      </c>
      <c r="G241" s="16">
        <f>VLOOKUP(C241,[1]master_data!$A$2:$E$495,4,FALSE)</f>
        <v>75000</v>
      </c>
      <c r="H241" s="16">
        <f>E241*F241</f>
        <v>45000</v>
      </c>
      <c r="I241" s="16">
        <f>E241*G241</f>
        <v>75000</v>
      </c>
      <c r="J241" s="16">
        <f>I241-H241</f>
        <v>30000</v>
      </c>
      <c r="K241" s="16" t="str">
        <f>VLOOKUP(C241,[1]master_data!$A$2:$E$495,5,FALSE)</f>
        <v>Aksesoris</v>
      </c>
      <c r="L241" s="1"/>
    </row>
    <row r="242" spans="1:12" ht="12" customHeight="1" x14ac:dyDescent="0.25">
      <c r="A242" s="15">
        <v>45256</v>
      </c>
      <c r="B242" s="16">
        <v>22302266</v>
      </c>
      <c r="C242" s="16" t="s">
        <v>452</v>
      </c>
      <c r="D242" s="16" t="str">
        <f>VLOOKUP(C242,[1]master_data!$A$2:$E$495,2,FALSE)</f>
        <v>SYNODONTI B</v>
      </c>
      <c r="E242" s="16">
        <v>24</v>
      </c>
      <c r="F242" s="16">
        <f>VLOOKUP(C242,[1]master_data!$A$2:$E$495,3,FALSE)</f>
        <v>4000</v>
      </c>
      <c r="G242" s="16">
        <f>VLOOKUP(C242,[1]master_data!$A$2:$E$495,4,FALSE)</f>
        <v>10000</v>
      </c>
      <c r="H242" s="16">
        <f>E242*F242</f>
        <v>96000</v>
      </c>
      <c r="I242" s="16">
        <f>E242*G242</f>
        <v>240000</v>
      </c>
      <c r="J242" s="16">
        <f>I242-H242</f>
        <v>144000</v>
      </c>
      <c r="K242" s="16" t="str">
        <f>VLOOKUP(C242,[1]master_data!$A$2:$E$495,5,FALSE)</f>
        <v>Ikan</v>
      </c>
      <c r="L242" s="1"/>
    </row>
    <row r="243" spans="1:12" ht="12" customHeight="1" x14ac:dyDescent="0.25">
      <c r="A243" s="15">
        <v>45255</v>
      </c>
      <c r="B243" s="16">
        <v>22302250</v>
      </c>
      <c r="C243" s="16" t="s">
        <v>311</v>
      </c>
      <c r="D243" s="16" t="str">
        <f>VLOOKUP(C243,[1]master_data!$A$2:$E$495,2,FALSE)</f>
        <v>T PIPA</v>
      </c>
      <c r="E243" s="16">
        <v>15</v>
      </c>
      <c r="F243" s="16">
        <f>VLOOKUP(C243,[1]master_data!$A$2:$E$495,3,FALSE)</f>
        <v>800</v>
      </c>
      <c r="G243" s="16">
        <f>VLOOKUP(C243,[1]master_data!$A$2:$E$495,4,FALSE)</f>
        <v>2000</v>
      </c>
      <c r="H243" s="16">
        <f>E243*F243</f>
        <v>12000</v>
      </c>
      <c r="I243" s="16">
        <f>E243*G243</f>
        <v>30000</v>
      </c>
      <c r="J243" s="16">
        <f>I243-H243</f>
        <v>18000</v>
      </c>
      <c r="K243" s="16" t="str">
        <f>VLOOKUP(C243,[1]master_data!$A$2:$E$495,5,FALSE)</f>
        <v>Aksesoris</v>
      </c>
      <c r="L243" s="1"/>
    </row>
    <row r="244" spans="1:12" ht="12" customHeight="1" x14ac:dyDescent="0.25">
      <c r="A244" s="15">
        <v>45255</v>
      </c>
      <c r="B244" s="16">
        <v>22302251</v>
      </c>
      <c r="C244" s="16" t="s">
        <v>445</v>
      </c>
      <c r="D244" s="16" t="str">
        <f>VLOOKUP(C244,[1]master_data!$A$2:$E$495,2,FALSE)</f>
        <v>REDFIN ALBINO</v>
      </c>
      <c r="E244" s="16">
        <v>15</v>
      </c>
      <c r="F244" s="16">
        <f>VLOOKUP(C244,[1]master_data!$A$2:$E$495,3,FALSE)</f>
        <v>1500</v>
      </c>
      <c r="G244" s="16">
        <f>VLOOKUP(C244,[1]master_data!$A$2:$E$495,4,FALSE)</f>
        <v>4000</v>
      </c>
      <c r="H244" s="16">
        <f>E244*F244</f>
        <v>22500</v>
      </c>
      <c r="I244" s="16">
        <f>E244*G244</f>
        <v>60000</v>
      </c>
      <c r="J244" s="16">
        <f>I244-H244</f>
        <v>37500</v>
      </c>
      <c r="K244" s="16" t="str">
        <f>VLOOKUP(C244,[1]master_data!$A$2:$E$495,5,FALSE)</f>
        <v>Ikan</v>
      </c>
      <c r="L244" s="1"/>
    </row>
    <row r="245" spans="1:12" ht="12" customHeight="1" x14ac:dyDescent="0.25">
      <c r="A245" s="15">
        <v>45255</v>
      </c>
      <c r="B245" s="16">
        <v>22302252</v>
      </c>
      <c r="C245" s="16" t="s">
        <v>448</v>
      </c>
      <c r="D245" s="16" t="str">
        <f>VLOOKUP(C245,[1]master_data!$A$2:$E$495,2,FALSE)</f>
        <v>SUMATRA BIASA</v>
      </c>
      <c r="E245" s="16">
        <v>25</v>
      </c>
      <c r="F245" s="16">
        <f>VLOOKUP(C245,[1]master_data!$A$2:$E$495,3,FALSE)</f>
        <v>800</v>
      </c>
      <c r="G245" s="16">
        <f>VLOOKUP(C245,[1]master_data!$A$2:$E$495,4,FALSE)</f>
        <v>2000</v>
      </c>
      <c r="H245" s="16">
        <f>E245*F245</f>
        <v>20000</v>
      </c>
      <c r="I245" s="16">
        <f>E245*G245</f>
        <v>50000</v>
      </c>
      <c r="J245" s="16">
        <f>I245-H245</f>
        <v>30000</v>
      </c>
      <c r="K245" s="16" t="str">
        <f>VLOOKUP(C245,[1]master_data!$A$2:$E$495,5,FALSE)</f>
        <v>Ikan</v>
      </c>
      <c r="L245" s="1"/>
    </row>
    <row r="246" spans="1:12" ht="12" customHeight="1" x14ac:dyDescent="0.25">
      <c r="A246" s="15">
        <v>45255</v>
      </c>
      <c r="B246" s="16">
        <v>22302253</v>
      </c>
      <c r="C246" s="16" t="s">
        <v>432</v>
      </c>
      <c r="D246" s="16" t="str">
        <f>VLOOKUP(C246,[1]master_data!$A$2:$E$495,2,FALSE)</f>
        <v>MOLI PAKAN</v>
      </c>
      <c r="E246" s="16">
        <v>20</v>
      </c>
      <c r="F246" s="16">
        <f>VLOOKUP(C246,[1]master_data!$A$2:$E$495,3,FALSE)</f>
        <v>100</v>
      </c>
      <c r="G246" s="16">
        <f>VLOOKUP(C246,[1]master_data!$A$2:$E$495,4,FALSE)</f>
        <v>200</v>
      </c>
      <c r="H246" s="16">
        <f>E246*F246</f>
        <v>2000</v>
      </c>
      <c r="I246" s="16">
        <f>E246*G246</f>
        <v>4000</v>
      </c>
      <c r="J246" s="16">
        <f>I246-H246</f>
        <v>2000</v>
      </c>
      <c r="K246" s="16" t="str">
        <f>VLOOKUP(C246,[1]master_data!$A$2:$E$495,5,FALSE)</f>
        <v>Ikan</v>
      </c>
      <c r="L246" s="1"/>
    </row>
    <row r="247" spans="1:12" ht="12" customHeight="1" x14ac:dyDescent="0.25">
      <c r="A247" s="15">
        <v>45255</v>
      </c>
      <c r="B247" s="16">
        <v>22302254</v>
      </c>
      <c r="C247" s="16" t="s">
        <v>326</v>
      </c>
      <c r="D247" s="16" t="str">
        <f>VLOOKUP(C247,[1]master_data!$A$2:$E$495,2,FALSE)</f>
        <v>BLITS B</v>
      </c>
      <c r="E247" s="16">
        <v>15</v>
      </c>
      <c r="F247" s="16">
        <f>VLOOKUP(C247,[1]master_data!$A$2:$E$495,3,FALSE)</f>
        <v>6500</v>
      </c>
      <c r="G247" s="16">
        <f>VLOOKUP(C247,[1]master_data!$A$2:$E$495,4,FALSE)</f>
        <v>10000</v>
      </c>
      <c r="H247" s="16">
        <f>E247*F247</f>
        <v>97500</v>
      </c>
      <c r="I247" s="16">
        <f>E247*G247</f>
        <v>150000</v>
      </c>
      <c r="J247" s="16">
        <f>I247-H247</f>
        <v>52500</v>
      </c>
      <c r="K247" s="16" t="str">
        <f>VLOOKUP(C247,[1]master_data!$A$2:$E$495,5,FALSE)</f>
        <v>Aksesoris</v>
      </c>
      <c r="L247" s="1"/>
    </row>
    <row r="248" spans="1:12" ht="12" customHeight="1" x14ac:dyDescent="0.25">
      <c r="A248" s="15">
        <v>45255</v>
      </c>
      <c r="B248" s="16">
        <v>22302255</v>
      </c>
      <c r="C248" s="16" t="s">
        <v>454</v>
      </c>
      <c r="D248" s="16" t="str">
        <f>VLOOKUP(C248,[1]master_data!$A$2:$E$495,2,FALSE)</f>
        <v>TOMAN</v>
      </c>
      <c r="E248" s="16">
        <v>5</v>
      </c>
      <c r="F248" s="16">
        <f>VLOOKUP(C248,[1]master_data!$A$2:$E$495,3,FALSE)</f>
        <v>10000</v>
      </c>
      <c r="G248" s="16">
        <f>VLOOKUP(C248,[1]master_data!$A$2:$E$495,4,FALSE)</f>
        <v>25000</v>
      </c>
      <c r="H248" s="16">
        <f>E248*F248</f>
        <v>50000</v>
      </c>
      <c r="I248" s="16">
        <f>E248*G248</f>
        <v>125000</v>
      </c>
      <c r="J248" s="16">
        <f>I248-H248</f>
        <v>75000</v>
      </c>
      <c r="K248" s="16" t="str">
        <f>VLOOKUP(C248,[1]master_data!$A$2:$E$495,5,FALSE)</f>
        <v>Ikan</v>
      </c>
      <c r="L248" s="1"/>
    </row>
    <row r="249" spans="1:12" ht="12" customHeight="1" x14ac:dyDescent="0.25">
      <c r="A249" s="15">
        <v>45255</v>
      </c>
      <c r="B249" s="16">
        <v>22302256</v>
      </c>
      <c r="C249" s="16" t="s">
        <v>408</v>
      </c>
      <c r="D249" s="16" t="str">
        <f>VLOOKUP(C249,[1]master_data!$A$2:$E$495,2,FALSE)</f>
        <v>GUPY</v>
      </c>
      <c r="E249" s="16">
        <v>20</v>
      </c>
      <c r="F249" s="16">
        <f>VLOOKUP(C249,[1]master_data!$A$2:$E$495,3,FALSE)</f>
        <v>1200</v>
      </c>
      <c r="G249" s="16">
        <f>VLOOKUP(C249,[1]master_data!$A$2:$E$495,4,FALSE)</f>
        <v>2500</v>
      </c>
      <c r="H249" s="16">
        <f>E249*F249</f>
        <v>24000</v>
      </c>
      <c r="I249" s="16">
        <f>E249*G249</f>
        <v>50000</v>
      </c>
      <c r="J249" s="16">
        <f>I249-H249</f>
        <v>26000</v>
      </c>
      <c r="K249" s="16" t="str">
        <f>VLOOKUP(C249,[1]master_data!$A$2:$E$495,5,FALSE)</f>
        <v>Ikan</v>
      </c>
      <c r="L249" s="1"/>
    </row>
    <row r="250" spans="1:12" ht="12" customHeight="1" x14ac:dyDescent="0.25">
      <c r="A250" s="15">
        <v>45255</v>
      </c>
      <c r="B250" s="16">
        <v>22302257</v>
      </c>
      <c r="C250" s="16" t="s">
        <v>39</v>
      </c>
      <c r="D250" s="16" t="str">
        <f>VLOOKUP(C250,[1]master_data!$A$2:$E$495,2,FALSE)</f>
        <v>MESIN YAMANO 105</v>
      </c>
      <c r="E250" s="16">
        <v>2</v>
      </c>
      <c r="F250" s="16">
        <f>VLOOKUP(C250,[1]master_data!$A$2:$E$495,3,FALSE)</f>
        <v>125000</v>
      </c>
      <c r="G250" s="16">
        <f>VLOOKUP(C250,[1]master_data!$A$2:$E$495,4,FALSE)</f>
        <v>160000</v>
      </c>
      <c r="H250" s="16">
        <f>E250*F250</f>
        <v>250000</v>
      </c>
      <c r="I250" s="16">
        <f>E250*G250</f>
        <v>320000</v>
      </c>
      <c r="J250" s="16">
        <f>I250-H250</f>
        <v>70000</v>
      </c>
      <c r="K250" s="16" t="str">
        <f>VLOOKUP(C250,[1]master_data!$A$2:$E$495,5,FALSE)</f>
        <v>Aksesoris</v>
      </c>
      <c r="L250" s="1"/>
    </row>
    <row r="251" spans="1:12" ht="12" customHeight="1" x14ac:dyDescent="0.25">
      <c r="A251" s="15">
        <v>45255</v>
      </c>
      <c r="B251" s="16">
        <v>22302258</v>
      </c>
      <c r="C251" s="16" t="s">
        <v>20</v>
      </c>
      <c r="D251" s="16" t="str">
        <f>VLOOKUP(C251,[1]master_data!$A$2:$E$495,2,FALSE)</f>
        <v>MESIN ROSTON 1200</v>
      </c>
      <c r="E251" s="16">
        <v>2</v>
      </c>
      <c r="F251" s="16">
        <f>VLOOKUP(C251,[1]master_data!$A$2:$E$495,3,FALSE)</f>
        <v>23000</v>
      </c>
      <c r="G251" s="16">
        <f>VLOOKUP(C251,[1]master_data!$A$2:$E$495,4,FALSE)</f>
        <v>35000</v>
      </c>
      <c r="H251" s="16">
        <f>E251*F251</f>
        <v>46000</v>
      </c>
      <c r="I251" s="16">
        <f>E251*G251</f>
        <v>70000</v>
      </c>
      <c r="J251" s="16">
        <f>I251-H251</f>
        <v>24000</v>
      </c>
      <c r="K251" s="16" t="str">
        <f>VLOOKUP(C251,[1]master_data!$A$2:$E$495,5,FALSE)</f>
        <v>Aksesoris</v>
      </c>
      <c r="L251" s="1"/>
    </row>
    <row r="252" spans="1:12" ht="12" customHeight="1" x14ac:dyDescent="0.25">
      <c r="A252" s="15">
        <v>45255</v>
      </c>
      <c r="B252" s="16">
        <v>22302259</v>
      </c>
      <c r="C252" s="16" t="s">
        <v>452</v>
      </c>
      <c r="D252" s="16" t="str">
        <f>VLOOKUP(C252,[1]master_data!$A$2:$E$495,2,FALSE)</f>
        <v>SYNODONTI B</v>
      </c>
      <c r="E252" s="16">
        <v>10</v>
      </c>
      <c r="F252" s="16">
        <f>VLOOKUP(C252,[1]master_data!$A$2:$E$495,3,FALSE)</f>
        <v>4000</v>
      </c>
      <c r="G252" s="16">
        <f>VLOOKUP(C252,[1]master_data!$A$2:$E$495,4,FALSE)</f>
        <v>10000</v>
      </c>
      <c r="H252" s="16">
        <f>E252*F252</f>
        <v>40000</v>
      </c>
      <c r="I252" s="16">
        <f>E252*G252</f>
        <v>100000</v>
      </c>
      <c r="J252" s="16">
        <f>I252-H252</f>
        <v>60000</v>
      </c>
      <c r="K252" s="16" t="str">
        <f>VLOOKUP(C252,[1]master_data!$A$2:$E$495,5,FALSE)</f>
        <v>Ikan</v>
      </c>
      <c r="L252" s="1"/>
    </row>
    <row r="253" spans="1:12" ht="12" customHeight="1" x14ac:dyDescent="0.25">
      <c r="A253" s="15">
        <v>45255</v>
      </c>
      <c r="B253" s="16">
        <v>22302260</v>
      </c>
      <c r="C253" s="16" t="s">
        <v>445</v>
      </c>
      <c r="D253" s="16" t="str">
        <f>VLOOKUP(C253,[1]master_data!$A$2:$E$495,2,FALSE)</f>
        <v>REDFIN ALBINO</v>
      </c>
      <c r="E253" s="16">
        <v>10</v>
      </c>
      <c r="F253" s="16">
        <f>VLOOKUP(C253,[1]master_data!$A$2:$E$495,3,FALSE)</f>
        <v>1500</v>
      </c>
      <c r="G253" s="16">
        <f>VLOOKUP(C253,[1]master_data!$A$2:$E$495,4,FALSE)</f>
        <v>4000</v>
      </c>
      <c r="H253" s="16">
        <f>E253*F253</f>
        <v>15000</v>
      </c>
      <c r="I253" s="16">
        <f>E253*G253</f>
        <v>40000</v>
      </c>
      <c r="J253" s="16">
        <f>I253-H253</f>
        <v>25000</v>
      </c>
      <c r="K253" s="16" t="str">
        <f>VLOOKUP(C253,[1]master_data!$A$2:$E$495,5,FALSE)</f>
        <v>Ikan</v>
      </c>
      <c r="L253" s="1"/>
    </row>
    <row r="254" spans="1:12" ht="12" customHeight="1" x14ac:dyDescent="0.25">
      <c r="A254" s="15">
        <v>45255</v>
      </c>
      <c r="B254" s="16">
        <v>22302261</v>
      </c>
      <c r="C254" s="16" t="s">
        <v>234</v>
      </c>
      <c r="D254" s="16" t="str">
        <f>VLOOKUP(C254,[1]master_data!$A$2:$E$495,2,FALSE)</f>
        <v>QUICK RED BG</v>
      </c>
      <c r="E254" s="16">
        <v>1</v>
      </c>
      <c r="F254" s="16">
        <f>VLOOKUP(C254,[1]master_data!$A$2:$E$495,3,FALSE)</f>
        <v>19200</v>
      </c>
      <c r="G254" s="16">
        <f>VLOOKUP(C254,[1]master_data!$A$2:$E$495,4,FALSE)</f>
        <v>35000</v>
      </c>
      <c r="H254" s="16">
        <f>E254*F254</f>
        <v>19200</v>
      </c>
      <c r="I254" s="16">
        <f>E254*G254</f>
        <v>35000</v>
      </c>
      <c r="J254" s="16">
        <f>I254-H254</f>
        <v>15800</v>
      </c>
      <c r="K254" s="16" t="str">
        <f>VLOOKUP(C254,[1]master_data!$A$2:$E$495,5,FALSE)</f>
        <v>Aksesoris</v>
      </c>
      <c r="L254" s="1"/>
    </row>
    <row r="255" spans="1:12" ht="12" customHeight="1" x14ac:dyDescent="0.25">
      <c r="A255" s="15">
        <v>45254</v>
      </c>
      <c r="B255" s="16">
        <v>22302245</v>
      </c>
      <c r="C255" s="16" t="s">
        <v>400</v>
      </c>
      <c r="D255" s="16" t="str">
        <f>VLOOKUP(C255,[1]master_data!$A$2:$E$495,2,FALSE)</f>
        <v>BLACK GHOST</v>
      </c>
      <c r="E255" s="16">
        <v>25</v>
      </c>
      <c r="F255" s="16">
        <f>VLOOKUP(C255,[1]master_data!$A$2:$E$495,3,FALSE)</f>
        <v>4000</v>
      </c>
      <c r="G255" s="16">
        <f>VLOOKUP(C255,[1]master_data!$A$2:$E$495,4,FALSE)</f>
        <v>10000</v>
      </c>
      <c r="H255" s="16">
        <f>E255*F255</f>
        <v>100000</v>
      </c>
      <c r="I255" s="16">
        <f>E255*G255</f>
        <v>250000</v>
      </c>
      <c r="J255" s="16">
        <f>I255-H255</f>
        <v>150000</v>
      </c>
      <c r="K255" s="16" t="str">
        <f>VLOOKUP(C255,[1]master_data!$A$2:$E$495,5,FALSE)</f>
        <v>Ikan</v>
      </c>
      <c r="L255" s="1"/>
    </row>
    <row r="256" spans="1:12" ht="12" customHeight="1" x14ac:dyDescent="0.25">
      <c r="A256" s="15">
        <v>45254</v>
      </c>
      <c r="B256" s="16">
        <v>22302246</v>
      </c>
      <c r="C256" s="16" t="s">
        <v>390</v>
      </c>
      <c r="D256" s="16" t="str">
        <f>VLOOKUP(C256,[1]master_data!$A$2:$E$495,2,FALSE)</f>
        <v>CHANNA ASIATICA B</v>
      </c>
      <c r="E256" s="16">
        <v>4</v>
      </c>
      <c r="F256" s="16">
        <f>VLOOKUP(C256,[1]master_data!$A$2:$E$495,3,FALSE)</f>
        <v>40000</v>
      </c>
      <c r="G256" s="16">
        <f>VLOOKUP(C256,[1]master_data!$A$2:$E$495,4,FALSE)</f>
        <v>100000</v>
      </c>
      <c r="H256" s="16">
        <f>E256*F256</f>
        <v>160000</v>
      </c>
      <c r="I256" s="16">
        <f>E256*G256</f>
        <v>400000</v>
      </c>
      <c r="J256" s="16">
        <f>I256-H256</f>
        <v>240000</v>
      </c>
      <c r="K256" s="16" t="str">
        <f>VLOOKUP(C256,[1]master_data!$A$2:$E$495,5,FALSE)</f>
        <v>Ikan</v>
      </c>
      <c r="L256" s="1"/>
    </row>
    <row r="257" spans="1:12" ht="12" customHeight="1" x14ac:dyDescent="0.25">
      <c r="A257" s="15">
        <v>45254</v>
      </c>
      <c r="B257" s="16">
        <v>22302247</v>
      </c>
      <c r="C257" s="16" t="s">
        <v>401</v>
      </c>
      <c r="D257" s="16" t="str">
        <f>VLOOKUP(C257,[1]master_data!$A$2:$E$495,2,FALSE)</f>
        <v>CHANNA BLUE PULCHRA K</v>
      </c>
      <c r="E257" s="16">
        <v>2</v>
      </c>
      <c r="F257" s="16">
        <f>VLOOKUP(C257,[1]master_data!$A$2:$E$495,3,FALSE)</f>
        <v>25000</v>
      </c>
      <c r="G257" s="16">
        <f>VLOOKUP(C257,[1]master_data!$A$2:$E$495,4,FALSE)</f>
        <v>50000</v>
      </c>
      <c r="H257" s="16">
        <f>E257*F257</f>
        <v>50000</v>
      </c>
      <c r="I257" s="16">
        <f>E257*G257</f>
        <v>100000</v>
      </c>
      <c r="J257" s="16">
        <f>I257-H257</f>
        <v>50000</v>
      </c>
      <c r="K257" s="16" t="str">
        <f>VLOOKUP(C257,[1]master_data!$A$2:$E$495,5,FALSE)</f>
        <v>Ikan</v>
      </c>
      <c r="L257" s="1"/>
    </row>
    <row r="258" spans="1:12" ht="12" customHeight="1" x14ac:dyDescent="0.25">
      <c r="A258" s="15">
        <v>45254</v>
      </c>
      <c r="B258" s="16">
        <v>22302248</v>
      </c>
      <c r="C258" s="16" t="s">
        <v>407</v>
      </c>
      <c r="D258" s="16" t="str">
        <f>VLOOKUP(C258,[1]master_data!$A$2:$E$495,2,FALSE)</f>
        <v>GOLD FISH</v>
      </c>
      <c r="E258" s="16">
        <v>8</v>
      </c>
      <c r="F258" s="16">
        <f>VLOOKUP(C258,[1]master_data!$A$2:$E$495,3,FALSE)</f>
        <v>800</v>
      </c>
      <c r="G258" s="16">
        <f>VLOOKUP(C258,[1]master_data!$A$2:$E$495,4,FALSE)</f>
        <v>2000</v>
      </c>
      <c r="H258" s="16">
        <f>E258*F258</f>
        <v>6400</v>
      </c>
      <c r="I258" s="16">
        <f>E258*G258</f>
        <v>16000</v>
      </c>
      <c r="J258" s="16">
        <f>I258-H258</f>
        <v>9600</v>
      </c>
      <c r="K258" s="16" t="str">
        <f>VLOOKUP(C258,[1]master_data!$A$2:$E$495,5,FALSE)</f>
        <v>Ikan</v>
      </c>
      <c r="L258" s="1"/>
    </row>
    <row r="259" spans="1:12" ht="12" customHeight="1" x14ac:dyDescent="0.25">
      <c r="A259" s="15">
        <v>45254</v>
      </c>
      <c r="B259" s="16">
        <v>22302249</v>
      </c>
      <c r="C259" s="16" t="s">
        <v>445</v>
      </c>
      <c r="D259" s="16" t="str">
        <f>VLOOKUP(C259,[1]master_data!$A$2:$E$495,2,FALSE)</f>
        <v>REDFIN ALBINO</v>
      </c>
      <c r="E259" s="16">
        <v>100</v>
      </c>
      <c r="F259" s="16">
        <f>VLOOKUP(C259,[1]master_data!$A$2:$E$495,3,FALSE)</f>
        <v>1500</v>
      </c>
      <c r="G259" s="16">
        <f>VLOOKUP(C259,[1]master_data!$A$2:$E$495,4,FALSE)</f>
        <v>4000</v>
      </c>
      <c r="H259" s="16">
        <f>E259*F259</f>
        <v>150000</v>
      </c>
      <c r="I259" s="16">
        <f>E259*G259</f>
        <v>400000</v>
      </c>
      <c r="J259" s="16">
        <f>I259-H259</f>
        <v>250000</v>
      </c>
      <c r="K259" s="16" t="str">
        <f>VLOOKUP(C259,[1]master_data!$A$2:$E$495,5,FALSE)</f>
        <v>Ikan</v>
      </c>
      <c r="L259" s="1"/>
    </row>
    <row r="260" spans="1:12" ht="12" customHeight="1" x14ac:dyDescent="0.25">
      <c r="A260" s="15">
        <v>45253</v>
      </c>
      <c r="B260" s="16">
        <v>22302238</v>
      </c>
      <c r="C260" s="16" t="s">
        <v>400</v>
      </c>
      <c r="D260" s="16" t="str">
        <f>VLOOKUP(C260,[1]master_data!$A$2:$E$495,2,FALSE)</f>
        <v>BLACK GHOST</v>
      </c>
      <c r="E260" s="16">
        <v>15</v>
      </c>
      <c r="F260" s="16">
        <f>VLOOKUP(C260,[1]master_data!$A$2:$E$495,3,FALSE)</f>
        <v>4000</v>
      </c>
      <c r="G260" s="16">
        <f>VLOOKUP(C260,[1]master_data!$A$2:$E$495,4,FALSE)</f>
        <v>10000</v>
      </c>
      <c r="H260" s="16">
        <f>E260*F260</f>
        <v>60000</v>
      </c>
      <c r="I260" s="16">
        <f>E260*G260</f>
        <v>150000</v>
      </c>
      <c r="J260" s="16">
        <f>I260-H260</f>
        <v>90000</v>
      </c>
      <c r="K260" s="16" t="str">
        <f>VLOOKUP(C260,[1]master_data!$A$2:$E$495,5,FALSE)</f>
        <v>Ikan</v>
      </c>
      <c r="L260" s="1"/>
    </row>
    <row r="261" spans="1:12" ht="12" customHeight="1" x14ac:dyDescent="0.25">
      <c r="A261" s="15">
        <v>45253</v>
      </c>
      <c r="B261" s="16">
        <v>22302239</v>
      </c>
      <c r="C261" s="16" t="s">
        <v>440</v>
      </c>
      <c r="D261" s="16" t="str">
        <f>VLOOKUP(C261,[1]master_data!$A$2:$E$495,2,FALSE)</f>
        <v>PEMBERSIH KACA ALBINO</v>
      </c>
      <c r="E261" s="16">
        <v>15</v>
      </c>
      <c r="F261" s="16">
        <f>VLOOKUP(C261,[1]master_data!$A$2:$E$495,3,FALSE)</f>
        <v>2500</v>
      </c>
      <c r="G261" s="16">
        <f>VLOOKUP(C261,[1]master_data!$A$2:$E$495,4,FALSE)</f>
        <v>5000</v>
      </c>
      <c r="H261" s="16">
        <f>E261*F261</f>
        <v>37500</v>
      </c>
      <c r="I261" s="16">
        <f>E261*G261</f>
        <v>75000</v>
      </c>
      <c r="J261" s="16">
        <f>I261-H261</f>
        <v>37500</v>
      </c>
      <c r="K261" s="16" t="str">
        <f>VLOOKUP(C261,[1]master_data!$A$2:$E$495,5,FALSE)</f>
        <v>Ikan</v>
      </c>
      <c r="L261" s="1"/>
    </row>
    <row r="262" spans="1:12" ht="12" customHeight="1" x14ac:dyDescent="0.25">
      <c r="A262" s="15">
        <v>45253</v>
      </c>
      <c r="B262" s="16">
        <v>22302240</v>
      </c>
      <c r="C262" s="16" t="s">
        <v>392</v>
      </c>
      <c r="D262" s="16" t="str">
        <f>VLOOKUP(C262,[1]master_data!$A$2:$E$495,2,FALSE)</f>
        <v>ARWANA SILVER K</v>
      </c>
      <c r="E262" s="16">
        <v>1</v>
      </c>
      <c r="F262" s="16">
        <f>VLOOKUP(C262,[1]master_data!$A$2:$E$495,3,FALSE)</f>
        <v>100000</v>
      </c>
      <c r="G262" s="16">
        <f>VLOOKUP(C262,[1]master_data!$A$2:$E$495,4,FALSE)</f>
        <v>200000</v>
      </c>
      <c r="H262" s="16">
        <f>E262*F262</f>
        <v>100000</v>
      </c>
      <c r="I262" s="16">
        <f>E262*G262</f>
        <v>200000</v>
      </c>
      <c r="J262" s="16">
        <f>I262-H262</f>
        <v>100000</v>
      </c>
      <c r="K262" s="16" t="str">
        <f>VLOOKUP(C262,[1]master_data!$A$2:$E$495,5,FALSE)</f>
        <v>Ikan</v>
      </c>
      <c r="L262" s="1"/>
    </row>
    <row r="263" spans="1:12" ht="12" customHeight="1" x14ac:dyDescent="0.25">
      <c r="A263" s="15">
        <v>45253</v>
      </c>
      <c r="B263" s="16">
        <v>22302241</v>
      </c>
      <c r="C263" s="16" t="s">
        <v>158</v>
      </c>
      <c r="D263" s="16" t="str">
        <f>VLOOKUP(C263,[1]master_data!$A$2:$E$495,2,FALSE)</f>
        <v>LED KANDILA PRO RED 40 CM</v>
      </c>
      <c r="E263" s="16">
        <v>2</v>
      </c>
      <c r="F263" s="16">
        <f>VLOOKUP(C263,[1]master_data!$A$2:$E$495,3,FALSE)</f>
        <v>120000</v>
      </c>
      <c r="G263" s="16">
        <f>VLOOKUP(C263,[1]master_data!$A$2:$E$495,4,FALSE)</f>
        <v>160000</v>
      </c>
      <c r="H263" s="16">
        <f>E263*F263</f>
        <v>240000</v>
      </c>
      <c r="I263" s="16">
        <f>E263*G263</f>
        <v>320000</v>
      </c>
      <c r="J263" s="16">
        <f>I263-H263</f>
        <v>80000</v>
      </c>
      <c r="K263" s="16" t="str">
        <f>VLOOKUP(C263,[1]master_data!$A$2:$E$495,5,FALSE)</f>
        <v>Aksesoris</v>
      </c>
      <c r="L263" s="1"/>
    </row>
    <row r="264" spans="1:12" ht="12" customHeight="1" x14ac:dyDescent="0.25">
      <c r="A264" s="15">
        <v>45253</v>
      </c>
      <c r="B264" s="16">
        <v>22302242</v>
      </c>
      <c r="C264" s="16" t="s">
        <v>419</v>
      </c>
      <c r="D264" s="16" t="str">
        <f>VLOOKUP(C264,[1]master_data!$A$2:$E$495,2,FALSE)</f>
        <v>KOMET PAKAN</v>
      </c>
      <c r="E264" s="16">
        <v>75</v>
      </c>
      <c r="F264" s="16">
        <f>VLOOKUP(C264,[1]master_data!$A$2:$E$495,3,FALSE)</f>
        <v>300</v>
      </c>
      <c r="G264" s="16">
        <f>VLOOKUP(C264,[1]master_data!$A$2:$E$495,4,FALSE)</f>
        <v>1000</v>
      </c>
      <c r="H264" s="16">
        <f>E264*F264</f>
        <v>22500</v>
      </c>
      <c r="I264" s="16">
        <f>E264*G264</f>
        <v>75000</v>
      </c>
      <c r="J264" s="16">
        <f>I264-H264</f>
        <v>52500</v>
      </c>
      <c r="K264" s="16" t="str">
        <f>VLOOKUP(C264,[1]master_data!$A$2:$E$495,5,FALSE)</f>
        <v>Ikan</v>
      </c>
      <c r="L264" s="1"/>
    </row>
    <row r="265" spans="1:12" ht="12" customHeight="1" x14ac:dyDescent="0.25">
      <c r="A265" s="15">
        <v>45253</v>
      </c>
      <c r="B265" s="16">
        <v>22302243</v>
      </c>
      <c r="C265" s="16" t="s">
        <v>302</v>
      </c>
      <c r="D265" s="16" t="str">
        <f>VLOOKUP(C265,[1]master_data!$A$2:$E$495,2,FALSE)</f>
        <v>PIPA LONJOR 2 M</v>
      </c>
      <c r="E265" s="16">
        <v>15</v>
      </c>
      <c r="F265" s="16">
        <f>VLOOKUP(C265,[1]master_data!$A$2:$E$495,3,FALSE)</f>
        <v>5000</v>
      </c>
      <c r="G265" s="16">
        <f>VLOOKUP(C265,[1]master_data!$A$2:$E$495,4,FALSE)</f>
        <v>10000</v>
      </c>
      <c r="H265" s="16">
        <f>E265*F265</f>
        <v>75000</v>
      </c>
      <c r="I265" s="16">
        <f>E265*G265</f>
        <v>150000</v>
      </c>
      <c r="J265" s="16">
        <f>I265-H265</f>
        <v>75000</v>
      </c>
      <c r="K265" s="16" t="str">
        <f>VLOOKUP(C265,[1]master_data!$A$2:$E$495,5,FALSE)</f>
        <v>Aksesoris</v>
      </c>
      <c r="L265" s="1"/>
    </row>
    <row r="266" spans="1:12" ht="12" customHeight="1" x14ac:dyDescent="0.25">
      <c r="A266" s="15">
        <v>45253</v>
      </c>
      <c r="B266" s="16">
        <v>22302244</v>
      </c>
      <c r="C266" s="16" t="s">
        <v>401</v>
      </c>
      <c r="D266" s="16" t="str">
        <f>VLOOKUP(C266,[1]master_data!$A$2:$E$495,2,FALSE)</f>
        <v>CHANNA BLUE PULCHRA K</v>
      </c>
      <c r="E266" s="16">
        <v>2</v>
      </c>
      <c r="F266" s="16">
        <f>VLOOKUP(C266,[1]master_data!$A$2:$E$495,3,FALSE)</f>
        <v>25000</v>
      </c>
      <c r="G266" s="16">
        <f>VLOOKUP(C266,[1]master_data!$A$2:$E$495,4,FALSE)</f>
        <v>50000</v>
      </c>
      <c r="H266" s="16">
        <f>E266*F266</f>
        <v>50000</v>
      </c>
      <c r="I266" s="16">
        <f>E266*G266</f>
        <v>100000</v>
      </c>
      <c r="J266" s="16">
        <f>I266-H266</f>
        <v>50000</v>
      </c>
      <c r="K266" s="16" t="str">
        <f>VLOOKUP(C266,[1]master_data!$A$2:$E$495,5,FALSE)</f>
        <v>Ikan</v>
      </c>
      <c r="L266" s="1"/>
    </row>
    <row r="267" spans="1:12" ht="12" customHeight="1" x14ac:dyDescent="0.25">
      <c r="A267" s="15">
        <v>45252</v>
      </c>
      <c r="B267" s="16">
        <v>22302229</v>
      </c>
      <c r="C267" s="16" t="s">
        <v>92</v>
      </c>
      <c r="D267" s="16" t="str">
        <f>VLOOKUP(C267,[1]master_data!$A$2:$E$495,2,FALSE)</f>
        <v>MESIN SOBO B 12000</v>
      </c>
      <c r="E267" s="16">
        <v>1</v>
      </c>
      <c r="F267" s="16">
        <f>VLOOKUP(C267,[1]master_data!$A$2:$E$495,3,FALSE)</f>
        <v>597000</v>
      </c>
      <c r="G267" s="16">
        <f>VLOOKUP(C267,[1]master_data!$A$2:$E$495,4,FALSE)</f>
        <v>770000</v>
      </c>
      <c r="H267" s="16">
        <f>E267*F267</f>
        <v>597000</v>
      </c>
      <c r="I267" s="16">
        <f>E267*G267</f>
        <v>770000</v>
      </c>
      <c r="J267" s="16">
        <f>I267-H267</f>
        <v>173000</v>
      </c>
      <c r="K267" s="16" t="str">
        <f>VLOOKUP(C267,[1]master_data!$A$2:$E$495,5,FALSE)</f>
        <v>Aksesoris</v>
      </c>
      <c r="L267" s="1"/>
    </row>
    <row r="268" spans="1:12" ht="12" customHeight="1" x14ac:dyDescent="0.25">
      <c r="A268" s="15">
        <v>45252</v>
      </c>
      <c r="B268" s="16">
        <v>22302230</v>
      </c>
      <c r="C268" s="16" t="s">
        <v>457</v>
      </c>
      <c r="D268" s="16" t="str">
        <f>VLOOKUP(C268,[1]master_data!$A$2:$E$495,2,FALSE)</f>
        <v>ZEBRA UNGU</v>
      </c>
      <c r="E268" s="16">
        <v>25</v>
      </c>
      <c r="F268" s="16">
        <f>VLOOKUP(C268,[1]master_data!$A$2:$E$495,3,FALSE)</f>
        <v>800</v>
      </c>
      <c r="G268" s="16">
        <f>VLOOKUP(C268,[1]master_data!$A$2:$E$495,4,FALSE)</f>
        <v>2000</v>
      </c>
      <c r="H268" s="16">
        <f>E268*F268</f>
        <v>20000</v>
      </c>
      <c r="I268" s="16">
        <f>E268*G268</f>
        <v>50000</v>
      </c>
      <c r="J268" s="16">
        <f>I268-H268</f>
        <v>30000</v>
      </c>
      <c r="K268" s="16" t="str">
        <f>VLOOKUP(C268,[1]master_data!$A$2:$E$495,5,FALSE)</f>
        <v>Ikan</v>
      </c>
      <c r="L268" s="1"/>
    </row>
    <row r="269" spans="1:12" ht="12" customHeight="1" x14ac:dyDescent="0.25">
      <c r="A269" s="15">
        <v>45252</v>
      </c>
      <c r="B269" s="16">
        <v>22302231</v>
      </c>
      <c r="C269" s="16" t="s">
        <v>448</v>
      </c>
      <c r="D269" s="16" t="str">
        <f>VLOOKUP(C269,[1]master_data!$A$2:$E$495,2,FALSE)</f>
        <v>SUMATRA BIASA</v>
      </c>
      <c r="E269" s="16">
        <v>20</v>
      </c>
      <c r="F269" s="16">
        <f>VLOOKUP(C269,[1]master_data!$A$2:$E$495,3,FALSE)</f>
        <v>800</v>
      </c>
      <c r="G269" s="16">
        <f>VLOOKUP(C269,[1]master_data!$A$2:$E$495,4,FALSE)</f>
        <v>2000</v>
      </c>
      <c r="H269" s="16">
        <f>E269*F269</f>
        <v>16000</v>
      </c>
      <c r="I269" s="16">
        <f>E269*G269</f>
        <v>40000</v>
      </c>
      <c r="J269" s="16">
        <f>I269-H269</f>
        <v>24000</v>
      </c>
      <c r="K269" s="16" t="str">
        <f>VLOOKUP(C269,[1]master_data!$A$2:$E$495,5,FALSE)</f>
        <v>Ikan</v>
      </c>
      <c r="L269" s="1"/>
    </row>
    <row r="270" spans="1:12" ht="12" customHeight="1" x14ac:dyDescent="0.25">
      <c r="A270" s="15">
        <v>45252</v>
      </c>
      <c r="B270" s="16">
        <v>22302232</v>
      </c>
      <c r="C270" s="16" t="s">
        <v>435</v>
      </c>
      <c r="D270" s="16" t="str">
        <f>VLOOKUP(C270,[1]master_data!$A$2:$E$495,2,FALSE)</f>
        <v>RED EYE TETRA</v>
      </c>
      <c r="E270" s="16">
        <v>30</v>
      </c>
      <c r="F270" s="16">
        <f>VLOOKUP(C270,[1]master_data!$A$2:$E$495,3,FALSE)</f>
        <v>900</v>
      </c>
      <c r="G270" s="16">
        <f>VLOOKUP(C270,[1]master_data!$A$2:$E$495,4,FALSE)</f>
        <v>2000</v>
      </c>
      <c r="H270" s="16">
        <f>E270*F270</f>
        <v>27000</v>
      </c>
      <c r="I270" s="16">
        <f>E270*G270</f>
        <v>60000</v>
      </c>
      <c r="J270" s="16">
        <f>I270-H270</f>
        <v>33000</v>
      </c>
      <c r="K270" s="16" t="str">
        <f>VLOOKUP(C270,[1]master_data!$A$2:$E$495,5,FALSE)</f>
        <v>Ikan</v>
      </c>
      <c r="L270" s="1"/>
    </row>
    <row r="271" spans="1:12" ht="12" customHeight="1" x14ac:dyDescent="0.25">
      <c r="A271" s="15">
        <v>45252</v>
      </c>
      <c r="B271" s="16">
        <v>22302233</v>
      </c>
      <c r="C271" s="16" t="s">
        <v>440</v>
      </c>
      <c r="D271" s="16" t="str">
        <f>VLOOKUP(C271,[1]master_data!$A$2:$E$495,2,FALSE)</f>
        <v>PEMBERSIH KACA ALBINO</v>
      </c>
      <c r="E271" s="16">
        <v>20</v>
      </c>
      <c r="F271" s="16">
        <f>VLOOKUP(C271,[1]master_data!$A$2:$E$495,3,FALSE)</f>
        <v>2500</v>
      </c>
      <c r="G271" s="16">
        <f>VLOOKUP(C271,[1]master_data!$A$2:$E$495,4,FALSE)</f>
        <v>5000</v>
      </c>
      <c r="H271" s="16">
        <f>E271*F271</f>
        <v>50000</v>
      </c>
      <c r="I271" s="16">
        <f>E271*G271</f>
        <v>100000</v>
      </c>
      <c r="J271" s="16">
        <f>I271-H271</f>
        <v>50000</v>
      </c>
      <c r="K271" s="16" t="str">
        <f>VLOOKUP(C271,[1]master_data!$A$2:$E$495,5,FALSE)</f>
        <v>Ikan</v>
      </c>
      <c r="L271" s="1"/>
    </row>
    <row r="272" spans="1:12" ht="12" customHeight="1" x14ac:dyDescent="0.25">
      <c r="A272" s="15">
        <v>45252</v>
      </c>
      <c r="B272" s="16">
        <v>22302234</v>
      </c>
      <c r="C272" s="16" t="s">
        <v>366</v>
      </c>
      <c r="D272" s="16" t="str">
        <f>VLOOKUP(C272,[1]master_data!$A$2:$E$495,2,FALSE)</f>
        <v>TUTUP AKUARIUM M</v>
      </c>
      <c r="E272" s="16">
        <v>5</v>
      </c>
      <c r="F272" s="16">
        <f>VLOOKUP(C272,[1]master_data!$A$2:$E$495,3,FALSE)</f>
        <v>25000</v>
      </c>
      <c r="G272" s="16">
        <f>VLOOKUP(C272,[1]master_data!$A$2:$E$495,4,FALSE)</f>
        <v>35000</v>
      </c>
      <c r="H272" s="16">
        <f>E272*F272</f>
        <v>125000</v>
      </c>
      <c r="I272" s="16">
        <f>E272*G272</f>
        <v>175000</v>
      </c>
      <c r="J272" s="16">
        <f>I272-H272</f>
        <v>50000</v>
      </c>
      <c r="K272" s="16" t="str">
        <f>VLOOKUP(C272,[1]master_data!$A$2:$E$495,5,FALSE)</f>
        <v>Aksesoris</v>
      </c>
      <c r="L272" s="1"/>
    </row>
    <row r="273" spans="1:12" ht="12" customHeight="1" x14ac:dyDescent="0.25">
      <c r="A273" s="15">
        <v>45252</v>
      </c>
      <c r="B273" s="16">
        <v>22302235</v>
      </c>
      <c r="C273" s="16" t="s">
        <v>407</v>
      </c>
      <c r="D273" s="16" t="str">
        <f>VLOOKUP(C273,[1]master_data!$A$2:$E$495,2,FALSE)</f>
        <v>GOLD FISH</v>
      </c>
      <c r="E273" s="16">
        <v>20</v>
      </c>
      <c r="F273" s="16">
        <f>VLOOKUP(C273,[1]master_data!$A$2:$E$495,3,FALSE)</f>
        <v>800</v>
      </c>
      <c r="G273" s="16">
        <f>VLOOKUP(C273,[1]master_data!$A$2:$E$495,4,FALSE)</f>
        <v>2000</v>
      </c>
      <c r="H273" s="16">
        <f>E273*F273</f>
        <v>16000</v>
      </c>
      <c r="I273" s="16">
        <f>E273*G273</f>
        <v>40000</v>
      </c>
      <c r="J273" s="16">
        <f>I273-H273</f>
        <v>24000</v>
      </c>
      <c r="K273" s="16" t="str">
        <f>VLOOKUP(C273,[1]master_data!$A$2:$E$495,5,FALSE)</f>
        <v>Ikan</v>
      </c>
      <c r="L273" s="1"/>
    </row>
    <row r="274" spans="1:12" ht="12" customHeight="1" x14ac:dyDescent="0.25">
      <c r="A274" s="15">
        <v>45252</v>
      </c>
      <c r="B274" s="16">
        <v>22302236</v>
      </c>
      <c r="C274" s="16" t="s">
        <v>79</v>
      </c>
      <c r="D274" s="16" t="str">
        <f>VLOOKUP(C274,[1]master_data!$A$2:$E$495,2,FALSE)</f>
        <v>MESIN KIYOSAKI 1600</v>
      </c>
      <c r="E274" s="16">
        <v>2</v>
      </c>
      <c r="F274" s="16">
        <f>VLOOKUP(C274,[1]master_data!$A$2:$E$495,3,FALSE)</f>
        <v>35000</v>
      </c>
      <c r="G274" s="16">
        <f>VLOOKUP(C274,[1]master_data!$A$2:$E$495,4,FALSE)</f>
        <v>65000</v>
      </c>
      <c r="H274" s="16">
        <f>E274*F274</f>
        <v>70000</v>
      </c>
      <c r="I274" s="16">
        <f>E274*G274</f>
        <v>130000</v>
      </c>
      <c r="J274" s="16">
        <f>I274-H274</f>
        <v>60000</v>
      </c>
      <c r="K274" s="16" t="str">
        <f>VLOOKUP(C274,[1]master_data!$A$2:$E$495,5,FALSE)</f>
        <v>Aksesoris</v>
      </c>
      <c r="L274" s="1"/>
    </row>
    <row r="275" spans="1:12" ht="12" customHeight="1" x14ac:dyDescent="0.25">
      <c r="A275" s="15">
        <v>45252</v>
      </c>
      <c r="B275" s="16">
        <v>22302237</v>
      </c>
      <c r="C275" s="16" t="s">
        <v>433</v>
      </c>
      <c r="D275" s="16" t="str">
        <f>VLOOKUP(C275,[1]master_data!$A$2:$E$495,2,FALSE)</f>
        <v>MOLI BALON</v>
      </c>
      <c r="E275" s="16">
        <v>5</v>
      </c>
      <c r="F275" s="16">
        <f>VLOOKUP(C275,[1]master_data!$A$2:$E$495,3,FALSE)</f>
        <v>800</v>
      </c>
      <c r="G275" s="16">
        <f>VLOOKUP(C275,[1]master_data!$A$2:$E$495,4,FALSE)</f>
        <v>2000</v>
      </c>
      <c r="H275" s="16">
        <f>E275*F275</f>
        <v>4000</v>
      </c>
      <c r="I275" s="16">
        <f>E275*G275</f>
        <v>10000</v>
      </c>
      <c r="J275" s="16">
        <f>I275-H275</f>
        <v>6000</v>
      </c>
      <c r="K275" s="16" t="str">
        <f>VLOOKUP(C275,[1]master_data!$A$2:$E$495,5,FALSE)</f>
        <v>Ikan</v>
      </c>
      <c r="L275" s="1"/>
    </row>
    <row r="276" spans="1:12" ht="12" customHeight="1" x14ac:dyDescent="0.25">
      <c r="A276" s="15">
        <v>45251</v>
      </c>
      <c r="B276" s="16">
        <v>22302225</v>
      </c>
      <c r="C276" s="16" t="s">
        <v>390</v>
      </c>
      <c r="D276" s="16" t="str">
        <f>VLOOKUP(C276,[1]master_data!$A$2:$E$495,2,FALSE)</f>
        <v>CHANNA ASIATICA B</v>
      </c>
      <c r="E276" s="16">
        <v>5</v>
      </c>
      <c r="F276" s="16">
        <f>VLOOKUP(C276,[1]master_data!$A$2:$E$495,3,FALSE)</f>
        <v>40000</v>
      </c>
      <c r="G276" s="16">
        <f>VLOOKUP(C276,[1]master_data!$A$2:$E$495,4,FALSE)</f>
        <v>100000</v>
      </c>
      <c r="H276" s="16">
        <f>E276*F276</f>
        <v>200000</v>
      </c>
      <c r="I276" s="16">
        <f>E276*G276</f>
        <v>500000</v>
      </c>
      <c r="J276" s="16">
        <f>I276-H276</f>
        <v>300000</v>
      </c>
      <c r="K276" s="16" t="str">
        <f>VLOOKUP(C276,[1]master_data!$A$2:$E$495,5,FALSE)</f>
        <v>Ikan</v>
      </c>
      <c r="L276" s="1"/>
    </row>
    <row r="277" spans="1:12" ht="12" customHeight="1" x14ac:dyDescent="0.25">
      <c r="A277" s="15">
        <v>45251</v>
      </c>
      <c r="B277" s="16">
        <v>22302226</v>
      </c>
      <c r="C277" s="16" t="s">
        <v>125</v>
      </c>
      <c r="D277" s="16" t="str">
        <f>VLOOKUP(C277,[1]master_data!$A$2:$E$495,2,FALSE)</f>
        <v>LAMPU YAMANO UV 7W</v>
      </c>
      <c r="E277" s="16">
        <v>8</v>
      </c>
      <c r="F277" s="16">
        <f>VLOOKUP(C277,[1]master_data!$A$2:$E$495,3,FALSE)</f>
        <v>63000</v>
      </c>
      <c r="G277" s="16">
        <f>VLOOKUP(C277,[1]master_data!$A$2:$E$495,4,FALSE)</f>
        <v>80000</v>
      </c>
      <c r="H277" s="16">
        <f>E277*F277</f>
        <v>504000</v>
      </c>
      <c r="I277" s="16">
        <f>E277*G277</f>
        <v>640000</v>
      </c>
      <c r="J277" s="16">
        <f>I277-H277</f>
        <v>136000</v>
      </c>
      <c r="K277" s="16" t="str">
        <f>VLOOKUP(C277,[1]master_data!$A$2:$E$495,5,FALSE)</f>
        <v>Aksesoris</v>
      </c>
      <c r="L277" s="1"/>
    </row>
    <row r="278" spans="1:12" ht="12" customHeight="1" x14ac:dyDescent="0.25">
      <c r="A278" s="15">
        <v>45251</v>
      </c>
      <c r="B278" s="16">
        <v>22302227</v>
      </c>
      <c r="C278" s="16" t="s">
        <v>439</v>
      </c>
      <c r="D278" s="16" t="str">
        <f>VLOOKUP(C278,[1]master_data!$A$2:$E$495,2,FALSE)</f>
        <v>PEMBERSIH KACA BIASA</v>
      </c>
      <c r="E278" s="16">
        <v>4</v>
      </c>
      <c r="F278" s="16">
        <f>VLOOKUP(C278,[1]master_data!$A$2:$E$495,3,FALSE)</f>
        <v>2000</v>
      </c>
      <c r="G278" s="16">
        <f>VLOOKUP(C278,[1]master_data!$A$2:$E$495,4,FALSE)</f>
        <v>5000</v>
      </c>
      <c r="H278" s="16">
        <f>E278*F278</f>
        <v>8000</v>
      </c>
      <c r="I278" s="16">
        <f>E278*G278</f>
        <v>20000</v>
      </c>
      <c r="J278" s="16">
        <f>I278-H278</f>
        <v>12000</v>
      </c>
      <c r="K278" s="16" t="str">
        <f>VLOOKUP(C278,[1]master_data!$A$2:$E$495,5,FALSE)</f>
        <v>Ikan</v>
      </c>
      <c r="L278" s="1"/>
    </row>
    <row r="279" spans="1:12" ht="12" customHeight="1" x14ac:dyDescent="0.25">
      <c r="A279" s="15">
        <v>45251</v>
      </c>
      <c r="B279" s="16">
        <v>22302228</v>
      </c>
      <c r="C279" s="16" t="s">
        <v>459</v>
      </c>
      <c r="D279" s="16" t="str">
        <f>VLOOKUP(C279,[1]master_data!$A$2:$E$495,2,FALSE)</f>
        <v>SEPAT</v>
      </c>
      <c r="E279" s="16">
        <v>1</v>
      </c>
      <c r="F279" s="16">
        <f>VLOOKUP(C279,[1]master_data!$A$2:$E$495,3,FALSE)</f>
        <v>600</v>
      </c>
      <c r="G279" s="16">
        <f>VLOOKUP(C279,[1]master_data!$A$2:$E$495,4,FALSE)</f>
        <v>2000</v>
      </c>
      <c r="H279" s="16">
        <f>E279*F279</f>
        <v>600</v>
      </c>
      <c r="I279" s="16">
        <f>E279*G279</f>
        <v>2000</v>
      </c>
      <c r="J279" s="16">
        <f>I279-H279</f>
        <v>1400</v>
      </c>
      <c r="K279" s="16" t="str">
        <f>VLOOKUP(C279,[1]master_data!$A$2:$E$495,5,FALSE)</f>
        <v>Ikan</v>
      </c>
      <c r="L279" s="1"/>
    </row>
    <row r="280" spans="1:12" ht="12" customHeight="1" x14ac:dyDescent="0.25">
      <c r="A280" s="15">
        <v>45250</v>
      </c>
      <c r="B280" s="16">
        <v>22302213</v>
      </c>
      <c r="C280" s="16" t="s">
        <v>170</v>
      </c>
      <c r="D280" s="16" t="str">
        <f>VLOOKUP(C280,[1]master_data!$A$2:$E$495,2,FALSE)</f>
        <v>LED KIYOSAKI 3 MODE 100CM</v>
      </c>
      <c r="E280" s="16">
        <v>2</v>
      </c>
      <c r="F280" s="16">
        <f>VLOOKUP(C280,[1]master_data!$A$2:$E$495,3,FALSE)</f>
        <v>82000</v>
      </c>
      <c r="G280" s="16">
        <f>VLOOKUP(C280,[1]master_data!$A$2:$E$495,4,FALSE)</f>
        <v>120000</v>
      </c>
      <c r="H280" s="16">
        <f>E280*F280</f>
        <v>164000</v>
      </c>
      <c r="I280" s="16">
        <f>E280*G280</f>
        <v>240000</v>
      </c>
      <c r="J280" s="16">
        <f>I280-H280</f>
        <v>76000</v>
      </c>
      <c r="K280" s="16" t="str">
        <f>VLOOKUP(C280,[1]master_data!$A$2:$E$495,5,FALSE)</f>
        <v>Aksesoris</v>
      </c>
      <c r="L280" s="1"/>
    </row>
    <row r="281" spans="1:12" ht="12" customHeight="1" x14ac:dyDescent="0.25">
      <c r="A281" s="15">
        <v>45250</v>
      </c>
      <c r="B281" s="16">
        <v>22302214</v>
      </c>
      <c r="C281" s="16" t="s">
        <v>460</v>
      </c>
      <c r="D281" s="16" t="str">
        <f>VLOOKUP(C281,[1]master_data!$A$2:$E$495,2,FALSE)</f>
        <v>SEPAT ALBINO</v>
      </c>
      <c r="E281" s="16">
        <v>15</v>
      </c>
      <c r="F281" s="16">
        <f>VLOOKUP(C281,[1]master_data!$A$2:$E$495,3,FALSE)</f>
        <v>2000</v>
      </c>
      <c r="G281" s="16">
        <f>VLOOKUP(C281,[1]master_data!$A$2:$E$495,4,FALSE)</f>
        <v>5000</v>
      </c>
      <c r="H281" s="16">
        <f>E281*F281</f>
        <v>30000</v>
      </c>
      <c r="I281" s="16">
        <f>E281*G281</f>
        <v>75000</v>
      </c>
      <c r="J281" s="16">
        <f>I281-H281</f>
        <v>45000</v>
      </c>
      <c r="K281" s="16" t="str">
        <f>VLOOKUP(C281,[1]master_data!$A$2:$E$495,5,FALSE)</f>
        <v>Ikan</v>
      </c>
      <c r="L281" s="1"/>
    </row>
    <row r="282" spans="1:12" ht="12" customHeight="1" x14ac:dyDescent="0.25">
      <c r="A282" s="15">
        <v>45250</v>
      </c>
      <c r="B282" s="16">
        <v>22302215</v>
      </c>
      <c r="C282" s="16" t="s">
        <v>419</v>
      </c>
      <c r="D282" s="16" t="str">
        <f>VLOOKUP(C282,[1]master_data!$A$2:$E$495,2,FALSE)</f>
        <v>KOMET PAKAN</v>
      </c>
      <c r="E282" s="16">
        <v>60</v>
      </c>
      <c r="F282" s="16">
        <f>VLOOKUP(C282,[1]master_data!$A$2:$E$495,3,FALSE)</f>
        <v>300</v>
      </c>
      <c r="G282" s="16">
        <f>VLOOKUP(C282,[1]master_data!$A$2:$E$495,4,FALSE)</f>
        <v>1000</v>
      </c>
      <c r="H282" s="16">
        <f>E282*F282</f>
        <v>18000</v>
      </c>
      <c r="I282" s="16">
        <f>E282*G282</f>
        <v>60000</v>
      </c>
      <c r="J282" s="16">
        <f>I282-H282</f>
        <v>42000</v>
      </c>
      <c r="K282" s="16" t="str">
        <f>VLOOKUP(C282,[1]master_data!$A$2:$E$495,5,FALSE)</f>
        <v>Ikan</v>
      </c>
      <c r="L282" s="1"/>
    </row>
    <row r="283" spans="1:12" ht="12" customHeight="1" x14ac:dyDescent="0.25">
      <c r="A283" s="15">
        <v>45250</v>
      </c>
      <c r="B283" s="16">
        <v>22302216</v>
      </c>
      <c r="C283" s="16" t="s">
        <v>335</v>
      </c>
      <c r="D283" s="16" t="str">
        <f>VLOOKUP(C283,[1]master_data!$A$2:$E$495,2,FALSE)</f>
        <v>MAGNET 09</v>
      </c>
      <c r="E283" s="16">
        <v>1</v>
      </c>
      <c r="F283" s="16">
        <f>VLOOKUP(C283,[1]master_data!$A$2:$E$495,3,FALSE)</f>
        <v>58000</v>
      </c>
      <c r="G283" s="16">
        <f>VLOOKUP(C283,[1]master_data!$A$2:$E$495,4,FALSE)</f>
        <v>80000</v>
      </c>
      <c r="H283" s="16">
        <f>E283*F283</f>
        <v>58000</v>
      </c>
      <c r="I283" s="16">
        <f>E283*G283</f>
        <v>80000</v>
      </c>
      <c r="J283" s="16">
        <f>I283-H283</f>
        <v>22000</v>
      </c>
      <c r="K283" s="16" t="str">
        <f>VLOOKUP(C283,[1]master_data!$A$2:$E$495,5,FALSE)</f>
        <v>Aksesoris</v>
      </c>
      <c r="L283" s="1"/>
    </row>
    <row r="284" spans="1:12" ht="12" customHeight="1" x14ac:dyDescent="0.25">
      <c r="A284" s="15">
        <v>45250</v>
      </c>
      <c r="B284" s="16">
        <v>22302217</v>
      </c>
      <c r="C284" s="16" t="s">
        <v>345</v>
      </c>
      <c r="D284" s="16" t="str">
        <f>VLOOKUP(C284,[1]master_data!$A$2:$E$495,2,FALSE)</f>
        <v>AKUARIUM NIKITA M</v>
      </c>
      <c r="E284" s="16">
        <v>1</v>
      </c>
      <c r="F284" s="16">
        <f>VLOOKUP(C284,[1]master_data!$A$2:$E$495,3,FALSE)</f>
        <v>60000</v>
      </c>
      <c r="G284" s="16">
        <f>VLOOKUP(C284,[1]master_data!$A$2:$E$495,4,FALSE)</f>
        <v>110000</v>
      </c>
      <c r="H284" s="16">
        <f>E284*F284</f>
        <v>60000</v>
      </c>
      <c r="I284" s="16">
        <f>E284*G284</f>
        <v>110000</v>
      </c>
      <c r="J284" s="16">
        <f>I284-H284</f>
        <v>50000</v>
      </c>
      <c r="K284" s="16" t="str">
        <f>VLOOKUP(C284,[1]master_data!$A$2:$E$495,5,FALSE)</f>
        <v>Aksesoris</v>
      </c>
      <c r="L284" s="1"/>
    </row>
    <row r="285" spans="1:12" ht="12" customHeight="1" x14ac:dyDescent="0.25">
      <c r="A285" s="15">
        <v>45250</v>
      </c>
      <c r="B285" s="16">
        <v>22302218</v>
      </c>
      <c r="C285" s="16" t="s">
        <v>271</v>
      </c>
      <c r="D285" s="16" t="str">
        <f>VLOOKUP(C285,[1]master_data!$A$2:$E$495,2,FALSE)</f>
        <v>HEATER KACA 100 W</v>
      </c>
      <c r="E285" s="16">
        <v>1</v>
      </c>
      <c r="F285" s="16">
        <f>VLOOKUP(C285,[1]master_data!$A$2:$E$495,3,FALSE)</f>
        <v>33000</v>
      </c>
      <c r="G285" s="16">
        <f>VLOOKUP(C285,[1]master_data!$A$2:$E$495,4,FALSE)</f>
        <v>50000</v>
      </c>
      <c r="H285" s="16">
        <f>E285*F285</f>
        <v>33000</v>
      </c>
      <c r="I285" s="16">
        <f>E285*G285</f>
        <v>50000</v>
      </c>
      <c r="J285" s="16">
        <f>I285-H285</f>
        <v>17000</v>
      </c>
      <c r="K285" s="16" t="str">
        <f>VLOOKUP(C285,[1]master_data!$A$2:$E$495,5,FALSE)</f>
        <v>Aksesoris</v>
      </c>
      <c r="L285" s="1"/>
    </row>
    <row r="286" spans="1:12" ht="12" customHeight="1" x14ac:dyDescent="0.25">
      <c r="A286" s="15">
        <v>45250</v>
      </c>
      <c r="B286" s="16">
        <v>22302219</v>
      </c>
      <c r="C286" s="16" t="s">
        <v>401</v>
      </c>
      <c r="D286" s="16" t="str">
        <f>VLOOKUP(C286,[1]master_data!$A$2:$E$495,2,FALSE)</f>
        <v>CHANNA BLUE PULCHRA K</v>
      </c>
      <c r="E286" s="16">
        <v>2</v>
      </c>
      <c r="F286" s="16">
        <f>VLOOKUP(C286,[1]master_data!$A$2:$E$495,3,FALSE)</f>
        <v>25000</v>
      </c>
      <c r="G286" s="16">
        <f>VLOOKUP(C286,[1]master_data!$A$2:$E$495,4,FALSE)</f>
        <v>50000</v>
      </c>
      <c r="H286" s="16">
        <f>E286*F286</f>
        <v>50000</v>
      </c>
      <c r="I286" s="16">
        <f>E286*G286</f>
        <v>100000</v>
      </c>
      <c r="J286" s="16">
        <f>I286-H286</f>
        <v>50000</v>
      </c>
      <c r="K286" s="16" t="str">
        <f>VLOOKUP(C286,[1]master_data!$A$2:$E$495,5,FALSE)</f>
        <v>Ikan</v>
      </c>
      <c r="L286" s="1"/>
    </row>
    <row r="287" spans="1:12" ht="12" customHeight="1" x14ac:dyDescent="0.25">
      <c r="A287" s="15">
        <v>45250</v>
      </c>
      <c r="B287" s="16">
        <v>22302220</v>
      </c>
      <c r="C287" s="16" t="s">
        <v>327</v>
      </c>
      <c r="D287" s="16" t="str">
        <f>VLOOKUP(C287,[1]master_data!$A$2:$E$495,2,FALSE)</f>
        <v>AIRSTONE K</v>
      </c>
      <c r="E287" s="16">
        <v>15</v>
      </c>
      <c r="F287" s="16">
        <f>VLOOKUP(C287,[1]master_data!$A$2:$E$495,3,FALSE)</f>
        <v>850</v>
      </c>
      <c r="G287" s="16">
        <f>VLOOKUP(C287,[1]master_data!$A$2:$E$495,4,FALSE)</f>
        <v>3000</v>
      </c>
      <c r="H287" s="16">
        <f>E287*F287</f>
        <v>12750</v>
      </c>
      <c r="I287" s="16">
        <f>E287*G287</f>
        <v>45000</v>
      </c>
      <c r="J287" s="16">
        <f>I287-H287</f>
        <v>32250</v>
      </c>
      <c r="K287" s="16" t="str">
        <f>VLOOKUP(C287,[1]master_data!$A$2:$E$495,5,FALSE)</f>
        <v>Aksesoris</v>
      </c>
      <c r="L287" s="1"/>
    </row>
    <row r="288" spans="1:12" ht="12" customHeight="1" x14ac:dyDescent="0.25">
      <c r="A288" s="15">
        <v>45250</v>
      </c>
      <c r="B288" s="16">
        <v>22302221</v>
      </c>
      <c r="C288" s="16" t="s">
        <v>60</v>
      </c>
      <c r="D288" s="16" t="str">
        <f>VLOOKUP(C288,[1]master_data!$A$2:$E$495,2,FALSE)</f>
        <v>MESIN MARVIN 1200</v>
      </c>
      <c r="E288" s="16">
        <v>1</v>
      </c>
      <c r="F288" s="16">
        <f>VLOOKUP(C288,[1]master_data!$A$2:$E$495,3,FALSE)</f>
        <v>23000</v>
      </c>
      <c r="G288" s="16">
        <f>VLOOKUP(C288,[1]master_data!$A$2:$E$495,4,FALSE)</f>
        <v>35000</v>
      </c>
      <c r="H288" s="16">
        <f>E288*F288</f>
        <v>23000</v>
      </c>
      <c r="I288" s="16">
        <f>E288*G288</f>
        <v>35000</v>
      </c>
      <c r="J288" s="16">
        <f>I288-H288</f>
        <v>12000</v>
      </c>
      <c r="K288" s="16" t="str">
        <f>VLOOKUP(C288,[1]master_data!$A$2:$E$495,5,FALSE)</f>
        <v>Aksesoris</v>
      </c>
      <c r="L288" s="1"/>
    </row>
    <row r="289" spans="1:12" ht="12" customHeight="1" x14ac:dyDescent="0.25">
      <c r="A289" s="15">
        <v>45250</v>
      </c>
      <c r="B289" s="16">
        <v>22302222</v>
      </c>
      <c r="C289" s="16" t="s">
        <v>456</v>
      </c>
      <c r="D289" s="16" t="str">
        <f>VLOOKUP(C289,[1]master_data!$A$2:$E$495,2,FALSE)</f>
        <v>ZEBRA HIJAU</v>
      </c>
      <c r="E289" s="16">
        <v>20</v>
      </c>
      <c r="F289" s="16">
        <f>VLOOKUP(C289,[1]master_data!$A$2:$E$495,3,FALSE)</f>
        <v>800</v>
      </c>
      <c r="G289" s="16">
        <f>VLOOKUP(C289,[1]master_data!$A$2:$E$495,4,FALSE)</f>
        <v>2000</v>
      </c>
      <c r="H289" s="16">
        <f>E289*F289</f>
        <v>16000</v>
      </c>
      <c r="I289" s="16">
        <f>E289*G289</f>
        <v>40000</v>
      </c>
      <c r="J289" s="16">
        <f>I289-H289</f>
        <v>24000</v>
      </c>
      <c r="K289" s="16" t="str">
        <f>VLOOKUP(C289,[1]master_data!$A$2:$E$495,5,FALSE)</f>
        <v>Ikan</v>
      </c>
      <c r="L289" s="1"/>
    </row>
    <row r="290" spans="1:12" ht="12" customHeight="1" x14ac:dyDescent="0.25">
      <c r="A290" s="15">
        <v>45250</v>
      </c>
      <c r="B290" s="16">
        <v>22302223</v>
      </c>
      <c r="C290" s="16" t="s">
        <v>323</v>
      </c>
      <c r="D290" s="16" t="str">
        <f>VLOOKUP(C290,[1]master_data!$A$2:$E$495,2,FALSE)</f>
        <v>AIRSTONE PANJANG 6</v>
      </c>
      <c r="E290" s="16">
        <v>5</v>
      </c>
      <c r="F290" s="16">
        <f>VLOOKUP(C290,[1]master_data!$A$2:$E$495,3,FALSE)</f>
        <v>8000</v>
      </c>
      <c r="G290" s="16">
        <f>VLOOKUP(C290,[1]master_data!$A$2:$E$495,4,FALSE)</f>
        <v>12000</v>
      </c>
      <c r="H290" s="16">
        <f>E290*F290</f>
        <v>40000</v>
      </c>
      <c r="I290" s="16">
        <f>E290*G290</f>
        <v>60000</v>
      </c>
      <c r="J290" s="16">
        <f>I290-H290</f>
        <v>20000</v>
      </c>
      <c r="K290" s="16" t="str">
        <f>VLOOKUP(C290,[1]master_data!$A$2:$E$495,5,FALSE)</f>
        <v>Aksesoris</v>
      </c>
      <c r="L290" s="1"/>
    </row>
    <row r="291" spans="1:12" ht="12" customHeight="1" x14ac:dyDescent="0.25">
      <c r="A291" s="15">
        <v>45250</v>
      </c>
      <c r="B291" s="16">
        <v>22302224</v>
      </c>
      <c r="C291" s="16" t="s">
        <v>23</v>
      </c>
      <c r="D291" s="16" t="str">
        <f>VLOOKUP(C291,[1]master_data!$A$2:$E$495,2,FALSE)</f>
        <v>MESIN ROSTON 3900</v>
      </c>
      <c r="E291" s="16">
        <v>1</v>
      </c>
      <c r="F291" s="16">
        <f>VLOOKUP(C291,[1]master_data!$A$2:$E$495,3,FALSE)</f>
        <v>90000</v>
      </c>
      <c r="G291" s="16">
        <f>VLOOKUP(C291,[1]master_data!$A$2:$E$495,4,FALSE)</f>
        <v>150000</v>
      </c>
      <c r="H291" s="16">
        <f>E291*F291</f>
        <v>90000</v>
      </c>
      <c r="I291" s="16">
        <f>E291*G291</f>
        <v>150000</v>
      </c>
      <c r="J291" s="16">
        <f>I291-H291</f>
        <v>60000</v>
      </c>
      <c r="K291" s="16" t="str">
        <f>VLOOKUP(C291,[1]master_data!$A$2:$E$495,5,FALSE)</f>
        <v>Aksesoris</v>
      </c>
      <c r="L291" s="1"/>
    </row>
    <row r="292" spans="1:12" ht="12" customHeight="1" x14ac:dyDescent="0.25">
      <c r="A292" s="15">
        <v>45249</v>
      </c>
      <c r="B292" s="16">
        <v>22302202</v>
      </c>
      <c r="C292" s="16" t="s">
        <v>407</v>
      </c>
      <c r="D292" s="16" t="str">
        <f>VLOOKUP(C292,[1]master_data!$A$2:$E$495,2,FALSE)</f>
        <v>GOLD FISH</v>
      </c>
      <c r="E292" s="16">
        <v>20</v>
      </c>
      <c r="F292" s="16">
        <f>VLOOKUP(C292,[1]master_data!$A$2:$E$495,3,FALSE)</f>
        <v>800</v>
      </c>
      <c r="G292" s="16">
        <f>VLOOKUP(C292,[1]master_data!$A$2:$E$495,4,FALSE)</f>
        <v>2000</v>
      </c>
      <c r="H292" s="16">
        <f>E292*F292</f>
        <v>16000</v>
      </c>
      <c r="I292" s="16">
        <f>E292*G292</f>
        <v>40000</v>
      </c>
      <c r="J292" s="16">
        <f>I292-H292</f>
        <v>24000</v>
      </c>
      <c r="K292" s="16" t="str">
        <f>VLOOKUP(C292,[1]master_data!$A$2:$E$495,5,FALSE)</f>
        <v>Ikan</v>
      </c>
      <c r="L292" s="1"/>
    </row>
    <row r="293" spans="1:12" ht="12" customHeight="1" x14ac:dyDescent="0.25">
      <c r="A293" s="15">
        <v>45249</v>
      </c>
      <c r="B293" s="16">
        <v>22302203</v>
      </c>
      <c r="C293" s="16" t="s">
        <v>36</v>
      </c>
      <c r="D293" s="16" t="str">
        <f>VLOOKUP(C293,[1]master_data!$A$2:$E$495,2,FALSE)</f>
        <v>MESIN YAMANO ACT 3800</v>
      </c>
      <c r="E293" s="16">
        <v>1</v>
      </c>
      <c r="F293" s="16">
        <f>VLOOKUP(C293,[1]master_data!$A$2:$E$495,3,FALSE)</f>
        <v>400000</v>
      </c>
      <c r="G293" s="16">
        <f>VLOOKUP(C293,[1]master_data!$A$2:$E$495,4,FALSE)</f>
        <v>475000</v>
      </c>
      <c r="H293" s="16">
        <f>E293*F293</f>
        <v>400000</v>
      </c>
      <c r="I293" s="16">
        <f>E293*G293</f>
        <v>475000</v>
      </c>
      <c r="J293" s="16">
        <f>I293-H293</f>
        <v>75000</v>
      </c>
      <c r="K293" s="16" t="str">
        <f>VLOOKUP(C293,[1]master_data!$A$2:$E$495,5,FALSE)</f>
        <v>Aksesoris</v>
      </c>
      <c r="L293" s="1"/>
    </row>
    <row r="294" spans="1:12" ht="12" customHeight="1" x14ac:dyDescent="0.25">
      <c r="A294" s="15">
        <v>45249</v>
      </c>
      <c r="B294" s="16">
        <v>22302204</v>
      </c>
      <c r="C294" s="16" t="s">
        <v>435</v>
      </c>
      <c r="D294" s="16" t="str">
        <f>VLOOKUP(C294,[1]master_data!$A$2:$E$495,2,FALSE)</f>
        <v>RED EYE TETRA</v>
      </c>
      <c r="E294" s="16">
        <v>30</v>
      </c>
      <c r="F294" s="16">
        <f>VLOOKUP(C294,[1]master_data!$A$2:$E$495,3,FALSE)</f>
        <v>900</v>
      </c>
      <c r="G294" s="16">
        <f>VLOOKUP(C294,[1]master_data!$A$2:$E$495,4,FALSE)</f>
        <v>2000</v>
      </c>
      <c r="H294" s="16">
        <f>E294*F294</f>
        <v>27000</v>
      </c>
      <c r="I294" s="16">
        <f>E294*G294</f>
        <v>60000</v>
      </c>
      <c r="J294" s="16">
        <f>I294-H294</f>
        <v>33000</v>
      </c>
      <c r="K294" s="16" t="str">
        <f>VLOOKUP(C294,[1]master_data!$A$2:$E$495,5,FALSE)</f>
        <v>Ikan</v>
      </c>
      <c r="L294" s="1"/>
    </row>
    <row r="295" spans="1:12" ht="12" customHeight="1" x14ac:dyDescent="0.25">
      <c r="A295" s="15">
        <v>45249</v>
      </c>
      <c r="B295" s="16">
        <v>22302205</v>
      </c>
      <c r="C295" s="16" t="s">
        <v>456</v>
      </c>
      <c r="D295" s="16" t="str">
        <f>VLOOKUP(C295,[1]master_data!$A$2:$E$495,2,FALSE)</f>
        <v>ZEBRA HIJAU</v>
      </c>
      <c r="E295" s="16">
        <v>10</v>
      </c>
      <c r="F295" s="16">
        <f>VLOOKUP(C295,[1]master_data!$A$2:$E$495,3,FALSE)</f>
        <v>800</v>
      </c>
      <c r="G295" s="16">
        <f>VLOOKUP(C295,[1]master_data!$A$2:$E$495,4,FALSE)</f>
        <v>2000</v>
      </c>
      <c r="H295" s="16">
        <f>E295*F295</f>
        <v>8000</v>
      </c>
      <c r="I295" s="16">
        <f>E295*G295</f>
        <v>20000</v>
      </c>
      <c r="J295" s="16">
        <f>I295-H295</f>
        <v>12000</v>
      </c>
      <c r="K295" s="16" t="str">
        <f>VLOOKUP(C295,[1]master_data!$A$2:$E$495,5,FALSE)</f>
        <v>Ikan</v>
      </c>
      <c r="L295" s="1"/>
    </row>
    <row r="296" spans="1:12" ht="12" customHeight="1" x14ac:dyDescent="0.25">
      <c r="A296" s="15">
        <v>45249</v>
      </c>
      <c r="B296" s="16">
        <v>22302206</v>
      </c>
      <c r="C296" s="16" t="s">
        <v>434</v>
      </c>
      <c r="D296" s="16" t="str">
        <f>VLOOKUP(C296,[1]master_data!$A$2:$E$495,2,FALSE)</f>
        <v>NIASA</v>
      </c>
      <c r="E296" s="16">
        <v>15</v>
      </c>
      <c r="F296" s="16">
        <f>VLOOKUP(C296,[1]master_data!$A$2:$E$495,3,FALSE)</f>
        <v>900</v>
      </c>
      <c r="G296" s="16">
        <f>VLOOKUP(C296,[1]master_data!$A$2:$E$495,4,FALSE)</f>
        <v>2000</v>
      </c>
      <c r="H296" s="16">
        <f>E296*F296</f>
        <v>13500</v>
      </c>
      <c r="I296" s="16">
        <f>E296*G296</f>
        <v>30000</v>
      </c>
      <c r="J296" s="16">
        <f>I296-H296</f>
        <v>16500</v>
      </c>
      <c r="K296" s="16" t="str">
        <f>VLOOKUP(C296,[1]master_data!$A$2:$E$495,5,FALSE)</f>
        <v>Ikan</v>
      </c>
      <c r="L296" s="1"/>
    </row>
    <row r="297" spans="1:12" ht="12" customHeight="1" x14ac:dyDescent="0.25">
      <c r="A297" s="15">
        <v>45249</v>
      </c>
      <c r="B297" s="16">
        <v>22302207</v>
      </c>
      <c r="C297" s="16" t="s">
        <v>32</v>
      </c>
      <c r="D297" s="16" t="str">
        <f>VLOOKUP(C297,[1]master_data!$A$2:$E$495,2,FALSE)</f>
        <v>MESIN YAMANO 1000L</v>
      </c>
      <c r="E297" s="16">
        <v>5</v>
      </c>
      <c r="F297" s="16">
        <f>VLOOKUP(C297,[1]master_data!$A$2:$E$495,3,FALSE)</f>
        <v>40000</v>
      </c>
      <c r="G297" s="16">
        <f>VLOOKUP(C297,[1]master_data!$A$2:$E$495,4,FALSE)</f>
        <v>60000</v>
      </c>
      <c r="H297" s="16">
        <f>E297*F297</f>
        <v>200000</v>
      </c>
      <c r="I297" s="16">
        <f>E297*G297</f>
        <v>300000</v>
      </c>
      <c r="J297" s="16">
        <f>I297-H297</f>
        <v>100000</v>
      </c>
      <c r="K297" s="16" t="str">
        <f>VLOOKUP(C297,[1]master_data!$A$2:$E$495,5,FALSE)</f>
        <v>Aksesoris</v>
      </c>
      <c r="L297" s="1"/>
    </row>
    <row r="298" spans="1:12" ht="12" customHeight="1" x14ac:dyDescent="0.25">
      <c r="A298" s="15">
        <v>45249</v>
      </c>
      <c r="B298" s="16">
        <v>22302208</v>
      </c>
      <c r="C298" s="16" t="s">
        <v>376</v>
      </c>
      <c r="D298" s="16" t="str">
        <f>VLOOKUP(C298,[1]master_data!$A$2:$E$495,2,FALSE)</f>
        <v>PASIR BALI</v>
      </c>
      <c r="E298" s="16">
        <v>10</v>
      </c>
      <c r="F298" s="16">
        <f>VLOOKUP(C298,[1]master_data!$A$2:$E$495,3,FALSE)</f>
        <v>5000</v>
      </c>
      <c r="G298" s="16">
        <f>VLOOKUP(C298,[1]master_data!$A$2:$E$495,4,FALSE)</f>
        <v>10000</v>
      </c>
      <c r="H298" s="16">
        <f>E298*F298</f>
        <v>50000</v>
      </c>
      <c r="I298" s="16">
        <f>E298*G298</f>
        <v>100000</v>
      </c>
      <c r="J298" s="16">
        <f>I298-H298</f>
        <v>50000</v>
      </c>
      <c r="K298" s="16" t="str">
        <f>VLOOKUP(C298,[1]master_data!$A$2:$E$495,5,FALSE)</f>
        <v>Aksesoris</v>
      </c>
      <c r="L298" s="1"/>
    </row>
    <row r="299" spans="1:12" ht="12" customHeight="1" x14ac:dyDescent="0.25">
      <c r="A299" s="15">
        <v>45249</v>
      </c>
      <c r="B299" s="16">
        <v>22302209</v>
      </c>
      <c r="C299" s="16" t="s">
        <v>392</v>
      </c>
      <c r="D299" s="16" t="str">
        <f>VLOOKUP(C299,[1]master_data!$A$2:$E$495,2,FALSE)</f>
        <v>ARWANA SILVER K</v>
      </c>
      <c r="E299" s="16">
        <v>1</v>
      </c>
      <c r="F299" s="16">
        <f>VLOOKUP(C299,[1]master_data!$A$2:$E$495,3,FALSE)</f>
        <v>100000</v>
      </c>
      <c r="G299" s="16">
        <f>VLOOKUP(C299,[1]master_data!$A$2:$E$495,4,FALSE)</f>
        <v>200000</v>
      </c>
      <c r="H299" s="16">
        <f>E299*F299</f>
        <v>100000</v>
      </c>
      <c r="I299" s="16">
        <f>E299*G299</f>
        <v>200000</v>
      </c>
      <c r="J299" s="16">
        <f>I299-H299</f>
        <v>100000</v>
      </c>
      <c r="K299" s="16" t="str">
        <f>VLOOKUP(C299,[1]master_data!$A$2:$E$495,5,FALSE)</f>
        <v>Ikan</v>
      </c>
      <c r="L299" s="1"/>
    </row>
    <row r="300" spans="1:12" ht="12" customHeight="1" x14ac:dyDescent="0.25">
      <c r="A300" s="15">
        <v>45249</v>
      </c>
      <c r="B300" s="16">
        <v>22302210</v>
      </c>
      <c r="C300" s="16" t="s">
        <v>453</v>
      </c>
      <c r="D300" s="16" t="str">
        <f>VLOOKUP(C300,[1]master_data!$A$2:$E$495,2,FALSE)</f>
        <v>TETRA</v>
      </c>
      <c r="E300" s="16">
        <v>20</v>
      </c>
      <c r="F300" s="16">
        <f>VLOOKUP(C300,[1]master_data!$A$2:$E$495,3,FALSE)</f>
        <v>800</v>
      </c>
      <c r="G300" s="16">
        <f>VLOOKUP(C300,[1]master_data!$A$2:$E$495,4,FALSE)</f>
        <v>2000</v>
      </c>
      <c r="H300" s="16">
        <f>E300*F300</f>
        <v>16000</v>
      </c>
      <c r="I300" s="16">
        <f>E300*G300</f>
        <v>40000</v>
      </c>
      <c r="J300" s="16">
        <f>I300-H300</f>
        <v>24000</v>
      </c>
      <c r="K300" s="16" t="str">
        <f>VLOOKUP(C300,[1]master_data!$A$2:$E$495,5,FALSE)</f>
        <v>Ikan</v>
      </c>
      <c r="L300" s="1"/>
    </row>
    <row r="301" spans="1:12" ht="12" customHeight="1" x14ac:dyDescent="0.25">
      <c r="A301" s="15">
        <v>45249</v>
      </c>
      <c r="B301" s="16">
        <v>22302211</v>
      </c>
      <c r="C301" s="16" t="s">
        <v>411</v>
      </c>
      <c r="D301" s="16" t="str">
        <f>VLOOKUP(C301,[1]master_data!$A$2:$E$495,2,FALSE)</f>
        <v>KOKI K</v>
      </c>
      <c r="E301" s="16">
        <v>2</v>
      </c>
      <c r="F301" s="16">
        <f>VLOOKUP(C301,[1]master_data!$A$2:$E$495,3,FALSE)</f>
        <v>3500</v>
      </c>
      <c r="G301" s="16">
        <f>VLOOKUP(C301,[1]master_data!$A$2:$E$495,4,FALSE)</f>
        <v>10000</v>
      </c>
      <c r="H301" s="16">
        <f>E301*F301</f>
        <v>7000</v>
      </c>
      <c r="I301" s="16">
        <f>E301*G301</f>
        <v>20000</v>
      </c>
      <c r="J301" s="16">
        <f>I301-H301</f>
        <v>13000</v>
      </c>
      <c r="K301" s="16" t="str">
        <f>VLOOKUP(C301,[1]master_data!$A$2:$E$495,5,FALSE)</f>
        <v>Ikan</v>
      </c>
      <c r="L301" s="1"/>
    </row>
    <row r="302" spans="1:12" ht="12" customHeight="1" x14ac:dyDescent="0.25">
      <c r="A302" s="15">
        <v>45249</v>
      </c>
      <c r="B302" s="16">
        <v>22302212</v>
      </c>
      <c r="C302" s="16" t="s">
        <v>445</v>
      </c>
      <c r="D302" s="16" t="str">
        <f>VLOOKUP(C302,[1]master_data!$A$2:$E$495,2,FALSE)</f>
        <v>REDFIN ALBINO</v>
      </c>
      <c r="E302" s="16">
        <v>1</v>
      </c>
      <c r="F302" s="16">
        <f>VLOOKUP(C302,[1]master_data!$A$2:$E$495,3,FALSE)</f>
        <v>1500</v>
      </c>
      <c r="G302" s="16">
        <f>VLOOKUP(C302,[1]master_data!$A$2:$E$495,4,FALSE)</f>
        <v>4000</v>
      </c>
      <c r="H302" s="16">
        <f>E302*F302</f>
        <v>1500</v>
      </c>
      <c r="I302" s="16">
        <f>E302*G302</f>
        <v>4000</v>
      </c>
      <c r="J302" s="16">
        <f>I302-H302</f>
        <v>2500</v>
      </c>
      <c r="K302" s="16" t="str">
        <f>VLOOKUP(C302,[1]master_data!$A$2:$E$495,5,FALSE)</f>
        <v>Ikan</v>
      </c>
      <c r="L302" s="1"/>
    </row>
    <row r="303" spans="1:12" ht="12" customHeight="1" x14ac:dyDescent="0.25">
      <c r="A303" s="15">
        <v>45248</v>
      </c>
      <c r="B303" s="16">
        <v>22302196</v>
      </c>
      <c r="C303" s="16" t="s">
        <v>205</v>
      </c>
      <c r="D303" s="16" t="str">
        <f>VLOOKUP(C303,[1]master_data!$A$2:$E$495,2,FALSE)</f>
        <v>MAGOT</v>
      </c>
      <c r="E303" s="16">
        <v>10</v>
      </c>
      <c r="F303" s="16">
        <f>VLOOKUP(C303,[1]master_data!$A$2:$E$495,3,FALSE)</f>
        <v>4500</v>
      </c>
      <c r="G303" s="16">
        <f>VLOOKUP(C303,[1]master_data!$A$2:$E$495,4,FALSE)</f>
        <v>10000</v>
      </c>
      <c r="H303" s="16">
        <f>E303*F303</f>
        <v>45000</v>
      </c>
      <c r="I303" s="16">
        <f>E303*G303</f>
        <v>100000</v>
      </c>
      <c r="J303" s="16">
        <f>I303-H303</f>
        <v>55000</v>
      </c>
      <c r="K303" s="16" t="str">
        <f>VLOOKUP(C303,[1]master_data!$A$2:$E$495,5,FALSE)</f>
        <v>Aksesoris</v>
      </c>
      <c r="L303" s="1"/>
    </row>
    <row r="304" spans="1:12" ht="12" customHeight="1" x14ac:dyDescent="0.25">
      <c r="A304" s="15">
        <v>45248</v>
      </c>
      <c r="B304" s="16">
        <v>22302197</v>
      </c>
      <c r="C304" s="16" t="s">
        <v>307</v>
      </c>
      <c r="D304" s="16" t="str">
        <f>VLOOKUP(C304,[1]master_data!$A$2:$E$495,2,FALSE)</f>
        <v>SUPER BLUE</v>
      </c>
      <c r="E304" s="16">
        <v>10</v>
      </c>
      <c r="F304" s="16">
        <f>VLOOKUP(C304,[1]master_data!$A$2:$E$495,3,FALSE)</f>
        <v>8000</v>
      </c>
      <c r="G304" s="16">
        <f>VLOOKUP(C304,[1]master_data!$A$2:$E$495,4,FALSE)</f>
        <v>12000</v>
      </c>
      <c r="H304" s="16">
        <f>E304*F304</f>
        <v>80000</v>
      </c>
      <c r="I304" s="16">
        <f>E304*G304</f>
        <v>120000</v>
      </c>
      <c r="J304" s="16">
        <f>I304-H304</f>
        <v>40000</v>
      </c>
      <c r="K304" s="16" t="str">
        <f>VLOOKUP(C304,[1]master_data!$A$2:$E$495,5,FALSE)</f>
        <v>Aksesoris</v>
      </c>
      <c r="L304" s="1"/>
    </row>
    <row r="305" spans="1:12" ht="12" customHeight="1" x14ac:dyDescent="0.25">
      <c r="A305" s="15">
        <v>45248</v>
      </c>
      <c r="B305" s="16">
        <v>22302198</v>
      </c>
      <c r="C305" s="16" t="s">
        <v>86</v>
      </c>
      <c r="D305" s="16" t="str">
        <f>VLOOKUP(C305,[1]master_data!$A$2:$E$495,2,FALSE)</f>
        <v>MESIN KANDILA WAVE MAKER 3000</v>
      </c>
      <c r="E305" s="16">
        <v>2</v>
      </c>
      <c r="F305" s="16">
        <f>VLOOKUP(C305,[1]master_data!$A$2:$E$495,3,FALSE)</f>
        <v>36500</v>
      </c>
      <c r="G305" s="16">
        <f>VLOOKUP(C305,[1]master_data!$A$2:$E$495,4,FALSE)</f>
        <v>65000</v>
      </c>
      <c r="H305" s="16">
        <f>E305*F305</f>
        <v>73000</v>
      </c>
      <c r="I305" s="16">
        <f>E305*G305</f>
        <v>130000</v>
      </c>
      <c r="J305" s="16">
        <f>I305-H305</f>
        <v>57000</v>
      </c>
      <c r="K305" s="16" t="str">
        <f>VLOOKUP(C305,[1]master_data!$A$2:$E$495,5,FALSE)</f>
        <v>Aksesoris</v>
      </c>
      <c r="L305" s="1"/>
    </row>
    <row r="306" spans="1:12" ht="12" customHeight="1" x14ac:dyDescent="0.25">
      <c r="A306" s="15">
        <v>45248</v>
      </c>
      <c r="B306" s="16">
        <v>22302199</v>
      </c>
      <c r="C306" s="16" t="s">
        <v>136</v>
      </c>
      <c r="D306" s="16" t="str">
        <f>VLOOKUP(C306,[1]master_data!$A$2:$E$495,2,FALSE)</f>
        <v>LED NIKITA NS 600</v>
      </c>
      <c r="E306" s="16">
        <v>5</v>
      </c>
      <c r="F306" s="16">
        <f>VLOOKUP(C306,[1]master_data!$A$2:$E$495,3,FALSE)</f>
        <v>50000</v>
      </c>
      <c r="G306" s="16">
        <f>VLOOKUP(C306,[1]master_data!$A$2:$E$495,4,FALSE)</f>
        <v>75000</v>
      </c>
      <c r="H306" s="16">
        <f>E306*F306</f>
        <v>250000</v>
      </c>
      <c r="I306" s="16">
        <f>E306*G306</f>
        <v>375000</v>
      </c>
      <c r="J306" s="16">
        <f>I306-H306</f>
        <v>125000</v>
      </c>
      <c r="K306" s="16" t="str">
        <f>VLOOKUP(C306,[1]master_data!$A$2:$E$495,5,FALSE)</f>
        <v>Aksesoris</v>
      </c>
      <c r="L306" s="1"/>
    </row>
    <row r="307" spans="1:12" ht="12" customHeight="1" x14ac:dyDescent="0.25">
      <c r="A307" s="15">
        <v>45248</v>
      </c>
      <c r="B307" s="16">
        <v>22302200</v>
      </c>
      <c r="C307" s="16" t="s">
        <v>443</v>
      </c>
      <c r="D307" s="16" t="str">
        <f>VLOOKUP(C307,[1]master_data!$A$2:$E$495,2,FALSE)</f>
        <v>PESO</v>
      </c>
      <c r="E307" s="16">
        <v>8</v>
      </c>
      <c r="F307" s="16">
        <f>VLOOKUP(C307,[1]master_data!$A$2:$E$495,3,FALSE)</f>
        <v>19000</v>
      </c>
      <c r="G307" s="16">
        <f>VLOOKUP(C307,[1]master_data!$A$2:$E$495,4,FALSE)</f>
        <v>40000</v>
      </c>
      <c r="H307" s="16">
        <f>E307*F307</f>
        <v>152000</v>
      </c>
      <c r="I307" s="16">
        <f>E307*G307</f>
        <v>320000</v>
      </c>
      <c r="J307" s="16">
        <f>I307-H307</f>
        <v>168000</v>
      </c>
      <c r="K307" s="16" t="str">
        <f>VLOOKUP(C307,[1]master_data!$A$2:$E$495,5,FALSE)</f>
        <v>Ikan</v>
      </c>
      <c r="L307" s="1"/>
    </row>
    <row r="308" spans="1:12" ht="12" customHeight="1" x14ac:dyDescent="0.25">
      <c r="A308" s="15">
        <v>45248</v>
      </c>
      <c r="B308" s="16">
        <v>22302201</v>
      </c>
      <c r="C308" s="16" t="s">
        <v>460</v>
      </c>
      <c r="D308" s="16" t="str">
        <f>VLOOKUP(C308,[1]master_data!$A$2:$E$495,2,FALSE)</f>
        <v>SEPAT ALBINO</v>
      </c>
      <c r="E308" s="16">
        <v>1</v>
      </c>
      <c r="F308" s="16">
        <f>VLOOKUP(C308,[1]master_data!$A$2:$E$495,3,FALSE)</f>
        <v>2000</v>
      </c>
      <c r="G308" s="16">
        <f>VLOOKUP(C308,[1]master_data!$A$2:$E$495,4,FALSE)</f>
        <v>5000</v>
      </c>
      <c r="H308" s="16">
        <f>E308*F308</f>
        <v>2000</v>
      </c>
      <c r="I308" s="16">
        <f>E308*G308</f>
        <v>5000</v>
      </c>
      <c r="J308" s="16">
        <f>I308-H308</f>
        <v>3000</v>
      </c>
      <c r="K308" s="16" t="str">
        <f>VLOOKUP(C308,[1]master_data!$A$2:$E$495,5,FALSE)</f>
        <v>Ikan</v>
      </c>
      <c r="L308" s="1"/>
    </row>
    <row r="309" spans="1:12" ht="12" customHeight="1" x14ac:dyDescent="0.25">
      <c r="A309" s="15">
        <v>45247</v>
      </c>
      <c r="B309" s="16">
        <v>22302191</v>
      </c>
      <c r="C309" s="16" t="s">
        <v>333</v>
      </c>
      <c r="D309" s="16" t="str">
        <f>VLOOKUP(C309,[1]master_data!$A$2:$E$495,2,FALSE)</f>
        <v>KARPET RUMPUT</v>
      </c>
      <c r="E309" s="16">
        <v>10</v>
      </c>
      <c r="F309" s="16">
        <f>VLOOKUP(C309,[1]master_data!$A$2:$E$495,3,FALSE)</f>
        <v>15000</v>
      </c>
      <c r="G309" s="16">
        <f>VLOOKUP(C309,[1]master_data!$A$2:$E$495,4,FALSE)</f>
        <v>25000</v>
      </c>
      <c r="H309" s="16">
        <f>E309*F309</f>
        <v>150000</v>
      </c>
      <c r="I309" s="16">
        <f>E309*G309</f>
        <v>250000</v>
      </c>
      <c r="J309" s="16">
        <f>I309-H309</f>
        <v>100000</v>
      </c>
      <c r="K309" s="16" t="str">
        <f>VLOOKUP(C309,[1]master_data!$A$2:$E$495,5,FALSE)</f>
        <v>Aksesoris</v>
      </c>
      <c r="L309" s="1"/>
    </row>
    <row r="310" spans="1:12" ht="12" customHeight="1" x14ac:dyDescent="0.25">
      <c r="A310" s="15">
        <v>45247</v>
      </c>
      <c r="B310" s="16">
        <v>22302192</v>
      </c>
      <c r="C310" s="16" t="s">
        <v>400</v>
      </c>
      <c r="D310" s="16" t="str">
        <f>VLOOKUP(C310,[1]master_data!$A$2:$E$495,2,FALSE)</f>
        <v>BLACK GHOST</v>
      </c>
      <c r="E310" s="16">
        <v>15</v>
      </c>
      <c r="F310" s="16">
        <f>VLOOKUP(C310,[1]master_data!$A$2:$E$495,3,FALSE)</f>
        <v>4000</v>
      </c>
      <c r="G310" s="16">
        <f>VLOOKUP(C310,[1]master_data!$A$2:$E$495,4,FALSE)</f>
        <v>10000</v>
      </c>
      <c r="H310" s="16">
        <f>E310*F310</f>
        <v>60000</v>
      </c>
      <c r="I310" s="16">
        <f>E310*G310</f>
        <v>150000</v>
      </c>
      <c r="J310" s="16">
        <f>I310-H310</f>
        <v>90000</v>
      </c>
      <c r="K310" s="16" t="str">
        <f>VLOOKUP(C310,[1]master_data!$A$2:$E$495,5,FALSE)</f>
        <v>Ikan</v>
      </c>
      <c r="L310" s="1"/>
    </row>
    <row r="311" spans="1:12" ht="12" customHeight="1" x14ac:dyDescent="0.25">
      <c r="A311" s="15">
        <v>45247</v>
      </c>
      <c r="B311" s="16">
        <v>22302193</v>
      </c>
      <c r="C311" s="16" t="s">
        <v>34</v>
      </c>
      <c r="D311" s="16" t="str">
        <f>VLOOKUP(C311,[1]master_data!$A$2:$E$495,2,FALSE)</f>
        <v>MESIN YAMANO 1600</v>
      </c>
      <c r="E311" s="16">
        <v>10</v>
      </c>
      <c r="F311" s="16">
        <f>VLOOKUP(C311,[1]master_data!$A$2:$E$495,3,FALSE)</f>
        <v>55000</v>
      </c>
      <c r="G311" s="16">
        <f>VLOOKUP(C311,[1]master_data!$A$2:$E$495,4,FALSE)</f>
        <v>75000</v>
      </c>
      <c r="H311" s="16">
        <f>E311*F311</f>
        <v>550000</v>
      </c>
      <c r="I311" s="16">
        <f>E311*G311</f>
        <v>750000</v>
      </c>
      <c r="J311" s="16">
        <f>I311-H311</f>
        <v>200000</v>
      </c>
      <c r="K311" s="16" t="str">
        <f>VLOOKUP(C311,[1]master_data!$A$2:$E$495,5,FALSE)</f>
        <v>Aksesoris</v>
      </c>
      <c r="L311" s="1"/>
    </row>
    <row r="312" spans="1:12" ht="12" customHeight="1" x14ac:dyDescent="0.25">
      <c r="A312" s="15">
        <v>45247</v>
      </c>
      <c r="B312" s="16">
        <v>22302194</v>
      </c>
      <c r="C312" s="16" t="s">
        <v>220</v>
      </c>
      <c r="D312" s="16" t="str">
        <f>VLOOKUP(C312,[1]master_data!$A$2:$E$495,2,FALSE)</f>
        <v>HIKARI FRIEND 75 GR</v>
      </c>
      <c r="E312" s="16">
        <v>1</v>
      </c>
      <c r="F312" s="16">
        <f>VLOOKUP(C312,[1]master_data!$A$2:$E$495,3,FALSE)</f>
        <v>50000</v>
      </c>
      <c r="G312" s="16">
        <f>VLOOKUP(C312,[1]master_data!$A$2:$E$495,4,FALSE)</f>
        <v>65000</v>
      </c>
      <c r="H312" s="16">
        <f>E312*F312</f>
        <v>50000</v>
      </c>
      <c r="I312" s="16">
        <f>E312*G312</f>
        <v>65000</v>
      </c>
      <c r="J312" s="16">
        <f>I312-H312</f>
        <v>15000</v>
      </c>
      <c r="K312" s="16" t="str">
        <f>VLOOKUP(C312,[1]master_data!$A$2:$E$495,5,FALSE)</f>
        <v>Aksesoris</v>
      </c>
      <c r="L312" s="1"/>
    </row>
    <row r="313" spans="1:12" ht="12" customHeight="1" x14ac:dyDescent="0.25">
      <c r="A313" s="15">
        <v>45247</v>
      </c>
      <c r="B313" s="16">
        <v>22302195</v>
      </c>
      <c r="C313" s="16" t="s">
        <v>281</v>
      </c>
      <c r="D313" s="16" t="str">
        <f>VLOOKUP(C313,[1]master_data!$A$2:$E$495,2,FALSE)</f>
        <v>KRAN 3 W</v>
      </c>
      <c r="E313" s="16">
        <v>18</v>
      </c>
      <c r="F313" s="16">
        <f>VLOOKUP(C313,[1]master_data!$A$2:$E$495,3,FALSE)</f>
        <v>5500</v>
      </c>
      <c r="G313" s="16">
        <f>VLOOKUP(C313,[1]master_data!$A$2:$E$495,4,FALSE)</f>
        <v>8000</v>
      </c>
      <c r="H313" s="16">
        <f>E313*F313</f>
        <v>99000</v>
      </c>
      <c r="I313" s="16">
        <f>E313*G313</f>
        <v>144000</v>
      </c>
      <c r="J313" s="16">
        <f>I313-H313</f>
        <v>45000</v>
      </c>
      <c r="K313" s="16" t="str">
        <f>VLOOKUP(C313,[1]master_data!$A$2:$E$495,5,FALSE)</f>
        <v>Aksesoris</v>
      </c>
      <c r="L313" s="1"/>
    </row>
    <row r="314" spans="1:12" ht="12" customHeight="1" x14ac:dyDescent="0.25">
      <c r="A314" s="15">
        <v>45246</v>
      </c>
      <c r="B314" s="16">
        <v>22302184</v>
      </c>
      <c r="C314" s="16" t="s">
        <v>441</v>
      </c>
      <c r="D314" s="16" t="str">
        <f>VLOOKUP(C314,[1]master_data!$A$2:$E$495,2,FALSE)</f>
        <v>PALMAS</v>
      </c>
      <c r="E314" s="16">
        <v>2</v>
      </c>
      <c r="F314" s="16">
        <f>VLOOKUP(C314,[1]master_data!$A$2:$E$495,3,FALSE)</f>
        <v>10000</v>
      </c>
      <c r="G314" s="16">
        <f>VLOOKUP(C314,[1]master_data!$A$2:$E$495,4,FALSE)</f>
        <v>25000</v>
      </c>
      <c r="H314" s="16">
        <f>E314*F314</f>
        <v>20000</v>
      </c>
      <c r="I314" s="16">
        <f>E314*G314</f>
        <v>50000</v>
      </c>
      <c r="J314" s="16">
        <f>I314-H314</f>
        <v>30000</v>
      </c>
      <c r="K314" s="16" t="str">
        <f>VLOOKUP(C314,[1]master_data!$A$2:$E$495,5,FALSE)</f>
        <v>Ikan</v>
      </c>
      <c r="L314" s="1"/>
    </row>
    <row r="315" spans="1:12" ht="12" customHeight="1" x14ac:dyDescent="0.25">
      <c r="A315" s="15">
        <v>45246</v>
      </c>
      <c r="B315" s="16">
        <v>22302185</v>
      </c>
      <c r="C315" s="16" t="s">
        <v>268</v>
      </c>
      <c r="D315" s="16" t="str">
        <f>VLOOKUP(C315,[1]master_data!$A$2:$E$495,2,FALSE)</f>
        <v>HEATER KACA 25 W</v>
      </c>
      <c r="E315" s="16">
        <v>2</v>
      </c>
      <c r="F315" s="16">
        <f>VLOOKUP(C315,[1]master_data!$A$2:$E$495,3,FALSE)</f>
        <v>33000</v>
      </c>
      <c r="G315" s="16">
        <f>VLOOKUP(C315,[1]master_data!$A$2:$E$495,4,FALSE)</f>
        <v>50000</v>
      </c>
      <c r="H315" s="16">
        <f>E315*F315</f>
        <v>66000</v>
      </c>
      <c r="I315" s="16">
        <f>E315*G315</f>
        <v>100000</v>
      </c>
      <c r="J315" s="16">
        <f>I315-H315</f>
        <v>34000</v>
      </c>
      <c r="K315" s="16" t="str">
        <f>VLOOKUP(C315,[1]master_data!$A$2:$E$495,5,FALSE)</f>
        <v>Aksesoris</v>
      </c>
      <c r="L315" s="1"/>
    </row>
    <row r="316" spans="1:12" ht="12" customHeight="1" x14ac:dyDescent="0.25">
      <c r="A316" s="15">
        <v>45246</v>
      </c>
      <c r="B316" s="16">
        <v>22302186</v>
      </c>
      <c r="C316" s="16" t="s">
        <v>420</v>
      </c>
      <c r="D316" s="16" t="str">
        <f>VLOOKUP(C316,[1]master_data!$A$2:$E$495,2,FALSE)</f>
        <v>KOMET SLAYER</v>
      </c>
      <c r="E316" s="16">
        <v>10</v>
      </c>
      <c r="F316" s="16">
        <f>VLOOKUP(C316,[1]master_data!$A$2:$E$495,3,FALSE)</f>
        <v>2000</v>
      </c>
      <c r="G316" s="16">
        <f>VLOOKUP(C316,[1]master_data!$A$2:$E$495,4,FALSE)</f>
        <v>5000</v>
      </c>
      <c r="H316" s="16">
        <f>E316*F316</f>
        <v>20000</v>
      </c>
      <c r="I316" s="16">
        <f>E316*G316</f>
        <v>50000</v>
      </c>
      <c r="J316" s="16">
        <f>I316-H316</f>
        <v>30000</v>
      </c>
      <c r="K316" s="16" t="str">
        <f>VLOOKUP(C316,[1]master_data!$A$2:$E$495,5,FALSE)</f>
        <v>Ikan</v>
      </c>
      <c r="L316" s="1"/>
    </row>
    <row r="317" spans="1:12" ht="12" customHeight="1" x14ac:dyDescent="0.25">
      <c r="A317" s="15">
        <v>45246</v>
      </c>
      <c r="B317" s="16">
        <v>22302187</v>
      </c>
      <c r="C317" s="16" t="s">
        <v>243</v>
      </c>
      <c r="D317" s="16" t="str">
        <f>VLOOKUP(C317,[1]master_data!$A$2:$E$495,2,FALSE)</f>
        <v>FISH ALL CONTRA BACTERIAL</v>
      </c>
      <c r="E317" s="16">
        <v>5</v>
      </c>
      <c r="F317" s="16">
        <f>VLOOKUP(C317,[1]master_data!$A$2:$E$495,3,FALSE)</f>
        <v>6500</v>
      </c>
      <c r="G317" s="16">
        <f>VLOOKUP(C317,[1]master_data!$A$2:$E$495,4,FALSE)</f>
        <v>12000</v>
      </c>
      <c r="H317" s="16">
        <f>E317*F317</f>
        <v>32500</v>
      </c>
      <c r="I317" s="16">
        <f>E317*G317</f>
        <v>60000</v>
      </c>
      <c r="J317" s="16">
        <f>I317-H317</f>
        <v>27500</v>
      </c>
      <c r="K317" s="16" t="str">
        <f>VLOOKUP(C317,[1]master_data!$A$2:$E$495,5,FALSE)</f>
        <v>Aksesoris</v>
      </c>
      <c r="L317" s="1"/>
    </row>
    <row r="318" spans="1:12" ht="12" customHeight="1" x14ac:dyDescent="0.25">
      <c r="A318" s="15">
        <v>45246</v>
      </c>
      <c r="B318" s="16">
        <v>22302188</v>
      </c>
      <c r="C318" s="16" t="s">
        <v>456</v>
      </c>
      <c r="D318" s="16" t="str">
        <f>VLOOKUP(C318,[1]master_data!$A$2:$E$495,2,FALSE)</f>
        <v>ZEBRA HIJAU</v>
      </c>
      <c r="E318" s="16">
        <v>15</v>
      </c>
      <c r="F318" s="16">
        <f>VLOOKUP(C318,[1]master_data!$A$2:$E$495,3,FALSE)</f>
        <v>800</v>
      </c>
      <c r="G318" s="16">
        <f>VLOOKUP(C318,[1]master_data!$A$2:$E$495,4,FALSE)</f>
        <v>2000</v>
      </c>
      <c r="H318" s="16">
        <f>E318*F318</f>
        <v>12000</v>
      </c>
      <c r="I318" s="16">
        <f>E318*G318</f>
        <v>30000</v>
      </c>
      <c r="J318" s="16">
        <f>I318-H318</f>
        <v>18000</v>
      </c>
      <c r="K318" s="16" t="str">
        <f>VLOOKUP(C318,[1]master_data!$A$2:$E$495,5,FALSE)</f>
        <v>Ikan</v>
      </c>
      <c r="L318" s="1"/>
    </row>
    <row r="319" spans="1:12" ht="12" customHeight="1" x14ac:dyDescent="0.25">
      <c r="A319" s="15">
        <v>45246</v>
      </c>
      <c r="B319" s="16">
        <v>22302189</v>
      </c>
      <c r="C319" s="16" t="s">
        <v>383</v>
      </c>
      <c r="D319" s="16" t="str">
        <f>VLOOKUP(C319,[1]master_data!$A$2:$E$495,2,FALSE)</f>
        <v>BATU GOMBONG B</v>
      </c>
      <c r="E319" s="16">
        <v>5</v>
      </c>
      <c r="F319" s="16">
        <f>VLOOKUP(C319,[1]master_data!$A$2:$E$495,3,FALSE)</f>
        <v>60000</v>
      </c>
      <c r="G319" s="16">
        <f>VLOOKUP(C319,[1]master_data!$A$2:$E$495,4,FALSE)</f>
        <v>100000</v>
      </c>
      <c r="H319" s="16">
        <f>E319*F319</f>
        <v>300000</v>
      </c>
      <c r="I319" s="16">
        <f>E319*G319</f>
        <v>500000</v>
      </c>
      <c r="J319" s="16">
        <f>I319-H319</f>
        <v>200000</v>
      </c>
      <c r="K319" s="16" t="str">
        <f>VLOOKUP(C319,[1]master_data!$A$2:$E$495,5,FALSE)</f>
        <v>Aksesoris</v>
      </c>
      <c r="L319" s="1"/>
    </row>
    <row r="320" spans="1:12" ht="12" customHeight="1" x14ac:dyDescent="0.25">
      <c r="A320" s="15">
        <v>45246</v>
      </c>
      <c r="B320" s="16">
        <v>22302190</v>
      </c>
      <c r="C320" s="16" t="s">
        <v>398</v>
      </c>
      <c r="D320" s="16" t="str">
        <f>VLOOKUP(C320,[1]master_data!$A$2:$E$495,2,FALSE)</f>
        <v>BALA BALA K</v>
      </c>
      <c r="E320" s="16">
        <v>15</v>
      </c>
      <c r="F320" s="16">
        <f>VLOOKUP(C320,[1]master_data!$A$2:$E$495,3,FALSE)</f>
        <v>4000</v>
      </c>
      <c r="G320" s="16">
        <f>VLOOKUP(C320,[1]master_data!$A$2:$E$495,4,FALSE)</f>
        <v>8000</v>
      </c>
      <c r="H320" s="16">
        <f>E320*F320</f>
        <v>60000</v>
      </c>
      <c r="I320" s="16">
        <f>E320*G320</f>
        <v>120000</v>
      </c>
      <c r="J320" s="16">
        <f>I320-H320</f>
        <v>60000</v>
      </c>
      <c r="K320" s="16" t="str">
        <f>VLOOKUP(C320,[1]master_data!$A$2:$E$495,5,FALSE)</f>
        <v>Ikan</v>
      </c>
      <c r="L320" s="1"/>
    </row>
    <row r="321" spans="1:12" ht="12" customHeight="1" x14ac:dyDescent="0.25">
      <c r="A321" s="15">
        <v>45245</v>
      </c>
      <c r="B321" s="16">
        <v>22302179</v>
      </c>
      <c r="C321" s="16" t="s">
        <v>418</v>
      </c>
      <c r="D321" s="16" t="str">
        <f>VLOOKUP(C321,[1]master_data!$A$2:$E$495,2,FALSE)</f>
        <v>KAVIAT</v>
      </c>
      <c r="E321" s="16">
        <v>10</v>
      </c>
      <c r="F321" s="16">
        <f>VLOOKUP(C321,[1]master_data!$A$2:$E$495,3,FALSE)</f>
        <v>3500</v>
      </c>
      <c r="G321" s="16">
        <f>VLOOKUP(C321,[1]master_data!$A$2:$E$495,4,FALSE)</f>
        <v>8000</v>
      </c>
      <c r="H321" s="16">
        <f>E321*F321</f>
        <v>35000</v>
      </c>
      <c r="I321" s="16">
        <f>E321*G321</f>
        <v>80000</v>
      </c>
      <c r="J321" s="16">
        <f>I321-H321</f>
        <v>45000</v>
      </c>
      <c r="K321" s="16" t="str">
        <f>VLOOKUP(C321,[1]master_data!$A$2:$E$495,5,FALSE)</f>
        <v>Ikan</v>
      </c>
      <c r="L321" s="1"/>
    </row>
    <row r="322" spans="1:12" ht="12" customHeight="1" x14ac:dyDescent="0.25">
      <c r="A322" s="15">
        <v>45245</v>
      </c>
      <c r="B322" s="16">
        <v>22302180</v>
      </c>
      <c r="C322" s="16" t="s">
        <v>408</v>
      </c>
      <c r="D322" s="16" t="str">
        <f>VLOOKUP(C322,[1]master_data!$A$2:$E$495,2,FALSE)</f>
        <v>GUPY</v>
      </c>
      <c r="E322" s="16">
        <v>15</v>
      </c>
      <c r="F322" s="16">
        <f>VLOOKUP(C322,[1]master_data!$A$2:$E$495,3,FALSE)</f>
        <v>1200</v>
      </c>
      <c r="G322" s="16">
        <f>VLOOKUP(C322,[1]master_data!$A$2:$E$495,4,FALSE)</f>
        <v>2500</v>
      </c>
      <c r="H322" s="16">
        <f>E322*F322</f>
        <v>18000</v>
      </c>
      <c r="I322" s="16">
        <f>E322*G322</f>
        <v>37500</v>
      </c>
      <c r="J322" s="16">
        <f>I322-H322</f>
        <v>19500</v>
      </c>
      <c r="K322" s="16" t="str">
        <f>VLOOKUP(C322,[1]master_data!$A$2:$E$495,5,FALSE)</f>
        <v>Ikan</v>
      </c>
      <c r="L322" s="1"/>
    </row>
    <row r="323" spans="1:12" ht="12" customHeight="1" x14ac:dyDescent="0.25">
      <c r="A323" s="15">
        <v>45245</v>
      </c>
      <c r="B323" s="16">
        <v>22302181</v>
      </c>
      <c r="C323" s="16" t="s">
        <v>445</v>
      </c>
      <c r="D323" s="16" t="str">
        <f>VLOOKUP(C323,[1]master_data!$A$2:$E$495,2,FALSE)</f>
        <v>REDFIN ALBINO</v>
      </c>
      <c r="E323" s="16">
        <v>15</v>
      </c>
      <c r="F323" s="16">
        <f>VLOOKUP(C323,[1]master_data!$A$2:$E$495,3,FALSE)</f>
        <v>1500</v>
      </c>
      <c r="G323" s="16">
        <f>VLOOKUP(C323,[1]master_data!$A$2:$E$495,4,FALSE)</f>
        <v>4000</v>
      </c>
      <c r="H323" s="16">
        <f>E323*F323</f>
        <v>22500</v>
      </c>
      <c r="I323" s="16">
        <f>E323*G323</f>
        <v>60000</v>
      </c>
      <c r="J323" s="16">
        <f>I323-H323</f>
        <v>37500</v>
      </c>
      <c r="K323" s="16" t="str">
        <f>VLOOKUP(C323,[1]master_data!$A$2:$E$495,5,FALSE)</f>
        <v>Ikan</v>
      </c>
      <c r="L323" s="1"/>
    </row>
    <row r="324" spans="1:12" ht="12" customHeight="1" x14ac:dyDescent="0.25">
      <c r="A324" s="15">
        <v>45245</v>
      </c>
      <c r="B324" s="16">
        <v>22302182</v>
      </c>
      <c r="C324" s="16" t="s">
        <v>421</v>
      </c>
      <c r="D324" s="16" t="str">
        <f>VLOOKUP(C324,[1]master_data!$A$2:$E$495,2,FALSE)</f>
        <v>KOI SLAYER K</v>
      </c>
      <c r="E324" s="16">
        <v>30</v>
      </c>
      <c r="F324" s="16">
        <f>VLOOKUP(C324,[1]master_data!$A$2:$E$495,3,FALSE)</f>
        <v>3500</v>
      </c>
      <c r="G324" s="16">
        <f>VLOOKUP(C324,[1]master_data!$A$2:$E$495,4,FALSE)</f>
        <v>10000</v>
      </c>
      <c r="H324" s="16">
        <f>E324*F324</f>
        <v>105000</v>
      </c>
      <c r="I324" s="16">
        <f>E324*G324</f>
        <v>300000</v>
      </c>
      <c r="J324" s="16">
        <f>I324-H324</f>
        <v>195000</v>
      </c>
      <c r="K324" s="16" t="str">
        <f>VLOOKUP(C324,[1]master_data!$A$2:$E$495,5,FALSE)</f>
        <v>Ikan</v>
      </c>
      <c r="L324" s="1"/>
    </row>
    <row r="325" spans="1:12" ht="12" customHeight="1" x14ac:dyDescent="0.25">
      <c r="A325" s="15">
        <v>45245</v>
      </c>
      <c r="B325" s="16">
        <v>22302183</v>
      </c>
      <c r="C325" s="16" t="s">
        <v>400</v>
      </c>
      <c r="D325" s="16" t="str">
        <f>VLOOKUP(C325,[1]master_data!$A$2:$E$495,2,FALSE)</f>
        <v>BLACK GHOST</v>
      </c>
      <c r="E325" s="16">
        <v>25</v>
      </c>
      <c r="F325" s="16">
        <f>VLOOKUP(C325,[1]master_data!$A$2:$E$495,3,FALSE)</f>
        <v>4000</v>
      </c>
      <c r="G325" s="16">
        <f>VLOOKUP(C325,[1]master_data!$A$2:$E$495,4,FALSE)</f>
        <v>10000</v>
      </c>
      <c r="H325" s="16">
        <f>E325*F325</f>
        <v>100000</v>
      </c>
      <c r="I325" s="16">
        <f>E325*G325</f>
        <v>250000</v>
      </c>
      <c r="J325" s="16">
        <f>I325-H325</f>
        <v>150000</v>
      </c>
      <c r="K325" s="16" t="str">
        <f>VLOOKUP(C325,[1]master_data!$A$2:$E$495,5,FALSE)</f>
        <v>Ikan</v>
      </c>
      <c r="L325" s="1"/>
    </row>
    <row r="326" spans="1:12" ht="12" customHeight="1" x14ac:dyDescent="0.25">
      <c r="A326" s="15">
        <v>45244</v>
      </c>
      <c r="B326" s="16">
        <v>22302175</v>
      </c>
      <c r="C326" s="16" t="s">
        <v>425</v>
      </c>
      <c r="D326" s="16" t="str">
        <f>VLOOKUP(C326,[1]master_data!$A$2:$E$495,2,FALSE)</f>
        <v>LEMON</v>
      </c>
      <c r="E326" s="16">
        <v>15</v>
      </c>
      <c r="F326" s="16">
        <f>VLOOKUP(C326,[1]master_data!$A$2:$E$495,3,FALSE)</f>
        <v>1000</v>
      </c>
      <c r="G326" s="16">
        <f>VLOOKUP(C326,[1]master_data!$A$2:$E$495,4,FALSE)</f>
        <v>2000</v>
      </c>
      <c r="H326" s="16">
        <f>E326*F326</f>
        <v>15000</v>
      </c>
      <c r="I326" s="16">
        <f>E326*G326</f>
        <v>30000</v>
      </c>
      <c r="J326" s="16">
        <f>I326-H326</f>
        <v>15000</v>
      </c>
      <c r="K326" s="16" t="str">
        <f>VLOOKUP(C326,[1]master_data!$A$2:$E$495,5,FALSE)</f>
        <v>Ikan</v>
      </c>
      <c r="L326" s="1"/>
    </row>
    <row r="327" spans="1:12" ht="12" customHeight="1" x14ac:dyDescent="0.25">
      <c r="A327" s="15">
        <v>45244</v>
      </c>
      <c r="B327" s="16">
        <v>22302176</v>
      </c>
      <c r="C327" s="16" t="s">
        <v>80</v>
      </c>
      <c r="D327" s="16" t="str">
        <f>VLOOKUP(C327,[1]master_data!$A$2:$E$495,2,FALSE)</f>
        <v>MESIN KIYOSAKI 1800</v>
      </c>
      <c r="E327" s="16">
        <v>7</v>
      </c>
      <c r="F327" s="16">
        <f>VLOOKUP(C327,[1]master_data!$A$2:$E$495,3,FALSE)</f>
        <v>45000</v>
      </c>
      <c r="G327" s="16">
        <f>VLOOKUP(C327,[1]master_data!$A$2:$E$495,4,FALSE)</f>
        <v>100000</v>
      </c>
      <c r="H327" s="16">
        <f>E327*F327</f>
        <v>315000</v>
      </c>
      <c r="I327" s="16">
        <f>E327*G327</f>
        <v>700000</v>
      </c>
      <c r="J327" s="16">
        <f>I327-H327</f>
        <v>385000</v>
      </c>
      <c r="K327" s="16" t="str">
        <f>VLOOKUP(C327,[1]master_data!$A$2:$E$495,5,FALSE)</f>
        <v>Aksesoris</v>
      </c>
      <c r="L327" s="1"/>
    </row>
    <row r="328" spans="1:12" ht="12" customHeight="1" x14ac:dyDescent="0.25">
      <c r="A328" s="15">
        <v>45244</v>
      </c>
      <c r="B328" s="16">
        <v>22302177</v>
      </c>
      <c r="C328" s="16" t="s">
        <v>448</v>
      </c>
      <c r="D328" s="16" t="str">
        <f>VLOOKUP(C328,[1]master_data!$A$2:$E$495,2,FALSE)</f>
        <v>SUMATRA BIASA</v>
      </c>
      <c r="E328" s="16">
        <v>30</v>
      </c>
      <c r="F328" s="16">
        <f>VLOOKUP(C328,[1]master_data!$A$2:$E$495,3,FALSE)</f>
        <v>800</v>
      </c>
      <c r="G328" s="16">
        <f>VLOOKUP(C328,[1]master_data!$A$2:$E$495,4,FALSE)</f>
        <v>2000</v>
      </c>
      <c r="H328" s="16">
        <f>E328*F328</f>
        <v>24000</v>
      </c>
      <c r="I328" s="16">
        <f>E328*G328</f>
        <v>60000</v>
      </c>
      <c r="J328" s="16">
        <f>I328-H328</f>
        <v>36000</v>
      </c>
      <c r="K328" s="16" t="str">
        <f>VLOOKUP(C328,[1]master_data!$A$2:$E$495,5,FALSE)</f>
        <v>Ikan</v>
      </c>
      <c r="L328" s="1"/>
    </row>
    <row r="329" spans="1:12" ht="12" customHeight="1" x14ac:dyDescent="0.25">
      <c r="A329" s="15">
        <v>45244</v>
      </c>
      <c r="B329" s="16">
        <v>22302178</v>
      </c>
      <c r="C329" s="16" t="s">
        <v>415</v>
      </c>
      <c r="D329" s="16" t="str">
        <f>VLOOKUP(C329,[1]master_data!$A$2:$E$495,2,FALSE)</f>
        <v>KOI T</v>
      </c>
      <c r="E329" s="16">
        <v>1</v>
      </c>
      <c r="F329" s="16">
        <f>VLOOKUP(C329,[1]master_data!$A$2:$E$495,3,FALSE)</f>
        <v>7000</v>
      </c>
      <c r="G329" s="16">
        <f>VLOOKUP(C329,[1]master_data!$A$2:$E$495,4,FALSE)</f>
        <v>20000</v>
      </c>
      <c r="H329" s="16">
        <f>E329*F329</f>
        <v>7000</v>
      </c>
      <c r="I329" s="16">
        <f>E329*G329</f>
        <v>20000</v>
      </c>
      <c r="J329" s="16">
        <f>I329-H329</f>
        <v>13000</v>
      </c>
      <c r="K329" s="16" t="str">
        <f>VLOOKUP(C329,[1]master_data!$A$2:$E$495,5,FALSE)</f>
        <v>Ikan</v>
      </c>
      <c r="L329" s="1"/>
    </row>
    <row r="330" spans="1:12" ht="12" customHeight="1" x14ac:dyDescent="0.25">
      <c r="A330" s="15">
        <v>45243</v>
      </c>
      <c r="B330" s="16">
        <v>22302170</v>
      </c>
      <c r="C330" s="16" t="s">
        <v>116</v>
      </c>
      <c r="D330" s="16" t="str">
        <f>VLOOKUP(C330,[1]master_data!$A$2:$E$495,2,FALSE)</f>
        <v>AIRATOR ROSTON LUB 1</v>
      </c>
      <c r="E330" s="16">
        <v>5</v>
      </c>
      <c r="F330" s="16">
        <f>VLOOKUP(C330,[1]master_data!$A$2:$E$495,3,FALSE)</f>
        <v>20000</v>
      </c>
      <c r="G330" s="16">
        <f>VLOOKUP(C330,[1]master_data!$A$2:$E$495,4,FALSE)</f>
        <v>30000</v>
      </c>
      <c r="H330" s="16">
        <f>E330*F330</f>
        <v>100000</v>
      </c>
      <c r="I330" s="16">
        <f>E330*G330</f>
        <v>150000</v>
      </c>
      <c r="J330" s="16">
        <f>I330-H330</f>
        <v>50000</v>
      </c>
      <c r="K330" s="16" t="str">
        <f>VLOOKUP(C330,[1]master_data!$A$2:$E$495,5,FALSE)</f>
        <v>Aksesoris</v>
      </c>
      <c r="L330" s="1"/>
    </row>
    <row r="331" spans="1:12" ht="12" customHeight="1" x14ac:dyDescent="0.25">
      <c r="A331" s="15">
        <v>45243</v>
      </c>
      <c r="B331" s="16">
        <v>22302171</v>
      </c>
      <c r="C331" s="16" t="s">
        <v>435</v>
      </c>
      <c r="D331" s="16" t="str">
        <f>VLOOKUP(C331,[1]master_data!$A$2:$E$495,2,FALSE)</f>
        <v>RED EYE TETRA</v>
      </c>
      <c r="E331" s="16">
        <v>10</v>
      </c>
      <c r="F331" s="16">
        <f>VLOOKUP(C331,[1]master_data!$A$2:$E$495,3,FALSE)</f>
        <v>900</v>
      </c>
      <c r="G331" s="16">
        <f>VLOOKUP(C331,[1]master_data!$A$2:$E$495,4,FALSE)</f>
        <v>2000</v>
      </c>
      <c r="H331" s="16">
        <f>E331*F331</f>
        <v>9000</v>
      </c>
      <c r="I331" s="16">
        <f>E331*G331</f>
        <v>20000</v>
      </c>
      <c r="J331" s="16">
        <f>I331-H331</f>
        <v>11000</v>
      </c>
      <c r="K331" s="16" t="str">
        <f>VLOOKUP(C331,[1]master_data!$A$2:$E$495,5,FALSE)</f>
        <v>Ikan</v>
      </c>
      <c r="L331" s="1"/>
    </row>
    <row r="332" spans="1:12" ht="12" customHeight="1" x14ac:dyDescent="0.25">
      <c r="A332" s="15">
        <v>45243</v>
      </c>
      <c r="B332" s="16">
        <v>22302172</v>
      </c>
      <c r="C332" s="16" t="s">
        <v>337</v>
      </c>
      <c r="D332" s="16" t="str">
        <f>VLOOKUP(C332,[1]master_data!$A$2:$E$495,2,FALSE)</f>
        <v>KARUNG JALA S</v>
      </c>
      <c r="E332" s="16">
        <v>30</v>
      </c>
      <c r="F332" s="16">
        <f>VLOOKUP(C332,[1]master_data!$A$2:$E$495,3,FALSE)</f>
        <v>2500</v>
      </c>
      <c r="G332" s="16">
        <f>VLOOKUP(C332,[1]master_data!$A$2:$E$495,4,FALSE)</f>
        <v>5000</v>
      </c>
      <c r="H332" s="16">
        <f>E332*F332</f>
        <v>75000</v>
      </c>
      <c r="I332" s="16">
        <f>E332*G332</f>
        <v>150000</v>
      </c>
      <c r="J332" s="16">
        <f>I332-H332</f>
        <v>75000</v>
      </c>
      <c r="K332" s="16" t="str">
        <f>VLOOKUP(C332,[1]master_data!$A$2:$E$495,5,FALSE)</f>
        <v>Aksesoris</v>
      </c>
      <c r="L332" s="1"/>
    </row>
    <row r="333" spans="1:12" ht="12" customHeight="1" x14ac:dyDescent="0.25">
      <c r="A333" s="15">
        <v>45243</v>
      </c>
      <c r="B333" s="16">
        <v>22302173</v>
      </c>
      <c r="C333" s="16" t="s">
        <v>428</v>
      </c>
      <c r="D333" s="16" t="str">
        <f>VLOOKUP(C333,[1]master_data!$A$2:$E$495,2,FALSE)</f>
        <v>MANFISH K</v>
      </c>
      <c r="E333" s="16">
        <v>20</v>
      </c>
      <c r="F333" s="16">
        <f>VLOOKUP(C333,[1]master_data!$A$2:$E$495,3,FALSE)</f>
        <v>2000</v>
      </c>
      <c r="G333" s="16">
        <f>VLOOKUP(C333,[1]master_data!$A$2:$E$495,4,FALSE)</f>
        <v>5000</v>
      </c>
      <c r="H333" s="16">
        <f>E333*F333</f>
        <v>40000</v>
      </c>
      <c r="I333" s="16">
        <f>E333*G333</f>
        <v>100000</v>
      </c>
      <c r="J333" s="16">
        <f>I333-H333</f>
        <v>60000</v>
      </c>
      <c r="K333" s="16" t="str">
        <f>VLOOKUP(C333,[1]master_data!$A$2:$E$495,5,FALSE)</f>
        <v>Ikan</v>
      </c>
      <c r="L333" s="1"/>
    </row>
    <row r="334" spans="1:12" ht="12" customHeight="1" x14ac:dyDescent="0.25">
      <c r="A334" s="15">
        <v>45243</v>
      </c>
      <c r="B334" s="16">
        <v>22302174</v>
      </c>
      <c r="C334" s="16" t="s">
        <v>438</v>
      </c>
      <c r="D334" s="16" t="str">
        <f>VLOOKUP(C334,[1]master_data!$A$2:$E$495,2,FALSE)</f>
        <v>OSCAR</v>
      </c>
      <c r="E334" s="16">
        <v>10</v>
      </c>
      <c r="F334" s="16">
        <f>VLOOKUP(C334,[1]master_data!$A$2:$E$495,3,FALSE)</f>
        <v>25000</v>
      </c>
      <c r="G334" s="16">
        <f>VLOOKUP(C334,[1]master_data!$A$2:$E$495,4,FALSE)</f>
        <v>50000</v>
      </c>
      <c r="H334" s="16">
        <f>E334*F334</f>
        <v>250000</v>
      </c>
      <c r="I334" s="16">
        <f>E334*G334</f>
        <v>500000</v>
      </c>
      <c r="J334" s="16">
        <f>I334-H334</f>
        <v>250000</v>
      </c>
      <c r="K334" s="16" t="str">
        <f>VLOOKUP(C334,[1]master_data!$A$2:$E$495,5,FALSE)</f>
        <v>Ikan</v>
      </c>
      <c r="L334" s="1"/>
    </row>
    <row r="335" spans="1:12" ht="12" customHeight="1" x14ac:dyDescent="0.25">
      <c r="A335" s="15">
        <v>45242</v>
      </c>
      <c r="B335" s="16">
        <v>22302161</v>
      </c>
      <c r="C335" s="16" t="s">
        <v>121</v>
      </c>
      <c r="D335" s="16" t="str">
        <f>VLOOKUP(C335,[1]master_data!$A$2:$E$495,2,FALSE)</f>
        <v>LED KIYOSAKI 3 MODE 40 CM</v>
      </c>
      <c r="E335" s="16">
        <v>1</v>
      </c>
      <c r="F335" s="16">
        <f>VLOOKUP(C335,[1]master_data!$A$2:$E$495,3,FALSE)</f>
        <v>32000</v>
      </c>
      <c r="G335" s="16">
        <f>VLOOKUP(C335,[1]master_data!$A$2:$E$495,4,FALSE)</f>
        <v>55000</v>
      </c>
      <c r="H335" s="16">
        <f>E335*F335</f>
        <v>32000</v>
      </c>
      <c r="I335" s="16">
        <f>E335*G335</f>
        <v>55000</v>
      </c>
      <c r="J335" s="16">
        <f>I335-H335</f>
        <v>23000</v>
      </c>
      <c r="K335" s="16" t="str">
        <f>VLOOKUP(C335,[1]master_data!$A$2:$E$495,5,FALSE)</f>
        <v>Aksesoris</v>
      </c>
      <c r="L335" s="1"/>
    </row>
    <row r="336" spans="1:12" ht="12" customHeight="1" x14ac:dyDescent="0.25">
      <c r="A336" s="15">
        <v>45242</v>
      </c>
      <c r="B336" s="16">
        <v>22302162</v>
      </c>
      <c r="C336" s="16" t="s">
        <v>273</v>
      </c>
      <c r="D336" s="16" t="str">
        <f>VLOOKUP(C336,[1]master_data!$A$2:$E$495,2,FALSE)</f>
        <v>JARING 12</v>
      </c>
      <c r="E336" s="16">
        <v>25</v>
      </c>
      <c r="F336" s="16">
        <f>VLOOKUP(C336,[1]master_data!$A$2:$E$495,3,FALSE)</f>
        <v>4000</v>
      </c>
      <c r="G336" s="16">
        <f>VLOOKUP(C336,[1]master_data!$A$2:$E$495,4,FALSE)</f>
        <v>7000</v>
      </c>
      <c r="H336" s="16">
        <f>E336*F336</f>
        <v>100000</v>
      </c>
      <c r="I336" s="16">
        <f>E336*G336</f>
        <v>175000</v>
      </c>
      <c r="J336" s="16">
        <f>I336-H336</f>
        <v>75000</v>
      </c>
      <c r="K336" s="16" t="str">
        <f>VLOOKUP(C336,[1]master_data!$A$2:$E$495,5,FALSE)</f>
        <v>Aksesoris</v>
      </c>
      <c r="L336" s="1"/>
    </row>
    <row r="337" spans="1:12" ht="12" customHeight="1" x14ac:dyDescent="0.25">
      <c r="A337" s="15">
        <v>45242</v>
      </c>
      <c r="B337" s="16">
        <v>22302163</v>
      </c>
      <c r="C337" s="16" t="s">
        <v>437</v>
      </c>
      <c r="D337" s="16" t="str">
        <f>VLOOKUP(C337,[1]master_data!$A$2:$E$495,2,FALSE)</f>
        <v>NEON</v>
      </c>
      <c r="E337" s="16">
        <v>15</v>
      </c>
      <c r="F337" s="16">
        <f>VLOOKUP(C337,[1]master_data!$A$2:$E$495,3,FALSE)</f>
        <v>1250</v>
      </c>
      <c r="G337" s="16">
        <f>VLOOKUP(C337,[1]master_data!$A$2:$E$495,4,FALSE)</f>
        <v>5000</v>
      </c>
      <c r="H337" s="16">
        <f>E337*F337</f>
        <v>18750</v>
      </c>
      <c r="I337" s="16">
        <f>E337*G337</f>
        <v>75000</v>
      </c>
      <c r="J337" s="16">
        <f>I337-H337</f>
        <v>56250</v>
      </c>
      <c r="K337" s="16" t="str">
        <f>VLOOKUP(C337,[1]master_data!$A$2:$E$495,5,FALSE)</f>
        <v>Ikan</v>
      </c>
      <c r="L337" s="1"/>
    </row>
    <row r="338" spans="1:12" ht="12" customHeight="1" x14ac:dyDescent="0.25">
      <c r="A338" s="15">
        <v>45242</v>
      </c>
      <c r="B338" s="16">
        <v>22302164</v>
      </c>
      <c r="C338" s="16" t="s">
        <v>398</v>
      </c>
      <c r="D338" s="16" t="str">
        <f>VLOOKUP(C338,[1]master_data!$A$2:$E$495,2,FALSE)</f>
        <v>BALA BALA K</v>
      </c>
      <c r="E338" s="16">
        <v>15</v>
      </c>
      <c r="F338" s="16">
        <f>VLOOKUP(C338,[1]master_data!$A$2:$E$495,3,FALSE)</f>
        <v>4000</v>
      </c>
      <c r="G338" s="16">
        <f>VLOOKUP(C338,[1]master_data!$A$2:$E$495,4,FALSE)</f>
        <v>8000</v>
      </c>
      <c r="H338" s="16">
        <f>E338*F338</f>
        <v>60000</v>
      </c>
      <c r="I338" s="16">
        <f>E338*G338</f>
        <v>120000</v>
      </c>
      <c r="J338" s="16">
        <f>I338-H338</f>
        <v>60000</v>
      </c>
      <c r="K338" s="16" t="str">
        <f>VLOOKUP(C338,[1]master_data!$A$2:$E$495,5,FALSE)</f>
        <v>Ikan</v>
      </c>
      <c r="L338" s="1"/>
    </row>
    <row r="339" spans="1:12" ht="12" customHeight="1" x14ac:dyDescent="0.25">
      <c r="A339" s="15">
        <v>45242</v>
      </c>
      <c r="B339" s="16">
        <v>22302165</v>
      </c>
      <c r="C339" s="16" t="s">
        <v>140</v>
      </c>
      <c r="D339" s="16" t="str">
        <f>VLOOKUP(C339,[1]master_data!$A$2:$E$495,2,FALSE)</f>
        <v>LED NIKITA 3 MODE 80 CM</v>
      </c>
      <c r="E339" s="16">
        <v>1</v>
      </c>
      <c r="F339" s="16">
        <f>VLOOKUP(C339,[1]master_data!$A$2:$E$495,3,FALSE)</f>
        <v>53000</v>
      </c>
      <c r="G339" s="16">
        <f>VLOOKUP(C339,[1]master_data!$A$2:$E$495,4,FALSE)</f>
        <v>80000</v>
      </c>
      <c r="H339" s="16">
        <f>E339*F339</f>
        <v>53000</v>
      </c>
      <c r="I339" s="16">
        <f>E339*G339</f>
        <v>80000</v>
      </c>
      <c r="J339" s="16">
        <f>I339-H339</f>
        <v>27000</v>
      </c>
      <c r="K339" s="16" t="str">
        <f>VLOOKUP(C339,[1]master_data!$A$2:$E$495,5,FALSE)</f>
        <v>Aksesoris</v>
      </c>
      <c r="L339" s="1"/>
    </row>
    <row r="340" spans="1:12" ht="12" customHeight="1" x14ac:dyDescent="0.25">
      <c r="A340" s="15">
        <v>45242</v>
      </c>
      <c r="B340" s="16">
        <v>22302166</v>
      </c>
      <c r="C340" s="16" t="s">
        <v>437</v>
      </c>
      <c r="D340" s="16" t="str">
        <f>VLOOKUP(C340,[1]master_data!$A$2:$E$495,2,FALSE)</f>
        <v>NEON</v>
      </c>
      <c r="E340" s="16">
        <v>25</v>
      </c>
      <c r="F340" s="16">
        <f>VLOOKUP(C340,[1]master_data!$A$2:$E$495,3,FALSE)</f>
        <v>1250</v>
      </c>
      <c r="G340" s="16">
        <f>VLOOKUP(C340,[1]master_data!$A$2:$E$495,4,FALSE)</f>
        <v>5000</v>
      </c>
      <c r="H340" s="16">
        <f>E340*F340</f>
        <v>31250</v>
      </c>
      <c r="I340" s="16">
        <f>E340*G340</f>
        <v>125000</v>
      </c>
      <c r="J340" s="16">
        <f>I340-H340</f>
        <v>93750</v>
      </c>
      <c r="K340" s="16" t="str">
        <f>VLOOKUP(C340,[1]master_data!$A$2:$E$495,5,FALSE)</f>
        <v>Ikan</v>
      </c>
      <c r="L340" s="1"/>
    </row>
    <row r="341" spans="1:12" ht="12" customHeight="1" x14ac:dyDescent="0.25">
      <c r="A341" s="15">
        <v>45242</v>
      </c>
      <c r="B341" s="16">
        <v>22302167</v>
      </c>
      <c r="C341" s="16" t="s">
        <v>88</v>
      </c>
      <c r="D341" s="16" t="str">
        <f>VLOOKUP(C341,[1]master_data!$A$2:$E$495,2,FALSE)</f>
        <v>MESIN ARMADA 1150L</v>
      </c>
      <c r="E341" s="16">
        <v>5</v>
      </c>
      <c r="F341" s="16">
        <f>VLOOKUP(C341,[1]master_data!$A$2:$E$495,3,FALSE)</f>
        <v>42000</v>
      </c>
      <c r="G341" s="16">
        <f>VLOOKUP(C341,[1]master_data!$A$2:$E$495,4,FALSE)</f>
        <v>55000</v>
      </c>
      <c r="H341" s="16">
        <f>E341*F341</f>
        <v>210000</v>
      </c>
      <c r="I341" s="16">
        <f>E341*G341</f>
        <v>275000</v>
      </c>
      <c r="J341" s="16">
        <f>I341-H341</f>
        <v>65000</v>
      </c>
      <c r="K341" s="16" t="str">
        <f>VLOOKUP(C341,[1]master_data!$A$2:$E$495,5,FALSE)</f>
        <v>Aksesoris</v>
      </c>
      <c r="L341" s="1"/>
    </row>
    <row r="342" spans="1:12" ht="12" customHeight="1" x14ac:dyDescent="0.25">
      <c r="A342" s="15">
        <v>45242</v>
      </c>
      <c r="B342" s="16">
        <v>22302168</v>
      </c>
      <c r="C342" s="16" t="s">
        <v>413</v>
      </c>
      <c r="D342" s="16" t="str">
        <f>VLOOKUP(C342,[1]master_data!$A$2:$E$495,2,FALSE)</f>
        <v>KOKI B</v>
      </c>
      <c r="E342" s="16">
        <v>1</v>
      </c>
      <c r="F342" s="16">
        <f>VLOOKUP(C342,[1]master_data!$A$2:$E$495,3,FALSE)</f>
        <v>20000</v>
      </c>
      <c r="G342" s="16">
        <f>VLOOKUP(C342,[1]master_data!$A$2:$E$495,4,FALSE)</f>
        <v>50000</v>
      </c>
      <c r="H342" s="16">
        <f>E342*F342</f>
        <v>20000</v>
      </c>
      <c r="I342" s="16">
        <f>E342*G342</f>
        <v>50000</v>
      </c>
      <c r="J342" s="16">
        <f>I342-H342</f>
        <v>30000</v>
      </c>
      <c r="K342" s="16" t="str">
        <f>VLOOKUP(C342,[1]master_data!$A$2:$E$495,5,FALSE)</f>
        <v>Ikan</v>
      </c>
      <c r="L342" s="1"/>
    </row>
    <row r="343" spans="1:12" ht="12" customHeight="1" x14ac:dyDescent="0.25">
      <c r="A343" s="15">
        <v>45242</v>
      </c>
      <c r="B343" s="16">
        <v>22302169</v>
      </c>
      <c r="C343" s="16" t="s">
        <v>407</v>
      </c>
      <c r="D343" s="16" t="str">
        <f>VLOOKUP(C343,[1]master_data!$A$2:$E$495,2,FALSE)</f>
        <v>GOLD FISH</v>
      </c>
      <c r="E343" s="16">
        <v>16</v>
      </c>
      <c r="F343" s="16">
        <f>VLOOKUP(C343,[1]master_data!$A$2:$E$495,3,FALSE)</f>
        <v>800</v>
      </c>
      <c r="G343" s="16">
        <f>VLOOKUP(C343,[1]master_data!$A$2:$E$495,4,FALSE)</f>
        <v>2000</v>
      </c>
      <c r="H343" s="16">
        <f>E343*F343</f>
        <v>12800</v>
      </c>
      <c r="I343" s="16">
        <f>E343*G343</f>
        <v>32000</v>
      </c>
      <c r="J343" s="16">
        <f>I343-H343</f>
        <v>19200</v>
      </c>
      <c r="K343" s="16" t="str">
        <f>VLOOKUP(C343,[1]master_data!$A$2:$E$495,5,FALSE)</f>
        <v>Ikan</v>
      </c>
      <c r="L343" s="1"/>
    </row>
    <row r="344" spans="1:12" ht="12" customHeight="1" x14ac:dyDescent="0.25">
      <c r="A344" s="15">
        <v>45241</v>
      </c>
      <c r="B344" s="16">
        <v>22302156</v>
      </c>
      <c r="C344" s="16" t="s">
        <v>452</v>
      </c>
      <c r="D344" s="16" t="str">
        <f>VLOOKUP(C344,[1]master_data!$A$2:$E$495,2,FALSE)</f>
        <v>SYNODONTI B</v>
      </c>
      <c r="E344" s="16">
        <v>30</v>
      </c>
      <c r="F344" s="16">
        <f>VLOOKUP(C344,[1]master_data!$A$2:$E$495,3,FALSE)</f>
        <v>4000</v>
      </c>
      <c r="G344" s="16">
        <f>VLOOKUP(C344,[1]master_data!$A$2:$E$495,4,FALSE)</f>
        <v>10000</v>
      </c>
      <c r="H344" s="16">
        <f>E344*F344</f>
        <v>120000</v>
      </c>
      <c r="I344" s="16">
        <f>E344*G344</f>
        <v>300000</v>
      </c>
      <c r="J344" s="16">
        <f>I344-H344</f>
        <v>180000</v>
      </c>
      <c r="K344" s="16" t="str">
        <f>VLOOKUP(C344,[1]master_data!$A$2:$E$495,5,FALSE)</f>
        <v>Ikan</v>
      </c>
      <c r="L344" s="1"/>
    </row>
    <row r="345" spans="1:12" ht="12" customHeight="1" x14ac:dyDescent="0.25">
      <c r="A345" s="15">
        <v>45241</v>
      </c>
      <c r="B345" s="16">
        <v>22302157</v>
      </c>
      <c r="C345" s="16" t="s">
        <v>452</v>
      </c>
      <c r="D345" s="16" t="str">
        <f>VLOOKUP(C345,[1]master_data!$A$2:$E$495,2,FALSE)</f>
        <v>SYNODONTI B</v>
      </c>
      <c r="E345" s="16">
        <v>10</v>
      </c>
      <c r="F345" s="16">
        <f>VLOOKUP(C345,[1]master_data!$A$2:$E$495,3,FALSE)</f>
        <v>4000</v>
      </c>
      <c r="G345" s="16">
        <f>VLOOKUP(C345,[1]master_data!$A$2:$E$495,4,FALSE)</f>
        <v>10000</v>
      </c>
      <c r="H345" s="16">
        <f>E345*F345</f>
        <v>40000</v>
      </c>
      <c r="I345" s="16">
        <f>E345*G345</f>
        <v>100000</v>
      </c>
      <c r="J345" s="16">
        <f>I345-H345</f>
        <v>60000</v>
      </c>
      <c r="K345" s="16" t="str">
        <f>VLOOKUP(C345,[1]master_data!$A$2:$E$495,5,FALSE)</f>
        <v>Ikan</v>
      </c>
      <c r="L345" s="1"/>
    </row>
    <row r="346" spans="1:12" ht="12" customHeight="1" x14ac:dyDescent="0.25">
      <c r="A346" s="15">
        <v>45241</v>
      </c>
      <c r="B346" s="16">
        <v>22302158</v>
      </c>
      <c r="C346" s="16" t="s">
        <v>411</v>
      </c>
      <c r="D346" s="16" t="str">
        <f>VLOOKUP(C346,[1]master_data!$A$2:$E$495,2,FALSE)</f>
        <v>KOKI K</v>
      </c>
      <c r="E346" s="16">
        <v>10</v>
      </c>
      <c r="F346" s="16">
        <f>VLOOKUP(C346,[1]master_data!$A$2:$E$495,3,FALSE)</f>
        <v>3500</v>
      </c>
      <c r="G346" s="16">
        <f>VLOOKUP(C346,[1]master_data!$A$2:$E$495,4,FALSE)</f>
        <v>10000</v>
      </c>
      <c r="H346" s="16">
        <f>E346*F346</f>
        <v>35000</v>
      </c>
      <c r="I346" s="16">
        <f>E346*G346</f>
        <v>100000</v>
      </c>
      <c r="J346" s="16">
        <f>I346-H346</f>
        <v>65000</v>
      </c>
      <c r="K346" s="16" t="str">
        <f>VLOOKUP(C346,[1]master_data!$A$2:$E$495,5,FALSE)</f>
        <v>Ikan</v>
      </c>
      <c r="L346" s="1"/>
    </row>
    <row r="347" spans="1:12" ht="12" customHeight="1" x14ac:dyDescent="0.25">
      <c r="A347" s="15">
        <v>45241</v>
      </c>
      <c r="B347" s="16">
        <v>22302159</v>
      </c>
      <c r="C347" s="16" t="s">
        <v>370</v>
      </c>
      <c r="D347" s="16" t="str">
        <f>VLOOKUP(C347,[1]master_data!$A$2:$E$495,2,FALSE)</f>
        <v>SOLITER B1</v>
      </c>
      <c r="E347" s="16">
        <v>2</v>
      </c>
      <c r="F347" s="16">
        <f>VLOOKUP(C347,[1]master_data!$A$2:$E$495,3,FALSE)</f>
        <v>45000</v>
      </c>
      <c r="G347" s="16">
        <f>VLOOKUP(C347,[1]master_data!$A$2:$E$495,4,FALSE)</f>
        <v>60000</v>
      </c>
      <c r="H347" s="16">
        <f>E347*F347</f>
        <v>90000</v>
      </c>
      <c r="I347" s="16">
        <f>E347*G347</f>
        <v>120000</v>
      </c>
      <c r="J347" s="16">
        <f>I347-H347</f>
        <v>30000</v>
      </c>
      <c r="K347" s="16" t="str">
        <f>VLOOKUP(C347,[1]master_data!$A$2:$E$495,5,FALSE)</f>
        <v>Aksesoris</v>
      </c>
      <c r="L347" s="1"/>
    </row>
    <row r="348" spans="1:12" ht="12" customHeight="1" x14ac:dyDescent="0.25">
      <c r="A348" s="15">
        <v>45241</v>
      </c>
      <c r="B348" s="16">
        <v>22302160</v>
      </c>
      <c r="C348" s="16" t="s">
        <v>418</v>
      </c>
      <c r="D348" s="16" t="str">
        <f>VLOOKUP(C348,[1]master_data!$A$2:$E$495,2,FALSE)</f>
        <v>KAVIAT</v>
      </c>
      <c r="E348" s="16">
        <v>25</v>
      </c>
      <c r="F348" s="16">
        <f>VLOOKUP(C348,[1]master_data!$A$2:$E$495,3,FALSE)</f>
        <v>3500</v>
      </c>
      <c r="G348" s="16">
        <f>VLOOKUP(C348,[1]master_data!$A$2:$E$495,4,FALSE)</f>
        <v>8000</v>
      </c>
      <c r="H348" s="16">
        <f>E348*F348</f>
        <v>87500</v>
      </c>
      <c r="I348" s="16">
        <f>E348*G348</f>
        <v>200000</v>
      </c>
      <c r="J348" s="16">
        <f>I348-H348</f>
        <v>112500</v>
      </c>
      <c r="K348" s="16" t="str">
        <f>VLOOKUP(C348,[1]master_data!$A$2:$E$495,5,FALSE)</f>
        <v>Ikan</v>
      </c>
      <c r="L348" s="1"/>
    </row>
    <row r="349" spans="1:12" ht="12" customHeight="1" x14ac:dyDescent="0.25">
      <c r="A349" s="15">
        <v>45240</v>
      </c>
      <c r="B349" s="16">
        <v>22302147</v>
      </c>
      <c r="C349" s="16" t="s">
        <v>406</v>
      </c>
      <c r="D349" s="16" t="str">
        <f>VLOOKUP(C349,[1]master_data!$A$2:$E$495,2,FALSE)</f>
        <v>CATFISH</v>
      </c>
      <c r="E349" s="16">
        <v>2</v>
      </c>
      <c r="F349" s="16">
        <f>VLOOKUP(C349,[1]master_data!$A$2:$E$495,3,FALSE)</f>
        <v>20000</v>
      </c>
      <c r="G349" s="16">
        <f>VLOOKUP(C349,[1]master_data!$A$2:$E$495,4,FALSE)</f>
        <v>50000</v>
      </c>
      <c r="H349" s="16">
        <f>E349*F349</f>
        <v>40000</v>
      </c>
      <c r="I349" s="16">
        <f>E349*G349</f>
        <v>100000</v>
      </c>
      <c r="J349" s="16">
        <f>I349-H349</f>
        <v>60000</v>
      </c>
      <c r="K349" s="16" t="str">
        <f>VLOOKUP(C349,[1]master_data!$A$2:$E$495,5,FALSE)</f>
        <v>Ikan</v>
      </c>
      <c r="L349" s="1"/>
    </row>
    <row r="350" spans="1:12" ht="12" customHeight="1" x14ac:dyDescent="0.25">
      <c r="A350" s="15">
        <v>45240</v>
      </c>
      <c r="B350" s="16">
        <v>22302148</v>
      </c>
      <c r="C350" s="16" t="s">
        <v>411</v>
      </c>
      <c r="D350" s="16" t="str">
        <f>VLOOKUP(C350,[1]master_data!$A$2:$E$495,2,FALSE)</f>
        <v>KOKI K</v>
      </c>
      <c r="E350" s="16">
        <v>20</v>
      </c>
      <c r="F350" s="16">
        <f>VLOOKUP(C350,[1]master_data!$A$2:$E$495,3,FALSE)</f>
        <v>3500</v>
      </c>
      <c r="G350" s="16">
        <f>VLOOKUP(C350,[1]master_data!$A$2:$E$495,4,FALSE)</f>
        <v>10000</v>
      </c>
      <c r="H350" s="16">
        <f>E350*F350</f>
        <v>70000</v>
      </c>
      <c r="I350" s="16">
        <f>E350*G350</f>
        <v>200000</v>
      </c>
      <c r="J350" s="16">
        <f>I350-H350</f>
        <v>130000</v>
      </c>
      <c r="K350" s="16" t="str">
        <f>VLOOKUP(C350,[1]master_data!$A$2:$E$495,5,FALSE)</f>
        <v>Ikan</v>
      </c>
      <c r="L350" s="1"/>
    </row>
    <row r="351" spans="1:12" ht="12" customHeight="1" x14ac:dyDescent="0.25">
      <c r="A351" s="15">
        <v>45240</v>
      </c>
      <c r="B351" s="16">
        <v>22302149</v>
      </c>
      <c r="C351" s="16" t="s">
        <v>409</v>
      </c>
      <c r="D351" s="16" t="str">
        <f>VLOOKUP(C351,[1]master_data!$A$2:$E$495,2,FALSE)</f>
        <v>GOLDEN BLACK</v>
      </c>
      <c r="E351" s="16">
        <v>25</v>
      </c>
      <c r="F351" s="16">
        <f>VLOOKUP(C351,[1]master_data!$A$2:$E$495,3,FALSE)</f>
        <v>800</v>
      </c>
      <c r="G351" s="16">
        <f>VLOOKUP(C351,[1]master_data!$A$2:$E$495,4,FALSE)</f>
        <v>2000</v>
      </c>
      <c r="H351" s="16">
        <f>E351*F351</f>
        <v>20000</v>
      </c>
      <c r="I351" s="16">
        <f>E351*G351</f>
        <v>50000</v>
      </c>
      <c r="J351" s="16">
        <f>I351-H351</f>
        <v>30000</v>
      </c>
      <c r="K351" s="16" t="str">
        <f>VLOOKUP(C351,[1]master_data!$A$2:$E$495,5,FALSE)</f>
        <v>Ikan</v>
      </c>
      <c r="L351" s="1"/>
    </row>
    <row r="352" spans="1:12" ht="12" customHeight="1" x14ac:dyDescent="0.25">
      <c r="A352" s="15">
        <v>45240</v>
      </c>
      <c r="B352" s="16">
        <v>22302150</v>
      </c>
      <c r="C352" s="16" t="s">
        <v>403</v>
      </c>
      <c r="D352" s="16" t="str">
        <f>VLOOKUP(C352,[1]master_data!$A$2:$E$495,2,FALSE)</f>
        <v>KOMET BOKIM</v>
      </c>
      <c r="E352" s="16">
        <v>45</v>
      </c>
      <c r="F352" s="16">
        <f>VLOOKUP(C352,[1]master_data!$A$2:$E$495,3,FALSE)</f>
        <v>1500</v>
      </c>
      <c r="G352" s="16">
        <f>VLOOKUP(C352,[1]master_data!$A$2:$E$495,4,FALSE)</f>
        <v>5000</v>
      </c>
      <c r="H352" s="16">
        <f>E352*F352</f>
        <v>67500</v>
      </c>
      <c r="I352" s="16">
        <f>E352*G352</f>
        <v>225000</v>
      </c>
      <c r="J352" s="16">
        <f>I352-H352</f>
        <v>157500</v>
      </c>
      <c r="K352" s="16" t="str">
        <f>VLOOKUP(C352,[1]master_data!$A$2:$E$495,5,FALSE)</f>
        <v>Ikan</v>
      </c>
      <c r="L352" s="1"/>
    </row>
    <row r="353" spans="1:12" ht="12" customHeight="1" x14ac:dyDescent="0.25">
      <c r="A353" s="15">
        <v>45240</v>
      </c>
      <c r="B353" s="16">
        <v>22302151</v>
      </c>
      <c r="C353" s="16" t="s">
        <v>368</v>
      </c>
      <c r="D353" s="16" t="str">
        <f>VLOOKUP(C353,[1]master_data!$A$2:$E$495,2,FALSE)</f>
        <v>KAKI TOPLES</v>
      </c>
      <c r="E353" s="16">
        <v>1</v>
      </c>
      <c r="F353" s="16">
        <f>VLOOKUP(C353,[1]master_data!$A$2:$E$495,3,FALSE)</f>
        <v>19000</v>
      </c>
      <c r="G353" s="16">
        <f>VLOOKUP(C353,[1]master_data!$A$2:$E$495,4,FALSE)</f>
        <v>25000</v>
      </c>
      <c r="H353" s="16">
        <f>E353*F353</f>
        <v>19000</v>
      </c>
      <c r="I353" s="16">
        <f>E353*G353</f>
        <v>25000</v>
      </c>
      <c r="J353" s="16">
        <f>I353-H353</f>
        <v>6000</v>
      </c>
      <c r="K353" s="16" t="str">
        <f>VLOOKUP(C353,[1]master_data!$A$2:$E$495,5,FALSE)</f>
        <v>Aksesoris</v>
      </c>
      <c r="L353" s="1"/>
    </row>
    <row r="354" spans="1:12" ht="12" customHeight="1" x14ac:dyDescent="0.25">
      <c r="A354" s="15">
        <v>45240</v>
      </c>
      <c r="B354" s="16">
        <v>22302152</v>
      </c>
      <c r="C354" s="16" t="s">
        <v>115</v>
      </c>
      <c r="D354" s="16" t="str">
        <f>VLOOKUP(C354,[1]master_data!$A$2:$E$495,2,FALSE)</f>
        <v>AIRATOR  YANG LUB 2</v>
      </c>
      <c r="E354" s="16">
        <v>2</v>
      </c>
      <c r="F354" s="16">
        <f>VLOOKUP(C354,[1]master_data!$A$2:$E$495,3,FALSE)</f>
        <v>26500</v>
      </c>
      <c r="G354" s="16">
        <f>VLOOKUP(C354,[1]master_data!$A$2:$E$495,4,FALSE)</f>
        <v>50000</v>
      </c>
      <c r="H354" s="16">
        <f>E354*F354</f>
        <v>53000</v>
      </c>
      <c r="I354" s="16">
        <f>E354*G354</f>
        <v>100000</v>
      </c>
      <c r="J354" s="16">
        <f>I354-H354</f>
        <v>47000</v>
      </c>
      <c r="K354" s="16" t="str">
        <f>VLOOKUP(C354,[1]master_data!$A$2:$E$495,5,FALSE)</f>
        <v>Aksesoris</v>
      </c>
      <c r="L354" s="1"/>
    </row>
    <row r="355" spans="1:12" ht="12" customHeight="1" x14ac:dyDescent="0.25">
      <c r="A355" s="15">
        <v>45240</v>
      </c>
      <c r="B355" s="16">
        <v>22302153</v>
      </c>
      <c r="C355" s="16" t="s">
        <v>192</v>
      </c>
      <c r="D355" s="16" t="str">
        <f>VLOOKUP(C355,[1]master_data!$A$2:$E$495,2,FALSE)</f>
        <v>LED KANDILA DnN ECO 50 CM</v>
      </c>
      <c r="E355" s="16">
        <v>2</v>
      </c>
      <c r="F355" s="16">
        <f>VLOOKUP(C355,[1]master_data!$A$2:$E$495,3,FALSE)</f>
        <v>56000</v>
      </c>
      <c r="G355" s="16">
        <f>VLOOKUP(C355,[1]master_data!$A$2:$E$495,4,FALSE)</f>
        <v>85000</v>
      </c>
      <c r="H355" s="16">
        <f>E355*F355</f>
        <v>112000</v>
      </c>
      <c r="I355" s="16">
        <f>E355*G355</f>
        <v>170000</v>
      </c>
      <c r="J355" s="16">
        <f>I355-H355</f>
        <v>58000</v>
      </c>
      <c r="K355" s="16" t="str">
        <f>VLOOKUP(C355,[1]master_data!$A$2:$E$495,5,FALSE)</f>
        <v>Aksesoris</v>
      </c>
      <c r="L355" s="1"/>
    </row>
    <row r="356" spans="1:12" ht="12" customHeight="1" x14ac:dyDescent="0.25">
      <c r="A356" s="15">
        <v>45240</v>
      </c>
      <c r="B356" s="16">
        <v>22302154</v>
      </c>
      <c r="C356" s="16" t="s">
        <v>452</v>
      </c>
      <c r="D356" s="16" t="str">
        <f>VLOOKUP(C356,[1]master_data!$A$2:$E$495,2,FALSE)</f>
        <v>SYNODONTI B</v>
      </c>
      <c r="E356" s="16">
        <v>2</v>
      </c>
      <c r="F356" s="16">
        <f>VLOOKUP(C356,[1]master_data!$A$2:$E$495,3,FALSE)</f>
        <v>4000</v>
      </c>
      <c r="G356" s="16">
        <f>VLOOKUP(C356,[1]master_data!$A$2:$E$495,4,FALSE)</f>
        <v>10000</v>
      </c>
      <c r="H356" s="16">
        <f>E356*F356</f>
        <v>8000</v>
      </c>
      <c r="I356" s="16">
        <f>E356*G356</f>
        <v>20000</v>
      </c>
      <c r="J356" s="16">
        <f>I356-H356</f>
        <v>12000</v>
      </c>
      <c r="K356" s="16" t="str">
        <f>VLOOKUP(C356,[1]master_data!$A$2:$E$495,5,FALSE)</f>
        <v>Ikan</v>
      </c>
      <c r="L356" s="1"/>
    </row>
    <row r="357" spans="1:12" ht="12" customHeight="1" x14ac:dyDescent="0.25">
      <c r="A357" s="15">
        <v>45240</v>
      </c>
      <c r="B357" s="16">
        <v>22302155</v>
      </c>
      <c r="C357" s="16" t="s">
        <v>425</v>
      </c>
      <c r="D357" s="16" t="str">
        <f>VLOOKUP(C357,[1]master_data!$A$2:$E$495,2,FALSE)</f>
        <v>LEMON</v>
      </c>
      <c r="E357" s="16">
        <v>2</v>
      </c>
      <c r="F357" s="16">
        <f>VLOOKUP(C357,[1]master_data!$A$2:$E$495,3,FALSE)</f>
        <v>1000</v>
      </c>
      <c r="G357" s="16">
        <f>VLOOKUP(C357,[1]master_data!$A$2:$E$495,4,FALSE)</f>
        <v>2000</v>
      </c>
      <c r="H357" s="16">
        <f>E357*F357</f>
        <v>2000</v>
      </c>
      <c r="I357" s="16">
        <f>E357*G357</f>
        <v>4000</v>
      </c>
      <c r="J357" s="16">
        <f>I357-H357</f>
        <v>2000</v>
      </c>
      <c r="K357" s="16" t="str">
        <f>VLOOKUP(C357,[1]master_data!$A$2:$E$495,5,FALSE)</f>
        <v>Ikan</v>
      </c>
      <c r="L357" s="1"/>
    </row>
    <row r="358" spans="1:12" ht="12" customHeight="1" x14ac:dyDescent="0.25">
      <c r="A358" s="15">
        <v>45239</v>
      </c>
      <c r="B358" s="16">
        <v>22302139</v>
      </c>
      <c r="C358" s="16" t="s">
        <v>437</v>
      </c>
      <c r="D358" s="16" t="str">
        <f>VLOOKUP(C358,[1]master_data!$A$2:$E$495,2,FALSE)</f>
        <v>NEON</v>
      </c>
      <c r="E358" s="16">
        <v>25</v>
      </c>
      <c r="F358" s="16">
        <f>VLOOKUP(C358,[1]master_data!$A$2:$E$495,3,FALSE)</f>
        <v>1250</v>
      </c>
      <c r="G358" s="16">
        <f>VLOOKUP(C358,[1]master_data!$A$2:$E$495,4,FALSE)</f>
        <v>5000</v>
      </c>
      <c r="H358" s="16">
        <f>E358*F358</f>
        <v>31250</v>
      </c>
      <c r="I358" s="16">
        <f>E358*G358</f>
        <v>125000</v>
      </c>
      <c r="J358" s="16">
        <f>I358-H358</f>
        <v>93750</v>
      </c>
      <c r="K358" s="16" t="str">
        <f>VLOOKUP(C358,[1]master_data!$A$2:$E$495,5,FALSE)</f>
        <v>Ikan</v>
      </c>
      <c r="L358" s="1"/>
    </row>
    <row r="359" spans="1:12" ht="12" customHeight="1" x14ac:dyDescent="0.25">
      <c r="A359" s="15">
        <v>45239</v>
      </c>
      <c r="B359" s="16">
        <v>22302140</v>
      </c>
      <c r="C359" s="16" t="s">
        <v>332</v>
      </c>
      <c r="D359" s="16" t="str">
        <f>VLOOKUP(C359,[1]master_data!$A$2:$E$495,2,FALSE)</f>
        <v>KAPAS 2 LAPIS</v>
      </c>
      <c r="E359" s="16">
        <v>20</v>
      </c>
      <c r="F359" s="16">
        <f>VLOOKUP(C359,[1]master_data!$A$2:$E$495,3,FALSE)</f>
        <v>2000</v>
      </c>
      <c r="G359" s="16">
        <f>VLOOKUP(C359,[1]master_data!$A$2:$E$495,4,FALSE)</f>
        <v>4000</v>
      </c>
      <c r="H359" s="16">
        <f>E359*F359</f>
        <v>40000</v>
      </c>
      <c r="I359" s="16">
        <f>E359*G359</f>
        <v>80000</v>
      </c>
      <c r="J359" s="16">
        <f>I359-H359</f>
        <v>40000</v>
      </c>
      <c r="K359" s="16" t="str">
        <f>VLOOKUP(C359,[1]master_data!$A$2:$E$495,5,FALSE)</f>
        <v>Aksesoris</v>
      </c>
      <c r="L359" s="1"/>
    </row>
    <row r="360" spans="1:12" ht="12" customHeight="1" x14ac:dyDescent="0.25">
      <c r="A360" s="15">
        <v>45239</v>
      </c>
      <c r="B360" s="16">
        <v>22302141</v>
      </c>
      <c r="C360" s="16" t="s">
        <v>454</v>
      </c>
      <c r="D360" s="16" t="str">
        <f>VLOOKUP(C360,[1]master_data!$A$2:$E$495,2,FALSE)</f>
        <v>TOMAN</v>
      </c>
      <c r="E360" s="16">
        <v>1</v>
      </c>
      <c r="F360" s="16">
        <f>VLOOKUP(C360,[1]master_data!$A$2:$E$495,3,FALSE)</f>
        <v>10000</v>
      </c>
      <c r="G360" s="16">
        <f>VLOOKUP(C360,[1]master_data!$A$2:$E$495,4,FALSE)</f>
        <v>25000</v>
      </c>
      <c r="H360" s="16">
        <f>E360*F360</f>
        <v>10000</v>
      </c>
      <c r="I360" s="16">
        <f>E360*G360</f>
        <v>25000</v>
      </c>
      <c r="J360" s="16">
        <f>I360-H360</f>
        <v>15000</v>
      </c>
      <c r="K360" s="16" t="str">
        <f>VLOOKUP(C360,[1]master_data!$A$2:$E$495,5,FALSE)</f>
        <v>Ikan</v>
      </c>
      <c r="L360" s="1"/>
    </row>
    <row r="361" spans="1:12" ht="12" customHeight="1" x14ac:dyDescent="0.25">
      <c r="A361" s="15">
        <v>45239</v>
      </c>
      <c r="B361" s="16">
        <v>22302142</v>
      </c>
      <c r="C361" s="16" t="s">
        <v>413</v>
      </c>
      <c r="D361" s="16" t="str">
        <f>VLOOKUP(C361,[1]master_data!$A$2:$E$495,2,FALSE)</f>
        <v>KOKI B</v>
      </c>
      <c r="E361" s="16">
        <v>1</v>
      </c>
      <c r="F361" s="16">
        <f>VLOOKUP(C361,[1]master_data!$A$2:$E$495,3,FALSE)</f>
        <v>20000</v>
      </c>
      <c r="G361" s="16">
        <f>VLOOKUP(C361,[1]master_data!$A$2:$E$495,4,FALSE)</f>
        <v>50000</v>
      </c>
      <c r="H361" s="16">
        <f>E361*F361</f>
        <v>20000</v>
      </c>
      <c r="I361" s="16">
        <f>E361*G361</f>
        <v>50000</v>
      </c>
      <c r="J361" s="16">
        <f>I361-H361</f>
        <v>30000</v>
      </c>
      <c r="K361" s="16" t="str">
        <f>VLOOKUP(C361,[1]master_data!$A$2:$E$495,5,FALSE)</f>
        <v>Ikan</v>
      </c>
      <c r="L361" s="1"/>
    </row>
    <row r="362" spans="1:12" ht="12" customHeight="1" x14ac:dyDescent="0.25">
      <c r="A362" s="15">
        <v>45239</v>
      </c>
      <c r="B362" s="16">
        <v>22302143</v>
      </c>
      <c r="C362" s="16" t="s">
        <v>220</v>
      </c>
      <c r="D362" s="16" t="str">
        <f>VLOOKUP(C362,[1]master_data!$A$2:$E$495,2,FALSE)</f>
        <v>HIKARI FRIEND 75 GR</v>
      </c>
      <c r="E362" s="16">
        <v>5</v>
      </c>
      <c r="F362" s="16">
        <f>VLOOKUP(C362,[1]master_data!$A$2:$E$495,3,FALSE)</f>
        <v>50000</v>
      </c>
      <c r="G362" s="16">
        <f>VLOOKUP(C362,[1]master_data!$A$2:$E$495,4,FALSE)</f>
        <v>65000</v>
      </c>
      <c r="H362" s="16">
        <f>E362*F362</f>
        <v>250000</v>
      </c>
      <c r="I362" s="16">
        <f>E362*G362</f>
        <v>325000</v>
      </c>
      <c r="J362" s="16">
        <f>I362-H362</f>
        <v>75000</v>
      </c>
      <c r="K362" s="16" t="str">
        <f>VLOOKUP(C362,[1]master_data!$A$2:$E$495,5,FALSE)</f>
        <v>Aksesoris</v>
      </c>
      <c r="L362" s="1"/>
    </row>
    <row r="363" spans="1:12" ht="12" customHeight="1" x14ac:dyDescent="0.25">
      <c r="A363" s="15">
        <v>45239</v>
      </c>
      <c r="B363" s="16">
        <v>22302144</v>
      </c>
      <c r="C363" s="16" t="s">
        <v>120</v>
      </c>
      <c r="D363" s="16" t="str">
        <f>VLOOKUP(C363,[1]master_data!$A$2:$E$495,2,FALSE)</f>
        <v>LED VOSSO 30 CM</v>
      </c>
      <c r="E363" s="16">
        <v>10</v>
      </c>
      <c r="F363" s="16">
        <f>VLOOKUP(C363,[1]master_data!$A$2:$E$495,3,FALSE)</f>
        <v>21000</v>
      </c>
      <c r="G363" s="16">
        <f>VLOOKUP(C363,[1]master_data!$A$2:$E$495,4,FALSE)</f>
        <v>35000</v>
      </c>
      <c r="H363" s="16">
        <f>E363*F363</f>
        <v>210000</v>
      </c>
      <c r="I363" s="16">
        <f>E363*G363</f>
        <v>350000</v>
      </c>
      <c r="J363" s="16">
        <f>I363-H363</f>
        <v>140000</v>
      </c>
      <c r="K363" s="16" t="str">
        <f>VLOOKUP(C363,[1]master_data!$A$2:$E$495,5,FALSE)</f>
        <v>Aksesoris</v>
      </c>
      <c r="L363" s="1"/>
    </row>
    <row r="364" spans="1:12" ht="12" customHeight="1" x14ac:dyDescent="0.25">
      <c r="A364" s="15">
        <v>45239</v>
      </c>
      <c r="B364" s="16">
        <v>22302145</v>
      </c>
      <c r="C364" s="16" t="s">
        <v>450</v>
      </c>
      <c r="D364" s="16" t="str">
        <f>VLOOKUP(C364,[1]master_data!$A$2:$E$495,2,FALSE)</f>
        <v>SNOW WHITE</v>
      </c>
      <c r="E364" s="16">
        <v>20</v>
      </c>
      <c r="F364" s="16">
        <f>VLOOKUP(C364,[1]master_data!$A$2:$E$495,3,FALSE)</f>
        <v>1500</v>
      </c>
      <c r="G364" s="16">
        <f>VLOOKUP(C364,[1]master_data!$A$2:$E$495,4,FALSE)</f>
        <v>3000</v>
      </c>
      <c r="H364" s="16">
        <f>E364*F364</f>
        <v>30000</v>
      </c>
      <c r="I364" s="16">
        <f>E364*G364</f>
        <v>60000</v>
      </c>
      <c r="J364" s="16">
        <f>I364-H364</f>
        <v>30000</v>
      </c>
      <c r="K364" s="16" t="str">
        <f>VLOOKUP(C364,[1]master_data!$A$2:$E$495,5,FALSE)</f>
        <v>Ikan</v>
      </c>
      <c r="L364" s="1"/>
    </row>
    <row r="365" spans="1:12" ht="12" customHeight="1" x14ac:dyDescent="0.25">
      <c r="A365" s="15">
        <v>45239</v>
      </c>
      <c r="B365" s="16">
        <v>22302146</v>
      </c>
      <c r="C365" s="16" t="s">
        <v>407</v>
      </c>
      <c r="D365" s="16" t="str">
        <f>VLOOKUP(C365,[1]master_data!$A$2:$E$495,2,FALSE)</f>
        <v>GOLD FISH</v>
      </c>
      <c r="E365" s="16">
        <v>10</v>
      </c>
      <c r="F365" s="16">
        <f>VLOOKUP(C365,[1]master_data!$A$2:$E$495,3,FALSE)</f>
        <v>800</v>
      </c>
      <c r="G365" s="16">
        <f>VLOOKUP(C365,[1]master_data!$A$2:$E$495,4,FALSE)</f>
        <v>2000</v>
      </c>
      <c r="H365" s="16">
        <f>E365*F365</f>
        <v>8000</v>
      </c>
      <c r="I365" s="16">
        <f>E365*G365</f>
        <v>20000</v>
      </c>
      <c r="J365" s="16">
        <f>I365-H365</f>
        <v>12000</v>
      </c>
      <c r="K365" s="16" t="str">
        <f>VLOOKUP(C365,[1]master_data!$A$2:$E$495,5,FALSE)</f>
        <v>Ikan</v>
      </c>
      <c r="L365" s="1"/>
    </row>
    <row r="366" spans="1:12" ht="12" customHeight="1" x14ac:dyDescent="0.25">
      <c r="A366" s="15">
        <v>45238</v>
      </c>
      <c r="B366" s="16">
        <v>22302131</v>
      </c>
      <c r="C366" s="16" t="s">
        <v>246</v>
      </c>
      <c r="D366" s="16" t="str">
        <f>VLOOKUP(C366,[1]master_data!$A$2:$E$495,2,FALSE)</f>
        <v>AIRSTONE 40</v>
      </c>
      <c r="E366" s="16">
        <v>10</v>
      </c>
      <c r="F366" s="16">
        <f>VLOOKUP(C366,[1]master_data!$A$2:$E$495,3,FALSE)</f>
        <v>6000</v>
      </c>
      <c r="G366" s="16">
        <f>VLOOKUP(C366,[1]master_data!$A$2:$E$495,4,FALSE)</f>
        <v>12000</v>
      </c>
      <c r="H366" s="16">
        <f>E366*F366</f>
        <v>60000</v>
      </c>
      <c r="I366" s="16">
        <f>E366*G366</f>
        <v>120000</v>
      </c>
      <c r="J366" s="16">
        <f>I366-H366</f>
        <v>60000</v>
      </c>
      <c r="K366" s="16" t="str">
        <f>VLOOKUP(C366,[1]master_data!$A$2:$E$495,5,FALSE)</f>
        <v>Aksesoris</v>
      </c>
      <c r="L366" s="1"/>
    </row>
    <row r="367" spans="1:12" ht="12" customHeight="1" x14ac:dyDescent="0.25">
      <c r="A367" s="15">
        <v>45238</v>
      </c>
      <c r="B367" s="16">
        <v>22302132</v>
      </c>
      <c r="C367" s="16" t="s">
        <v>458</v>
      </c>
      <c r="D367" s="16" t="str">
        <f>VLOOKUP(C367,[1]master_data!$A$2:$E$495,2,FALSE)</f>
        <v>ZEBRA KUNING</v>
      </c>
      <c r="E367" s="16">
        <v>30</v>
      </c>
      <c r="F367" s="16">
        <f>VLOOKUP(C367,[1]master_data!$A$2:$E$495,3,FALSE)</f>
        <v>800</v>
      </c>
      <c r="G367" s="16">
        <f>VLOOKUP(C367,[1]master_data!$A$2:$E$495,4,FALSE)</f>
        <v>2000</v>
      </c>
      <c r="H367" s="16">
        <f>E367*F367</f>
        <v>24000</v>
      </c>
      <c r="I367" s="16">
        <f>E367*G367</f>
        <v>60000</v>
      </c>
      <c r="J367" s="16">
        <f>I367-H367</f>
        <v>36000</v>
      </c>
      <c r="K367" s="16" t="str">
        <f>VLOOKUP(C367,[1]master_data!$A$2:$E$495,5,FALSE)</f>
        <v>Ikan</v>
      </c>
      <c r="L367" s="1"/>
    </row>
    <row r="368" spans="1:12" ht="12" customHeight="1" x14ac:dyDescent="0.25">
      <c r="A368" s="15">
        <v>45238</v>
      </c>
      <c r="B368" s="16">
        <v>22302133</v>
      </c>
      <c r="C368" s="16" t="s">
        <v>195</v>
      </c>
      <c r="D368" s="16" t="str">
        <f>VLOOKUP(C368,[1]master_data!$A$2:$E$495,2,FALSE)</f>
        <v>LED KANDILA GOLD FISH 30 CM</v>
      </c>
      <c r="E368" s="16">
        <v>2</v>
      </c>
      <c r="F368" s="16">
        <f>VLOOKUP(C368,[1]master_data!$A$2:$E$495,3,FALSE)</f>
        <v>28000</v>
      </c>
      <c r="G368" s="16">
        <f>VLOOKUP(C368,[1]master_data!$A$2:$E$495,4,FALSE)</f>
        <v>45000</v>
      </c>
      <c r="H368" s="16">
        <f>E368*F368</f>
        <v>56000</v>
      </c>
      <c r="I368" s="16">
        <f>E368*G368</f>
        <v>90000</v>
      </c>
      <c r="J368" s="16">
        <f>I368-H368</f>
        <v>34000</v>
      </c>
      <c r="K368" s="16" t="str">
        <f>VLOOKUP(C368,[1]master_data!$A$2:$E$495,5,FALSE)</f>
        <v>Aksesoris</v>
      </c>
      <c r="L368" s="1"/>
    </row>
    <row r="369" spans="1:12" ht="12" customHeight="1" x14ac:dyDescent="0.25">
      <c r="A369" s="15">
        <v>45238</v>
      </c>
      <c r="B369" s="16">
        <v>22302134</v>
      </c>
      <c r="C369" s="16" t="s">
        <v>419</v>
      </c>
      <c r="D369" s="16" t="str">
        <f>VLOOKUP(C369,[1]master_data!$A$2:$E$495,2,FALSE)</f>
        <v>KOMET PAKAN</v>
      </c>
      <c r="E369" s="16">
        <v>90</v>
      </c>
      <c r="F369" s="16">
        <f>VLOOKUP(C369,[1]master_data!$A$2:$E$495,3,FALSE)</f>
        <v>300</v>
      </c>
      <c r="G369" s="16">
        <f>VLOOKUP(C369,[1]master_data!$A$2:$E$495,4,FALSE)</f>
        <v>1000</v>
      </c>
      <c r="H369" s="16">
        <f>E369*F369</f>
        <v>27000</v>
      </c>
      <c r="I369" s="16">
        <f>E369*G369</f>
        <v>90000</v>
      </c>
      <c r="J369" s="16">
        <f>I369-H369</f>
        <v>63000</v>
      </c>
      <c r="K369" s="16" t="str">
        <f>VLOOKUP(C369,[1]master_data!$A$2:$E$495,5,FALSE)</f>
        <v>Ikan</v>
      </c>
      <c r="L369" s="1"/>
    </row>
    <row r="370" spans="1:12" ht="12" customHeight="1" x14ac:dyDescent="0.25">
      <c r="A370" s="15">
        <v>45238</v>
      </c>
      <c r="B370" s="16">
        <v>22302135</v>
      </c>
      <c r="C370" s="16" t="s">
        <v>159</v>
      </c>
      <c r="D370" s="16" t="str">
        <f>VLOOKUP(C370,[1]master_data!$A$2:$E$495,2,FALSE)</f>
        <v>LED KANDILA PRO RED 60 CM</v>
      </c>
      <c r="E370" s="16">
        <v>2</v>
      </c>
      <c r="F370" s="16">
        <f>VLOOKUP(C370,[1]master_data!$A$2:$E$495,3,FALSE)</f>
        <v>170000</v>
      </c>
      <c r="G370" s="16">
        <f>VLOOKUP(C370,[1]master_data!$A$2:$E$495,4,FALSE)</f>
        <v>215000</v>
      </c>
      <c r="H370" s="16">
        <f>E370*F370</f>
        <v>340000</v>
      </c>
      <c r="I370" s="16">
        <f>E370*G370</f>
        <v>430000</v>
      </c>
      <c r="J370" s="16">
        <f>I370-H370</f>
        <v>90000</v>
      </c>
      <c r="K370" s="16" t="str">
        <f>VLOOKUP(C370,[1]master_data!$A$2:$E$495,5,FALSE)</f>
        <v>Aksesoris</v>
      </c>
      <c r="L370" s="1"/>
    </row>
    <row r="371" spans="1:12" ht="12" customHeight="1" x14ac:dyDescent="0.25">
      <c r="A371" s="15">
        <v>45238</v>
      </c>
      <c r="B371" s="16">
        <v>22302136</v>
      </c>
      <c r="C371" s="16" t="s">
        <v>430</v>
      </c>
      <c r="D371" s="16" t="str">
        <f>VLOOKUP(C371,[1]master_data!$A$2:$E$495,2,FALSE)</f>
        <v>MARU K</v>
      </c>
      <c r="E371" s="16">
        <v>1</v>
      </c>
      <c r="F371" s="16">
        <f>VLOOKUP(C371,[1]master_data!$A$2:$E$495,3,FALSE)</f>
        <v>23000</v>
      </c>
      <c r="G371" s="16">
        <f>VLOOKUP(C371,[1]master_data!$A$2:$E$495,4,FALSE)</f>
        <v>50000</v>
      </c>
      <c r="H371" s="16">
        <f>E371*F371</f>
        <v>23000</v>
      </c>
      <c r="I371" s="16">
        <f>E371*G371</f>
        <v>50000</v>
      </c>
      <c r="J371" s="16">
        <f>I371-H371</f>
        <v>27000</v>
      </c>
      <c r="K371" s="16" t="str">
        <f>VLOOKUP(C371,[1]master_data!$A$2:$E$495,5,FALSE)</f>
        <v>Ikan</v>
      </c>
      <c r="L371" s="1"/>
    </row>
    <row r="372" spans="1:12" ht="12" customHeight="1" x14ac:dyDescent="0.25">
      <c r="A372" s="15">
        <v>45238</v>
      </c>
      <c r="B372" s="16">
        <v>22302137</v>
      </c>
      <c r="C372" s="16" t="s">
        <v>424</v>
      </c>
      <c r="D372" s="16" t="str">
        <f>VLOOKUP(C372,[1]master_data!$A$2:$E$495,2,FALSE)</f>
        <v>DISCUS</v>
      </c>
      <c r="E372" s="16">
        <v>2</v>
      </c>
      <c r="F372" s="16">
        <f>VLOOKUP(C372,[1]master_data!$A$2:$E$495,3,FALSE)</f>
        <v>50000</v>
      </c>
      <c r="G372" s="16">
        <f>VLOOKUP(C372,[1]master_data!$A$2:$E$495,4,FALSE)</f>
        <v>150000</v>
      </c>
      <c r="H372" s="16">
        <f>E372*F372</f>
        <v>100000</v>
      </c>
      <c r="I372" s="16">
        <f>E372*G372</f>
        <v>300000</v>
      </c>
      <c r="J372" s="16">
        <f>I372-H372</f>
        <v>200000</v>
      </c>
      <c r="K372" s="16" t="str">
        <f>VLOOKUP(C372,[1]master_data!$A$2:$E$495,5,FALSE)</f>
        <v>Ikan</v>
      </c>
      <c r="L372" s="1"/>
    </row>
    <row r="373" spans="1:12" ht="12" customHeight="1" x14ac:dyDescent="0.25">
      <c r="A373" s="15">
        <v>45238</v>
      </c>
      <c r="B373" s="16">
        <v>22302138</v>
      </c>
      <c r="C373" s="16" t="s">
        <v>283</v>
      </c>
      <c r="D373" s="16" t="str">
        <f>VLOOKUP(C373,[1]master_data!$A$2:$E$495,2,FALSE)</f>
        <v>KAPAS HITAM OXY</v>
      </c>
      <c r="E373" s="16">
        <v>26</v>
      </c>
      <c r="F373" s="16">
        <f>VLOOKUP(C373,[1]master_data!$A$2:$E$495,3,FALSE)</f>
        <v>7000</v>
      </c>
      <c r="G373" s="16">
        <f>VLOOKUP(C373,[1]master_data!$A$2:$E$495,4,FALSE)</f>
        <v>10000</v>
      </c>
      <c r="H373" s="16">
        <f>E373*F373</f>
        <v>182000</v>
      </c>
      <c r="I373" s="16">
        <f>E373*G373</f>
        <v>260000</v>
      </c>
      <c r="J373" s="16">
        <f>I373-H373</f>
        <v>78000</v>
      </c>
      <c r="K373" s="16" t="str">
        <f>VLOOKUP(C373,[1]master_data!$A$2:$E$495,5,FALSE)</f>
        <v>Aksesoris</v>
      </c>
      <c r="L373" s="1"/>
    </row>
    <row r="374" spans="1:12" ht="12" customHeight="1" x14ac:dyDescent="0.25">
      <c r="A374" s="15">
        <v>45237</v>
      </c>
      <c r="B374" s="16">
        <v>22302121</v>
      </c>
      <c r="C374" s="16" t="s">
        <v>140</v>
      </c>
      <c r="D374" s="16" t="str">
        <f>VLOOKUP(C374,[1]master_data!$A$2:$E$495,2,FALSE)</f>
        <v>LED NIKITA 3 MODE 80 CM</v>
      </c>
      <c r="E374" s="16">
        <v>1</v>
      </c>
      <c r="F374" s="16">
        <f>VLOOKUP(C374,[1]master_data!$A$2:$E$495,3,FALSE)</f>
        <v>53000</v>
      </c>
      <c r="G374" s="16">
        <f>VLOOKUP(C374,[1]master_data!$A$2:$E$495,4,FALSE)</f>
        <v>80000</v>
      </c>
      <c r="H374" s="16">
        <f>E374*F374</f>
        <v>53000</v>
      </c>
      <c r="I374" s="16">
        <f>E374*G374</f>
        <v>80000</v>
      </c>
      <c r="J374" s="16">
        <f>I374-H374</f>
        <v>27000</v>
      </c>
      <c r="K374" s="16" t="str">
        <f>VLOOKUP(C374,[1]master_data!$A$2:$E$495,5,FALSE)</f>
        <v>Aksesoris</v>
      </c>
      <c r="L374" s="1"/>
    </row>
    <row r="375" spans="1:12" ht="12" customHeight="1" x14ac:dyDescent="0.25">
      <c r="A375" s="15">
        <v>45237</v>
      </c>
      <c r="B375" s="16">
        <v>22302122</v>
      </c>
      <c r="C375" s="16" t="s">
        <v>393</v>
      </c>
      <c r="D375" s="16" t="str">
        <f>VLOOKUP(C375,[1]master_data!$A$2:$E$495,2,FALSE)</f>
        <v>ARWANA SILVER B</v>
      </c>
      <c r="E375" s="16">
        <v>1</v>
      </c>
      <c r="F375" s="16">
        <f>VLOOKUP(C375,[1]master_data!$A$2:$E$495,3,FALSE)</f>
        <v>300000</v>
      </c>
      <c r="G375" s="16">
        <f>VLOOKUP(C375,[1]master_data!$A$2:$E$495,4,FALSE)</f>
        <v>500000</v>
      </c>
      <c r="H375" s="16">
        <f>E375*F375</f>
        <v>300000</v>
      </c>
      <c r="I375" s="16">
        <f>E375*G375</f>
        <v>500000</v>
      </c>
      <c r="J375" s="16">
        <f>I375-H375</f>
        <v>200000</v>
      </c>
      <c r="K375" s="16" t="str">
        <f>VLOOKUP(C375,[1]master_data!$A$2:$E$495,5,FALSE)</f>
        <v>Ikan</v>
      </c>
      <c r="L375" s="1"/>
    </row>
    <row r="376" spans="1:12" ht="12" customHeight="1" x14ac:dyDescent="0.25">
      <c r="A376" s="15">
        <v>45237</v>
      </c>
      <c r="B376" s="16">
        <v>22302123</v>
      </c>
      <c r="C376" s="16" t="s">
        <v>300</v>
      </c>
      <c r="D376" s="16" t="str">
        <f>VLOOKUP(C376,[1]master_data!$A$2:$E$495,2,FALSE)</f>
        <v>MAINAN NAGA DRAGON</v>
      </c>
      <c r="E376" s="16">
        <v>1</v>
      </c>
      <c r="F376" s="16">
        <f>VLOOKUP(C376,[1]master_data!$A$2:$E$495,3,FALSE)</f>
        <v>26000</v>
      </c>
      <c r="G376" s="16">
        <f>VLOOKUP(C376,[1]master_data!$A$2:$E$495,4,FALSE)</f>
        <v>40000</v>
      </c>
      <c r="H376" s="16">
        <f>E376*F376</f>
        <v>26000</v>
      </c>
      <c r="I376" s="16">
        <f>E376*G376</f>
        <v>40000</v>
      </c>
      <c r="J376" s="16">
        <f>I376-H376</f>
        <v>14000</v>
      </c>
      <c r="K376" s="16" t="str">
        <f>VLOOKUP(C376,[1]master_data!$A$2:$E$495,5,FALSE)</f>
        <v>Aksesoris</v>
      </c>
      <c r="L376" s="1"/>
    </row>
    <row r="377" spans="1:12" ht="12" customHeight="1" x14ac:dyDescent="0.25">
      <c r="A377" s="15">
        <v>45237</v>
      </c>
      <c r="B377" s="16">
        <v>22302124</v>
      </c>
      <c r="C377" s="16" t="s">
        <v>458</v>
      </c>
      <c r="D377" s="16" t="str">
        <f>VLOOKUP(C377,[1]master_data!$A$2:$E$495,2,FALSE)</f>
        <v>ZEBRA KUNING</v>
      </c>
      <c r="E377" s="16">
        <v>15</v>
      </c>
      <c r="F377" s="16">
        <f>VLOOKUP(C377,[1]master_data!$A$2:$E$495,3,FALSE)</f>
        <v>800</v>
      </c>
      <c r="G377" s="16">
        <f>VLOOKUP(C377,[1]master_data!$A$2:$E$495,4,FALSE)</f>
        <v>2000</v>
      </c>
      <c r="H377" s="16">
        <f>E377*F377</f>
        <v>12000</v>
      </c>
      <c r="I377" s="16">
        <f>E377*G377</f>
        <v>30000</v>
      </c>
      <c r="J377" s="16">
        <f>I377-H377</f>
        <v>18000</v>
      </c>
      <c r="K377" s="16" t="str">
        <f>VLOOKUP(C377,[1]master_data!$A$2:$E$495,5,FALSE)</f>
        <v>Ikan</v>
      </c>
      <c r="L377" s="1"/>
    </row>
    <row r="378" spans="1:12" ht="12" customHeight="1" x14ac:dyDescent="0.25">
      <c r="A378" s="15">
        <v>45237</v>
      </c>
      <c r="B378" s="16">
        <v>22302125</v>
      </c>
      <c r="C378" s="16" t="s">
        <v>435</v>
      </c>
      <c r="D378" s="16" t="str">
        <f>VLOOKUP(C378,[1]master_data!$A$2:$E$495,2,FALSE)</f>
        <v>RED EYE TETRA</v>
      </c>
      <c r="E378" s="16">
        <v>30</v>
      </c>
      <c r="F378" s="16">
        <f>VLOOKUP(C378,[1]master_data!$A$2:$E$495,3,FALSE)</f>
        <v>900</v>
      </c>
      <c r="G378" s="16">
        <f>VLOOKUP(C378,[1]master_data!$A$2:$E$495,4,FALSE)</f>
        <v>2000</v>
      </c>
      <c r="H378" s="16">
        <f>E378*F378</f>
        <v>27000</v>
      </c>
      <c r="I378" s="16">
        <f>E378*G378</f>
        <v>60000</v>
      </c>
      <c r="J378" s="16">
        <f>I378-H378</f>
        <v>33000</v>
      </c>
      <c r="K378" s="16" t="str">
        <f>VLOOKUP(C378,[1]master_data!$A$2:$E$495,5,FALSE)</f>
        <v>Ikan</v>
      </c>
      <c r="L378" s="1"/>
    </row>
    <row r="379" spans="1:12" ht="12" customHeight="1" x14ac:dyDescent="0.25">
      <c r="A379" s="15">
        <v>45237</v>
      </c>
      <c r="B379" s="16">
        <v>22302126</v>
      </c>
      <c r="C379" s="16" t="s">
        <v>406</v>
      </c>
      <c r="D379" s="16" t="str">
        <f>VLOOKUP(C379,[1]master_data!$A$2:$E$495,2,FALSE)</f>
        <v>CATFISH</v>
      </c>
      <c r="E379" s="16">
        <v>1</v>
      </c>
      <c r="F379" s="16">
        <f>VLOOKUP(C379,[1]master_data!$A$2:$E$495,3,FALSE)</f>
        <v>20000</v>
      </c>
      <c r="G379" s="16">
        <f>VLOOKUP(C379,[1]master_data!$A$2:$E$495,4,FALSE)</f>
        <v>50000</v>
      </c>
      <c r="H379" s="16">
        <f>E379*F379</f>
        <v>20000</v>
      </c>
      <c r="I379" s="16">
        <f>E379*G379</f>
        <v>50000</v>
      </c>
      <c r="J379" s="16">
        <f>I379-H379</f>
        <v>30000</v>
      </c>
      <c r="K379" s="16" t="str">
        <f>VLOOKUP(C379,[1]master_data!$A$2:$E$495,5,FALSE)</f>
        <v>Ikan</v>
      </c>
      <c r="L379" s="1"/>
    </row>
    <row r="380" spans="1:12" ht="12" customHeight="1" x14ac:dyDescent="0.25">
      <c r="A380" s="15">
        <v>45237</v>
      </c>
      <c r="B380" s="16">
        <v>22302127</v>
      </c>
      <c r="C380" s="16" t="s">
        <v>446</v>
      </c>
      <c r="D380" s="16" t="str">
        <f>VLOOKUP(C380,[1]master_data!$A$2:$E$495,2,FALSE)</f>
        <v xml:space="preserve"> CHANNA RED BARITO K</v>
      </c>
      <c r="E380" s="16">
        <v>1</v>
      </c>
      <c r="F380" s="16">
        <f>VLOOKUP(C380,[1]master_data!$A$2:$E$495,3,FALSE)</f>
        <v>45000</v>
      </c>
      <c r="G380" s="16">
        <f>VLOOKUP(C380,[1]master_data!$A$2:$E$495,4,FALSE)</f>
        <v>100000</v>
      </c>
      <c r="H380" s="16">
        <f>E380*F380</f>
        <v>45000</v>
      </c>
      <c r="I380" s="16">
        <f>E380*G380</f>
        <v>100000</v>
      </c>
      <c r="J380" s="16">
        <f>I380-H380</f>
        <v>55000</v>
      </c>
      <c r="K380" s="16" t="str">
        <f>VLOOKUP(C380,[1]master_data!$A$2:$E$495,5,FALSE)</f>
        <v>Ikan</v>
      </c>
      <c r="L380" s="1"/>
    </row>
    <row r="381" spans="1:12" ht="12" customHeight="1" x14ac:dyDescent="0.25">
      <c r="A381" s="15">
        <v>45237</v>
      </c>
      <c r="B381" s="16">
        <v>22302128</v>
      </c>
      <c r="C381" s="16" t="s">
        <v>141</v>
      </c>
      <c r="D381" s="16" t="str">
        <f>VLOOKUP(C381,[1]master_data!$A$2:$E$495,2,FALSE)</f>
        <v>LED YANG HW 30 CM</v>
      </c>
      <c r="E381" s="16">
        <v>3</v>
      </c>
      <c r="F381" s="16">
        <f>VLOOKUP(C381,[1]master_data!$A$2:$E$495,3,FALSE)</f>
        <v>56000</v>
      </c>
      <c r="G381" s="16">
        <f>VLOOKUP(C381,[1]master_data!$A$2:$E$495,4,FALSE)</f>
        <v>75000</v>
      </c>
      <c r="H381" s="16">
        <f>E381*F381</f>
        <v>168000</v>
      </c>
      <c r="I381" s="16">
        <f>E381*G381</f>
        <v>225000</v>
      </c>
      <c r="J381" s="16">
        <f>I381-H381</f>
        <v>57000</v>
      </c>
      <c r="K381" s="16" t="str">
        <f>VLOOKUP(C381,[1]master_data!$A$2:$E$495,5,FALSE)</f>
        <v>Aksesoris</v>
      </c>
      <c r="L381" s="1"/>
    </row>
    <row r="382" spans="1:12" ht="12" customHeight="1" x14ac:dyDescent="0.25">
      <c r="A382" s="15">
        <v>45237</v>
      </c>
      <c r="B382" s="16">
        <v>22302129</v>
      </c>
      <c r="C382" s="16" t="s">
        <v>428</v>
      </c>
      <c r="D382" s="16" t="str">
        <f>VLOOKUP(C382,[1]master_data!$A$2:$E$495,2,FALSE)</f>
        <v>MANFISH K</v>
      </c>
      <c r="E382" s="16">
        <v>1</v>
      </c>
      <c r="F382" s="16">
        <f>VLOOKUP(C382,[1]master_data!$A$2:$E$495,3,FALSE)</f>
        <v>2000</v>
      </c>
      <c r="G382" s="16">
        <f>VLOOKUP(C382,[1]master_data!$A$2:$E$495,4,FALSE)</f>
        <v>5000</v>
      </c>
      <c r="H382" s="16">
        <f>E382*F382</f>
        <v>2000</v>
      </c>
      <c r="I382" s="16">
        <f>E382*G382</f>
        <v>5000</v>
      </c>
      <c r="J382" s="16">
        <f>I382-H382</f>
        <v>3000</v>
      </c>
      <c r="K382" s="16" t="str">
        <f>VLOOKUP(C382,[1]master_data!$A$2:$E$495,5,FALSE)</f>
        <v>Ikan</v>
      </c>
      <c r="L382" s="1"/>
    </row>
    <row r="383" spans="1:12" ht="12" customHeight="1" x14ac:dyDescent="0.25">
      <c r="A383" s="15">
        <v>45237</v>
      </c>
      <c r="B383" s="16">
        <v>22302130</v>
      </c>
      <c r="C383" s="16" t="s">
        <v>340</v>
      </c>
      <c r="D383" s="16" t="str">
        <f>VLOOKUP(C383,[1]master_data!$A$2:$E$495,2,FALSE)</f>
        <v>KUTUB LAS</v>
      </c>
      <c r="E383" s="16">
        <v>1</v>
      </c>
      <c r="F383" s="16">
        <f>VLOOKUP(C383,[1]master_data!$A$2:$E$495,3,FALSE)</f>
        <v>15000</v>
      </c>
      <c r="G383" s="16">
        <f>VLOOKUP(C383,[1]master_data!$A$2:$E$495,4,FALSE)</f>
        <v>25000</v>
      </c>
      <c r="H383" s="16">
        <f>E383*F383</f>
        <v>15000</v>
      </c>
      <c r="I383" s="16">
        <f>E383*G383</f>
        <v>25000</v>
      </c>
      <c r="J383" s="16">
        <f>I383-H383</f>
        <v>10000</v>
      </c>
      <c r="K383" s="16" t="str">
        <f>VLOOKUP(C383,[1]master_data!$A$2:$E$495,5,FALSE)</f>
        <v>Aksesoris</v>
      </c>
      <c r="L383" s="1"/>
    </row>
    <row r="384" spans="1:12" ht="12" customHeight="1" x14ac:dyDescent="0.25">
      <c r="A384" s="15">
        <v>45236</v>
      </c>
      <c r="B384" s="16">
        <v>22302113</v>
      </c>
      <c r="C384" s="16" t="s">
        <v>444</v>
      </c>
      <c r="D384" s="16" t="str">
        <f>VLOOKUP(C384,[1]master_data!$A$2:$E$495,2,FALSE)</f>
        <v>REDFIN HITAM</v>
      </c>
      <c r="E384" s="16">
        <v>20</v>
      </c>
      <c r="F384" s="16">
        <f>VLOOKUP(C384,[1]master_data!$A$2:$E$495,3,FALSE)</f>
        <v>1500</v>
      </c>
      <c r="G384" s="16">
        <f>VLOOKUP(C384,[1]master_data!$A$2:$E$495,4,FALSE)</f>
        <v>4000</v>
      </c>
      <c r="H384" s="16">
        <f>E384*F384</f>
        <v>30000</v>
      </c>
      <c r="I384" s="16">
        <f>E384*G384</f>
        <v>80000</v>
      </c>
      <c r="J384" s="16">
        <f>I384-H384</f>
        <v>50000</v>
      </c>
      <c r="K384" s="16" t="str">
        <f>VLOOKUP(C384,[1]master_data!$A$2:$E$495,5,FALSE)</f>
        <v>Ikan</v>
      </c>
      <c r="L384" s="1"/>
    </row>
    <row r="385" spans="1:12" ht="12" customHeight="1" x14ac:dyDescent="0.25">
      <c r="A385" s="15">
        <v>45236</v>
      </c>
      <c r="B385" s="16">
        <v>22302114</v>
      </c>
      <c r="C385" s="16" t="s">
        <v>456</v>
      </c>
      <c r="D385" s="16" t="str">
        <f>VLOOKUP(C385,[1]master_data!$A$2:$E$495,2,FALSE)</f>
        <v>ZEBRA HIJAU</v>
      </c>
      <c r="E385" s="16">
        <v>30</v>
      </c>
      <c r="F385" s="16">
        <f>VLOOKUP(C385,[1]master_data!$A$2:$E$495,3,FALSE)</f>
        <v>800</v>
      </c>
      <c r="G385" s="16">
        <f>VLOOKUP(C385,[1]master_data!$A$2:$E$495,4,FALSE)</f>
        <v>2000</v>
      </c>
      <c r="H385" s="16">
        <f>E385*F385</f>
        <v>24000</v>
      </c>
      <c r="I385" s="16">
        <f>E385*G385</f>
        <v>60000</v>
      </c>
      <c r="J385" s="16">
        <f>I385-H385</f>
        <v>36000</v>
      </c>
      <c r="K385" s="16" t="str">
        <f>VLOOKUP(C385,[1]master_data!$A$2:$E$495,5,FALSE)</f>
        <v>Ikan</v>
      </c>
      <c r="L385" s="1"/>
    </row>
    <row r="386" spans="1:12" ht="12" customHeight="1" x14ac:dyDescent="0.25">
      <c r="A386" s="15">
        <v>45236</v>
      </c>
      <c r="B386" s="16">
        <v>22302115</v>
      </c>
      <c r="C386" s="16" t="s">
        <v>408</v>
      </c>
      <c r="D386" s="16" t="str">
        <f>VLOOKUP(C386,[1]master_data!$A$2:$E$495,2,FALSE)</f>
        <v>GUPY</v>
      </c>
      <c r="E386" s="16">
        <v>15</v>
      </c>
      <c r="F386" s="16">
        <f>VLOOKUP(C386,[1]master_data!$A$2:$E$495,3,FALSE)</f>
        <v>1200</v>
      </c>
      <c r="G386" s="16">
        <f>VLOOKUP(C386,[1]master_data!$A$2:$E$495,4,FALSE)</f>
        <v>2500</v>
      </c>
      <c r="H386" s="16">
        <f>E386*F386</f>
        <v>18000</v>
      </c>
      <c r="I386" s="16">
        <f>E386*G386</f>
        <v>37500</v>
      </c>
      <c r="J386" s="16">
        <f>I386-H386</f>
        <v>19500</v>
      </c>
      <c r="K386" s="16" t="str">
        <f>VLOOKUP(C386,[1]master_data!$A$2:$E$495,5,FALSE)</f>
        <v>Ikan</v>
      </c>
      <c r="L386" s="1"/>
    </row>
    <row r="387" spans="1:12" ht="12" customHeight="1" x14ac:dyDescent="0.25">
      <c r="A387" s="15">
        <v>45236</v>
      </c>
      <c r="B387" s="16">
        <v>22302116</v>
      </c>
      <c r="C387" s="16" t="s">
        <v>414</v>
      </c>
      <c r="D387" s="16" t="str">
        <f>VLOOKUP(C387,[1]master_data!$A$2:$E$495,2,FALSE)</f>
        <v>KOI K</v>
      </c>
      <c r="E387" s="16">
        <v>10</v>
      </c>
      <c r="F387" s="16">
        <f>VLOOKUP(C387,[1]master_data!$A$2:$E$495,3,FALSE)</f>
        <v>2500</v>
      </c>
      <c r="G387" s="16">
        <f>VLOOKUP(C387,[1]master_data!$A$2:$E$495,4,FALSE)</f>
        <v>10000</v>
      </c>
      <c r="H387" s="16">
        <f>E387*F387</f>
        <v>25000</v>
      </c>
      <c r="I387" s="16">
        <f>E387*G387</f>
        <v>100000</v>
      </c>
      <c r="J387" s="16">
        <f>I387-H387</f>
        <v>75000</v>
      </c>
      <c r="K387" s="16" t="str">
        <f>VLOOKUP(C387,[1]master_data!$A$2:$E$495,5,FALSE)</f>
        <v>Ikan</v>
      </c>
      <c r="L387" s="1"/>
    </row>
    <row r="388" spans="1:12" ht="12" customHeight="1" x14ac:dyDescent="0.25">
      <c r="A388" s="15">
        <v>45236</v>
      </c>
      <c r="B388" s="16">
        <v>22302117</v>
      </c>
      <c r="C388" s="16" t="s">
        <v>163</v>
      </c>
      <c r="D388" s="16" t="str">
        <f>VLOOKUP(C388,[1]master_data!$A$2:$E$495,2,FALSE)</f>
        <v>LED KANDILA VIBRANT 60 CM</v>
      </c>
      <c r="E388" s="16">
        <v>2</v>
      </c>
      <c r="F388" s="16">
        <f>VLOOKUP(C388,[1]master_data!$A$2:$E$495,3,FALSE)</f>
        <v>109000</v>
      </c>
      <c r="G388" s="16">
        <f>VLOOKUP(C388,[1]master_data!$A$2:$E$495,4,FALSE)</f>
        <v>150000</v>
      </c>
      <c r="H388" s="16">
        <f>E388*F388</f>
        <v>218000</v>
      </c>
      <c r="I388" s="16">
        <f>E388*G388</f>
        <v>300000</v>
      </c>
      <c r="J388" s="16">
        <f>I388-H388</f>
        <v>82000</v>
      </c>
      <c r="K388" s="16" t="str">
        <f>VLOOKUP(C388,[1]master_data!$A$2:$E$495,5,FALSE)</f>
        <v>Aksesoris</v>
      </c>
      <c r="L388" s="1"/>
    </row>
    <row r="389" spans="1:12" ht="12" customHeight="1" x14ac:dyDescent="0.25">
      <c r="A389" s="15">
        <v>45236</v>
      </c>
      <c r="B389" s="16">
        <v>22302118</v>
      </c>
      <c r="C389" s="16" t="s">
        <v>447</v>
      </c>
      <c r="D389" s="16" t="str">
        <f>VLOOKUP(C389,[1]master_data!$A$2:$E$495,2,FALSE)</f>
        <v>CHANNA RED BARITO B</v>
      </c>
      <c r="E389" s="16">
        <v>1</v>
      </c>
      <c r="F389" s="16">
        <f>VLOOKUP(C389,[1]master_data!$A$2:$E$495,3,FALSE)</f>
        <v>120000</v>
      </c>
      <c r="G389" s="16">
        <f>VLOOKUP(C389,[1]master_data!$A$2:$E$495,4,FALSE)</f>
        <v>200000</v>
      </c>
      <c r="H389" s="16">
        <f>E389*F389</f>
        <v>120000</v>
      </c>
      <c r="I389" s="16">
        <f>E389*G389</f>
        <v>200000</v>
      </c>
      <c r="J389" s="16">
        <f>I389-H389</f>
        <v>80000</v>
      </c>
      <c r="K389" s="16" t="str">
        <f>VLOOKUP(C389,[1]master_data!$A$2:$E$495,5,FALSE)</f>
        <v>Ikan</v>
      </c>
      <c r="L389" s="1"/>
    </row>
    <row r="390" spans="1:12" ht="12" customHeight="1" x14ac:dyDescent="0.25">
      <c r="A390" s="15">
        <v>45236</v>
      </c>
      <c r="B390" s="16">
        <v>22302119</v>
      </c>
      <c r="C390" s="16" t="s">
        <v>88</v>
      </c>
      <c r="D390" s="16" t="str">
        <f>VLOOKUP(C390,[1]master_data!$A$2:$E$495,2,FALSE)</f>
        <v>MESIN ARMADA 1150L</v>
      </c>
      <c r="E390" s="16">
        <v>1</v>
      </c>
      <c r="F390" s="16">
        <f>VLOOKUP(C390,[1]master_data!$A$2:$E$495,3,FALSE)</f>
        <v>42000</v>
      </c>
      <c r="G390" s="16">
        <f>VLOOKUP(C390,[1]master_data!$A$2:$E$495,4,FALSE)</f>
        <v>55000</v>
      </c>
      <c r="H390" s="16">
        <f>E390*F390</f>
        <v>42000</v>
      </c>
      <c r="I390" s="16">
        <f>E390*G390</f>
        <v>55000</v>
      </c>
      <c r="J390" s="16">
        <f>I390-H390</f>
        <v>13000</v>
      </c>
      <c r="K390" s="16" t="str">
        <f>VLOOKUP(C390,[1]master_data!$A$2:$E$495,5,FALSE)</f>
        <v>Aksesoris</v>
      </c>
      <c r="L390" s="1"/>
    </row>
    <row r="391" spans="1:12" ht="12" customHeight="1" x14ac:dyDescent="0.25">
      <c r="A391" s="15">
        <v>45236</v>
      </c>
      <c r="B391" s="16">
        <v>22302120</v>
      </c>
      <c r="C391" s="16" t="s">
        <v>447</v>
      </c>
      <c r="D391" s="16" t="str">
        <f>VLOOKUP(C391,[1]master_data!$A$2:$E$495,2,FALSE)</f>
        <v>CHANNA RED BARITO B</v>
      </c>
      <c r="E391" s="16">
        <v>1</v>
      </c>
      <c r="F391" s="16">
        <f>VLOOKUP(C391,[1]master_data!$A$2:$E$495,3,FALSE)</f>
        <v>120000</v>
      </c>
      <c r="G391" s="16">
        <f>VLOOKUP(C391,[1]master_data!$A$2:$E$495,4,FALSE)</f>
        <v>200000</v>
      </c>
      <c r="H391" s="16">
        <f>E391*F391</f>
        <v>120000</v>
      </c>
      <c r="I391" s="16">
        <f>E391*G391</f>
        <v>200000</v>
      </c>
      <c r="J391" s="16">
        <f>I391-H391</f>
        <v>80000</v>
      </c>
      <c r="K391" s="16" t="str">
        <f>VLOOKUP(C391,[1]master_data!$A$2:$E$495,5,FALSE)</f>
        <v>Ikan</v>
      </c>
      <c r="L391" s="1"/>
    </row>
    <row r="392" spans="1:12" ht="12" customHeight="1" x14ac:dyDescent="0.25">
      <c r="A392" s="15">
        <v>45235</v>
      </c>
      <c r="B392" s="16">
        <v>22302104</v>
      </c>
      <c r="C392" s="16" t="s">
        <v>422</v>
      </c>
      <c r="D392" s="16" t="str">
        <f>VLOOKUP(C392,[1]master_data!$A$2:$E$495,2,FALSE)</f>
        <v>KOI SLAYER B</v>
      </c>
      <c r="E392" s="16">
        <v>2</v>
      </c>
      <c r="F392" s="16">
        <f>VLOOKUP(C392,[1]master_data!$A$2:$E$495,3,FALSE)</f>
        <v>8000</v>
      </c>
      <c r="G392" s="16">
        <f>VLOOKUP(C392,[1]master_data!$A$2:$E$495,4,FALSE)</f>
        <v>20000</v>
      </c>
      <c r="H392" s="16">
        <f>E392*F392</f>
        <v>16000</v>
      </c>
      <c r="I392" s="16">
        <f>E392*G392</f>
        <v>40000</v>
      </c>
      <c r="J392" s="16">
        <f>I392-H392</f>
        <v>24000</v>
      </c>
      <c r="K392" s="16" t="str">
        <f>VLOOKUP(C392,[1]master_data!$A$2:$E$495,5,FALSE)</f>
        <v>Ikan</v>
      </c>
      <c r="L392" s="1"/>
    </row>
    <row r="393" spans="1:12" ht="12" customHeight="1" x14ac:dyDescent="0.25">
      <c r="A393" s="15">
        <v>45235</v>
      </c>
      <c r="B393" s="16">
        <v>22302105</v>
      </c>
      <c r="C393" s="16" t="s">
        <v>252</v>
      </c>
      <c r="D393" s="16" t="str">
        <f>VLOOKUP(C393,[1]master_data!$A$2:$E$495,2,FALSE)</f>
        <v>STOP KUTU</v>
      </c>
      <c r="E393" s="16">
        <v>2</v>
      </c>
      <c r="F393" s="16">
        <f>VLOOKUP(C393,[1]master_data!$A$2:$E$495,3,FALSE)</f>
        <v>10000</v>
      </c>
      <c r="G393" s="16">
        <f>VLOOKUP(C393,[1]master_data!$A$2:$E$495,4,FALSE)</f>
        <v>15000</v>
      </c>
      <c r="H393" s="16">
        <f>E393*F393</f>
        <v>20000</v>
      </c>
      <c r="I393" s="16">
        <f>E393*G393</f>
        <v>30000</v>
      </c>
      <c r="J393" s="16">
        <f>I393-H393</f>
        <v>10000</v>
      </c>
      <c r="K393" s="16" t="str">
        <f>VLOOKUP(C393,[1]master_data!$A$2:$E$495,5,FALSE)</f>
        <v>Aksesoris</v>
      </c>
      <c r="L393" s="1"/>
    </row>
    <row r="394" spans="1:12" ht="12" customHeight="1" x14ac:dyDescent="0.25">
      <c r="A394" s="15">
        <v>45235</v>
      </c>
      <c r="B394" s="16">
        <v>22302106</v>
      </c>
      <c r="C394" s="16" t="s">
        <v>72</v>
      </c>
      <c r="D394" s="16" t="str">
        <f>VLOOKUP(C394,[1]master_data!$A$2:$E$495,2,FALSE)</f>
        <v>MESIN RESUN 1200</v>
      </c>
      <c r="E394" s="16">
        <v>10</v>
      </c>
      <c r="F394" s="16">
        <f>VLOOKUP(C394,[1]master_data!$A$2:$E$495,3,FALSE)</f>
        <v>55000</v>
      </c>
      <c r="G394" s="16">
        <f>VLOOKUP(C394,[1]master_data!$A$2:$E$495,4,FALSE)</f>
        <v>75000</v>
      </c>
      <c r="H394" s="16">
        <f>E394*F394</f>
        <v>550000</v>
      </c>
      <c r="I394" s="16">
        <f>E394*G394</f>
        <v>750000</v>
      </c>
      <c r="J394" s="16">
        <f>I394-H394</f>
        <v>200000</v>
      </c>
      <c r="K394" s="16" t="str">
        <f>VLOOKUP(C394,[1]master_data!$A$2:$E$495,5,FALSE)</f>
        <v>Aksesoris</v>
      </c>
      <c r="L394" s="1"/>
    </row>
    <row r="395" spans="1:12" ht="12" customHeight="1" x14ac:dyDescent="0.25">
      <c r="A395" s="15">
        <v>45235</v>
      </c>
      <c r="B395" s="16">
        <v>22302107</v>
      </c>
      <c r="C395" s="16" t="s">
        <v>401</v>
      </c>
      <c r="D395" s="16" t="str">
        <f>VLOOKUP(C395,[1]master_data!$A$2:$E$495,2,FALSE)</f>
        <v>CHANNA BLUE PULCHRA K</v>
      </c>
      <c r="E395" s="16">
        <v>1</v>
      </c>
      <c r="F395" s="16">
        <f>VLOOKUP(C395,[1]master_data!$A$2:$E$495,3,FALSE)</f>
        <v>25000</v>
      </c>
      <c r="G395" s="16">
        <f>VLOOKUP(C395,[1]master_data!$A$2:$E$495,4,FALSE)</f>
        <v>50000</v>
      </c>
      <c r="H395" s="16">
        <f>E395*F395</f>
        <v>25000</v>
      </c>
      <c r="I395" s="16">
        <f>E395*G395</f>
        <v>50000</v>
      </c>
      <c r="J395" s="16">
        <f>I395-H395</f>
        <v>25000</v>
      </c>
      <c r="K395" s="16" t="str">
        <f>VLOOKUP(C395,[1]master_data!$A$2:$E$495,5,FALSE)</f>
        <v>Ikan</v>
      </c>
      <c r="L395" s="1"/>
    </row>
    <row r="396" spans="1:12" ht="12" customHeight="1" x14ac:dyDescent="0.25">
      <c r="A396" s="15">
        <v>45235</v>
      </c>
      <c r="B396" s="16">
        <v>22302108</v>
      </c>
      <c r="C396" s="16" t="s">
        <v>404</v>
      </c>
      <c r="D396" s="16" t="str">
        <f>VLOOKUP(C396,[1]master_data!$A$2:$E$495,2,FALSE)</f>
        <v>BARBIR</v>
      </c>
      <c r="E396" s="16">
        <v>30</v>
      </c>
      <c r="F396" s="16">
        <f>VLOOKUP(C396,[1]master_data!$A$2:$E$495,3,FALSE)</f>
        <v>800</v>
      </c>
      <c r="G396" s="16">
        <f>VLOOKUP(C396,[1]master_data!$A$2:$E$495,4,FALSE)</f>
        <v>2000</v>
      </c>
      <c r="H396" s="16">
        <f>E396*F396</f>
        <v>24000</v>
      </c>
      <c r="I396" s="16">
        <f>E396*G396</f>
        <v>60000</v>
      </c>
      <c r="J396" s="16">
        <f>I396-H396</f>
        <v>36000</v>
      </c>
      <c r="K396" s="16" t="str">
        <f>VLOOKUP(C396,[1]master_data!$A$2:$E$495,5,FALSE)</f>
        <v>Ikan</v>
      </c>
      <c r="L396" s="1"/>
    </row>
    <row r="397" spans="1:12" ht="12" customHeight="1" x14ac:dyDescent="0.25">
      <c r="A397" s="15">
        <v>45235</v>
      </c>
      <c r="B397" s="16">
        <v>22302109</v>
      </c>
      <c r="C397" s="16" t="s">
        <v>206</v>
      </c>
      <c r="D397" s="16" t="str">
        <f>VLOOKUP(C397,[1]master_data!$A$2:$E$495,2,FALSE)</f>
        <v>TAKARI K</v>
      </c>
      <c r="E397" s="16">
        <v>10</v>
      </c>
      <c r="F397" s="16">
        <f>VLOOKUP(C397,[1]master_data!$A$2:$E$495,3,FALSE)</f>
        <v>3500</v>
      </c>
      <c r="G397" s="16">
        <f>VLOOKUP(C397,[1]master_data!$A$2:$E$495,4,FALSE)</f>
        <v>5000</v>
      </c>
      <c r="H397" s="16">
        <f>E397*F397</f>
        <v>35000</v>
      </c>
      <c r="I397" s="16">
        <f>E397*G397</f>
        <v>50000</v>
      </c>
      <c r="J397" s="16">
        <f>I397-H397</f>
        <v>15000</v>
      </c>
      <c r="K397" s="16" t="str">
        <f>VLOOKUP(C397,[1]master_data!$A$2:$E$495,5,FALSE)</f>
        <v>Aksesoris</v>
      </c>
      <c r="L397" s="1"/>
    </row>
    <row r="398" spans="1:12" ht="12" customHeight="1" x14ac:dyDescent="0.25">
      <c r="A398" s="15">
        <v>45235</v>
      </c>
      <c r="B398" s="16">
        <v>22302110</v>
      </c>
      <c r="C398" s="16" t="s">
        <v>228</v>
      </c>
      <c r="D398" s="16" t="str">
        <f>VLOOKUP(C398,[1]master_data!$A$2:$E$495,2,FALSE)</f>
        <v>CACING KERING</v>
      </c>
      <c r="E398" s="16">
        <v>25</v>
      </c>
      <c r="F398" s="16">
        <f>VLOOKUP(C398,[1]master_data!$A$2:$E$495,3,FALSE)</f>
        <v>5000</v>
      </c>
      <c r="G398" s="16">
        <f>VLOOKUP(C398,[1]master_data!$A$2:$E$495,4,FALSE)</f>
        <v>8000</v>
      </c>
      <c r="H398" s="16">
        <f>E398*F398</f>
        <v>125000</v>
      </c>
      <c r="I398" s="16">
        <f>E398*G398</f>
        <v>200000</v>
      </c>
      <c r="J398" s="16">
        <f>I398-H398</f>
        <v>75000</v>
      </c>
      <c r="K398" s="16" t="str">
        <f>VLOOKUP(C398,[1]master_data!$A$2:$E$495,5,FALSE)</f>
        <v>Aksesoris</v>
      </c>
      <c r="L398" s="1"/>
    </row>
    <row r="399" spans="1:12" ht="12" customHeight="1" x14ac:dyDescent="0.25">
      <c r="A399" s="15">
        <v>45235</v>
      </c>
      <c r="B399" s="16">
        <v>22302111</v>
      </c>
      <c r="C399" s="16" t="s">
        <v>318</v>
      </c>
      <c r="D399" s="16" t="str">
        <f>VLOOKUP(C399,[1]master_data!$A$2:$E$495,2,FALSE)</f>
        <v>KAPAS HIJAU HITAM</v>
      </c>
      <c r="E399" s="16">
        <v>2</v>
      </c>
      <c r="F399" s="16">
        <f>VLOOKUP(C399,[1]master_data!$A$2:$E$495,3,FALSE)</f>
        <v>11000</v>
      </c>
      <c r="G399" s="16">
        <f>VLOOKUP(C399,[1]master_data!$A$2:$E$495,4,FALSE)</f>
        <v>15000</v>
      </c>
      <c r="H399" s="16">
        <f>E399*F399</f>
        <v>22000</v>
      </c>
      <c r="I399" s="16">
        <f>E399*G399</f>
        <v>30000</v>
      </c>
      <c r="J399" s="16">
        <f>I399-H399</f>
        <v>8000</v>
      </c>
      <c r="K399" s="16" t="str">
        <f>VLOOKUP(C399,[1]master_data!$A$2:$E$495,5,FALSE)</f>
        <v>Aksesoris</v>
      </c>
      <c r="L399" s="1"/>
    </row>
    <row r="400" spans="1:12" ht="12" customHeight="1" x14ac:dyDescent="0.25">
      <c r="A400" s="15">
        <v>45235</v>
      </c>
      <c r="B400" s="16">
        <v>22302112</v>
      </c>
      <c r="C400" s="16" t="s">
        <v>281</v>
      </c>
      <c r="D400" s="16" t="str">
        <f>VLOOKUP(C400,[1]master_data!$A$2:$E$495,2,FALSE)</f>
        <v>KRAN 3 W</v>
      </c>
      <c r="E400" s="16">
        <v>10</v>
      </c>
      <c r="F400" s="16">
        <f>VLOOKUP(C400,[1]master_data!$A$2:$E$495,3,FALSE)</f>
        <v>5500</v>
      </c>
      <c r="G400" s="16">
        <f>VLOOKUP(C400,[1]master_data!$A$2:$E$495,4,FALSE)</f>
        <v>8000</v>
      </c>
      <c r="H400" s="16">
        <f>E400*F400</f>
        <v>55000</v>
      </c>
      <c r="I400" s="16">
        <f>E400*G400</f>
        <v>80000</v>
      </c>
      <c r="J400" s="16">
        <f>I400-H400</f>
        <v>25000</v>
      </c>
      <c r="K400" s="16" t="str">
        <f>VLOOKUP(C400,[1]master_data!$A$2:$E$495,5,FALSE)</f>
        <v>Aksesoris</v>
      </c>
      <c r="L400" s="1"/>
    </row>
    <row r="401" spans="1:12" ht="12" customHeight="1" x14ac:dyDescent="0.25">
      <c r="A401" s="15">
        <v>45234</v>
      </c>
      <c r="B401" s="16">
        <v>22302102</v>
      </c>
      <c r="C401" s="16" t="s">
        <v>393</v>
      </c>
      <c r="D401" s="16" t="str">
        <f>VLOOKUP(C401,[1]master_data!$A$2:$E$495,2,FALSE)</f>
        <v>ARWANA SILVER B</v>
      </c>
      <c r="E401" s="16">
        <v>2</v>
      </c>
      <c r="F401" s="16">
        <f>VLOOKUP(C401,[1]master_data!$A$2:$E$495,3,FALSE)</f>
        <v>300000</v>
      </c>
      <c r="G401" s="16">
        <f>VLOOKUP(C401,[1]master_data!$A$2:$E$495,4,FALSE)</f>
        <v>500000</v>
      </c>
      <c r="H401" s="16">
        <f>E401*F401</f>
        <v>600000</v>
      </c>
      <c r="I401" s="16">
        <f>E401*G401</f>
        <v>1000000</v>
      </c>
      <c r="J401" s="16">
        <f>I401-H401</f>
        <v>400000</v>
      </c>
      <c r="K401" s="16" t="str">
        <f>VLOOKUP(C401,[1]master_data!$A$2:$E$495,5,FALSE)</f>
        <v>Ikan</v>
      </c>
      <c r="L401" s="1"/>
    </row>
    <row r="402" spans="1:12" ht="12" customHeight="1" x14ac:dyDescent="0.25">
      <c r="A402" s="15">
        <v>45234</v>
      </c>
      <c r="B402" s="16">
        <v>22302103</v>
      </c>
      <c r="C402" s="16" t="s">
        <v>214</v>
      </c>
      <c r="D402" s="16" t="str">
        <f>VLOOKUP(C402,[1]master_data!$A$2:$E$495,2,FALSE)</f>
        <v>HOKKY LOUHAN COLOUR</v>
      </c>
      <c r="E402" s="16">
        <v>1</v>
      </c>
      <c r="F402" s="16">
        <f>VLOOKUP(C402,[1]master_data!$A$2:$E$495,3,FALSE)</f>
        <v>18000</v>
      </c>
      <c r="G402" s="16">
        <f>VLOOKUP(C402,[1]master_data!$A$2:$E$495,4,FALSE)</f>
        <v>25000</v>
      </c>
      <c r="H402" s="16">
        <f>E402*F402</f>
        <v>18000</v>
      </c>
      <c r="I402" s="16">
        <f>E402*G402</f>
        <v>25000</v>
      </c>
      <c r="J402" s="16">
        <f>I402-H402</f>
        <v>7000</v>
      </c>
      <c r="K402" s="16" t="str">
        <f>VLOOKUP(C402,[1]master_data!$A$2:$E$495,5,FALSE)</f>
        <v>Aksesoris</v>
      </c>
      <c r="L402" s="1"/>
    </row>
    <row r="403" spans="1:12" ht="12" customHeight="1" x14ac:dyDescent="0.25">
      <c r="A403" s="15">
        <v>45233</v>
      </c>
      <c r="B403" s="16">
        <v>22302097</v>
      </c>
      <c r="C403" s="16" t="s">
        <v>346</v>
      </c>
      <c r="D403" s="16" t="str">
        <f>VLOOKUP(C403,[1]master_data!$A$2:$E$495,2,FALSE)</f>
        <v>AKUARIUM NIKITA L</v>
      </c>
      <c r="E403" s="16">
        <v>1</v>
      </c>
      <c r="F403" s="16">
        <f>VLOOKUP(C403,[1]master_data!$A$2:$E$495,3,FALSE)</f>
        <v>60000</v>
      </c>
      <c r="G403" s="16">
        <f>VLOOKUP(C403,[1]master_data!$A$2:$E$495,4,FALSE)</f>
        <v>130000</v>
      </c>
      <c r="H403" s="16">
        <f>E403*F403</f>
        <v>60000</v>
      </c>
      <c r="I403" s="16">
        <f>E403*G403</f>
        <v>130000</v>
      </c>
      <c r="J403" s="16">
        <f>I403-H403</f>
        <v>70000</v>
      </c>
      <c r="K403" s="16" t="str">
        <f>VLOOKUP(C403,[1]master_data!$A$2:$E$495,5,FALSE)</f>
        <v>Aksesoris</v>
      </c>
      <c r="L403" s="1"/>
    </row>
    <row r="404" spans="1:12" ht="12" customHeight="1" x14ac:dyDescent="0.25">
      <c r="A404" s="15">
        <v>45233</v>
      </c>
      <c r="B404" s="16">
        <v>22302098</v>
      </c>
      <c r="C404" s="16" t="s">
        <v>293</v>
      </c>
      <c r="D404" s="16" t="str">
        <f>VLOOKUP(C404,[1]master_data!$A$2:$E$495,2,FALSE)</f>
        <v>JARING NELAYAN</v>
      </c>
      <c r="E404" s="16">
        <v>5</v>
      </c>
      <c r="F404" s="16">
        <f>VLOOKUP(C404,[1]master_data!$A$2:$E$495,3,FALSE)</f>
        <v>15000</v>
      </c>
      <c r="G404" s="16">
        <f>VLOOKUP(C404,[1]master_data!$A$2:$E$495,4,FALSE)</f>
        <v>25000</v>
      </c>
      <c r="H404" s="16">
        <f>E404*F404</f>
        <v>75000</v>
      </c>
      <c r="I404" s="16">
        <f>E404*G404</f>
        <v>125000</v>
      </c>
      <c r="J404" s="16">
        <f>I404-H404</f>
        <v>50000</v>
      </c>
      <c r="K404" s="16" t="str">
        <f>VLOOKUP(C404,[1]master_data!$A$2:$E$495,5,FALSE)</f>
        <v>Aksesoris</v>
      </c>
      <c r="L404" s="1"/>
    </row>
    <row r="405" spans="1:12" ht="12" customHeight="1" x14ac:dyDescent="0.25">
      <c r="A405" s="15">
        <v>45233</v>
      </c>
      <c r="B405" s="16">
        <v>22302099</v>
      </c>
      <c r="C405" s="16" t="s">
        <v>239</v>
      </c>
      <c r="D405" s="16" t="str">
        <f>VLOOKUP(C405,[1]master_data!$A$2:$E$495,2,FALSE)</f>
        <v>PAKAN GOLD FISH HITAM</v>
      </c>
      <c r="E405" s="16">
        <v>10</v>
      </c>
      <c r="F405" s="16">
        <f>VLOOKUP(C405,[1]master_data!$A$2:$E$495,3,FALSE)</f>
        <v>7000</v>
      </c>
      <c r="G405" s="16">
        <f>VLOOKUP(C405,[1]master_data!$A$2:$E$495,4,FALSE)</f>
        <v>12000</v>
      </c>
      <c r="H405" s="16">
        <f>E405*F405</f>
        <v>70000</v>
      </c>
      <c r="I405" s="16">
        <f>E405*G405</f>
        <v>120000</v>
      </c>
      <c r="J405" s="16">
        <f>I405-H405</f>
        <v>50000</v>
      </c>
      <c r="K405" s="16" t="str">
        <f>VLOOKUP(C405,[1]master_data!$A$2:$E$495,5,FALSE)</f>
        <v>Aksesoris</v>
      </c>
      <c r="L405" s="1"/>
    </row>
    <row r="406" spans="1:12" ht="12" customHeight="1" x14ac:dyDescent="0.25">
      <c r="A406" s="15">
        <v>45233</v>
      </c>
      <c r="B406" s="16">
        <v>22302100</v>
      </c>
      <c r="C406" s="16" t="s">
        <v>427</v>
      </c>
      <c r="D406" s="16" t="str">
        <f>VLOOKUP(C406,[1]master_data!$A$2:$E$495,2,FALSE)</f>
        <v>LOUHAN SUPER</v>
      </c>
      <c r="E406" s="16">
        <v>1</v>
      </c>
      <c r="F406" s="16">
        <f>VLOOKUP(C406,[1]master_data!$A$2:$E$495,3,FALSE)</f>
        <v>300000</v>
      </c>
      <c r="G406" s="16">
        <f>VLOOKUP(C406,[1]master_data!$A$2:$E$495,4,FALSE)</f>
        <v>500000</v>
      </c>
      <c r="H406" s="16">
        <f>E406*F406</f>
        <v>300000</v>
      </c>
      <c r="I406" s="16">
        <f>E406*G406</f>
        <v>500000</v>
      </c>
      <c r="J406" s="16">
        <f>I406-H406</f>
        <v>200000</v>
      </c>
      <c r="K406" s="16" t="str">
        <f>VLOOKUP(C406,[1]master_data!$A$2:$E$495,5,FALSE)</f>
        <v>Ikan</v>
      </c>
      <c r="L406" s="1"/>
    </row>
    <row r="407" spans="1:12" ht="12" customHeight="1" x14ac:dyDescent="0.25">
      <c r="A407" s="15">
        <v>45233</v>
      </c>
      <c r="B407" s="16">
        <v>22302101</v>
      </c>
      <c r="C407" s="16" t="s">
        <v>448</v>
      </c>
      <c r="D407" s="16" t="str">
        <f>VLOOKUP(C407,[1]master_data!$A$2:$E$495,2,FALSE)</f>
        <v>SUMATRA BIASA</v>
      </c>
      <c r="E407" s="16">
        <v>20</v>
      </c>
      <c r="F407" s="16">
        <f>VLOOKUP(C407,[1]master_data!$A$2:$E$495,3,FALSE)</f>
        <v>800</v>
      </c>
      <c r="G407" s="16">
        <f>VLOOKUP(C407,[1]master_data!$A$2:$E$495,4,FALSE)</f>
        <v>2000</v>
      </c>
      <c r="H407" s="16">
        <f>E407*F407</f>
        <v>16000</v>
      </c>
      <c r="I407" s="16">
        <f>E407*G407</f>
        <v>40000</v>
      </c>
      <c r="J407" s="16">
        <f>I407-H407</f>
        <v>24000</v>
      </c>
      <c r="K407" s="16" t="str">
        <f>VLOOKUP(C407,[1]master_data!$A$2:$E$495,5,FALSE)</f>
        <v>Ikan</v>
      </c>
      <c r="L407" s="1"/>
    </row>
    <row r="408" spans="1:12" ht="12" customHeight="1" x14ac:dyDescent="0.25">
      <c r="A408" s="15">
        <v>45232</v>
      </c>
      <c r="B408" s="16">
        <v>22302091</v>
      </c>
      <c r="C408" s="16" t="s">
        <v>423</v>
      </c>
      <c r="D408" s="16" t="str">
        <f>VLOOKUP(C408,[1]master_data!$A$2:$E$495,2,FALSE)</f>
        <v>CAROLINE</v>
      </c>
      <c r="E408" s="16">
        <v>15</v>
      </c>
      <c r="F408" s="16">
        <f>VLOOKUP(C408,[1]master_data!$A$2:$E$495,3,FALSE)</f>
        <v>900</v>
      </c>
      <c r="G408" s="16">
        <f>VLOOKUP(C408,[1]master_data!$A$2:$E$495,4,FALSE)</f>
        <v>2000</v>
      </c>
      <c r="H408" s="16">
        <f>E408*F408</f>
        <v>13500</v>
      </c>
      <c r="I408" s="16">
        <f>E408*G408</f>
        <v>30000</v>
      </c>
      <c r="J408" s="16">
        <f>I408-H408</f>
        <v>16500</v>
      </c>
      <c r="K408" s="16" t="str">
        <f>VLOOKUP(C408,[1]master_data!$A$2:$E$495,5,FALSE)</f>
        <v>Ikan</v>
      </c>
      <c r="L408" s="1"/>
    </row>
    <row r="409" spans="1:12" ht="12" customHeight="1" x14ac:dyDescent="0.25">
      <c r="A409" s="15">
        <v>45232</v>
      </c>
      <c r="B409" s="16">
        <v>22302092</v>
      </c>
      <c r="C409" s="16" t="s">
        <v>44</v>
      </c>
      <c r="D409" s="16" t="str">
        <f>VLOOKUP(C409,[1]master_data!$A$2:$E$495,2,FALSE)</f>
        <v>MESIN YAMANO ACO 004</v>
      </c>
      <c r="E409" s="16">
        <v>1</v>
      </c>
      <c r="F409" s="16">
        <f>VLOOKUP(C409,[1]master_data!$A$2:$E$495,3,FALSE)</f>
        <v>505000</v>
      </c>
      <c r="G409" s="16">
        <f>VLOOKUP(C409,[1]master_data!$A$2:$E$495,4,FALSE)</f>
        <v>550000</v>
      </c>
      <c r="H409" s="16">
        <f>E409*F409</f>
        <v>505000</v>
      </c>
      <c r="I409" s="16">
        <f>E409*G409</f>
        <v>550000</v>
      </c>
      <c r="J409" s="16">
        <f>I409-H409</f>
        <v>45000</v>
      </c>
      <c r="K409" s="16" t="str">
        <f>VLOOKUP(C409,[1]master_data!$A$2:$E$495,5,FALSE)</f>
        <v>Aksesoris</v>
      </c>
      <c r="L409" s="1"/>
    </row>
    <row r="410" spans="1:12" ht="12" customHeight="1" x14ac:dyDescent="0.25">
      <c r="A410" s="15">
        <v>45232</v>
      </c>
      <c r="B410" s="16">
        <v>22302093</v>
      </c>
      <c r="C410" s="16" t="s">
        <v>44</v>
      </c>
      <c r="D410" s="16" t="str">
        <f>VLOOKUP(C410,[1]master_data!$A$2:$E$495,2,FALSE)</f>
        <v>MESIN YAMANO ACO 004</v>
      </c>
      <c r="E410" s="16">
        <v>1</v>
      </c>
      <c r="F410" s="16">
        <f>VLOOKUP(C410,[1]master_data!$A$2:$E$495,3,FALSE)</f>
        <v>505000</v>
      </c>
      <c r="G410" s="16">
        <f>VLOOKUP(C410,[1]master_data!$A$2:$E$495,4,FALSE)</f>
        <v>550000</v>
      </c>
      <c r="H410" s="16">
        <f>E410*F410</f>
        <v>505000</v>
      </c>
      <c r="I410" s="16">
        <f>E410*G410</f>
        <v>550000</v>
      </c>
      <c r="J410" s="16">
        <f>I410-H410</f>
        <v>45000</v>
      </c>
      <c r="K410" s="16" t="str">
        <f>VLOOKUP(C410,[1]master_data!$A$2:$E$495,5,FALSE)</f>
        <v>Aksesoris</v>
      </c>
      <c r="L410" s="1"/>
    </row>
    <row r="411" spans="1:12" ht="12" customHeight="1" x14ac:dyDescent="0.25">
      <c r="A411" s="15">
        <v>45232</v>
      </c>
      <c r="B411" s="16">
        <v>22302094</v>
      </c>
      <c r="C411" s="16" t="s">
        <v>384</v>
      </c>
      <c r="D411" s="16" t="str">
        <f>VLOOKUP(C411,[1]master_data!$A$2:$E$495,2,FALSE)</f>
        <v>BATU ZELOID</v>
      </c>
      <c r="E411" s="16">
        <v>2</v>
      </c>
      <c r="F411" s="16">
        <f>VLOOKUP(C411,[1]master_data!$A$2:$E$495,3,FALSE)</f>
        <v>25000</v>
      </c>
      <c r="G411" s="16">
        <f>VLOOKUP(C411,[1]master_data!$A$2:$E$495,4,FALSE)</f>
        <v>35000</v>
      </c>
      <c r="H411" s="16">
        <f>E411*F411</f>
        <v>50000</v>
      </c>
      <c r="I411" s="16">
        <f>E411*G411</f>
        <v>70000</v>
      </c>
      <c r="J411" s="16">
        <f>I411-H411</f>
        <v>20000</v>
      </c>
      <c r="K411" s="16" t="str">
        <f>VLOOKUP(C411,[1]master_data!$A$2:$E$495,5,FALSE)</f>
        <v>Aksesoris</v>
      </c>
      <c r="L411" s="1"/>
    </row>
    <row r="412" spans="1:12" ht="12" customHeight="1" x14ac:dyDescent="0.25">
      <c r="A412" s="15">
        <v>45232</v>
      </c>
      <c r="B412" s="16">
        <v>22302095</v>
      </c>
      <c r="C412" s="16" t="s">
        <v>392</v>
      </c>
      <c r="D412" s="16" t="str">
        <f>VLOOKUP(C412,[1]master_data!$A$2:$E$495,2,FALSE)</f>
        <v>ARWANA SILVER K</v>
      </c>
      <c r="E412" s="16">
        <v>2</v>
      </c>
      <c r="F412" s="16">
        <f>VLOOKUP(C412,[1]master_data!$A$2:$E$495,3,FALSE)</f>
        <v>100000</v>
      </c>
      <c r="G412" s="16">
        <f>VLOOKUP(C412,[1]master_data!$A$2:$E$495,4,FALSE)</f>
        <v>200000</v>
      </c>
      <c r="H412" s="16">
        <f>E412*F412</f>
        <v>200000</v>
      </c>
      <c r="I412" s="16">
        <f>E412*G412</f>
        <v>400000</v>
      </c>
      <c r="J412" s="16">
        <f>I412-H412</f>
        <v>200000</v>
      </c>
      <c r="K412" s="16" t="str">
        <f>VLOOKUP(C412,[1]master_data!$A$2:$E$495,5,FALSE)</f>
        <v>Ikan</v>
      </c>
      <c r="L412" s="1"/>
    </row>
    <row r="413" spans="1:12" ht="12" customHeight="1" x14ac:dyDescent="0.25">
      <c r="A413" s="15">
        <v>45232</v>
      </c>
      <c r="B413" s="16">
        <v>22302096</v>
      </c>
      <c r="C413" s="16" t="s">
        <v>407</v>
      </c>
      <c r="D413" s="16" t="str">
        <f>VLOOKUP(C413,[1]master_data!$A$2:$E$495,2,FALSE)</f>
        <v>GOLD FISH</v>
      </c>
      <c r="E413" s="16">
        <v>15</v>
      </c>
      <c r="F413" s="16">
        <f>VLOOKUP(C413,[1]master_data!$A$2:$E$495,3,FALSE)</f>
        <v>800</v>
      </c>
      <c r="G413" s="16">
        <f>VLOOKUP(C413,[1]master_data!$A$2:$E$495,4,FALSE)</f>
        <v>2000</v>
      </c>
      <c r="H413" s="16">
        <f>E413*F413</f>
        <v>12000</v>
      </c>
      <c r="I413" s="16">
        <f>E413*G413</f>
        <v>30000</v>
      </c>
      <c r="J413" s="16">
        <f>I413-H413</f>
        <v>18000</v>
      </c>
      <c r="K413" s="16" t="str">
        <f>VLOOKUP(C413,[1]master_data!$A$2:$E$495,5,FALSE)</f>
        <v>Ikan</v>
      </c>
      <c r="L413" s="1"/>
    </row>
    <row r="414" spans="1:12" ht="12" customHeight="1" x14ac:dyDescent="0.25">
      <c r="A414" s="15">
        <v>45231</v>
      </c>
      <c r="B414" s="16">
        <v>22302087</v>
      </c>
      <c r="C414" s="16" t="s">
        <v>461</v>
      </c>
      <c r="D414" s="16" t="str">
        <f>VLOOKUP(C414,[1]master_data!$A$2:$E$495,2,FALSE)</f>
        <v>CHANNA STEWARTI</v>
      </c>
      <c r="E414" s="16">
        <v>10</v>
      </c>
      <c r="F414" s="16">
        <f>VLOOKUP(C414,[1]master_data!$A$2:$E$495,3,FALSE)</f>
        <v>15000</v>
      </c>
      <c r="G414" s="16">
        <f>VLOOKUP(C414,[1]master_data!$A$2:$E$495,4,FALSE)</f>
        <v>40000</v>
      </c>
      <c r="H414" s="16">
        <f>E414*F414</f>
        <v>150000</v>
      </c>
      <c r="I414" s="16">
        <f>E414*G414</f>
        <v>400000</v>
      </c>
      <c r="J414" s="16">
        <f>I414-H414</f>
        <v>250000</v>
      </c>
      <c r="K414" s="16" t="str">
        <f>VLOOKUP(C414,[1]master_data!$A$2:$E$495,5,FALSE)</f>
        <v>Ikan</v>
      </c>
      <c r="L414" s="1"/>
    </row>
    <row r="415" spans="1:12" ht="12" customHeight="1" x14ac:dyDescent="0.25">
      <c r="A415" s="15">
        <v>45231</v>
      </c>
      <c r="B415" s="16">
        <v>22302088</v>
      </c>
      <c r="C415" s="16" t="s">
        <v>419</v>
      </c>
      <c r="D415" s="16" t="str">
        <f>VLOOKUP(C415,[1]master_data!$A$2:$E$495,2,FALSE)</f>
        <v>KOMET PAKAN</v>
      </c>
      <c r="E415" s="16">
        <v>45</v>
      </c>
      <c r="F415" s="16">
        <f>VLOOKUP(C415,[1]master_data!$A$2:$E$495,3,FALSE)</f>
        <v>300</v>
      </c>
      <c r="G415" s="16">
        <f>VLOOKUP(C415,[1]master_data!$A$2:$E$495,4,FALSE)</f>
        <v>1000</v>
      </c>
      <c r="H415" s="16">
        <f>E415*F415</f>
        <v>13500</v>
      </c>
      <c r="I415" s="16">
        <f>E415*G415</f>
        <v>45000</v>
      </c>
      <c r="J415" s="16">
        <f>I415-H415</f>
        <v>31500</v>
      </c>
      <c r="K415" s="16" t="str">
        <f>VLOOKUP(C415,[1]master_data!$A$2:$E$495,5,FALSE)</f>
        <v>Ikan</v>
      </c>
      <c r="L415" s="1"/>
    </row>
    <row r="416" spans="1:12" ht="12" customHeight="1" x14ac:dyDescent="0.25">
      <c r="A416" s="15">
        <v>45231</v>
      </c>
      <c r="B416" s="16">
        <v>22302089</v>
      </c>
      <c r="C416" s="16" t="s">
        <v>438</v>
      </c>
      <c r="D416" s="16" t="str">
        <f>VLOOKUP(C416,[1]master_data!$A$2:$E$495,2,FALSE)</f>
        <v>OSCAR</v>
      </c>
      <c r="E416" s="16">
        <v>9</v>
      </c>
      <c r="F416" s="16">
        <f>VLOOKUP(C416,[1]master_data!$A$2:$E$495,3,FALSE)</f>
        <v>25000</v>
      </c>
      <c r="G416" s="16">
        <f>VLOOKUP(C416,[1]master_data!$A$2:$E$495,4,FALSE)</f>
        <v>50000</v>
      </c>
      <c r="H416" s="16">
        <f>E416*F416</f>
        <v>225000</v>
      </c>
      <c r="I416" s="16">
        <f>E416*G416</f>
        <v>450000</v>
      </c>
      <c r="J416" s="16">
        <f>I416-H416</f>
        <v>225000</v>
      </c>
      <c r="K416" s="16" t="str">
        <f>VLOOKUP(C416,[1]master_data!$A$2:$E$495,5,FALSE)</f>
        <v>Ikan</v>
      </c>
      <c r="L416" s="1"/>
    </row>
    <row r="417" spans="1:12" ht="12" customHeight="1" x14ac:dyDescent="0.25">
      <c r="A417" s="15">
        <v>45231</v>
      </c>
      <c r="B417" s="16">
        <v>22302090</v>
      </c>
      <c r="C417" s="16" t="s">
        <v>461</v>
      </c>
      <c r="D417" s="16" t="str">
        <f>VLOOKUP(C417,[1]master_data!$A$2:$E$495,2,FALSE)</f>
        <v>CHANNA STEWARTI</v>
      </c>
      <c r="E417" s="16">
        <v>2</v>
      </c>
      <c r="F417" s="16">
        <f>VLOOKUP(C417,[1]master_data!$A$2:$E$495,3,FALSE)</f>
        <v>15000</v>
      </c>
      <c r="G417" s="16">
        <f>VLOOKUP(C417,[1]master_data!$A$2:$E$495,4,FALSE)</f>
        <v>40000</v>
      </c>
      <c r="H417" s="16">
        <f>E417*F417</f>
        <v>30000</v>
      </c>
      <c r="I417" s="16">
        <f>E417*G417</f>
        <v>80000</v>
      </c>
      <c r="J417" s="16">
        <f>I417-H417</f>
        <v>50000</v>
      </c>
      <c r="K417" s="16" t="str">
        <f>VLOOKUP(C417,[1]master_data!$A$2:$E$495,5,FALSE)</f>
        <v>Ikan</v>
      </c>
      <c r="L417" s="1"/>
    </row>
    <row r="418" spans="1:12" ht="12" customHeight="1" x14ac:dyDescent="0.25">
      <c r="A418" s="15">
        <v>45230</v>
      </c>
      <c r="B418" s="16">
        <v>22302078</v>
      </c>
      <c r="C418" s="16" t="s">
        <v>13</v>
      </c>
      <c r="D418" s="16" t="str">
        <f>VLOOKUP(C418,[1]master_data!$A$2:$E$495,2,FALSE)</f>
        <v>MESIN YANG 105</v>
      </c>
      <c r="E418" s="16">
        <v>1</v>
      </c>
      <c r="F418" s="16">
        <f>VLOOKUP(C418,[1]master_data!$A$2:$E$495,3,FALSE)</f>
        <v>140000</v>
      </c>
      <c r="G418" s="16">
        <f>VLOOKUP(C418,[1]master_data!$A$2:$E$495,4,FALSE)</f>
        <v>190000</v>
      </c>
      <c r="H418" s="16">
        <f>E418*F418</f>
        <v>140000</v>
      </c>
      <c r="I418" s="16">
        <f>E418*G418</f>
        <v>190000</v>
      </c>
      <c r="J418" s="16">
        <f>I418-H418</f>
        <v>50000</v>
      </c>
      <c r="K418" s="16" t="str">
        <f>VLOOKUP(C418,[1]master_data!$A$2:$E$495,5,FALSE)</f>
        <v>Aksesoris</v>
      </c>
      <c r="L418" s="1"/>
    </row>
    <row r="419" spans="1:12" ht="12" customHeight="1" x14ac:dyDescent="0.25">
      <c r="A419" s="15">
        <v>45230</v>
      </c>
      <c r="B419" s="16">
        <v>22302079</v>
      </c>
      <c r="C419" s="16" t="s">
        <v>441</v>
      </c>
      <c r="D419" s="16" t="str">
        <f>VLOOKUP(C419,[1]master_data!$A$2:$E$495,2,FALSE)</f>
        <v>PALMAS</v>
      </c>
      <c r="E419" s="16">
        <v>1</v>
      </c>
      <c r="F419" s="16">
        <f>VLOOKUP(C419,[1]master_data!$A$2:$E$495,3,FALSE)</f>
        <v>10000</v>
      </c>
      <c r="G419" s="16">
        <f>VLOOKUP(C419,[1]master_data!$A$2:$E$495,4,FALSE)</f>
        <v>25000</v>
      </c>
      <c r="H419" s="16">
        <f>E419*F419</f>
        <v>10000</v>
      </c>
      <c r="I419" s="16">
        <f>E419*G419</f>
        <v>25000</v>
      </c>
      <c r="J419" s="16">
        <f>I419-H419</f>
        <v>15000</v>
      </c>
      <c r="K419" s="16" t="str">
        <f>VLOOKUP(C419,[1]master_data!$A$2:$E$495,5,FALSE)</f>
        <v>Ikan</v>
      </c>
      <c r="L419" s="1"/>
    </row>
    <row r="420" spans="1:12" ht="12" customHeight="1" x14ac:dyDescent="0.25">
      <c r="A420" s="15">
        <v>45230</v>
      </c>
      <c r="B420" s="16">
        <v>22302080</v>
      </c>
      <c r="C420" s="16" t="s">
        <v>452</v>
      </c>
      <c r="D420" s="16" t="str">
        <f>VLOOKUP(C420,[1]master_data!$A$2:$E$495,2,FALSE)</f>
        <v>SYNODONTI B</v>
      </c>
      <c r="E420" s="16">
        <v>15</v>
      </c>
      <c r="F420" s="16">
        <f>VLOOKUP(C420,[1]master_data!$A$2:$E$495,3,FALSE)</f>
        <v>4000</v>
      </c>
      <c r="G420" s="16">
        <f>VLOOKUP(C420,[1]master_data!$A$2:$E$495,4,FALSE)</f>
        <v>10000</v>
      </c>
      <c r="H420" s="16">
        <f>E420*F420</f>
        <v>60000</v>
      </c>
      <c r="I420" s="16">
        <f>E420*G420</f>
        <v>150000</v>
      </c>
      <c r="J420" s="16">
        <f>I420-H420</f>
        <v>90000</v>
      </c>
      <c r="K420" s="16" t="str">
        <f>VLOOKUP(C420,[1]master_data!$A$2:$E$495,5,FALSE)</f>
        <v>Ikan</v>
      </c>
      <c r="L420" s="1"/>
    </row>
    <row r="421" spans="1:12" ht="12" customHeight="1" x14ac:dyDescent="0.25">
      <c r="A421" s="15">
        <v>45230</v>
      </c>
      <c r="B421" s="16">
        <v>22302081</v>
      </c>
      <c r="C421" s="16" t="s">
        <v>423</v>
      </c>
      <c r="D421" s="16" t="str">
        <f>VLOOKUP(C421,[1]master_data!$A$2:$E$495,2,FALSE)</f>
        <v>CAROLINE</v>
      </c>
      <c r="E421" s="16">
        <v>25</v>
      </c>
      <c r="F421" s="16">
        <f>VLOOKUP(C421,[1]master_data!$A$2:$E$495,3,FALSE)</f>
        <v>900</v>
      </c>
      <c r="G421" s="16">
        <f>VLOOKUP(C421,[1]master_data!$A$2:$E$495,4,FALSE)</f>
        <v>2000</v>
      </c>
      <c r="H421" s="16">
        <f>E421*F421</f>
        <v>22500</v>
      </c>
      <c r="I421" s="16">
        <f>E421*G421</f>
        <v>50000</v>
      </c>
      <c r="J421" s="16">
        <f>I421-H421</f>
        <v>27500</v>
      </c>
      <c r="K421" s="16" t="str">
        <f>VLOOKUP(C421,[1]master_data!$A$2:$E$495,5,FALSE)</f>
        <v>Ikan</v>
      </c>
      <c r="L421" s="1"/>
    </row>
    <row r="422" spans="1:12" ht="12" customHeight="1" x14ac:dyDescent="0.25">
      <c r="A422" s="15">
        <v>45230</v>
      </c>
      <c r="B422" s="16">
        <v>22302082</v>
      </c>
      <c r="C422" s="16" t="s">
        <v>413</v>
      </c>
      <c r="D422" s="16" t="str">
        <f>VLOOKUP(C422,[1]master_data!$A$2:$E$495,2,FALSE)</f>
        <v>KOKI B</v>
      </c>
      <c r="E422" s="16">
        <v>2</v>
      </c>
      <c r="F422" s="16">
        <f>VLOOKUP(C422,[1]master_data!$A$2:$E$495,3,FALSE)</f>
        <v>20000</v>
      </c>
      <c r="G422" s="16">
        <f>VLOOKUP(C422,[1]master_data!$A$2:$E$495,4,FALSE)</f>
        <v>50000</v>
      </c>
      <c r="H422" s="16">
        <f>E422*F422</f>
        <v>40000</v>
      </c>
      <c r="I422" s="16">
        <f>E422*G422</f>
        <v>100000</v>
      </c>
      <c r="J422" s="16">
        <f>I422-H422</f>
        <v>60000</v>
      </c>
      <c r="K422" s="16" t="str">
        <f>VLOOKUP(C422,[1]master_data!$A$2:$E$495,5,FALSE)</f>
        <v>Ikan</v>
      </c>
      <c r="L422" s="1"/>
    </row>
    <row r="423" spans="1:12" ht="12" customHeight="1" x14ac:dyDescent="0.25">
      <c r="A423" s="15">
        <v>45230</v>
      </c>
      <c r="B423" s="16">
        <v>22302083</v>
      </c>
      <c r="C423" s="16" t="s">
        <v>460</v>
      </c>
      <c r="D423" s="16" t="str">
        <f>VLOOKUP(C423,[1]master_data!$A$2:$E$495,2,FALSE)</f>
        <v>SEPAT ALBINO</v>
      </c>
      <c r="E423" s="16">
        <v>20</v>
      </c>
      <c r="F423" s="16">
        <f>VLOOKUP(C423,[1]master_data!$A$2:$E$495,3,FALSE)</f>
        <v>2000</v>
      </c>
      <c r="G423" s="16">
        <f>VLOOKUP(C423,[1]master_data!$A$2:$E$495,4,FALSE)</f>
        <v>5000</v>
      </c>
      <c r="H423" s="16">
        <f>E423*F423</f>
        <v>40000</v>
      </c>
      <c r="I423" s="16">
        <f>E423*G423</f>
        <v>100000</v>
      </c>
      <c r="J423" s="16">
        <f>I423-H423</f>
        <v>60000</v>
      </c>
      <c r="K423" s="16" t="str">
        <f>VLOOKUP(C423,[1]master_data!$A$2:$E$495,5,FALSE)</f>
        <v>Ikan</v>
      </c>
      <c r="L423" s="1"/>
    </row>
    <row r="424" spans="1:12" ht="12" customHeight="1" x14ac:dyDescent="0.25">
      <c r="A424" s="15">
        <v>45230</v>
      </c>
      <c r="B424" s="16">
        <v>22302084</v>
      </c>
      <c r="C424" s="16" t="s">
        <v>453</v>
      </c>
      <c r="D424" s="16" t="str">
        <f>VLOOKUP(C424,[1]master_data!$A$2:$E$495,2,FALSE)</f>
        <v>TETRA</v>
      </c>
      <c r="E424" s="16">
        <v>15</v>
      </c>
      <c r="F424" s="16">
        <f>VLOOKUP(C424,[1]master_data!$A$2:$E$495,3,FALSE)</f>
        <v>800</v>
      </c>
      <c r="G424" s="16">
        <f>VLOOKUP(C424,[1]master_data!$A$2:$E$495,4,FALSE)</f>
        <v>2000</v>
      </c>
      <c r="H424" s="16">
        <f>E424*F424</f>
        <v>12000</v>
      </c>
      <c r="I424" s="16">
        <f>E424*G424</f>
        <v>30000</v>
      </c>
      <c r="J424" s="16">
        <f>I424-H424</f>
        <v>18000</v>
      </c>
      <c r="K424" s="16" t="str">
        <f>VLOOKUP(C424,[1]master_data!$A$2:$E$495,5,FALSE)</f>
        <v>Ikan</v>
      </c>
      <c r="L424" s="1"/>
    </row>
    <row r="425" spans="1:12" ht="12" customHeight="1" x14ac:dyDescent="0.25">
      <c r="A425" s="15">
        <v>45230</v>
      </c>
      <c r="B425" s="16">
        <v>22302085</v>
      </c>
      <c r="C425" s="16" t="s">
        <v>395</v>
      </c>
      <c r="D425" s="16" t="str">
        <f>VLOOKUP(C425,[1]master_data!$A$2:$E$495,2,FALSE)</f>
        <v>ALIGATOR</v>
      </c>
      <c r="E425" s="16">
        <v>5</v>
      </c>
      <c r="F425" s="16">
        <f>VLOOKUP(C425,[1]master_data!$A$2:$E$495,3,FALSE)</f>
        <v>17000</v>
      </c>
      <c r="G425" s="16">
        <f>VLOOKUP(C425,[1]master_data!$A$2:$E$495,4,FALSE)</f>
        <v>35000</v>
      </c>
      <c r="H425" s="16">
        <f>E425*F425</f>
        <v>85000</v>
      </c>
      <c r="I425" s="16">
        <f>E425*G425</f>
        <v>175000</v>
      </c>
      <c r="J425" s="16">
        <f>I425-H425</f>
        <v>90000</v>
      </c>
      <c r="K425" s="16" t="str">
        <f>VLOOKUP(C425,[1]master_data!$A$2:$E$495,5,FALSE)</f>
        <v>Ikan</v>
      </c>
      <c r="L425" s="1"/>
    </row>
    <row r="426" spans="1:12" ht="12" customHeight="1" x14ac:dyDescent="0.25">
      <c r="A426" s="15">
        <v>45230</v>
      </c>
      <c r="B426" s="16">
        <v>22302086</v>
      </c>
      <c r="C426" s="16" t="s">
        <v>6</v>
      </c>
      <c r="D426" s="16" t="str">
        <f>VLOOKUP(C426,[1]master_data!$A$2:$E$495,2,FALSE)</f>
        <v>MESIN YANG 1200</v>
      </c>
      <c r="E426" s="16">
        <v>1</v>
      </c>
      <c r="F426" s="16">
        <f>VLOOKUP(C426,[1]master_data!$A$2:$E$495,3,FALSE)</f>
        <v>25000</v>
      </c>
      <c r="G426" s="16">
        <f>VLOOKUP(C426,[1]master_data!$A$2:$E$495,4,FALSE)</f>
        <v>40000</v>
      </c>
      <c r="H426" s="16">
        <f>E426*F426</f>
        <v>25000</v>
      </c>
      <c r="I426" s="16">
        <f>E426*G426</f>
        <v>40000</v>
      </c>
      <c r="J426" s="16">
        <f>I426-H426</f>
        <v>15000</v>
      </c>
      <c r="K426" s="16" t="str">
        <f>VLOOKUP(C426,[1]master_data!$A$2:$E$495,5,FALSE)</f>
        <v>Aksesoris</v>
      </c>
      <c r="L426" s="1"/>
    </row>
    <row r="427" spans="1:12" ht="12" customHeight="1" x14ac:dyDescent="0.25">
      <c r="A427" s="15">
        <v>45229</v>
      </c>
      <c r="B427" s="16">
        <v>22302071</v>
      </c>
      <c r="C427" s="16" t="s">
        <v>458</v>
      </c>
      <c r="D427" s="16" t="str">
        <f>VLOOKUP(C427,[1]master_data!$A$2:$E$495,2,FALSE)</f>
        <v>ZEBRA KUNING</v>
      </c>
      <c r="E427" s="16">
        <v>25</v>
      </c>
      <c r="F427" s="16">
        <f>VLOOKUP(C427,[1]master_data!$A$2:$E$495,3,FALSE)</f>
        <v>800</v>
      </c>
      <c r="G427" s="16">
        <f>VLOOKUP(C427,[1]master_data!$A$2:$E$495,4,FALSE)</f>
        <v>2000</v>
      </c>
      <c r="H427" s="16">
        <f>E427*F427</f>
        <v>20000</v>
      </c>
      <c r="I427" s="16">
        <f>E427*G427</f>
        <v>50000</v>
      </c>
      <c r="J427" s="16">
        <f>I427-H427</f>
        <v>30000</v>
      </c>
      <c r="K427" s="16" t="str">
        <f>VLOOKUP(C427,[1]master_data!$A$2:$E$495,5,FALSE)</f>
        <v>Ikan</v>
      </c>
      <c r="L427" s="1"/>
    </row>
    <row r="428" spans="1:12" ht="12" customHeight="1" x14ac:dyDescent="0.25">
      <c r="A428" s="15">
        <v>45229</v>
      </c>
      <c r="B428" s="16">
        <v>22302072</v>
      </c>
      <c r="C428" s="16" t="s">
        <v>408</v>
      </c>
      <c r="D428" s="16" t="str">
        <f>VLOOKUP(C428,[1]master_data!$A$2:$E$495,2,FALSE)</f>
        <v>GUPY</v>
      </c>
      <c r="E428" s="16">
        <v>20</v>
      </c>
      <c r="F428" s="16">
        <f>VLOOKUP(C428,[1]master_data!$A$2:$E$495,3,FALSE)</f>
        <v>1200</v>
      </c>
      <c r="G428" s="16">
        <f>VLOOKUP(C428,[1]master_data!$A$2:$E$495,4,FALSE)</f>
        <v>2500</v>
      </c>
      <c r="H428" s="16">
        <f>E428*F428</f>
        <v>24000</v>
      </c>
      <c r="I428" s="16">
        <f>E428*G428</f>
        <v>50000</v>
      </c>
      <c r="J428" s="16">
        <f>I428-H428</f>
        <v>26000</v>
      </c>
      <c r="K428" s="16" t="str">
        <f>VLOOKUP(C428,[1]master_data!$A$2:$E$495,5,FALSE)</f>
        <v>Ikan</v>
      </c>
      <c r="L428" s="1"/>
    </row>
    <row r="429" spans="1:12" ht="12" customHeight="1" x14ac:dyDescent="0.25">
      <c r="A429" s="15">
        <v>45229</v>
      </c>
      <c r="B429" s="16">
        <v>22302073</v>
      </c>
      <c r="C429" s="16" t="s">
        <v>413</v>
      </c>
      <c r="D429" s="16" t="str">
        <f>VLOOKUP(C429,[1]master_data!$A$2:$E$495,2,FALSE)</f>
        <v>KOKI B</v>
      </c>
      <c r="E429" s="16">
        <v>2</v>
      </c>
      <c r="F429" s="16">
        <f>VLOOKUP(C429,[1]master_data!$A$2:$E$495,3,FALSE)</f>
        <v>20000</v>
      </c>
      <c r="G429" s="16">
        <f>VLOOKUP(C429,[1]master_data!$A$2:$E$495,4,FALSE)</f>
        <v>50000</v>
      </c>
      <c r="H429" s="16">
        <f>E429*F429</f>
        <v>40000</v>
      </c>
      <c r="I429" s="16">
        <f>E429*G429</f>
        <v>100000</v>
      </c>
      <c r="J429" s="16">
        <f>I429-H429</f>
        <v>60000</v>
      </c>
      <c r="K429" s="16" t="str">
        <f>VLOOKUP(C429,[1]master_data!$A$2:$E$495,5,FALSE)</f>
        <v>Ikan</v>
      </c>
      <c r="L429" s="1"/>
    </row>
    <row r="430" spans="1:12" ht="12" customHeight="1" x14ac:dyDescent="0.25">
      <c r="A430" s="15">
        <v>45229</v>
      </c>
      <c r="B430" s="16">
        <v>22302074</v>
      </c>
      <c r="C430" s="16" t="s">
        <v>108</v>
      </c>
      <c r="D430" s="16" t="str">
        <f>VLOOKUP(C430,[1]master_data!$A$2:$E$495,2,FALSE)</f>
        <v>AIRATOR KANDILA LUB 1</v>
      </c>
      <c r="E430" s="16">
        <v>2</v>
      </c>
      <c r="F430" s="16">
        <f>VLOOKUP(C430,[1]master_data!$A$2:$E$495,3,FALSE)</f>
        <v>15000</v>
      </c>
      <c r="G430" s="16">
        <f>VLOOKUP(C430,[1]master_data!$A$2:$E$495,4,FALSE)</f>
        <v>25000</v>
      </c>
      <c r="H430" s="16">
        <f>E430*F430</f>
        <v>30000</v>
      </c>
      <c r="I430" s="16">
        <f>E430*G430</f>
        <v>50000</v>
      </c>
      <c r="J430" s="16">
        <f>I430-H430</f>
        <v>20000</v>
      </c>
      <c r="K430" s="16" t="str">
        <f>VLOOKUP(C430,[1]master_data!$A$2:$E$495,5,FALSE)</f>
        <v>Aksesoris</v>
      </c>
      <c r="L430" s="1"/>
    </row>
    <row r="431" spans="1:12" ht="12" customHeight="1" x14ac:dyDescent="0.25">
      <c r="A431" s="15">
        <v>45229</v>
      </c>
      <c r="B431" s="16">
        <v>22302075</v>
      </c>
      <c r="C431" s="16" t="s">
        <v>80</v>
      </c>
      <c r="D431" s="16" t="str">
        <f>VLOOKUP(C431,[1]master_data!$A$2:$E$495,2,FALSE)</f>
        <v>MESIN KIYOSAKI 1800</v>
      </c>
      <c r="E431" s="16">
        <v>4</v>
      </c>
      <c r="F431" s="16">
        <f>VLOOKUP(C431,[1]master_data!$A$2:$E$495,3,FALSE)</f>
        <v>45000</v>
      </c>
      <c r="G431" s="16">
        <f>VLOOKUP(C431,[1]master_data!$A$2:$E$495,4,FALSE)</f>
        <v>100000</v>
      </c>
      <c r="H431" s="16">
        <f>E431*F431</f>
        <v>180000</v>
      </c>
      <c r="I431" s="16">
        <f>E431*G431</f>
        <v>400000</v>
      </c>
      <c r="J431" s="16">
        <f>I431-H431</f>
        <v>220000</v>
      </c>
      <c r="K431" s="16" t="str">
        <f>VLOOKUP(C431,[1]master_data!$A$2:$E$495,5,FALSE)</f>
        <v>Aksesoris</v>
      </c>
      <c r="L431" s="1"/>
    </row>
    <row r="432" spans="1:12" ht="12" customHeight="1" x14ac:dyDescent="0.25">
      <c r="A432" s="15">
        <v>45229</v>
      </c>
      <c r="B432" s="16">
        <v>22302076</v>
      </c>
      <c r="C432" s="16" t="s">
        <v>179</v>
      </c>
      <c r="D432" s="16" t="str">
        <f>VLOOKUP(C432,[1]master_data!$A$2:$E$495,2,FALSE)</f>
        <v>LED ARMADA 3 MODE M30</v>
      </c>
      <c r="E432" s="16">
        <v>1</v>
      </c>
      <c r="F432" s="16">
        <f>VLOOKUP(C432,[1]master_data!$A$2:$E$495,3,FALSE)</f>
        <v>22000</v>
      </c>
      <c r="G432" s="16">
        <f>VLOOKUP(C432,[1]master_data!$A$2:$E$495,4,FALSE)</f>
        <v>45000</v>
      </c>
      <c r="H432" s="16">
        <f>E432*F432</f>
        <v>22000</v>
      </c>
      <c r="I432" s="16">
        <f>E432*G432</f>
        <v>45000</v>
      </c>
      <c r="J432" s="16">
        <f>I432-H432</f>
        <v>23000</v>
      </c>
      <c r="K432" s="16" t="str">
        <f>VLOOKUP(C432,[1]master_data!$A$2:$E$495,5,FALSE)</f>
        <v>Aksesoris</v>
      </c>
      <c r="L432" s="1"/>
    </row>
    <row r="433" spans="1:12" ht="12" customHeight="1" x14ac:dyDescent="0.25">
      <c r="A433" s="15">
        <v>45229</v>
      </c>
      <c r="B433" s="16">
        <v>22302077</v>
      </c>
      <c r="C433" s="16" t="s">
        <v>410</v>
      </c>
      <c r="D433" s="16" t="str">
        <f>VLOOKUP(C433,[1]master_data!$A$2:$E$495,2,FALSE)</f>
        <v>HIU TAWAR</v>
      </c>
      <c r="E433" s="16">
        <v>15</v>
      </c>
      <c r="F433" s="16">
        <f>VLOOKUP(C433,[1]master_data!$A$2:$E$495,3,FALSE)</f>
        <v>600</v>
      </c>
      <c r="G433" s="16">
        <f>VLOOKUP(C433,[1]master_data!$A$2:$E$495,4,FALSE)</f>
        <v>2000</v>
      </c>
      <c r="H433" s="16">
        <f>E433*F433</f>
        <v>9000</v>
      </c>
      <c r="I433" s="16">
        <f>E433*G433</f>
        <v>30000</v>
      </c>
      <c r="J433" s="16">
        <f>I433-H433</f>
        <v>21000</v>
      </c>
      <c r="K433" s="16" t="str">
        <f>VLOOKUP(C433,[1]master_data!$A$2:$E$495,5,FALSE)</f>
        <v>Ikan</v>
      </c>
      <c r="L433" s="1"/>
    </row>
    <row r="434" spans="1:12" ht="12" customHeight="1" x14ac:dyDescent="0.25">
      <c r="A434" s="15">
        <v>45228</v>
      </c>
      <c r="B434" s="16">
        <v>22302064</v>
      </c>
      <c r="C434" s="16" t="s">
        <v>101</v>
      </c>
      <c r="D434" s="16" t="str">
        <f>VLOOKUP(C434,[1]master_data!$A$2:$E$495,2,FALSE)</f>
        <v>MESIN AMARA 1800</v>
      </c>
      <c r="E434" s="16">
        <v>1</v>
      </c>
      <c r="F434" s="16">
        <f>VLOOKUP(C434,[1]master_data!$A$2:$E$495,3,FALSE)</f>
        <v>52500</v>
      </c>
      <c r="G434" s="16">
        <f>VLOOKUP(C434,[1]master_data!$A$2:$E$495,4,FALSE)</f>
        <v>90000</v>
      </c>
      <c r="H434" s="16">
        <f>E434*F434</f>
        <v>52500</v>
      </c>
      <c r="I434" s="16">
        <f>E434*G434</f>
        <v>90000</v>
      </c>
      <c r="J434" s="16">
        <f>I434-H434</f>
        <v>37500</v>
      </c>
      <c r="K434" s="16" t="str">
        <f>VLOOKUP(C434,[1]master_data!$A$2:$E$495,5,FALSE)</f>
        <v>Aksesoris</v>
      </c>
      <c r="L434" s="1"/>
    </row>
    <row r="435" spans="1:12" ht="12" customHeight="1" x14ac:dyDescent="0.25">
      <c r="A435" s="15">
        <v>45228</v>
      </c>
      <c r="B435" s="16">
        <v>22302065</v>
      </c>
      <c r="C435" s="16" t="s">
        <v>401</v>
      </c>
      <c r="D435" s="16" t="str">
        <f>VLOOKUP(C435,[1]master_data!$A$2:$E$495,2,FALSE)</f>
        <v>CHANNA BLUE PULCHRA K</v>
      </c>
      <c r="E435" s="16">
        <v>1</v>
      </c>
      <c r="F435" s="16">
        <f>VLOOKUP(C435,[1]master_data!$A$2:$E$495,3,FALSE)</f>
        <v>25000</v>
      </c>
      <c r="G435" s="16">
        <f>VLOOKUP(C435,[1]master_data!$A$2:$E$495,4,FALSE)</f>
        <v>50000</v>
      </c>
      <c r="H435" s="16">
        <f>E435*F435</f>
        <v>25000</v>
      </c>
      <c r="I435" s="16">
        <f>E435*G435</f>
        <v>50000</v>
      </c>
      <c r="J435" s="16">
        <f>I435-H435</f>
        <v>25000</v>
      </c>
      <c r="K435" s="16" t="str">
        <f>VLOOKUP(C435,[1]master_data!$A$2:$E$495,5,FALSE)</f>
        <v>Ikan</v>
      </c>
      <c r="L435" s="1"/>
    </row>
    <row r="436" spans="1:12" ht="12" customHeight="1" x14ac:dyDescent="0.25">
      <c r="A436" s="15">
        <v>45228</v>
      </c>
      <c r="B436" s="16">
        <v>22302066</v>
      </c>
      <c r="C436" s="16" t="s">
        <v>447</v>
      </c>
      <c r="D436" s="16" t="str">
        <f>VLOOKUP(C436,[1]master_data!$A$2:$E$495,2,FALSE)</f>
        <v>CHANNA RED BARITO B</v>
      </c>
      <c r="E436" s="16">
        <v>1</v>
      </c>
      <c r="F436" s="16">
        <f>VLOOKUP(C436,[1]master_data!$A$2:$E$495,3,FALSE)</f>
        <v>120000</v>
      </c>
      <c r="G436" s="16">
        <f>VLOOKUP(C436,[1]master_data!$A$2:$E$495,4,FALSE)</f>
        <v>200000</v>
      </c>
      <c r="H436" s="16">
        <f>E436*F436</f>
        <v>120000</v>
      </c>
      <c r="I436" s="16">
        <f>E436*G436</f>
        <v>200000</v>
      </c>
      <c r="J436" s="16">
        <f>I436-H436</f>
        <v>80000</v>
      </c>
      <c r="K436" s="16" t="str">
        <f>VLOOKUP(C436,[1]master_data!$A$2:$E$495,5,FALSE)</f>
        <v>Ikan</v>
      </c>
      <c r="L436" s="1"/>
    </row>
    <row r="437" spans="1:12" ht="12" customHeight="1" x14ac:dyDescent="0.25">
      <c r="A437" s="15">
        <v>45228</v>
      </c>
      <c r="B437" s="16">
        <v>22302067</v>
      </c>
      <c r="C437" s="16" t="s">
        <v>399</v>
      </c>
      <c r="D437" s="16" t="str">
        <f>VLOOKUP(C437,[1]master_data!$A$2:$E$495,2,FALSE)</f>
        <v>BALA BALA B</v>
      </c>
      <c r="E437" s="16">
        <v>2</v>
      </c>
      <c r="F437" s="16">
        <f>VLOOKUP(C437,[1]master_data!$A$2:$E$495,3,FALSE)</f>
        <v>7000</v>
      </c>
      <c r="G437" s="16">
        <f>VLOOKUP(C437,[1]master_data!$A$2:$E$495,4,FALSE)</f>
        <v>15000</v>
      </c>
      <c r="H437" s="16">
        <f>E437*F437</f>
        <v>14000</v>
      </c>
      <c r="I437" s="16">
        <f>E437*G437</f>
        <v>30000</v>
      </c>
      <c r="J437" s="16">
        <f>I437-H437</f>
        <v>16000</v>
      </c>
      <c r="K437" s="16" t="str">
        <f>VLOOKUP(C437,[1]master_data!$A$2:$E$495,5,FALSE)</f>
        <v>Ikan</v>
      </c>
      <c r="L437" s="1"/>
    </row>
    <row r="438" spans="1:12" ht="12" customHeight="1" x14ac:dyDescent="0.25">
      <c r="A438" s="15">
        <v>45228</v>
      </c>
      <c r="B438" s="16">
        <v>22302068</v>
      </c>
      <c r="C438" s="16" t="s">
        <v>101</v>
      </c>
      <c r="D438" s="16" t="str">
        <f>VLOOKUP(C438,[1]master_data!$A$2:$E$495,2,FALSE)</f>
        <v>MESIN AMARA 1800</v>
      </c>
      <c r="E438" s="16">
        <v>2</v>
      </c>
      <c r="F438" s="16">
        <f>VLOOKUP(C438,[1]master_data!$A$2:$E$495,3,FALSE)</f>
        <v>52500</v>
      </c>
      <c r="G438" s="16">
        <f>VLOOKUP(C438,[1]master_data!$A$2:$E$495,4,FALSE)</f>
        <v>90000</v>
      </c>
      <c r="H438" s="16">
        <f>E438*F438</f>
        <v>105000</v>
      </c>
      <c r="I438" s="16">
        <f>E438*G438</f>
        <v>180000</v>
      </c>
      <c r="J438" s="16">
        <f>I438-H438</f>
        <v>75000</v>
      </c>
      <c r="K438" s="16" t="str">
        <f>VLOOKUP(C438,[1]master_data!$A$2:$E$495,5,FALSE)</f>
        <v>Aksesoris</v>
      </c>
      <c r="L438" s="1"/>
    </row>
    <row r="439" spans="1:12" ht="12" customHeight="1" x14ac:dyDescent="0.25">
      <c r="A439" s="15">
        <v>45228</v>
      </c>
      <c r="B439" s="16">
        <v>22302069</v>
      </c>
      <c r="C439" s="16" t="s">
        <v>70</v>
      </c>
      <c r="D439" s="16" t="str">
        <f>VLOOKUP(C439,[1]master_data!$A$2:$E$495,2,FALSE)</f>
        <v>MESIN LUKINES K</v>
      </c>
      <c r="E439" s="16">
        <v>3</v>
      </c>
      <c r="F439" s="16">
        <f>VLOOKUP(C439,[1]master_data!$A$2:$E$495,3,FALSE)</f>
        <v>35000</v>
      </c>
      <c r="G439" s="16">
        <f>VLOOKUP(C439,[1]master_data!$A$2:$E$495,4,FALSE)</f>
        <v>55000</v>
      </c>
      <c r="H439" s="16">
        <f>E439*F439</f>
        <v>105000</v>
      </c>
      <c r="I439" s="16">
        <f>E439*G439</f>
        <v>165000</v>
      </c>
      <c r="J439" s="16">
        <f>I439-H439</f>
        <v>60000</v>
      </c>
      <c r="K439" s="16" t="str">
        <f>VLOOKUP(C439,[1]master_data!$A$2:$E$495,5,FALSE)</f>
        <v>Aksesoris</v>
      </c>
      <c r="L439" s="1"/>
    </row>
    <row r="440" spans="1:12" ht="12" customHeight="1" x14ac:dyDescent="0.25">
      <c r="A440" s="15">
        <v>45228</v>
      </c>
      <c r="B440" s="16">
        <v>22302070</v>
      </c>
      <c r="C440" s="16" t="s">
        <v>406</v>
      </c>
      <c r="D440" s="16" t="str">
        <f>VLOOKUP(C440,[1]master_data!$A$2:$E$495,2,FALSE)</f>
        <v>CATFISH</v>
      </c>
      <c r="E440" s="16">
        <v>1</v>
      </c>
      <c r="F440" s="16">
        <f>VLOOKUP(C440,[1]master_data!$A$2:$E$495,3,FALSE)</f>
        <v>20000</v>
      </c>
      <c r="G440" s="16">
        <f>VLOOKUP(C440,[1]master_data!$A$2:$E$495,4,FALSE)</f>
        <v>50000</v>
      </c>
      <c r="H440" s="16">
        <f>E440*F440</f>
        <v>20000</v>
      </c>
      <c r="I440" s="16">
        <f>E440*G440</f>
        <v>50000</v>
      </c>
      <c r="J440" s="16">
        <f>I440-H440</f>
        <v>30000</v>
      </c>
      <c r="K440" s="16" t="str">
        <f>VLOOKUP(C440,[1]master_data!$A$2:$E$495,5,FALSE)</f>
        <v>Ikan</v>
      </c>
      <c r="L440" s="1"/>
    </row>
    <row r="441" spans="1:12" ht="12" customHeight="1" x14ac:dyDescent="0.25">
      <c r="A441" s="15">
        <v>45227</v>
      </c>
      <c r="B441" s="16">
        <v>22302057</v>
      </c>
      <c r="C441" s="16" t="s">
        <v>450</v>
      </c>
      <c r="D441" s="16" t="str">
        <f>VLOOKUP(C441,[1]master_data!$A$2:$E$495,2,FALSE)</f>
        <v>SNOW WHITE</v>
      </c>
      <c r="E441" s="16">
        <v>20</v>
      </c>
      <c r="F441" s="16">
        <f>VLOOKUP(C441,[1]master_data!$A$2:$E$495,3,FALSE)</f>
        <v>1500</v>
      </c>
      <c r="G441" s="16">
        <f>VLOOKUP(C441,[1]master_data!$A$2:$E$495,4,FALSE)</f>
        <v>3000</v>
      </c>
      <c r="H441" s="16">
        <f>E441*F441</f>
        <v>30000</v>
      </c>
      <c r="I441" s="16">
        <f>E441*G441</f>
        <v>60000</v>
      </c>
      <c r="J441" s="16">
        <f>I441-H441</f>
        <v>30000</v>
      </c>
      <c r="K441" s="16" t="str">
        <f>VLOOKUP(C441,[1]master_data!$A$2:$E$495,5,FALSE)</f>
        <v>Ikan</v>
      </c>
      <c r="L441" s="1"/>
    </row>
    <row r="442" spans="1:12" ht="12" customHeight="1" x14ac:dyDescent="0.25">
      <c r="A442" s="15">
        <v>45227</v>
      </c>
      <c r="B442" s="16">
        <v>22302058</v>
      </c>
      <c r="C442" s="16" t="s">
        <v>398</v>
      </c>
      <c r="D442" s="16" t="str">
        <f>VLOOKUP(C442,[1]master_data!$A$2:$E$495,2,FALSE)</f>
        <v>BALA BALA K</v>
      </c>
      <c r="E442" s="16">
        <v>10</v>
      </c>
      <c r="F442" s="16">
        <f>VLOOKUP(C442,[1]master_data!$A$2:$E$495,3,FALSE)</f>
        <v>4000</v>
      </c>
      <c r="G442" s="16">
        <f>VLOOKUP(C442,[1]master_data!$A$2:$E$495,4,FALSE)</f>
        <v>8000</v>
      </c>
      <c r="H442" s="16">
        <f>E442*F442</f>
        <v>40000</v>
      </c>
      <c r="I442" s="16">
        <f>E442*G442</f>
        <v>80000</v>
      </c>
      <c r="J442" s="16">
        <f>I442-H442</f>
        <v>40000</v>
      </c>
      <c r="K442" s="16" t="str">
        <f>VLOOKUP(C442,[1]master_data!$A$2:$E$495,5,FALSE)</f>
        <v>Ikan</v>
      </c>
      <c r="L442" s="1"/>
    </row>
    <row r="443" spans="1:12" ht="12" customHeight="1" x14ac:dyDescent="0.25">
      <c r="A443" s="15">
        <v>45227</v>
      </c>
      <c r="B443" s="16">
        <v>22302059</v>
      </c>
      <c r="C443" s="16" t="s">
        <v>324</v>
      </c>
      <c r="D443" s="16" t="str">
        <f>VLOOKUP(C443,[1]master_data!$A$2:$E$495,2,FALSE)</f>
        <v>HEATER STENLEES 75 W</v>
      </c>
      <c r="E443" s="16">
        <v>2</v>
      </c>
      <c r="F443" s="16">
        <f>VLOOKUP(C443,[1]master_data!$A$2:$E$495,3,FALSE)</f>
        <v>70000</v>
      </c>
      <c r="G443" s="16">
        <f>VLOOKUP(C443,[1]master_data!$A$2:$E$495,4,FALSE)</f>
        <v>90000</v>
      </c>
      <c r="H443" s="16">
        <f>E443*F443</f>
        <v>140000</v>
      </c>
      <c r="I443" s="16">
        <f>E443*G443</f>
        <v>180000</v>
      </c>
      <c r="J443" s="16">
        <f>I443-H443</f>
        <v>40000</v>
      </c>
      <c r="K443" s="16" t="str">
        <f>VLOOKUP(C443,[1]master_data!$A$2:$E$495,5,FALSE)</f>
        <v>Aksesoris</v>
      </c>
      <c r="L443" s="1"/>
    </row>
    <row r="444" spans="1:12" ht="12" customHeight="1" x14ac:dyDescent="0.25">
      <c r="A444" s="15">
        <v>45227</v>
      </c>
      <c r="B444" s="16">
        <v>22302060</v>
      </c>
      <c r="C444" s="16" t="s">
        <v>449</v>
      </c>
      <c r="D444" s="16" t="str">
        <f>VLOOKUP(C444,[1]master_data!$A$2:$E$495,2,FALSE)</f>
        <v>SUMATRA GOLD FISH</v>
      </c>
      <c r="E444" s="16">
        <v>20</v>
      </c>
      <c r="F444" s="16">
        <f>VLOOKUP(C444,[1]master_data!$A$2:$E$495,3,FALSE)</f>
        <v>2500</v>
      </c>
      <c r="G444" s="16">
        <f>VLOOKUP(C444,[1]master_data!$A$2:$E$495,4,FALSE)</f>
        <v>4000</v>
      </c>
      <c r="H444" s="16">
        <f>E444*F444</f>
        <v>50000</v>
      </c>
      <c r="I444" s="16">
        <f>E444*G444</f>
        <v>80000</v>
      </c>
      <c r="J444" s="16">
        <f>I444-H444</f>
        <v>30000</v>
      </c>
      <c r="K444" s="16" t="str">
        <f>VLOOKUP(C444,[1]master_data!$A$2:$E$495,5,FALSE)</f>
        <v>Ikan</v>
      </c>
      <c r="L444" s="1"/>
    </row>
    <row r="445" spans="1:12" ht="12" customHeight="1" x14ac:dyDescent="0.25">
      <c r="A445" s="15">
        <v>45227</v>
      </c>
      <c r="B445" s="16">
        <v>22302061</v>
      </c>
      <c r="C445" s="16" t="s">
        <v>278</v>
      </c>
      <c r="D445" s="16" t="str">
        <f>VLOOKUP(C445,[1]master_data!$A$2:$E$495,2,FALSE)</f>
        <v>HEATER STENLEES 100 W</v>
      </c>
      <c r="E445" s="16">
        <v>1</v>
      </c>
      <c r="F445" s="16">
        <f>VLOOKUP(C445,[1]master_data!$A$2:$E$495,3,FALSE)</f>
        <v>56000</v>
      </c>
      <c r="G445" s="16">
        <f>VLOOKUP(C445,[1]master_data!$A$2:$E$495,4,FALSE)</f>
        <v>85000</v>
      </c>
      <c r="H445" s="16">
        <f>E445*F445</f>
        <v>56000</v>
      </c>
      <c r="I445" s="16">
        <f>E445*G445</f>
        <v>85000</v>
      </c>
      <c r="J445" s="16">
        <f>I445-H445</f>
        <v>29000</v>
      </c>
      <c r="K445" s="16" t="str">
        <f>VLOOKUP(C445,[1]master_data!$A$2:$E$495,5,FALSE)</f>
        <v>Aksesoris</v>
      </c>
      <c r="L445" s="1"/>
    </row>
    <row r="446" spans="1:12" ht="12" customHeight="1" x14ac:dyDescent="0.25">
      <c r="A446" s="15">
        <v>45227</v>
      </c>
      <c r="B446" s="16">
        <v>22302062</v>
      </c>
      <c r="C446" s="16" t="s">
        <v>413</v>
      </c>
      <c r="D446" s="16" t="str">
        <f>VLOOKUP(C446,[1]master_data!$A$2:$E$495,2,FALSE)</f>
        <v>KOKI B</v>
      </c>
      <c r="E446" s="16">
        <v>7</v>
      </c>
      <c r="F446" s="16">
        <f>VLOOKUP(C446,[1]master_data!$A$2:$E$495,3,FALSE)</f>
        <v>20000</v>
      </c>
      <c r="G446" s="16">
        <f>VLOOKUP(C446,[1]master_data!$A$2:$E$495,4,FALSE)</f>
        <v>50000</v>
      </c>
      <c r="H446" s="16">
        <f>E446*F446</f>
        <v>140000</v>
      </c>
      <c r="I446" s="16">
        <f>E446*G446</f>
        <v>350000</v>
      </c>
      <c r="J446" s="16">
        <f>I446-H446</f>
        <v>210000</v>
      </c>
      <c r="K446" s="16" t="str">
        <f>VLOOKUP(C446,[1]master_data!$A$2:$E$495,5,FALSE)</f>
        <v>Ikan</v>
      </c>
      <c r="L446" s="1"/>
    </row>
    <row r="447" spans="1:12" ht="12" customHeight="1" x14ac:dyDescent="0.25">
      <c r="A447" s="15">
        <v>45227</v>
      </c>
      <c r="B447" s="16">
        <v>22302063</v>
      </c>
      <c r="C447" s="16" t="s">
        <v>190</v>
      </c>
      <c r="D447" s="16" t="str">
        <f>VLOOKUP(C447,[1]master_data!$A$2:$E$495,2,FALSE)</f>
        <v>LED KANDILA PRO RED ECO 50 CM</v>
      </c>
      <c r="E447" s="16">
        <v>1</v>
      </c>
      <c r="F447" s="16">
        <f>VLOOKUP(C447,[1]master_data!$A$2:$E$495,3,FALSE)</f>
        <v>50000</v>
      </c>
      <c r="G447" s="16">
        <f>VLOOKUP(C447,[1]master_data!$A$2:$E$495,4,FALSE)</f>
        <v>70000</v>
      </c>
      <c r="H447" s="16">
        <f>E447*F447</f>
        <v>50000</v>
      </c>
      <c r="I447" s="16">
        <f>E447*G447</f>
        <v>70000</v>
      </c>
      <c r="J447" s="16">
        <f>I447-H447</f>
        <v>20000</v>
      </c>
      <c r="K447" s="16" t="str">
        <f>VLOOKUP(C447,[1]master_data!$A$2:$E$495,5,FALSE)</f>
        <v>Aksesoris</v>
      </c>
      <c r="L447" s="1"/>
    </row>
    <row r="448" spans="1:12" ht="12" customHeight="1" x14ac:dyDescent="0.25">
      <c r="A448" s="15">
        <v>45226</v>
      </c>
      <c r="B448" s="16">
        <v>22302049</v>
      </c>
      <c r="C448" s="16" t="s">
        <v>432</v>
      </c>
      <c r="D448" s="16" t="str">
        <f>VLOOKUP(C448,[1]master_data!$A$2:$E$495,2,FALSE)</f>
        <v>MOLI PAKAN</v>
      </c>
      <c r="E448" s="16">
        <v>20</v>
      </c>
      <c r="F448" s="16">
        <f>VLOOKUP(C448,[1]master_data!$A$2:$E$495,3,FALSE)</f>
        <v>100</v>
      </c>
      <c r="G448" s="16">
        <f>VLOOKUP(C448,[1]master_data!$A$2:$E$495,4,FALSE)</f>
        <v>200</v>
      </c>
      <c r="H448" s="16">
        <f>E448*F448</f>
        <v>2000</v>
      </c>
      <c r="I448" s="16">
        <f>E448*G448</f>
        <v>4000</v>
      </c>
      <c r="J448" s="16">
        <f>I448-H448</f>
        <v>2000</v>
      </c>
      <c r="K448" s="16" t="str">
        <f>VLOOKUP(C448,[1]master_data!$A$2:$E$495,5,FALSE)</f>
        <v>Ikan</v>
      </c>
      <c r="L448" s="1"/>
    </row>
    <row r="449" spans="1:12" ht="12" customHeight="1" x14ac:dyDescent="0.25">
      <c r="A449" s="15">
        <v>45226</v>
      </c>
      <c r="B449" s="16">
        <v>22302050</v>
      </c>
      <c r="C449" s="16" t="s">
        <v>43</v>
      </c>
      <c r="D449" s="16" t="str">
        <f>VLOOKUP(C449,[1]master_data!$A$2:$E$495,2,FALSE)</f>
        <v>MESIN YAMANO ACO 003</v>
      </c>
      <c r="E449" s="16">
        <v>1</v>
      </c>
      <c r="F449" s="16">
        <f>VLOOKUP(C449,[1]master_data!$A$2:$E$495,3,FALSE)</f>
        <v>375000</v>
      </c>
      <c r="G449" s="16">
        <f>VLOOKUP(C449,[1]master_data!$A$2:$E$495,4,FALSE)</f>
        <v>450000</v>
      </c>
      <c r="H449" s="16">
        <f>E449*F449</f>
        <v>375000</v>
      </c>
      <c r="I449" s="16">
        <f>E449*G449</f>
        <v>450000</v>
      </c>
      <c r="J449" s="16">
        <f>I449-H449</f>
        <v>75000</v>
      </c>
      <c r="K449" s="16" t="str">
        <f>VLOOKUP(C449,[1]master_data!$A$2:$E$495,5,FALSE)</f>
        <v>Aksesoris</v>
      </c>
      <c r="L449" s="1"/>
    </row>
    <row r="450" spans="1:12" ht="12" customHeight="1" x14ac:dyDescent="0.25">
      <c r="A450" s="15">
        <v>45226</v>
      </c>
      <c r="B450" s="16">
        <v>22302051</v>
      </c>
      <c r="C450" s="16" t="s">
        <v>286</v>
      </c>
      <c r="D450" s="16" t="str">
        <f>VLOOKUP(C450,[1]master_data!$A$2:$E$495,2,FALSE)</f>
        <v>KAPAS 1X1</v>
      </c>
      <c r="E450" s="16">
        <v>10</v>
      </c>
      <c r="F450" s="16">
        <f>VLOOKUP(C450,[1]master_data!$A$2:$E$495,3,FALSE)</f>
        <v>15000</v>
      </c>
      <c r="G450" s="16">
        <f>VLOOKUP(C450,[1]master_data!$A$2:$E$495,4,FALSE)</f>
        <v>27000</v>
      </c>
      <c r="H450" s="16">
        <f>E450*F450</f>
        <v>150000</v>
      </c>
      <c r="I450" s="16">
        <f>E450*G450</f>
        <v>270000</v>
      </c>
      <c r="J450" s="16">
        <f>I450-H450</f>
        <v>120000</v>
      </c>
      <c r="K450" s="16" t="str">
        <f>VLOOKUP(C450,[1]master_data!$A$2:$E$495,5,FALSE)</f>
        <v>Aksesoris</v>
      </c>
      <c r="L450" s="1"/>
    </row>
    <row r="451" spans="1:12" ht="12" customHeight="1" x14ac:dyDescent="0.25">
      <c r="A451" s="15">
        <v>45226</v>
      </c>
      <c r="B451" s="16">
        <v>22302052</v>
      </c>
      <c r="C451" s="16" t="s">
        <v>447</v>
      </c>
      <c r="D451" s="16" t="str">
        <f>VLOOKUP(C451,[1]master_data!$A$2:$E$495,2,FALSE)</f>
        <v>CHANNA RED BARITO B</v>
      </c>
      <c r="E451" s="16">
        <v>1</v>
      </c>
      <c r="F451" s="16">
        <f>VLOOKUP(C451,[1]master_data!$A$2:$E$495,3,FALSE)</f>
        <v>120000</v>
      </c>
      <c r="G451" s="16">
        <f>VLOOKUP(C451,[1]master_data!$A$2:$E$495,4,FALSE)</f>
        <v>200000</v>
      </c>
      <c r="H451" s="16">
        <f>E451*F451</f>
        <v>120000</v>
      </c>
      <c r="I451" s="16">
        <f>E451*G451</f>
        <v>200000</v>
      </c>
      <c r="J451" s="16">
        <f>I451-H451</f>
        <v>80000</v>
      </c>
      <c r="K451" s="16" t="str">
        <f>VLOOKUP(C451,[1]master_data!$A$2:$E$495,5,FALSE)</f>
        <v>Ikan</v>
      </c>
      <c r="L451" s="1"/>
    </row>
    <row r="452" spans="1:12" ht="12" customHeight="1" x14ac:dyDescent="0.25">
      <c r="A452" s="15">
        <v>45226</v>
      </c>
      <c r="B452" s="16">
        <v>22302053</v>
      </c>
      <c r="C452" s="16" t="s">
        <v>355</v>
      </c>
      <c r="D452" s="16" t="str">
        <f>VLOOKUP(C452,[1]master_data!$A$2:$E$495,2,FALSE)</f>
        <v>TOPLES  1,5 L</v>
      </c>
      <c r="E452" s="16">
        <v>2</v>
      </c>
      <c r="F452" s="16">
        <f>VLOOKUP(C452,[1]master_data!$A$2:$E$495,3,FALSE)</f>
        <v>38500</v>
      </c>
      <c r="G452" s="16">
        <f>VLOOKUP(C452,[1]master_data!$A$2:$E$495,4,FALSE)</f>
        <v>55000</v>
      </c>
      <c r="H452" s="16">
        <f>E452*F452</f>
        <v>77000</v>
      </c>
      <c r="I452" s="16">
        <f>E452*G452</f>
        <v>110000</v>
      </c>
      <c r="J452" s="16">
        <f>I452-H452</f>
        <v>33000</v>
      </c>
      <c r="K452" s="16" t="str">
        <f>VLOOKUP(C452,[1]master_data!$A$2:$E$495,5,FALSE)</f>
        <v>Aksesoris</v>
      </c>
      <c r="L452" s="1"/>
    </row>
    <row r="453" spans="1:12" ht="12" customHeight="1" x14ac:dyDescent="0.25">
      <c r="A453" s="15">
        <v>45226</v>
      </c>
      <c r="B453" s="16">
        <v>22302054</v>
      </c>
      <c r="C453" s="16" t="s">
        <v>428</v>
      </c>
      <c r="D453" s="16" t="str">
        <f>VLOOKUP(C453,[1]master_data!$A$2:$E$495,2,FALSE)</f>
        <v>MANFISH K</v>
      </c>
      <c r="E453" s="16">
        <v>23</v>
      </c>
      <c r="F453" s="16">
        <f>VLOOKUP(C453,[1]master_data!$A$2:$E$495,3,FALSE)</f>
        <v>2000</v>
      </c>
      <c r="G453" s="16">
        <f>VLOOKUP(C453,[1]master_data!$A$2:$E$495,4,FALSE)</f>
        <v>5000</v>
      </c>
      <c r="H453" s="16">
        <f>E453*F453</f>
        <v>46000</v>
      </c>
      <c r="I453" s="16">
        <f>E453*G453</f>
        <v>115000</v>
      </c>
      <c r="J453" s="16">
        <f>I453-H453</f>
        <v>69000</v>
      </c>
      <c r="K453" s="16" t="str">
        <f>VLOOKUP(C453,[1]master_data!$A$2:$E$495,5,FALSE)</f>
        <v>Ikan</v>
      </c>
      <c r="L453" s="1"/>
    </row>
    <row r="454" spans="1:12" ht="12" customHeight="1" x14ac:dyDescent="0.25">
      <c r="A454" s="15">
        <v>45226</v>
      </c>
      <c r="B454" s="16">
        <v>22302055</v>
      </c>
      <c r="C454" s="16" t="s">
        <v>458</v>
      </c>
      <c r="D454" s="16" t="str">
        <f>VLOOKUP(C454,[1]master_data!$A$2:$E$495,2,FALSE)</f>
        <v>ZEBRA KUNING</v>
      </c>
      <c r="E454" s="16">
        <v>1</v>
      </c>
      <c r="F454" s="16">
        <f>VLOOKUP(C454,[1]master_data!$A$2:$E$495,3,FALSE)</f>
        <v>800</v>
      </c>
      <c r="G454" s="16">
        <f>VLOOKUP(C454,[1]master_data!$A$2:$E$495,4,FALSE)</f>
        <v>2000</v>
      </c>
      <c r="H454" s="16">
        <f>E454*F454</f>
        <v>800</v>
      </c>
      <c r="I454" s="16">
        <f>E454*G454</f>
        <v>2000</v>
      </c>
      <c r="J454" s="16">
        <f>I454-H454</f>
        <v>1200</v>
      </c>
      <c r="K454" s="16" t="str">
        <f>VLOOKUP(C454,[1]master_data!$A$2:$E$495,5,FALSE)</f>
        <v>Ikan</v>
      </c>
      <c r="L454" s="1"/>
    </row>
    <row r="455" spans="1:12" ht="12" customHeight="1" x14ac:dyDescent="0.25">
      <c r="A455" s="15">
        <v>45226</v>
      </c>
      <c r="B455" s="16">
        <v>22302056</v>
      </c>
      <c r="C455" s="16" t="s">
        <v>422</v>
      </c>
      <c r="D455" s="16" t="str">
        <f>VLOOKUP(C455,[1]master_data!$A$2:$E$495,2,FALSE)</f>
        <v>KOI SLAYER B</v>
      </c>
      <c r="E455" s="16">
        <v>10</v>
      </c>
      <c r="F455" s="16">
        <f>VLOOKUP(C455,[1]master_data!$A$2:$E$495,3,FALSE)</f>
        <v>8000</v>
      </c>
      <c r="G455" s="16">
        <f>VLOOKUP(C455,[1]master_data!$A$2:$E$495,4,FALSE)</f>
        <v>20000</v>
      </c>
      <c r="H455" s="16">
        <f>E455*F455</f>
        <v>80000</v>
      </c>
      <c r="I455" s="16">
        <f>E455*G455</f>
        <v>200000</v>
      </c>
      <c r="J455" s="16">
        <f>I455-H455</f>
        <v>120000</v>
      </c>
      <c r="K455" s="16" t="str">
        <f>VLOOKUP(C455,[1]master_data!$A$2:$E$495,5,FALSE)</f>
        <v>Ikan</v>
      </c>
      <c r="L455" s="1"/>
    </row>
    <row r="456" spans="1:12" ht="12" customHeight="1" x14ac:dyDescent="0.25">
      <c r="A456" s="15">
        <v>45225</v>
      </c>
      <c r="B456" s="16">
        <v>22302039</v>
      </c>
      <c r="C456" s="16" t="s">
        <v>68</v>
      </c>
      <c r="D456" s="16" t="str">
        <f>VLOOKUP(C456,[1]master_data!$A$2:$E$495,2,FALSE)</f>
        <v>BIO FOAM M</v>
      </c>
      <c r="E456" s="16">
        <v>1</v>
      </c>
      <c r="F456" s="16">
        <f>VLOOKUP(C456,[1]master_data!$A$2:$E$495,3,FALSE)</f>
        <v>17000</v>
      </c>
      <c r="G456" s="16">
        <f>VLOOKUP(C456,[1]master_data!$A$2:$E$495,4,FALSE)</f>
        <v>30000</v>
      </c>
      <c r="H456" s="16">
        <f>E456*F456</f>
        <v>17000</v>
      </c>
      <c r="I456" s="16">
        <f>E456*G456</f>
        <v>30000</v>
      </c>
      <c r="J456" s="16">
        <f>I456-H456</f>
        <v>13000</v>
      </c>
      <c r="K456" s="16" t="str">
        <f>VLOOKUP(C456,[1]master_data!$A$2:$E$495,5,FALSE)</f>
        <v>Aksesoris</v>
      </c>
      <c r="L456" s="1"/>
    </row>
    <row r="457" spans="1:12" ht="12" customHeight="1" x14ac:dyDescent="0.25">
      <c r="A457" s="15">
        <v>45225</v>
      </c>
      <c r="B457" s="16">
        <v>22302040</v>
      </c>
      <c r="C457" s="16" t="s">
        <v>404</v>
      </c>
      <c r="D457" s="16" t="str">
        <f>VLOOKUP(C457,[1]master_data!$A$2:$E$495,2,FALSE)</f>
        <v>BARBIR</v>
      </c>
      <c r="E457" s="16">
        <v>15</v>
      </c>
      <c r="F457" s="16">
        <f>VLOOKUP(C457,[1]master_data!$A$2:$E$495,3,FALSE)</f>
        <v>800</v>
      </c>
      <c r="G457" s="16">
        <f>VLOOKUP(C457,[1]master_data!$A$2:$E$495,4,FALSE)</f>
        <v>2000</v>
      </c>
      <c r="H457" s="16">
        <f>E457*F457</f>
        <v>12000</v>
      </c>
      <c r="I457" s="16">
        <f>E457*G457</f>
        <v>30000</v>
      </c>
      <c r="J457" s="16">
        <f>I457-H457</f>
        <v>18000</v>
      </c>
      <c r="K457" s="16" t="str">
        <f>VLOOKUP(C457,[1]master_data!$A$2:$E$495,5,FALSE)</f>
        <v>Ikan</v>
      </c>
      <c r="L457" s="1"/>
    </row>
    <row r="458" spans="1:12" ht="12" customHeight="1" x14ac:dyDescent="0.25">
      <c r="A458" s="15">
        <v>45225</v>
      </c>
      <c r="B458" s="16">
        <v>22302041</v>
      </c>
      <c r="C458" s="16" t="s">
        <v>447</v>
      </c>
      <c r="D458" s="16" t="str">
        <f>VLOOKUP(C458,[1]master_data!$A$2:$E$495,2,FALSE)</f>
        <v>CHANNA RED BARITO B</v>
      </c>
      <c r="E458" s="16">
        <v>1</v>
      </c>
      <c r="F458" s="16">
        <f>VLOOKUP(C458,[1]master_data!$A$2:$E$495,3,FALSE)</f>
        <v>120000</v>
      </c>
      <c r="G458" s="16">
        <f>VLOOKUP(C458,[1]master_data!$A$2:$E$495,4,FALSE)</f>
        <v>200000</v>
      </c>
      <c r="H458" s="16">
        <f>E458*F458</f>
        <v>120000</v>
      </c>
      <c r="I458" s="16">
        <f>E458*G458</f>
        <v>200000</v>
      </c>
      <c r="J458" s="16">
        <f>I458-H458</f>
        <v>80000</v>
      </c>
      <c r="K458" s="16" t="str">
        <f>VLOOKUP(C458,[1]master_data!$A$2:$E$495,5,FALSE)</f>
        <v>Ikan</v>
      </c>
      <c r="L458" s="1"/>
    </row>
    <row r="459" spans="1:12" ht="12" customHeight="1" x14ac:dyDescent="0.25">
      <c r="A459" s="15">
        <v>45225</v>
      </c>
      <c r="B459" s="16">
        <v>22302042</v>
      </c>
      <c r="C459" s="16" t="s">
        <v>382</v>
      </c>
      <c r="D459" s="16" t="str">
        <f>VLOOKUP(C459,[1]master_data!$A$2:$E$495,2,FALSE)</f>
        <v>BATU GOMBONG K</v>
      </c>
      <c r="E459" s="16">
        <v>2</v>
      </c>
      <c r="F459" s="16">
        <f>VLOOKUP(C459,[1]master_data!$A$2:$E$495,3,FALSE)</f>
        <v>20000</v>
      </c>
      <c r="G459" s="16">
        <f>VLOOKUP(C459,[1]master_data!$A$2:$E$495,4,FALSE)</f>
        <v>40000</v>
      </c>
      <c r="H459" s="16">
        <f>E459*F459</f>
        <v>40000</v>
      </c>
      <c r="I459" s="16">
        <f>E459*G459</f>
        <v>80000</v>
      </c>
      <c r="J459" s="16">
        <f>I459-H459</f>
        <v>40000</v>
      </c>
      <c r="K459" s="16" t="str">
        <f>VLOOKUP(C459,[1]master_data!$A$2:$E$495,5,FALSE)</f>
        <v>Aksesoris</v>
      </c>
      <c r="L459" s="1"/>
    </row>
    <row r="460" spans="1:12" ht="12" customHeight="1" x14ac:dyDescent="0.25">
      <c r="A460" s="15">
        <v>45225</v>
      </c>
      <c r="B460" s="16">
        <v>22302043</v>
      </c>
      <c r="C460" s="16" t="s">
        <v>441</v>
      </c>
      <c r="D460" s="16" t="str">
        <f>VLOOKUP(C460,[1]master_data!$A$2:$E$495,2,FALSE)</f>
        <v>PALMAS</v>
      </c>
      <c r="E460" s="16">
        <v>1</v>
      </c>
      <c r="F460" s="16">
        <f>VLOOKUP(C460,[1]master_data!$A$2:$E$495,3,FALSE)</f>
        <v>10000</v>
      </c>
      <c r="G460" s="16">
        <f>VLOOKUP(C460,[1]master_data!$A$2:$E$495,4,FALSE)</f>
        <v>25000</v>
      </c>
      <c r="H460" s="16">
        <f>E460*F460</f>
        <v>10000</v>
      </c>
      <c r="I460" s="16">
        <f>E460*G460</f>
        <v>25000</v>
      </c>
      <c r="J460" s="16">
        <f>I460-H460</f>
        <v>15000</v>
      </c>
      <c r="K460" s="16" t="str">
        <f>VLOOKUP(C460,[1]master_data!$A$2:$E$495,5,FALSE)</f>
        <v>Ikan</v>
      </c>
      <c r="L460" s="1"/>
    </row>
    <row r="461" spans="1:12" ht="12" customHeight="1" x14ac:dyDescent="0.25">
      <c r="A461" s="15">
        <v>45225</v>
      </c>
      <c r="B461" s="16">
        <v>22302044</v>
      </c>
      <c r="C461" s="16" t="s">
        <v>409</v>
      </c>
      <c r="D461" s="16" t="str">
        <f>VLOOKUP(C461,[1]master_data!$A$2:$E$495,2,FALSE)</f>
        <v>GOLDEN BLACK</v>
      </c>
      <c r="E461" s="16">
        <v>15</v>
      </c>
      <c r="F461" s="16">
        <f>VLOOKUP(C461,[1]master_data!$A$2:$E$495,3,FALSE)</f>
        <v>800</v>
      </c>
      <c r="G461" s="16">
        <f>VLOOKUP(C461,[1]master_data!$A$2:$E$495,4,FALSE)</f>
        <v>2000</v>
      </c>
      <c r="H461" s="16">
        <f>E461*F461</f>
        <v>12000</v>
      </c>
      <c r="I461" s="16">
        <f>E461*G461</f>
        <v>30000</v>
      </c>
      <c r="J461" s="16">
        <f>I461-H461</f>
        <v>18000</v>
      </c>
      <c r="K461" s="16" t="str">
        <f>VLOOKUP(C461,[1]master_data!$A$2:$E$495,5,FALSE)</f>
        <v>Ikan</v>
      </c>
      <c r="L461" s="1"/>
    </row>
    <row r="462" spans="1:12" ht="12" customHeight="1" x14ac:dyDescent="0.25">
      <c r="A462" s="15">
        <v>45225</v>
      </c>
      <c r="B462" s="16">
        <v>22302045</v>
      </c>
      <c r="C462" s="16" t="s">
        <v>206</v>
      </c>
      <c r="D462" s="16" t="str">
        <f>VLOOKUP(C462,[1]master_data!$A$2:$E$495,2,FALSE)</f>
        <v>TAKARI K</v>
      </c>
      <c r="E462" s="16">
        <v>15</v>
      </c>
      <c r="F462" s="16">
        <f>VLOOKUP(C462,[1]master_data!$A$2:$E$495,3,FALSE)</f>
        <v>3500</v>
      </c>
      <c r="G462" s="16">
        <f>VLOOKUP(C462,[1]master_data!$A$2:$E$495,4,FALSE)</f>
        <v>5000</v>
      </c>
      <c r="H462" s="16">
        <f>E462*F462</f>
        <v>52500</v>
      </c>
      <c r="I462" s="16">
        <f>E462*G462</f>
        <v>75000</v>
      </c>
      <c r="J462" s="16">
        <f>I462-H462</f>
        <v>22500</v>
      </c>
      <c r="K462" s="16" t="str">
        <f>VLOOKUP(C462,[1]master_data!$A$2:$E$495,5,FALSE)</f>
        <v>Aksesoris</v>
      </c>
      <c r="L462" s="1"/>
    </row>
    <row r="463" spans="1:12" ht="12" customHeight="1" x14ac:dyDescent="0.25">
      <c r="A463" s="15">
        <v>45225</v>
      </c>
      <c r="B463" s="16">
        <v>22302046</v>
      </c>
      <c r="C463" s="16" t="s">
        <v>339</v>
      </c>
      <c r="D463" s="16" t="str">
        <f>VLOOKUP(C463,[1]master_data!$A$2:$E$495,2,FALSE)</f>
        <v>FOOD TIMER AMARA 8431</v>
      </c>
      <c r="E463" s="16">
        <v>2</v>
      </c>
      <c r="F463" s="16">
        <f>VLOOKUP(C463,[1]master_data!$A$2:$E$495,3,FALSE)</f>
        <v>45000</v>
      </c>
      <c r="G463" s="16">
        <f>VLOOKUP(C463,[1]master_data!$A$2:$E$495,4,FALSE)</f>
        <v>115000</v>
      </c>
      <c r="H463" s="16">
        <f>E463*F463</f>
        <v>90000</v>
      </c>
      <c r="I463" s="16">
        <f>E463*G463</f>
        <v>230000</v>
      </c>
      <c r="J463" s="16">
        <f>I463-H463</f>
        <v>140000</v>
      </c>
      <c r="K463" s="16" t="str">
        <f>VLOOKUP(C463,[1]master_data!$A$2:$E$495,5,FALSE)</f>
        <v>Aksesoris</v>
      </c>
      <c r="L463" s="1"/>
    </row>
    <row r="464" spans="1:12" ht="12" customHeight="1" x14ac:dyDescent="0.25">
      <c r="A464" s="15">
        <v>45225</v>
      </c>
      <c r="B464" s="16">
        <v>22302047</v>
      </c>
      <c r="C464" s="16" t="s">
        <v>405</v>
      </c>
      <c r="D464" s="16" t="str">
        <f>VLOOKUP(C464,[1]master_data!$A$2:$E$495,2,FALSE)</f>
        <v>CUPANG</v>
      </c>
      <c r="E464" s="16">
        <v>11</v>
      </c>
      <c r="F464" s="16">
        <f>VLOOKUP(C464,[1]master_data!$A$2:$E$495,3,FALSE)</f>
        <v>2000</v>
      </c>
      <c r="G464" s="16">
        <f>VLOOKUP(C464,[1]master_data!$A$2:$E$495,4,FALSE)</f>
        <v>5000</v>
      </c>
      <c r="H464" s="16">
        <f>E464*F464</f>
        <v>22000</v>
      </c>
      <c r="I464" s="16">
        <f>E464*G464</f>
        <v>55000</v>
      </c>
      <c r="J464" s="16">
        <f>I464-H464</f>
        <v>33000</v>
      </c>
      <c r="K464" s="16" t="str">
        <f>VLOOKUP(C464,[1]master_data!$A$2:$E$495,5,FALSE)</f>
        <v>Ikan</v>
      </c>
      <c r="L464" s="1"/>
    </row>
    <row r="465" spans="1:12" ht="12" customHeight="1" x14ac:dyDescent="0.25">
      <c r="A465" s="15">
        <v>45225</v>
      </c>
      <c r="B465" s="16">
        <v>22302048</v>
      </c>
      <c r="C465" s="16" t="s">
        <v>461</v>
      </c>
      <c r="D465" s="16" t="str">
        <f>VLOOKUP(C465,[1]master_data!$A$2:$E$495,2,FALSE)</f>
        <v>CHANNA STEWARTI</v>
      </c>
      <c r="E465" s="16">
        <v>2</v>
      </c>
      <c r="F465" s="16">
        <f>VLOOKUP(C465,[1]master_data!$A$2:$E$495,3,FALSE)</f>
        <v>15000</v>
      </c>
      <c r="G465" s="16">
        <f>VLOOKUP(C465,[1]master_data!$A$2:$E$495,4,FALSE)</f>
        <v>40000</v>
      </c>
      <c r="H465" s="16">
        <f>E465*F465</f>
        <v>30000</v>
      </c>
      <c r="I465" s="16">
        <f>E465*G465</f>
        <v>80000</v>
      </c>
      <c r="J465" s="16">
        <f>I465-H465</f>
        <v>50000</v>
      </c>
      <c r="K465" s="16" t="str">
        <f>VLOOKUP(C465,[1]master_data!$A$2:$E$495,5,FALSE)</f>
        <v>Ikan</v>
      </c>
      <c r="L465" s="1"/>
    </row>
    <row r="466" spans="1:12" ht="12" customHeight="1" x14ac:dyDescent="0.25">
      <c r="A466" s="15">
        <v>45224</v>
      </c>
      <c r="B466" s="16">
        <v>22302035</v>
      </c>
      <c r="C466" s="16" t="s">
        <v>259</v>
      </c>
      <c r="D466" s="16" t="str">
        <f>VLOOKUP(C466,[1]master_data!$A$2:$E$495,2,FALSE)</f>
        <v>BONSAI</v>
      </c>
      <c r="E466" s="16">
        <v>10</v>
      </c>
      <c r="F466" s="16">
        <f>VLOOKUP(C466,[1]master_data!$A$2:$E$495,3,FALSE)</f>
        <v>15000</v>
      </c>
      <c r="G466" s="16">
        <f>VLOOKUP(C466,[1]master_data!$A$2:$E$495,4,FALSE)</f>
        <v>20000</v>
      </c>
      <c r="H466" s="16">
        <f>E466*F466</f>
        <v>150000</v>
      </c>
      <c r="I466" s="16">
        <f>E466*G466</f>
        <v>200000</v>
      </c>
      <c r="J466" s="16">
        <f>I466-H466</f>
        <v>50000</v>
      </c>
      <c r="K466" s="16" t="str">
        <f>VLOOKUP(C466,[1]master_data!$A$2:$E$495,5,FALSE)</f>
        <v>Aksesoris</v>
      </c>
      <c r="L466" s="1"/>
    </row>
    <row r="467" spans="1:12" ht="12" customHeight="1" x14ac:dyDescent="0.25">
      <c r="A467" s="15">
        <v>45224</v>
      </c>
      <c r="B467" s="16">
        <v>22302036</v>
      </c>
      <c r="C467" s="16" t="s">
        <v>90</v>
      </c>
      <c r="D467" s="16" t="str">
        <f>VLOOKUP(C467,[1]master_data!$A$2:$E$495,2,FALSE)</f>
        <v>MESIN RECENT WV 3000</v>
      </c>
      <c r="E467" s="16">
        <v>10</v>
      </c>
      <c r="F467" s="16">
        <f>VLOOKUP(C467,[1]master_data!$A$2:$E$495,3,FALSE)</f>
        <v>59000</v>
      </c>
      <c r="G467" s="16">
        <f>VLOOKUP(C467,[1]master_data!$A$2:$E$495,4,FALSE)</f>
        <v>85000</v>
      </c>
      <c r="H467" s="16">
        <f>E467*F467</f>
        <v>590000</v>
      </c>
      <c r="I467" s="16">
        <f>E467*G467</f>
        <v>850000</v>
      </c>
      <c r="J467" s="16">
        <f>I467-H467</f>
        <v>260000</v>
      </c>
      <c r="K467" s="16" t="str">
        <f>VLOOKUP(C467,[1]master_data!$A$2:$E$495,5,FALSE)</f>
        <v>Aksesoris</v>
      </c>
      <c r="L467" s="1"/>
    </row>
    <row r="468" spans="1:12" ht="12" customHeight="1" x14ac:dyDescent="0.25">
      <c r="A468" s="15">
        <v>45224</v>
      </c>
      <c r="B468" s="16">
        <v>22302037</v>
      </c>
      <c r="C468" s="16" t="s">
        <v>408</v>
      </c>
      <c r="D468" s="16" t="str">
        <f>VLOOKUP(C468,[1]master_data!$A$2:$E$495,2,FALSE)</f>
        <v>GUPY</v>
      </c>
      <c r="E468" s="16">
        <v>30</v>
      </c>
      <c r="F468" s="16">
        <f>VLOOKUP(C468,[1]master_data!$A$2:$E$495,3,FALSE)</f>
        <v>1200</v>
      </c>
      <c r="G468" s="16">
        <f>VLOOKUP(C468,[1]master_data!$A$2:$E$495,4,FALSE)</f>
        <v>2500</v>
      </c>
      <c r="H468" s="16">
        <f>E468*F468</f>
        <v>36000</v>
      </c>
      <c r="I468" s="16">
        <f>E468*G468</f>
        <v>75000</v>
      </c>
      <c r="J468" s="16">
        <f>I468-H468</f>
        <v>39000</v>
      </c>
      <c r="K468" s="16" t="str">
        <f>VLOOKUP(C468,[1]master_data!$A$2:$E$495,5,FALSE)</f>
        <v>Ikan</v>
      </c>
      <c r="L468" s="1"/>
    </row>
    <row r="469" spans="1:12" ht="12" customHeight="1" x14ac:dyDescent="0.25">
      <c r="A469" s="15">
        <v>45224</v>
      </c>
      <c r="B469" s="16">
        <v>22302038</v>
      </c>
      <c r="C469" s="16" t="s">
        <v>446</v>
      </c>
      <c r="D469" s="16" t="str">
        <f>VLOOKUP(C469,[1]master_data!$A$2:$E$495,2,FALSE)</f>
        <v xml:space="preserve"> CHANNA RED BARITO K</v>
      </c>
      <c r="E469" s="16">
        <v>1</v>
      </c>
      <c r="F469" s="16">
        <f>VLOOKUP(C469,[1]master_data!$A$2:$E$495,3,FALSE)</f>
        <v>45000</v>
      </c>
      <c r="G469" s="16">
        <f>VLOOKUP(C469,[1]master_data!$A$2:$E$495,4,FALSE)</f>
        <v>100000</v>
      </c>
      <c r="H469" s="16">
        <f>E469*F469</f>
        <v>45000</v>
      </c>
      <c r="I469" s="16">
        <f>E469*G469</f>
        <v>100000</v>
      </c>
      <c r="J469" s="16">
        <f>I469-H469</f>
        <v>55000</v>
      </c>
      <c r="K469" s="16" t="str">
        <f>VLOOKUP(C469,[1]master_data!$A$2:$E$495,5,FALSE)</f>
        <v>Ikan</v>
      </c>
      <c r="L469" s="1"/>
    </row>
    <row r="470" spans="1:12" ht="12" customHeight="1" x14ac:dyDescent="0.25">
      <c r="A470" s="15">
        <v>45223</v>
      </c>
      <c r="B470" s="16">
        <v>22302024</v>
      </c>
      <c r="C470" s="16" t="s">
        <v>396</v>
      </c>
      <c r="D470" s="16" t="str">
        <f>VLOOKUP(C470,[1]master_data!$A$2:$E$495,2,FALSE)</f>
        <v>BIPOLAR</v>
      </c>
      <c r="E470" s="16">
        <v>20</v>
      </c>
      <c r="F470" s="16">
        <f>VLOOKUP(C470,[1]master_data!$A$2:$E$495,3,FALSE)</f>
        <v>1000</v>
      </c>
      <c r="G470" s="16">
        <f>VLOOKUP(C470,[1]master_data!$A$2:$E$495,4,FALSE)</f>
        <v>2500</v>
      </c>
      <c r="H470" s="16">
        <f>E470*F470</f>
        <v>20000</v>
      </c>
      <c r="I470" s="16">
        <f>E470*G470</f>
        <v>50000</v>
      </c>
      <c r="J470" s="16">
        <f>I470-H470</f>
        <v>30000</v>
      </c>
      <c r="K470" s="16" t="str">
        <f>VLOOKUP(C470,[1]master_data!$A$2:$E$495,5,FALSE)</f>
        <v>Ikan</v>
      </c>
      <c r="L470" s="1"/>
    </row>
    <row r="471" spans="1:12" ht="12" customHeight="1" x14ac:dyDescent="0.25">
      <c r="A471" s="15">
        <v>45223</v>
      </c>
      <c r="B471" s="16">
        <v>22302025</v>
      </c>
      <c r="C471" s="16" t="s">
        <v>425</v>
      </c>
      <c r="D471" s="16" t="str">
        <f>VLOOKUP(C471,[1]master_data!$A$2:$E$495,2,FALSE)</f>
        <v>LEMON</v>
      </c>
      <c r="E471" s="16">
        <v>25</v>
      </c>
      <c r="F471" s="16">
        <f>VLOOKUP(C471,[1]master_data!$A$2:$E$495,3,FALSE)</f>
        <v>1000</v>
      </c>
      <c r="G471" s="16">
        <f>VLOOKUP(C471,[1]master_data!$A$2:$E$495,4,FALSE)</f>
        <v>2000</v>
      </c>
      <c r="H471" s="16">
        <f>E471*F471</f>
        <v>25000</v>
      </c>
      <c r="I471" s="16">
        <f>E471*G471</f>
        <v>50000</v>
      </c>
      <c r="J471" s="16">
        <f>I471-H471</f>
        <v>25000</v>
      </c>
      <c r="K471" s="16" t="str">
        <f>VLOOKUP(C471,[1]master_data!$A$2:$E$495,5,FALSE)</f>
        <v>Ikan</v>
      </c>
      <c r="L471" s="1"/>
    </row>
    <row r="472" spans="1:12" ht="12" customHeight="1" x14ac:dyDescent="0.25">
      <c r="A472" s="15">
        <v>45223</v>
      </c>
      <c r="B472" s="16">
        <v>22302026</v>
      </c>
      <c r="C472" s="16" t="s">
        <v>147</v>
      </c>
      <c r="D472" s="16" t="str">
        <f>VLOOKUP(C472,[1]master_data!$A$2:$E$495,2,FALSE)</f>
        <v>LED KANDILA 2 BRS 20 CM</v>
      </c>
      <c r="E472" s="16">
        <v>2</v>
      </c>
      <c r="F472" s="16">
        <f>VLOOKUP(C472,[1]master_data!$A$2:$E$495,3,FALSE)</f>
        <v>21000</v>
      </c>
      <c r="G472" s="16">
        <f>VLOOKUP(C472,[1]master_data!$A$2:$E$495,4,FALSE)</f>
        <v>35000</v>
      </c>
      <c r="H472" s="16">
        <f>E472*F472</f>
        <v>42000</v>
      </c>
      <c r="I472" s="16">
        <f>E472*G472</f>
        <v>70000</v>
      </c>
      <c r="J472" s="16">
        <f>I472-H472</f>
        <v>28000</v>
      </c>
      <c r="K472" s="16" t="str">
        <f>VLOOKUP(C472,[1]master_data!$A$2:$E$495,5,FALSE)</f>
        <v>Aksesoris</v>
      </c>
      <c r="L472" s="1"/>
    </row>
    <row r="473" spans="1:12" ht="12" customHeight="1" x14ac:dyDescent="0.25">
      <c r="A473" s="15">
        <v>45223</v>
      </c>
      <c r="B473" s="16">
        <v>22302027</v>
      </c>
      <c r="C473" s="16" t="s">
        <v>329</v>
      </c>
      <c r="D473" s="16" t="str">
        <f>VLOOKUP(C473,[1]master_data!$A$2:$E$495,2,FALSE)</f>
        <v>AIRSTONE D2L5</v>
      </c>
      <c r="E473" s="16">
        <v>30</v>
      </c>
      <c r="F473" s="16">
        <f>VLOOKUP(C473,[1]master_data!$A$2:$E$495,3,FALSE)</f>
        <v>1850</v>
      </c>
      <c r="G473" s="16">
        <f>VLOOKUP(C473,[1]master_data!$A$2:$E$495,4,FALSE)</f>
        <v>5000</v>
      </c>
      <c r="H473" s="16">
        <f>E473*F473</f>
        <v>55500</v>
      </c>
      <c r="I473" s="16">
        <f>E473*G473</f>
        <v>150000</v>
      </c>
      <c r="J473" s="16">
        <f>I473-H473</f>
        <v>94500</v>
      </c>
      <c r="K473" s="16" t="str">
        <f>VLOOKUP(C473,[1]master_data!$A$2:$E$495,5,FALSE)</f>
        <v>Aksesoris</v>
      </c>
      <c r="L473" s="1"/>
    </row>
    <row r="474" spans="1:12" ht="12" customHeight="1" x14ac:dyDescent="0.25">
      <c r="A474" s="15">
        <v>45223</v>
      </c>
      <c r="B474" s="16">
        <v>22302028</v>
      </c>
      <c r="C474" s="16" t="s">
        <v>219</v>
      </c>
      <c r="D474" s="16" t="str">
        <f>VLOOKUP(C474,[1]master_data!$A$2:$E$495,2,FALSE)</f>
        <v>CP KOI GROWTH</v>
      </c>
      <c r="E474" s="16">
        <v>2</v>
      </c>
      <c r="F474" s="16">
        <f>VLOOKUP(C474,[1]master_data!$A$2:$E$495,3,FALSE)</f>
        <v>38000</v>
      </c>
      <c r="G474" s="16">
        <f>VLOOKUP(C474,[1]master_data!$A$2:$E$495,4,FALSE)</f>
        <v>50000</v>
      </c>
      <c r="H474" s="16">
        <f>E474*F474</f>
        <v>76000</v>
      </c>
      <c r="I474" s="16">
        <f>E474*G474</f>
        <v>100000</v>
      </c>
      <c r="J474" s="16">
        <f>I474-H474</f>
        <v>24000</v>
      </c>
      <c r="K474" s="16" t="str">
        <f>VLOOKUP(C474,[1]master_data!$A$2:$E$495,5,FALSE)</f>
        <v>Aksesoris</v>
      </c>
      <c r="L474" s="1"/>
    </row>
    <row r="475" spans="1:12" ht="12" customHeight="1" x14ac:dyDescent="0.25">
      <c r="A475" s="15">
        <v>45223</v>
      </c>
      <c r="B475" s="16">
        <v>22302029</v>
      </c>
      <c r="C475" s="16" t="s">
        <v>461</v>
      </c>
      <c r="D475" s="16" t="str">
        <f>VLOOKUP(C475,[1]master_data!$A$2:$E$495,2,FALSE)</f>
        <v>CHANNA STEWARTI</v>
      </c>
      <c r="E475" s="16">
        <v>2</v>
      </c>
      <c r="F475" s="16">
        <f>VLOOKUP(C475,[1]master_data!$A$2:$E$495,3,FALSE)</f>
        <v>15000</v>
      </c>
      <c r="G475" s="16">
        <f>VLOOKUP(C475,[1]master_data!$A$2:$E$495,4,FALSE)</f>
        <v>40000</v>
      </c>
      <c r="H475" s="16">
        <f>E475*F475</f>
        <v>30000</v>
      </c>
      <c r="I475" s="16">
        <f>E475*G475</f>
        <v>80000</v>
      </c>
      <c r="J475" s="16">
        <f>I475-H475</f>
        <v>50000</v>
      </c>
      <c r="K475" s="16" t="str">
        <f>VLOOKUP(C475,[1]master_data!$A$2:$E$495,5,FALSE)</f>
        <v>Ikan</v>
      </c>
      <c r="L475" s="1"/>
    </row>
    <row r="476" spans="1:12" ht="12" customHeight="1" x14ac:dyDescent="0.25">
      <c r="A476" s="15">
        <v>45223</v>
      </c>
      <c r="B476" s="16">
        <v>22302030</v>
      </c>
      <c r="C476" s="16" t="s">
        <v>461</v>
      </c>
      <c r="D476" s="16" t="str">
        <f>VLOOKUP(C476,[1]master_data!$A$2:$E$495,2,FALSE)</f>
        <v>CHANNA STEWARTI</v>
      </c>
      <c r="E476" s="16">
        <v>2</v>
      </c>
      <c r="F476" s="16">
        <f>VLOOKUP(C476,[1]master_data!$A$2:$E$495,3,FALSE)</f>
        <v>15000</v>
      </c>
      <c r="G476" s="16">
        <f>VLOOKUP(C476,[1]master_data!$A$2:$E$495,4,FALSE)</f>
        <v>40000</v>
      </c>
      <c r="H476" s="16">
        <f>E476*F476</f>
        <v>30000</v>
      </c>
      <c r="I476" s="16">
        <f>E476*G476</f>
        <v>80000</v>
      </c>
      <c r="J476" s="16">
        <f>I476-H476</f>
        <v>50000</v>
      </c>
      <c r="K476" s="16" t="str">
        <f>VLOOKUP(C476,[1]master_data!$A$2:$E$495,5,FALSE)</f>
        <v>Ikan</v>
      </c>
      <c r="L476" s="1"/>
    </row>
    <row r="477" spans="1:12" ht="12" customHeight="1" x14ac:dyDescent="0.25">
      <c r="A477" s="15">
        <v>45223</v>
      </c>
      <c r="B477" s="16">
        <v>22302031</v>
      </c>
      <c r="C477" s="16" t="s">
        <v>430</v>
      </c>
      <c r="D477" s="16" t="str">
        <f>VLOOKUP(C477,[1]master_data!$A$2:$E$495,2,FALSE)</f>
        <v>MARU K</v>
      </c>
      <c r="E477" s="16">
        <v>3</v>
      </c>
      <c r="F477" s="16">
        <f>VLOOKUP(C477,[1]master_data!$A$2:$E$495,3,FALSE)</f>
        <v>23000</v>
      </c>
      <c r="G477" s="16">
        <f>VLOOKUP(C477,[1]master_data!$A$2:$E$495,4,FALSE)</f>
        <v>50000</v>
      </c>
      <c r="H477" s="16">
        <f>E477*F477</f>
        <v>69000</v>
      </c>
      <c r="I477" s="16">
        <f>E477*G477</f>
        <v>150000</v>
      </c>
      <c r="J477" s="16">
        <f>I477-H477</f>
        <v>81000</v>
      </c>
      <c r="K477" s="16" t="str">
        <f>VLOOKUP(C477,[1]master_data!$A$2:$E$495,5,FALSE)</f>
        <v>Ikan</v>
      </c>
      <c r="L477" s="1"/>
    </row>
    <row r="478" spans="1:12" ht="12" customHeight="1" x14ac:dyDescent="0.25">
      <c r="A478" s="15">
        <v>45223</v>
      </c>
      <c r="B478" s="16">
        <v>22302032</v>
      </c>
      <c r="C478" s="16" t="s">
        <v>221</v>
      </c>
      <c r="D478" s="16" t="str">
        <f>VLOOKUP(C478,[1]master_data!$A$2:$E$495,2,FALSE)</f>
        <v>HOKKY KOI COLOUR</v>
      </c>
      <c r="E478" s="16">
        <v>4</v>
      </c>
      <c r="F478" s="16">
        <f>VLOOKUP(C478,[1]master_data!$A$2:$E$495,3,FALSE)</f>
        <v>55000</v>
      </c>
      <c r="G478" s="16">
        <f>VLOOKUP(C478,[1]master_data!$A$2:$E$495,4,FALSE)</f>
        <v>60000</v>
      </c>
      <c r="H478" s="16">
        <f>E478*F478</f>
        <v>220000</v>
      </c>
      <c r="I478" s="16">
        <f>E478*G478</f>
        <v>240000</v>
      </c>
      <c r="J478" s="16">
        <f>I478-H478</f>
        <v>20000</v>
      </c>
      <c r="K478" s="16" t="str">
        <f>VLOOKUP(C478,[1]master_data!$A$2:$E$495,5,FALSE)</f>
        <v>Aksesoris</v>
      </c>
      <c r="L478" s="1"/>
    </row>
    <row r="479" spans="1:12" ht="12" customHeight="1" x14ac:dyDescent="0.25">
      <c r="A479" s="15">
        <v>45223</v>
      </c>
      <c r="B479" s="16">
        <v>22302033</v>
      </c>
      <c r="C479" s="16" t="s">
        <v>448</v>
      </c>
      <c r="D479" s="16" t="str">
        <f>VLOOKUP(C479,[1]master_data!$A$2:$E$495,2,FALSE)</f>
        <v>SUMATRA BIASA</v>
      </c>
      <c r="E479" s="16">
        <v>2</v>
      </c>
      <c r="F479" s="16">
        <f>VLOOKUP(C479,[1]master_data!$A$2:$E$495,3,FALSE)</f>
        <v>800</v>
      </c>
      <c r="G479" s="16">
        <f>VLOOKUP(C479,[1]master_data!$A$2:$E$495,4,FALSE)</f>
        <v>2000</v>
      </c>
      <c r="H479" s="16">
        <f>E479*F479</f>
        <v>1600</v>
      </c>
      <c r="I479" s="16">
        <f>E479*G479</f>
        <v>4000</v>
      </c>
      <c r="J479" s="16">
        <f>I479-H479</f>
        <v>2400</v>
      </c>
      <c r="K479" s="16" t="str">
        <f>VLOOKUP(C479,[1]master_data!$A$2:$E$495,5,FALSE)</f>
        <v>Ikan</v>
      </c>
      <c r="L479" s="1"/>
    </row>
    <row r="480" spans="1:12" ht="12" customHeight="1" x14ac:dyDescent="0.25">
      <c r="A480" s="15">
        <v>45223</v>
      </c>
      <c r="B480" s="16">
        <v>22302034</v>
      </c>
      <c r="C480" s="16" t="s">
        <v>246</v>
      </c>
      <c r="D480" s="16" t="str">
        <f>VLOOKUP(C480,[1]master_data!$A$2:$E$495,2,FALSE)</f>
        <v>AIRSTONE 40</v>
      </c>
      <c r="E480" s="16">
        <v>1</v>
      </c>
      <c r="F480" s="16">
        <f>VLOOKUP(C480,[1]master_data!$A$2:$E$495,3,FALSE)</f>
        <v>6000</v>
      </c>
      <c r="G480" s="16">
        <f>VLOOKUP(C480,[1]master_data!$A$2:$E$495,4,FALSE)</f>
        <v>12000</v>
      </c>
      <c r="H480" s="16">
        <f>E480*F480</f>
        <v>6000</v>
      </c>
      <c r="I480" s="16">
        <f>E480*G480</f>
        <v>12000</v>
      </c>
      <c r="J480" s="16">
        <f>I480-H480</f>
        <v>6000</v>
      </c>
      <c r="K480" s="16" t="str">
        <f>VLOOKUP(C480,[1]master_data!$A$2:$E$495,5,FALSE)</f>
        <v>Aksesoris</v>
      </c>
      <c r="L480" s="1"/>
    </row>
    <row r="481" spans="1:12" ht="12" customHeight="1" x14ac:dyDescent="0.25">
      <c r="A481" s="15">
        <v>45222</v>
      </c>
      <c r="B481" s="16">
        <v>22302015</v>
      </c>
      <c r="C481" s="16" t="s">
        <v>358</v>
      </c>
      <c r="D481" s="16" t="str">
        <f>VLOOKUP(C481,[1]master_data!$A$2:$E$495,2,FALSE)</f>
        <v>TOPLES 7,2 L</v>
      </c>
      <c r="E481" s="16">
        <v>2</v>
      </c>
      <c r="F481" s="16">
        <f>VLOOKUP(C481,[1]master_data!$A$2:$E$495,3,FALSE)</f>
        <v>45000</v>
      </c>
      <c r="G481" s="16">
        <f>VLOOKUP(C481,[1]master_data!$A$2:$E$495,4,FALSE)</f>
        <v>100000</v>
      </c>
      <c r="H481" s="16">
        <f>E481*F481</f>
        <v>90000</v>
      </c>
      <c r="I481" s="16">
        <f>E481*G481</f>
        <v>200000</v>
      </c>
      <c r="J481" s="16">
        <f>I481-H481</f>
        <v>110000</v>
      </c>
      <c r="K481" s="16" t="str">
        <f>VLOOKUP(C481,[1]master_data!$A$2:$E$495,5,FALSE)</f>
        <v>Aksesoris</v>
      </c>
      <c r="L481" s="1"/>
    </row>
    <row r="482" spans="1:12" ht="12" customHeight="1" x14ac:dyDescent="0.25">
      <c r="A482" s="15">
        <v>45222</v>
      </c>
      <c r="B482" s="16">
        <v>22302016</v>
      </c>
      <c r="C482" s="16" t="s">
        <v>360</v>
      </c>
      <c r="D482" s="16" t="str">
        <f>VLOOKUP(C482,[1]master_data!$A$2:$E$495,2,FALSE)</f>
        <v>TEMPAT KURA KURA</v>
      </c>
      <c r="E482" s="16">
        <v>1</v>
      </c>
      <c r="F482" s="16">
        <f>VLOOKUP(C482,[1]master_data!$A$2:$E$495,3,FALSE)</f>
        <v>8500</v>
      </c>
      <c r="G482" s="16">
        <f>VLOOKUP(C482,[1]master_data!$A$2:$E$495,4,FALSE)</f>
        <v>15000</v>
      </c>
      <c r="H482" s="16">
        <f>E482*F482</f>
        <v>8500</v>
      </c>
      <c r="I482" s="16">
        <f>E482*G482</f>
        <v>15000</v>
      </c>
      <c r="J482" s="16">
        <f>I482-H482</f>
        <v>6500</v>
      </c>
      <c r="K482" s="16" t="str">
        <f>VLOOKUP(C482,[1]master_data!$A$2:$E$495,5,FALSE)</f>
        <v>Aksesoris</v>
      </c>
      <c r="L482" s="1"/>
    </row>
    <row r="483" spans="1:12" ht="12" customHeight="1" x14ac:dyDescent="0.25">
      <c r="A483" s="15">
        <v>45222</v>
      </c>
      <c r="B483" s="16">
        <v>22302017</v>
      </c>
      <c r="C483" s="16" t="s">
        <v>396</v>
      </c>
      <c r="D483" s="16" t="str">
        <f>VLOOKUP(C483,[1]master_data!$A$2:$E$495,2,FALSE)</f>
        <v>BIPOLAR</v>
      </c>
      <c r="E483" s="16">
        <v>20</v>
      </c>
      <c r="F483" s="16">
        <f>VLOOKUP(C483,[1]master_data!$A$2:$E$495,3,FALSE)</f>
        <v>1000</v>
      </c>
      <c r="G483" s="16">
        <f>VLOOKUP(C483,[1]master_data!$A$2:$E$495,4,FALSE)</f>
        <v>2500</v>
      </c>
      <c r="H483" s="16">
        <f>E483*F483</f>
        <v>20000</v>
      </c>
      <c r="I483" s="16">
        <f>E483*G483</f>
        <v>50000</v>
      </c>
      <c r="J483" s="16">
        <f>I483-H483</f>
        <v>30000</v>
      </c>
      <c r="K483" s="16" t="str">
        <f>VLOOKUP(C483,[1]master_data!$A$2:$E$495,5,FALSE)</f>
        <v>Ikan</v>
      </c>
      <c r="L483" s="1"/>
    </row>
    <row r="484" spans="1:12" ht="12" customHeight="1" x14ac:dyDescent="0.25">
      <c r="A484" s="15">
        <v>45222</v>
      </c>
      <c r="B484" s="16">
        <v>22302018</v>
      </c>
      <c r="C484" s="16" t="s">
        <v>50</v>
      </c>
      <c r="D484" s="16" t="str">
        <f>VLOOKUP(C484,[1]master_data!$A$2:$E$495,2,FALSE)</f>
        <v>MESIN NIKITA 1200</v>
      </c>
      <c r="E484" s="16">
        <v>5</v>
      </c>
      <c r="F484" s="16">
        <f>VLOOKUP(C484,[1]master_data!$A$2:$E$495,3,FALSE)</f>
        <v>24000</v>
      </c>
      <c r="G484" s="16">
        <f>VLOOKUP(C484,[1]master_data!$A$2:$E$495,4,FALSE)</f>
        <v>35000</v>
      </c>
      <c r="H484" s="16">
        <f>E484*F484</f>
        <v>120000</v>
      </c>
      <c r="I484" s="16">
        <f>E484*G484</f>
        <v>175000</v>
      </c>
      <c r="J484" s="16">
        <f>I484-H484</f>
        <v>55000</v>
      </c>
      <c r="K484" s="16" t="str">
        <f>VLOOKUP(C484,[1]master_data!$A$2:$E$495,5,FALSE)</f>
        <v>Aksesoris</v>
      </c>
      <c r="L484" s="1"/>
    </row>
    <row r="485" spans="1:12" ht="12" customHeight="1" x14ac:dyDescent="0.25">
      <c r="A485" s="15">
        <v>45222</v>
      </c>
      <c r="B485" s="16">
        <v>22302019</v>
      </c>
      <c r="C485" s="16" t="s">
        <v>428</v>
      </c>
      <c r="D485" s="16" t="str">
        <f>VLOOKUP(C485,[1]master_data!$A$2:$E$495,2,FALSE)</f>
        <v>MANFISH K</v>
      </c>
      <c r="E485" s="16">
        <v>15</v>
      </c>
      <c r="F485" s="16">
        <f>VLOOKUP(C485,[1]master_data!$A$2:$E$495,3,FALSE)</f>
        <v>2000</v>
      </c>
      <c r="G485" s="16">
        <f>VLOOKUP(C485,[1]master_data!$A$2:$E$495,4,FALSE)</f>
        <v>5000</v>
      </c>
      <c r="H485" s="16">
        <f>E485*F485</f>
        <v>30000</v>
      </c>
      <c r="I485" s="16">
        <f>E485*G485</f>
        <v>75000</v>
      </c>
      <c r="J485" s="16">
        <f>I485-H485</f>
        <v>45000</v>
      </c>
      <c r="K485" s="16" t="str">
        <f>VLOOKUP(C485,[1]master_data!$A$2:$E$495,5,FALSE)</f>
        <v>Ikan</v>
      </c>
      <c r="L485" s="1"/>
    </row>
    <row r="486" spans="1:12" ht="12" customHeight="1" x14ac:dyDescent="0.25">
      <c r="A486" s="15">
        <v>45222</v>
      </c>
      <c r="B486" s="16">
        <v>22302020</v>
      </c>
      <c r="C486" s="16" t="s">
        <v>448</v>
      </c>
      <c r="D486" s="16" t="str">
        <f>VLOOKUP(C486,[1]master_data!$A$2:$E$495,2,FALSE)</f>
        <v>SUMATRA BIASA</v>
      </c>
      <c r="E486" s="16">
        <v>20</v>
      </c>
      <c r="F486" s="16">
        <f>VLOOKUP(C486,[1]master_data!$A$2:$E$495,3,FALSE)</f>
        <v>800</v>
      </c>
      <c r="G486" s="16">
        <f>VLOOKUP(C486,[1]master_data!$A$2:$E$495,4,FALSE)</f>
        <v>2000</v>
      </c>
      <c r="H486" s="16">
        <f>E486*F486</f>
        <v>16000</v>
      </c>
      <c r="I486" s="16">
        <f>E486*G486</f>
        <v>40000</v>
      </c>
      <c r="J486" s="16">
        <f>I486-H486</f>
        <v>24000</v>
      </c>
      <c r="K486" s="16" t="str">
        <f>VLOOKUP(C486,[1]master_data!$A$2:$E$495,5,FALSE)</f>
        <v>Ikan</v>
      </c>
      <c r="L486" s="1"/>
    </row>
    <row r="487" spans="1:12" ht="12" customHeight="1" x14ac:dyDescent="0.25">
      <c r="A487" s="15">
        <v>45222</v>
      </c>
      <c r="B487" s="16">
        <v>22302021</v>
      </c>
      <c r="C487" s="16" t="s">
        <v>407</v>
      </c>
      <c r="D487" s="16" t="str">
        <f>VLOOKUP(C487,[1]master_data!$A$2:$E$495,2,FALSE)</f>
        <v>GOLD FISH</v>
      </c>
      <c r="E487" s="16">
        <v>25</v>
      </c>
      <c r="F487" s="16">
        <f>VLOOKUP(C487,[1]master_data!$A$2:$E$495,3,FALSE)</f>
        <v>800</v>
      </c>
      <c r="G487" s="16">
        <f>VLOOKUP(C487,[1]master_data!$A$2:$E$495,4,FALSE)</f>
        <v>2000</v>
      </c>
      <c r="H487" s="16">
        <f>E487*F487</f>
        <v>20000</v>
      </c>
      <c r="I487" s="16">
        <f>E487*G487</f>
        <v>50000</v>
      </c>
      <c r="J487" s="16">
        <f>I487-H487</f>
        <v>30000</v>
      </c>
      <c r="K487" s="16" t="str">
        <f>VLOOKUP(C487,[1]master_data!$A$2:$E$495,5,FALSE)</f>
        <v>Ikan</v>
      </c>
      <c r="L487" s="1"/>
    </row>
    <row r="488" spans="1:12" ht="12" customHeight="1" x14ac:dyDescent="0.25">
      <c r="A488" s="15">
        <v>45222</v>
      </c>
      <c r="B488" s="16">
        <v>22302022</v>
      </c>
      <c r="C488" s="16" t="s">
        <v>334</v>
      </c>
      <c r="D488" s="16" t="str">
        <f>VLOOKUP(C488,[1]master_data!$A$2:$E$495,2,FALSE)</f>
        <v>PENJERNIH</v>
      </c>
      <c r="E488" s="16">
        <v>15</v>
      </c>
      <c r="F488" s="16">
        <f>VLOOKUP(C488,[1]master_data!$A$2:$E$495,3,FALSE)</f>
        <v>3000</v>
      </c>
      <c r="G488" s="16">
        <f>VLOOKUP(C488,[1]master_data!$A$2:$E$495,4,FALSE)</f>
        <v>8000</v>
      </c>
      <c r="H488" s="16">
        <f>E488*F488</f>
        <v>45000</v>
      </c>
      <c r="I488" s="16">
        <f>E488*G488</f>
        <v>120000</v>
      </c>
      <c r="J488" s="16">
        <f>I488-H488</f>
        <v>75000</v>
      </c>
      <c r="K488" s="16" t="str">
        <f>VLOOKUP(C488,[1]master_data!$A$2:$E$495,5,FALSE)</f>
        <v>Aksesoris</v>
      </c>
      <c r="L488" s="1"/>
    </row>
    <row r="489" spans="1:12" ht="12" customHeight="1" x14ac:dyDescent="0.25">
      <c r="A489" s="15">
        <v>45222</v>
      </c>
      <c r="B489" s="16">
        <v>22302023</v>
      </c>
      <c r="C489" s="16" t="s">
        <v>287</v>
      </c>
      <c r="D489" s="16" t="str">
        <f>VLOOKUP(C489,[1]master_data!$A$2:$E$495,2,FALSE)</f>
        <v>KAPAS 2X1</v>
      </c>
      <c r="E489" s="16">
        <v>1</v>
      </c>
      <c r="F489" s="16">
        <f>VLOOKUP(C489,[1]master_data!$A$2:$E$495,3,FALSE)</f>
        <v>35000</v>
      </c>
      <c r="G489" s="16">
        <f>VLOOKUP(C489,[1]master_data!$A$2:$E$495,4,FALSE)</f>
        <v>40000</v>
      </c>
      <c r="H489" s="16">
        <f>E489*F489</f>
        <v>35000</v>
      </c>
      <c r="I489" s="16">
        <f>E489*G489</f>
        <v>40000</v>
      </c>
      <c r="J489" s="16">
        <f>I489-H489</f>
        <v>5000</v>
      </c>
      <c r="K489" s="16" t="str">
        <f>VLOOKUP(C489,[1]master_data!$A$2:$E$495,5,FALSE)</f>
        <v>Aksesoris</v>
      </c>
      <c r="L489" s="1"/>
    </row>
    <row r="490" spans="1:12" ht="12" customHeight="1" x14ac:dyDescent="0.25">
      <c r="A490" s="15">
        <v>45221</v>
      </c>
      <c r="B490" s="16">
        <v>22302008</v>
      </c>
      <c r="C490" s="16" t="s">
        <v>396</v>
      </c>
      <c r="D490" s="16" t="str">
        <f>VLOOKUP(C490,[1]master_data!$A$2:$E$495,2,FALSE)</f>
        <v>BIPOLAR</v>
      </c>
      <c r="E490" s="16">
        <v>15</v>
      </c>
      <c r="F490" s="16">
        <f>VLOOKUP(C490,[1]master_data!$A$2:$E$495,3,FALSE)</f>
        <v>1000</v>
      </c>
      <c r="G490" s="16">
        <f>VLOOKUP(C490,[1]master_data!$A$2:$E$495,4,FALSE)</f>
        <v>2500</v>
      </c>
      <c r="H490" s="16">
        <f>E490*F490</f>
        <v>15000</v>
      </c>
      <c r="I490" s="16">
        <f>E490*G490</f>
        <v>37500</v>
      </c>
      <c r="J490" s="16">
        <f>I490-H490</f>
        <v>22500</v>
      </c>
      <c r="K490" s="16" t="str">
        <f>VLOOKUP(C490,[1]master_data!$A$2:$E$495,5,FALSE)</f>
        <v>Ikan</v>
      </c>
      <c r="L490" s="1"/>
    </row>
    <row r="491" spans="1:12" ht="12" customHeight="1" x14ac:dyDescent="0.25">
      <c r="A491" s="15">
        <v>45221</v>
      </c>
      <c r="B491" s="16">
        <v>22302009</v>
      </c>
      <c r="C491" s="16" t="s">
        <v>415</v>
      </c>
      <c r="D491" s="16" t="str">
        <f>VLOOKUP(C491,[1]master_data!$A$2:$E$495,2,FALSE)</f>
        <v>KOI T</v>
      </c>
      <c r="E491" s="16">
        <v>10</v>
      </c>
      <c r="F491" s="16">
        <f>VLOOKUP(C491,[1]master_data!$A$2:$E$495,3,FALSE)</f>
        <v>7000</v>
      </c>
      <c r="G491" s="16">
        <f>VLOOKUP(C491,[1]master_data!$A$2:$E$495,4,FALSE)</f>
        <v>20000</v>
      </c>
      <c r="H491" s="16">
        <f>E491*F491</f>
        <v>70000</v>
      </c>
      <c r="I491" s="16">
        <f>E491*G491</f>
        <v>200000</v>
      </c>
      <c r="J491" s="16">
        <f>I491-H491</f>
        <v>130000</v>
      </c>
      <c r="K491" s="16" t="str">
        <f>VLOOKUP(C491,[1]master_data!$A$2:$E$495,5,FALSE)</f>
        <v>Ikan</v>
      </c>
      <c r="L491" s="1"/>
    </row>
    <row r="492" spans="1:12" ht="12" customHeight="1" x14ac:dyDescent="0.25">
      <c r="A492" s="15">
        <v>45221</v>
      </c>
      <c r="B492" s="16">
        <v>22302010</v>
      </c>
      <c r="C492" s="16" t="s">
        <v>442</v>
      </c>
      <c r="D492" s="16" t="str">
        <f>VLOOKUP(C492,[1]master_data!$A$2:$E$495,2,FALSE)</f>
        <v>PARROT</v>
      </c>
      <c r="E492" s="16">
        <v>2</v>
      </c>
      <c r="F492" s="16">
        <f>VLOOKUP(C492,[1]master_data!$A$2:$E$495,3,FALSE)</f>
        <v>27000</v>
      </c>
      <c r="G492" s="16">
        <f>VLOOKUP(C492,[1]master_data!$A$2:$E$495,4,FALSE)</f>
        <v>60000</v>
      </c>
      <c r="H492" s="16">
        <f>E492*F492</f>
        <v>54000</v>
      </c>
      <c r="I492" s="16">
        <f>E492*G492</f>
        <v>120000</v>
      </c>
      <c r="J492" s="16">
        <f>I492-H492</f>
        <v>66000</v>
      </c>
      <c r="K492" s="16" t="str">
        <f>VLOOKUP(C492,[1]master_data!$A$2:$E$495,5,FALSE)</f>
        <v>Ikan</v>
      </c>
      <c r="L492" s="1"/>
    </row>
    <row r="493" spans="1:12" ht="12" customHeight="1" x14ac:dyDescent="0.25">
      <c r="A493" s="15">
        <v>45221</v>
      </c>
      <c r="B493" s="16">
        <v>22302011</v>
      </c>
      <c r="C493" s="16" t="s">
        <v>460</v>
      </c>
      <c r="D493" s="16" t="str">
        <f>VLOOKUP(C493,[1]master_data!$A$2:$E$495,2,FALSE)</f>
        <v>SEPAT ALBINO</v>
      </c>
      <c r="E493" s="16">
        <v>25</v>
      </c>
      <c r="F493" s="16">
        <f>VLOOKUP(C493,[1]master_data!$A$2:$E$495,3,FALSE)</f>
        <v>2000</v>
      </c>
      <c r="G493" s="16">
        <f>VLOOKUP(C493,[1]master_data!$A$2:$E$495,4,FALSE)</f>
        <v>5000</v>
      </c>
      <c r="H493" s="16">
        <f>E493*F493</f>
        <v>50000</v>
      </c>
      <c r="I493" s="16">
        <f>E493*G493</f>
        <v>125000</v>
      </c>
      <c r="J493" s="16">
        <f>I493-H493</f>
        <v>75000</v>
      </c>
      <c r="K493" s="16" t="str">
        <f>VLOOKUP(C493,[1]master_data!$A$2:$E$495,5,FALSE)</f>
        <v>Ikan</v>
      </c>
      <c r="L493" s="1"/>
    </row>
    <row r="494" spans="1:12" ht="12" customHeight="1" x14ac:dyDescent="0.25">
      <c r="A494" s="15">
        <v>45221</v>
      </c>
      <c r="B494" s="16">
        <v>22302012</v>
      </c>
      <c r="C494" s="16" t="s">
        <v>407</v>
      </c>
      <c r="D494" s="16" t="str">
        <f>VLOOKUP(C494,[1]master_data!$A$2:$E$495,2,FALSE)</f>
        <v>GOLD FISH</v>
      </c>
      <c r="E494" s="16">
        <v>20</v>
      </c>
      <c r="F494" s="16">
        <f>VLOOKUP(C494,[1]master_data!$A$2:$E$495,3,FALSE)</f>
        <v>800</v>
      </c>
      <c r="G494" s="16">
        <f>VLOOKUP(C494,[1]master_data!$A$2:$E$495,4,FALSE)</f>
        <v>2000</v>
      </c>
      <c r="H494" s="16">
        <f>E494*F494</f>
        <v>16000</v>
      </c>
      <c r="I494" s="16">
        <f>E494*G494</f>
        <v>40000</v>
      </c>
      <c r="J494" s="16">
        <f>I494-H494</f>
        <v>24000</v>
      </c>
      <c r="K494" s="16" t="str">
        <f>VLOOKUP(C494,[1]master_data!$A$2:$E$495,5,FALSE)</f>
        <v>Ikan</v>
      </c>
      <c r="L494" s="1"/>
    </row>
    <row r="495" spans="1:12" ht="12" customHeight="1" x14ac:dyDescent="0.25">
      <c r="A495" s="15">
        <v>45221</v>
      </c>
      <c r="B495" s="16">
        <v>22302013</v>
      </c>
      <c r="C495" s="16" t="s">
        <v>394</v>
      </c>
      <c r="D495" s="16" t="str">
        <f>VLOOKUP(C495,[1]master_data!$A$2:$E$495,2,FALSE)</f>
        <v>ALGA EATER</v>
      </c>
      <c r="E495" s="16">
        <v>19</v>
      </c>
      <c r="F495" s="16">
        <f>VLOOKUP(C495,[1]master_data!$A$2:$E$495,3,FALSE)</f>
        <v>1750</v>
      </c>
      <c r="G495" s="16">
        <f>VLOOKUP(C495,[1]master_data!$A$2:$E$495,4,FALSE)</f>
        <v>5000</v>
      </c>
      <c r="H495" s="16">
        <f>E495*F495</f>
        <v>33250</v>
      </c>
      <c r="I495" s="16">
        <f>E495*G495</f>
        <v>95000</v>
      </c>
      <c r="J495" s="16">
        <f>I495-H495</f>
        <v>61750</v>
      </c>
      <c r="K495" s="16" t="str">
        <f>VLOOKUP(C495,[1]master_data!$A$2:$E$495,5,FALSE)</f>
        <v>Ikan</v>
      </c>
      <c r="L495" s="1"/>
    </row>
    <row r="496" spans="1:12" ht="12" customHeight="1" x14ac:dyDescent="0.25">
      <c r="A496" s="15">
        <v>45221</v>
      </c>
      <c r="B496" s="16">
        <v>22302014</v>
      </c>
      <c r="C496" s="16" t="s">
        <v>441</v>
      </c>
      <c r="D496" s="16" t="str">
        <f>VLOOKUP(C496,[1]master_data!$A$2:$E$495,2,FALSE)</f>
        <v>PALMAS</v>
      </c>
      <c r="E496" s="16">
        <v>1</v>
      </c>
      <c r="F496" s="16">
        <f>VLOOKUP(C496,[1]master_data!$A$2:$E$495,3,FALSE)</f>
        <v>10000</v>
      </c>
      <c r="G496" s="16">
        <f>VLOOKUP(C496,[1]master_data!$A$2:$E$495,4,FALSE)</f>
        <v>25000</v>
      </c>
      <c r="H496" s="16">
        <f>E496*F496</f>
        <v>10000</v>
      </c>
      <c r="I496" s="16">
        <f>E496*G496</f>
        <v>25000</v>
      </c>
      <c r="J496" s="16">
        <f>I496-H496</f>
        <v>15000</v>
      </c>
      <c r="K496" s="16" t="str">
        <f>VLOOKUP(C496,[1]master_data!$A$2:$E$495,5,FALSE)</f>
        <v>Ikan</v>
      </c>
      <c r="L496" s="1"/>
    </row>
    <row r="497" spans="1:12" ht="12" customHeight="1" x14ac:dyDescent="0.25">
      <c r="A497" s="15">
        <v>45220</v>
      </c>
      <c r="B497" s="16">
        <v>22302002</v>
      </c>
      <c r="C497" s="16" t="s">
        <v>409</v>
      </c>
      <c r="D497" s="16" t="str">
        <f>VLOOKUP(C497,[1]master_data!$A$2:$E$495,2,FALSE)</f>
        <v>GOLDEN BLACK</v>
      </c>
      <c r="E497" s="16">
        <v>25</v>
      </c>
      <c r="F497" s="16">
        <f>VLOOKUP(C497,[1]master_data!$A$2:$E$495,3,FALSE)</f>
        <v>800</v>
      </c>
      <c r="G497" s="16">
        <f>VLOOKUP(C497,[1]master_data!$A$2:$E$495,4,FALSE)</f>
        <v>2000</v>
      </c>
      <c r="H497" s="16">
        <f>E497*F497</f>
        <v>20000</v>
      </c>
      <c r="I497" s="16">
        <f>E497*G497</f>
        <v>50000</v>
      </c>
      <c r="J497" s="16">
        <f>I497-H497</f>
        <v>30000</v>
      </c>
      <c r="K497" s="16" t="str">
        <f>VLOOKUP(C497,[1]master_data!$A$2:$E$495,5,FALSE)</f>
        <v>Ikan</v>
      </c>
      <c r="L497" s="1"/>
    </row>
    <row r="498" spans="1:12" ht="12" customHeight="1" x14ac:dyDescent="0.25">
      <c r="A498" s="15">
        <v>45220</v>
      </c>
      <c r="B498" s="16">
        <v>22302003</v>
      </c>
      <c r="C498" s="16" t="s">
        <v>52</v>
      </c>
      <c r="D498" s="16" t="str">
        <f>VLOOKUP(C498,[1]master_data!$A$2:$E$495,2,FALSE)</f>
        <v>MESIN SWI 1600</v>
      </c>
      <c r="E498" s="16">
        <v>5</v>
      </c>
      <c r="F498" s="16">
        <f>VLOOKUP(C498,[1]master_data!$A$2:$E$495,3,FALSE)</f>
        <v>37500</v>
      </c>
      <c r="G498" s="16">
        <f>VLOOKUP(C498,[1]master_data!$A$2:$E$495,4,FALSE)</f>
        <v>55000</v>
      </c>
      <c r="H498" s="16">
        <f>E498*F498</f>
        <v>187500</v>
      </c>
      <c r="I498" s="16">
        <f>E498*G498</f>
        <v>275000</v>
      </c>
      <c r="J498" s="16">
        <f>I498-H498</f>
        <v>87500</v>
      </c>
      <c r="K498" s="16" t="str">
        <f>VLOOKUP(C498,[1]master_data!$A$2:$E$495,5,FALSE)</f>
        <v>Aksesoris</v>
      </c>
      <c r="L498" s="1"/>
    </row>
    <row r="499" spans="1:12" ht="12" customHeight="1" x14ac:dyDescent="0.25">
      <c r="A499" s="15">
        <v>45220</v>
      </c>
      <c r="B499" s="16">
        <v>22302004</v>
      </c>
      <c r="C499" s="16" t="s">
        <v>418</v>
      </c>
      <c r="D499" s="16" t="str">
        <f>VLOOKUP(C499,[1]master_data!$A$2:$E$495,2,FALSE)</f>
        <v>KAVIAT</v>
      </c>
      <c r="E499" s="16">
        <v>10</v>
      </c>
      <c r="F499" s="16">
        <f>VLOOKUP(C499,[1]master_data!$A$2:$E$495,3,FALSE)</f>
        <v>3500</v>
      </c>
      <c r="G499" s="16">
        <f>VLOOKUP(C499,[1]master_data!$A$2:$E$495,4,FALSE)</f>
        <v>8000</v>
      </c>
      <c r="H499" s="16">
        <f>E499*F499</f>
        <v>35000</v>
      </c>
      <c r="I499" s="16">
        <f>E499*G499</f>
        <v>80000</v>
      </c>
      <c r="J499" s="16">
        <f>I499-H499</f>
        <v>45000</v>
      </c>
      <c r="K499" s="16" t="str">
        <f>VLOOKUP(C499,[1]master_data!$A$2:$E$495,5,FALSE)</f>
        <v>Ikan</v>
      </c>
      <c r="L499" s="1"/>
    </row>
    <row r="500" spans="1:12" ht="12" customHeight="1" x14ac:dyDescent="0.25">
      <c r="A500" s="15">
        <v>45220</v>
      </c>
      <c r="B500" s="16">
        <v>22302005</v>
      </c>
      <c r="C500" s="16" t="s">
        <v>149</v>
      </c>
      <c r="D500" s="16" t="str">
        <f>VLOOKUP(C500,[1]master_data!$A$2:$E$495,2,FALSE)</f>
        <v>LED HIKARI 3 MODE 80 CM</v>
      </c>
      <c r="E500" s="16">
        <v>2</v>
      </c>
      <c r="F500" s="16">
        <f>VLOOKUP(C500,[1]master_data!$A$2:$E$495,3,FALSE)</f>
        <v>89000</v>
      </c>
      <c r="G500" s="16">
        <f>VLOOKUP(C500,[1]master_data!$A$2:$E$495,4,FALSE)</f>
        <v>140000</v>
      </c>
      <c r="H500" s="16">
        <f>E500*F500</f>
        <v>178000</v>
      </c>
      <c r="I500" s="16">
        <f>E500*G500</f>
        <v>280000</v>
      </c>
      <c r="J500" s="16">
        <f>I500-H500</f>
        <v>102000</v>
      </c>
      <c r="K500" s="16" t="str">
        <f>VLOOKUP(C500,[1]master_data!$A$2:$E$495,5,FALSE)</f>
        <v>Aksesoris</v>
      </c>
      <c r="L500" s="1"/>
    </row>
    <row r="501" spans="1:12" ht="12" customHeight="1" x14ac:dyDescent="0.25">
      <c r="A501" s="15">
        <v>45220</v>
      </c>
      <c r="B501" s="16">
        <v>22302006</v>
      </c>
      <c r="C501" s="16" t="s">
        <v>411</v>
      </c>
      <c r="D501" s="16" t="str">
        <f>VLOOKUP(C501,[1]master_data!$A$2:$E$495,2,FALSE)</f>
        <v>KOKI K</v>
      </c>
      <c r="E501" s="16">
        <v>17</v>
      </c>
      <c r="F501" s="16">
        <f>VLOOKUP(C501,[1]master_data!$A$2:$E$495,3,FALSE)</f>
        <v>3500</v>
      </c>
      <c r="G501" s="16">
        <f>VLOOKUP(C501,[1]master_data!$A$2:$E$495,4,FALSE)</f>
        <v>10000</v>
      </c>
      <c r="H501" s="16">
        <f>E501*F501</f>
        <v>59500</v>
      </c>
      <c r="I501" s="16">
        <f>E501*G501</f>
        <v>170000</v>
      </c>
      <c r="J501" s="16">
        <f>I501-H501</f>
        <v>110500</v>
      </c>
      <c r="K501" s="16" t="str">
        <f>VLOOKUP(C501,[1]master_data!$A$2:$E$495,5,FALSE)</f>
        <v>Ikan</v>
      </c>
      <c r="L501" s="1"/>
    </row>
    <row r="502" spans="1:12" ht="12" customHeight="1" x14ac:dyDescent="0.25">
      <c r="A502" s="15">
        <v>45220</v>
      </c>
      <c r="B502" s="16">
        <v>22302007</v>
      </c>
      <c r="C502" s="16" t="s">
        <v>411</v>
      </c>
      <c r="D502" s="16" t="str">
        <f>VLOOKUP(C502,[1]master_data!$A$2:$E$495,2,FALSE)</f>
        <v>KOKI K</v>
      </c>
      <c r="E502" s="16">
        <v>1</v>
      </c>
      <c r="F502" s="16">
        <f>VLOOKUP(C502,[1]master_data!$A$2:$E$495,3,FALSE)</f>
        <v>3500</v>
      </c>
      <c r="G502" s="16">
        <f>VLOOKUP(C502,[1]master_data!$A$2:$E$495,4,FALSE)</f>
        <v>10000</v>
      </c>
      <c r="H502" s="16">
        <f>E502*F502</f>
        <v>3500</v>
      </c>
      <c r="I502" s="16">
        <f>E502*G502</f>
        <v>10000</v>
      </c>
      <c r="J502" s="16">
        <f>I502-H502</f>
        <v>6500</v>
      </c>
      <c r="K502" s="16" t="str">
        <f>VLOOKUP(C502,[1]master_data!$A$2:$E$495,5,FALSE)</f>
        <v>Ikan</v>
      </c>
      <c r="L502" s="1"/>
    </row>
    <row r="503" spans="1:12" ht="12" customHeight="1" x14ac:dyDescent="0.25">
      <c r="A503" s="15">
        <v>45219</v>
      </c>
      <c r="B503" s="16">
        <v>22301992</v>
      </c>
      <c r="C503" s="16" t="s">
        <v>418</v>
      </c>
      <c r="D503" s="16" t="str">
        <f>VLOOKUP(C503,[1]master_data!$A$2:$E$495,2,FALSE)</f>
        <v>KAVIAT</v>
      </c>
      <c r="E503" s="16">
        <v>20</v>
      </c>
      <c r="F503" s="16">
        <f>VLOOKUP(C503,[1]master_data!$A$2:$E$495,3,FALSE)</f>
        <v>3500</v>
      </c>
      <c r="G503" s="16">
        <f>VLOOKUP(C503,[1]master_data!$A$2:$E$495,4,FALSE)</f>
        <v>8000</v>
      </c>
      <c r="H503" s="16">
        <f>E503*F503</f>
        <v>70000</v>
      </c>
      <c r="I503" s="16">
        <f>E503*G503</f>
        <v>160000</v>
      </c>
      <c r="J503" s="16">
        <f>I503-H503</f>
        <v>90000</v>
      </c>
      <c r="K503" s="16" t="str">
        <f>VLOOKUP(C503,[1]master_data!$A$2:$E$495,5,FALSE)</f>
        <v>Ikan</v>
      </c>
      <c r="L503" s="1"/>
    </row>
    <row r="504" spans="1:12" ht="12" customHeight="1" x14ac:dyDescent="0.25">
      <c r="A504" s="15">
        <v>45219</v>
      </c>
      <c r="B504" s="16">
        <v>22301993</v>
      </c>
      <c r="C504" s="16" t="s">
        <v>416</v>
      </c>
      <c r="D504" s="16" t="str">
        <f>VLOOKUP(C504,[1]master_data!$A$2:$E$495,2,FALSE)</f>
        <v>KOI B</v>
      </c>
      <c r="E504" s="16">
        <v>1</v>
      </c>
      <c r="F504" s="16">
        <f>VLOOKUP(C504,[1]master_data!$A$2:$E$495,3,FALSE)</f>
        <v>9000</v>
      </c>
      <c r="G504" s="16">
        <f>VLOOKUP(C504,[1]master_data!$A$2:$E$495,4,FALSE)</f>
        <v>30000</v>
      </c>
      <c r="H504" s="16">
        <f>E504*F504</f>
        <v>9000</v>
      </c>
      <c r="I504" s="16">
        <f>E504*G504</f>
        <v>30000</v>
      </c>
      <c r="J504" s="16">
        <f>I504-H504</f>
        <v>21000</v>
      </c>
      <c r="K504" s="16" t="str">
        <f>VLOOKUP(C504,[1]master_data!$A$2:$E$495,5,FALSE)</f>
        <v>Ikan</v>
      </c>
      <c r="L504" s="1"/>
    </row>
    <row r="505" spans="1:12" ht="12" customHeight="1" x14ac:dyDescent="0.25">
      <c r="A505" s="15">
        <v>45219</v>
      </c>
      <c r="B505" s="16">
        <v>22301994</v>
      </c>
      <c r="C505" s="16" t="s">
        <v>418</v>
      </c>
      <c r="D505" s="16" t="str">
        <f>VLOOKUP(C505,[1]master_data!$A$2:$E$495,2,FALSE)</f>
        <v>KAVIAT</v>
      </c>
      <c r="E505" s="16">
        <v>10</v>
      </c>
      <c r="F505" s="16">
        <f>VLOOKUP(C505,[1]master_data!$A$2:$E$495,3,FALSE)</f>
        <v>3500</v>
      </c>
      <c r="G505" s="16">
        <f>VLOOKUP(C505,[1]master_data!$A$2:$E$495,4,FALSE)</f>
        <v>8000</v>
      </c>
      <c r="H505" s="16">
        <f>E505*F505</f>
        <v>35000</v>
      </c>
      <c r="I505" s="16">
        <f>E505*G505</f>
        <v>80000</v>
      </c>
      <c r="J505" s="16">
        <f>I505-H505</f>
        <v>45000</v>
      </c>
      <c r="K505" s="16" t="str">
        <f>VLOOKUP(C505,[1]master_data!$A$2:$E$495,5,FALSE)</f>
        <v>Ikan</v>
      </c>
      <c r="L505" s="1"/>
    </row>
    <row r="506" spans="1:12" ht="12" customHeight="1" x14ac:dyDescent="0.25">
      <c r="A506" s="15">
        <v>45219</v>
      </c>
      <c r="B506" s="16">
        <v>22301995</v>
      </c>
      <c r="C506" s="16" t="s">
        <v>458</v>
      </c>
      <c r="D506" s="16" t="str">
        <f>VLOOKUP(C506,[1]master_data!$A$2:$E$495,2,FALSE)</f>
        <v>ZEBRA KUNING</v>
      </c>
      <c r="E506" s="16">
        <v>25</v>
      </c>
      <c r="F506" s="16">
        <f>VLOOKUP(C506,[1]master_data!$A$2:$E$495,3,FALSE)</f>
        <v>800</v>
      </c>
      <c r="G506" s="16">
        <f>VLOOKUP(C506,[1]master_data!$A$2:$E$495,4,FALSE)</f>
        <v>2000</v>
      </c>
      <c r="H506" s="16">
        <f>E506*F506</f>
        <v>20000</v>
      </c>
      <c r="I506" s="16">
        <f>E506*G506</f>
        <v>50000</v>
      </c>
      <c r="J506" s="16">
        <f>I506-H506</f>
        <v>30000</v>
      </c>
      <c r="K506" s="16" t="str">
        <f>VLOOKUP(C506,[1]master_data!$A$2:$E$495,5,FALSE)</f>
        <v>Ikan</v>
      </c>
      <c r="L506" s="1"/>
    </row>
    <row r="507" spans="1:12" ht="12" customHeight="1" x14ac:dyDescent="0.25">
      <c r="A507" s="15">
        <v>45219</v>
      </c>
      <c r="B507" s="16">
        <v>22301996</v>
      </c>
      <c r="C507" s="16" t="s">
        <v>453</v>
      </c>
      <c r="D507" s="16" t="str">
        <f>VLOOKUP(C507,[1]master_data!$A$2:$E$495,2,FALSE)</f>
        <v>TETRA</v>
      </c>
      <c r="E507" s="16">
        <v>30</v>
      </c>
      <c r="F507" s="16">
        <f>VLOOKUP(C507,[1]master_data!$A$2:$E$495,3,FALSE)</f>
        <v>800</v>
      </c>
      <c r="G507" s="16">
        <f>VLOOKUP(C507,[1]master_data!$A$2:$E$495,4,FALSE)</f>
        <v>2000</v>
      </c>
      <c r="H507" s="16">
        <f>E507*F507</f>
        <v>24000</v>
      </c>
      <c r="I507" s="16">
        <f>E507*G507</f>
        <v>60000</v>
      </c>
      <c r="J507" s="16">
        <f>I507-H507</f>
        <v>36000</v>
      </c>
      <c r="K507" s="16" t="str">
        <f>VLOOKUP(C507,[1]master_data!$A$2:$E$495,5,FALSE)</f>
        <v>Ikan</v>
      </c>
      <c r="L507" s="1"/>
    </row>
    <row r="508" spans="1:12" ht="12" customHeight="1" x14ac:dyDescent="0.25">
      <c r="A508" s="15">
        <v>45219</v>
      </c>
      <c r="B508" s="16">
        <v>22301997</v>
      </c>
      <c r="C508" s="16" t="s">
        <v>395</v>
      </c>
      <c r="D508" s="16" t="str">
        <f>VLOOKUP(C508,[1]master_data!$A$2:$E$495,2,FALSE)</f>
        <v>ALIGATOR</v>
      </c>
      <c r="E508" s="16">
        <v>1</v>
      </c>
      <c r="F508" s="16">
        <f>VLOOKUP(C508,[1]master_data!$A$2:$E$495,3,FALSE)</f>
        <v>17000</v>
      </c>
      <c r="G508" s="16">
        <f>VLOOKUP(C508,[1]master_data!$A$2:$E$495,4,FALSE)</f>
        <v>35000</v>
      </c>
      <c r="H508" s="16">
        <f>E508*F508</f>
        <v>17000</v>
      </c>
      <c r="I508" s="16">
        <f>E508*G508</f>
        <v>35000</v>
      </c>
      <c r="J508" s="16">
        <f>I508-H508</f>
        <v>18000</v>
      </c>
      <c r="K508" s="16" t="str">
        <f>VLOOKUP(C508,[1]master_data!$A$2:$E$495,5,FALSE)</f>
        <v>Ikan</v>
      </c>
      <c r="L508" s="1"/>
    </row>
    <row r="509" spans="1:12" ht="12" customHeight="1" x14ac:dyDescent="0.25">
      <c r="A509" s="15">
        <v>45219</v>
      </c>
      <c r="B509" s="16">
        <v>22301998</v>
      </c>
      <c r="C509" s="16" t="s">
        <v>100</v>
      </c>
      <c r="D509" s="16" t="str">
        <f>VLOOKUP(C509,[1]master_data!$A$2:$E$495,2,FALSE)</f>
        <v>MESIN AMARA 106</v>
      </c>
      <c r="E509" s="16">
        <v>1</v>
      </c>
      <c r="F509" s="16">
        <f>VLOOKUP(C509,[1]master_data!$A$2:$E$495,3,FALSE)</f>
        <v>270000</v>
      </c>
      <c r="G509" s="16">
        <f>VLOOKUP(C509,[1]master_data!$A$2:$E$495,4,FALSE)</f>
        <v>330000</v>
      </c>
      <c r="H509" s="16">
        <f>E509*F509</f>
        <v>270000</v>
      </c>
      <c r="I509" s="16">
        <f>E509*G509</f>
        <v>330000</v>
      </c>
      <c r="J509" s="16">
        <f>I509-H509</f>
        <v>60000</v>
      </c>
      <c r="K509" s="16" t="str">
        <f>VLOOKUP(C509,[1]master_data!$A$2:$E$495,5,FALSE)</f>
        <v>Aksesoris</v>
      </c>
      <c r="L509" s="1"/>
    </row>
    <row r="510" spans="1:12" ht="12" customHeight="1" x14ac:dyDescent="0.25">
      <c r="A510" s="15">
        <v>45219</v>
      </c>
      <c r="B510" s="16">
        <v>22301999</v>
      </c>
      <c r="C510" s="16" t="s">
        <v>418</v>
      </c>
      <c r="D510" s="16" t="str">
        <f>VLOOKUP(C510,[1]master_data!$A$2:$E$495,2,FALSE)</f>
        <v>KAVIAT</v>
      </c>
      <c r="E510" s="16">
        <v>17</v>
      </c>
      <c r="F510" s="16">
        <f>VLOOKUP(C510,[1]master_data!$A$2:$E$495,3,FALSE)</f>
        <v>3500</v>
      </c>
      <c r="G510" s="16">
        <f>VLOOKUP(C510,[1]master_data!$A$2:$E$495,4,FALSE)</f>
        <v>8000</v>
      </c>
      <c r="H510" s="16">
        <f>E510*F510</f>
        <v>59500</v>
      </c>
      <c r="I510" s="16">
        <f>E510*G510</f>
        <v>136000</v>
      </c>
      <c r="J510" s="16">
        <f>I510-H510</f>
        <v>76500</v>
      </c>
      <c r="K510" s="16" t="str">
        <f>VLOOKUP(C510,[1]master_data!$A$2:$E$495,5,FALSE)</f>
        <v>Ikan</v>
      </c>
      <c r="L510" s="1"/>
    </row>
    <row r="511" spans="1:12" ht="12" customHeight="1" x14ac:dyDescent="0.25">
      <c r="A511" s="15">
        <v>45219</v>
      </c>
      <c r="B511" s="16">
        <v>22302000</v>
      </c>
      <c r="C511" s="16" t="s">
        <v>105</v>
      </c>
      <c r="D511" s="16" t="str">
        <f>VLOOKUP(C511,[1]master_data!$A$2:$E$495,2,FALSE)</f>
        <v>AIRATOR ROSTON LUB 4</v>
      </c>
      <c r="E511" s="16">
        <v>1</v>
      </c>
      <c r="F511" s="16">
        <f>VLOOKUP(C511,[1]master_data!$A$2:$E$495,3,FALSE)</f>
        <v>85000</v>
      </c>
      <c r="G511" s="16">
        <f>VLOOKUP(C511,[1]master_data!$A$2:$E$495,4,FALSE)</f>
        <v>125000</v>
      </c>
      <c r="H511" s="16">
        <f>E511*F511</f>
        <v>85000</v>
      </c>
      <c r="I511" s="16">
        <f>E511*G511</f>
        <v>125000</v>
      </c>
      <c r="J511" s="16">
        <f>I511-H511</f>
        <v>40000</v>
      </c>
      <c r="K511" s="16" t="str">
        <f>VLOOKUP(C511,[1]master_data!$A$2:$E$495,5,FALSE)</f>
        <v>Aksesoris</v>
      </c>
      <c r="L511" s="1"/>
    </row>
    <row r="512" spans="1:12" ht="12" customHeight="1" x14ac:dyDescent="0.25">
      <c r="A512" s="15">
        <v>45219</v>
      </c>
      <c r="B512" s="16">
        <v>22302001</v>
      </c>
      <c r="C512" s="16" t="s">
        <v>428</v>
      </c>
      <c r="D512" s="16" t="str">
        <f>VLOOKUP(C512,[1]master_data!$A$2:$E$495,2,FALSE)</f>
        <v>MANFISH K</v>
      </c>
      <c r="E512" s="16">
        <v>100</v>
      </c>
      <c r="F512" s="16">
        <f>VLOOKUP(C512,[1]master_data!$A$2:$E$495,3,FALSE)</f>
        <v>2000</v>
      </c>
      <c r="G512" s="16">
        <f>VLOOKUP(C512,[1]master_data!$A$2:$E$495,4,FALSE)</f>
        <v>5000</v>
      </c>
      <c r="H512" s="16">
        <f>E512*F512</f>
        <v>200000</v>
      </c>
      <c r="I512" s="16">
        <f>E512*G512</f>
        <v>500000</v>
      </c>
      <c r="J512" s="16">
        <f>I512-H512</f>
        <v>300000</v>
      </c>
      <c r="K512" s="16" t="str">
        <f>VLOOKUP(C512,[1]master_data!$A$2:$E$495,5,FALSE)</f>
        <v>Ikan</v>
      </c>
      <c r="L512" s="1"/>
    </row>
    <row r="513" spans="1:12" ht="12" customHeight="1" x14ac:dyDescent="0.25">
      <c r="A513" s="15">
        <v>45218</v>
      </c>
      <c r="B513" s="16">
        <v>22301981</v>
      </c>
      <c r="C513" s="16" t="s">
        <v>395</v>
      </c>
      <c r="D513" s="16" t="str">
        <f>VLOOKUP(C513,[1]master_data!$A$2:$E$495,2,FALSE)</f>
        <v>ALIGATOR</v>
      </c>
      <c r="E513" s="16">
        <v>2</v>
      </c>
      <c r="F513" s="16">
        <f>VLOOKUP(C513,[1]master_data!$A$2:$E$495,3,FALSE)</f>
        <v>17000</v>
      </c>
      <c r="G513" s="16">
        <f>VLOOKUP(C513,[1]master_data!$A$2:$E$495,4,FALSE)</f>
        <v>35000</v>
      </c>
      <c r="H513" s="16">
        <f>E513*F513</f>
        <v>34000</v>
      </c>
      <c r="I513" s="16">
        <f>E513*G513</f>
        <v>70000</v>
      </c>
      <c r="J513" s="16">
        <f>I513-H513</f>
        <v>36000</v>
      </c>
      <c r="K513" s="16" t="str">
        <f>VLOOKUP(C513,[1]master_data!$A$2:$E$495,5,FALSE)</f>
        <v>Ikan</v>
      </c>
      <c r="L513" s="1"/>
    </row>
    <row r="514" spans="1:12" ht="12" customHeight="1" x14ac:dyDescent="0.25">
      <c r="A514" s="15">
        <v>45218</v>
      </c>
      <c r="B514" s="16">
        <v>22301982</v>
      </c>
      <c r="C514" s="16" t="s">
        <v>458</v>
      </c>
      <c r="D514" s="16" t="str">
        <f>VLOOKUP(C514,[1]master_data!$A$2:$E$495,2,FALSE)</f>
        <v>ZEBRA KUNING</v>
      </c>
      <c r="E514" s="16">
        <v>30</v>
      </c>
      <c r="F514" s="16">
        <f>VLOOKUP(C514,[1]master_data!$A$2:$E$495,3,FALSE)</f>
        <v>800</v>
      </c>
      <c r="G514" s="16">
        <f>VLOOKUP(C514,[1]master_data!$A$2:$E$495,4,FALSE)</f>
        <v>2000</v>
      </c>
      <c r="H514" s="16">
        <f>E514*F514</f>
        <v>24000</v>
      </c>
      <c r="I514" s="16">
        <f>E514*G514</f>
        <v>60000</v>
      </c>
      <c r="J514" s="16">
        <f>I514-H514</f>
        <v>36000</v>
      </c>
      <c r="K514" s="16" t="str">
        <f>VLOOKUP(C514,[1]master_data!$A$2:$E$495,5,FALSE)</f>
        <v>Ikan</v>
      </c>
      <c r="L514" s="1"/>
    </row>
    <row r="515" spans="1:12" ht="12" customHeight="1" x14ac:dyDescent="0.25">
      <c r="A515" s="15">
        <v>45218</v>
      </c>
      <c r="B515" s="16">
        <v>22301983</v>
      </c>
      <c r="C515" s="16" t="s">
        <v>255</v>
      </c>
      <c r="D515" s="16" t="str">
        <f>VLOOKUP(C515,[1]master_data!$A$2:$E$495,2,FALSE)</f>
        <v>BILTS K</v>
      </c>
      <c r="E515" s="16">
        <v>15</v>
      </c>
      <c r="F515" s="16">
        <f>VLOOKUP(C515,[1]master_data!$A$2:$E$495,3,FALSE)</f>
        <v>5000</v>
      </c>
      <c r="G515" s="16">
        <f>VLOOKUP(C515,[1]master_data!$A$2:$E$495,4,FALSE)</f>
        <v>7000</v>
      </c>
      <c r="H515" s="16">
        <f>E515*F515</f>
        <v>75000</v>
      </c>
      <c r="I515" s="16">
        <f>E515*G515</f>
        <v>105000</v>
      </c>
      <c r="J515" s="16">
        <f>I515-H515</f>
        <v>30000</v>
      </c>
      <c r="K515" s="16" t="str">
        <f>VLOOKUP(C515,[1]master_data!$A$2:$E$495,5,FALSE)</f>
        <v>Aksesoris</v>
      </c>
      <c r="L515" s="1"/>
    </row>
    <row r="516" spans="1:12" ht="12" customHeight="1" x14ac:dyDescent="0.25">
      <c r="A516" s="15">
        <v>45218</v>
      </c>
      <c r="B516" s="16">
        <v>22301984</v>
      </c>
      <c r="C516" s="16" t="s">
        <v>177</v>
      </c>
      <c r="D516" s="16" t="str">
        <f>VLOOKUP(C516,[1]master_data!$A$2:$E$495,2,FALSE)</f>
        <v>LED KANDILA PRO RED 180 CM</v>
      </c>
      <c r="E516" s="16">
        <v>1</v>
      </c>
      <c r="F516" s="16">
        <f>VLOOKUP(C516,[1]master_data!$A$2:$E$495,3,FALSE)</f>
        <v>317000</v>
      </c>
      <c r="G516" s="16">
        <f>VLOOKUP(C516,[1]master_data!$A$2:$E$495,4,FALSE)</f>
        <v>425000</v>
      </c>
      <c r="H516" s="16">
        <f>E516*F516</f>
        <v>317000</v>
      </c>
      <c r="I516" s="16">
        <f>E516*G516</f>
        <v>425000</v>
      </c>
      <c r="J516" s="16">
        <f>I516-H516</f>
        <v>108000</v>
      </c>
      <c r="K516" s="16" t="str">
        <f>VLOOKUP(C516,[1]master_data!$A$2:$E$495,5,FALSE)</f>
        <v>Aksesoris</v>
      </c>
      <c r="L516" s="1"/>
    </row>
    <row r="517" spans="1:12" ht="12" customHeight="1" x14ac:dyDescent="0.25">
      <c r="A517" s="15">
        <v>45218</v>
      </c>
      <c r="B517" s="16">
        <v>22301985</v>
      </c>
      <c r="C517" s="16" t="s">
        <v>432</v>
      </c>
      <c r="D517" s="16" t="str">
        <f>VLOOKUP(C517,[1]master_data!$A$2:$E$495,2,FALSE)</f>
        <v>MOLI PAKAN</v>
      </c>
      <c r="E517" s="16">
        <v>15</v>
      </c>
      <c r="F517" s="16">
        <f>VLOOKUP(C517,[1]master_data!$A$2:$E$495,3,FALSE)</f>
        <v>100</v>
      </c>
      <c r="G517" s="16">
        <f>VLOOKUP(C517,[1]master_data!$A$2:$E$495,4,FALSE)</f>
        <v>200</v>
      </c>
      <c r="H517" s="16">
        <f>E517*F517</f>
        <v>1500</v>
      </c>
      <c r="I517" s="16">
        <f>E517*G517</f>
        <v>3000</v>
      </c>
      <c r="J517" s="16">
        <f>I517-H517</f>
        <v>1500</v>
      </c>
      <c r="K517" s="16" t="str">
        <f>VLOOKUP(C517,[1]master_data!$A$2:$E$495,5,FALSE)</f>
        <v>Ikan</v>
      </c>
      <c r="L517" s="1"/>
    </row>
    <row r="518" spans="1:12" ht="12" customHeight="1" x14ac:dyDescent="0.25">
      <c r="A518" s="15">
        <v>45218</v>
      </c>
      <c r="B518" s="16">
        <v>22301986</v>
      </c>
      <c r="C518" s="16" t="s">
        <v>330</v>
      </c>
      <c r="D518" s="16" t="str">
        <f>VLOOKUP(C518,[1]master_data!$A$2:$E$495,2,FALSE)</f>
        <v>AIRSTONE D2L3</v>
      </c>
      <c r="E518" s="16">
        <v>10</v>
      </c>
      <c r="F518" s="16">
        <f>VLOOKUP(C518,[1]master_data!$A$2:$E$495,3,FALSE)</f>
        <v>1100</v>
      </c>
      <c r="G518" s="16">
        <f>VLOOKUP(C518,[1]master_data!$A$2:$E$495,4,FALSE)</f>
        <v>4000</v>
      </c>
      <c r="H518" s="16">
        <f>E518*F518</f>
        <v>11000</v>
      </c>
      <c r="I518" s="16">
        <f>E518*G518</f>
        <v>40000</v>
      </c>
      <c r="J518" s="16">
        <f>I518-H518</f>
        <v>29000</v>
      </c>
      <c r="K518" s="16" t="str">
        <f>VLOOKUP(C518,[1]master_data!$A$2:$E$495,5,FALSE)</f>
        <v>Aksesoris</v>
      </c>
      <c r="L518" s="1"/>
    </row>
    <row r="519" spans="1:12" ht="12" customHeight="1" x14ac:dyDescent="0.25">
      <c r="A519" s="15">
        <v>45218</v>
      </c>
      <c r="B519" s="16">
        <v>22301987</v>
      </c>
      <c r="C519" s="16" t="s">
        <v>431</v>
      </c>
      <c r="D519" s="16" t="str">
        <f>VLOOKUP(C519,[1]master_data!$A$2:$E$495,2,FALSE)</f>
        <v>MARU B</v>
      </c>
      <c r="E519" s="16">
        <v>2</v>
      </c>
      <c r="F519" s="16">
        <f>VLOOKUP(C519,[1]master_data!$A$2:$E$495,3,FALSE)</f>
        <v>90000</v>
      </c>
      <c r="G519" s="16">
        <f>VLOOKUP(C519,[1]master_data!$A$2:$E$495,4,FALSE)</f>
        <v>150000</v>
      </c>
      <c r="H519" s="16">
        <f>E519*F519</f>
        <v>180000</v>
      </c>
      <c r="I519" s="16">
        <f>E519*G519</f>
        <v>300000</v>
      </c>
      <c r="J519" s="16">
        <f>I519-H519</f>
        <v>120000</v>
      </c>
      <c r="K519" s="16" t="str">
        <f>VLOOKUP(C519,[1]master_data!$A$2:$E$495,5,FALSE)</f>
        <v>Ikan</v>
      </c>
      <c r="L519" s="1"/>
    </row>
    <row r="520" spans="1:12" ht="12" customHeight="1" x14ac:dyDescent="0.25">
      <c r="A520" s="15">
        <v>45218</v>
      </c>
      <c r="B520" s="16">
        <v>22301988</v>
      </c>
      <c r="C520" s="16" t="s">
        <v>440</v>
      </c>
      <c r="D520" s="16" t="str">
        <f>VLOOKUP(C520,[1]master_data!$A$2:$E$495,2,FALSE)</f>
        <v>PEMBERSIH KACA ALBINO</v>
      </c>
      <c r="E520" s="16">
        <v>15</v>
      </c>
      <c r="F520" s="16">
        <f>VLOOKUP(C520,[1]master_data!$A$2:$E$495,3,FALSE)</f>
        <v>2500</v>
      </c>
      <c r="G520" s="16">
        <f>VLOOKUP(C520,[1]master_data!$A$2:$E$495,4,FALSE)</f>
        <v>5000</v>
      </c>
      <c r="H520" s="16">
        <f>E520*F520</f>
        <v>37500</v>
      </c>
      <c r="I520" s="16">
        <f>E520*G520</f>
        <v>75000</v>
      </c>
      <c r="J520" s="16">
        <f>I520-H520</f>
        <v>37500</v>
      </c>
      <c r="K520" s="16" t="str">
        <f>VLOOKUP(C520,[1]master_data!$A$2:$E$495,5,FALSE)</f>
        <v>Ikan</v>
      </c>
      <c r="L520" s="1"/>
    </row>
    <row r="521" spans="1:12" ht="12" customHeight="1" x14ac:dyDescent="0.25">
      <c r="A521" s="15">
        <v>45218</v>
      </c>
      <c r="B521" s="16">
        <v>22301989</v>
      </c>
      <c r="C521" s="16" t="s">
        <v>458</v>
      </c>
      <c r="D521" s="16" t="str">
        <f>VLOOKUP(C521,[1]master_data!$A$2:$E$495,2,FALSE)</f>
        <v>ZEBRA KUNING</v>
      </c>
      <c r="E521" s="16">
        <v>10</v>
      </c>
      <c r="F521" s="16">
        <f>VLOOKUP(C521,[1]master_data!$A$2:$E$495,3,FALSE)</f>
        <v>800</v>
      </c>
      <c r="G521" s="16">
        <f>VLOOKUP(C521,[1]master_data!$A$2:$E$495,4,FALSE)</f>
        <v>2000</v>
      </c>
      <c r="H521" s="16">
        <f>E521*F521</f>
        <v>8000</v>
      </c>
      <c r="I521" s="16">
        <f>E521*G521</f>
        <v>20000</v>
      </c>
      <c r="J521" s="16">
        <f>I521-H521</f>
        <v>12000</v>
      </c>
      <c r="K521" s="16" t="str">
        <f>VLOOKUP(C521,[1]master_data!$A$2:$E$495,5,FALSE)</f>
        <v>Ikan</v>
      </c>
      <c r="L521" s="1"/>
    </row>
    <row r="522" spans="1:12" ht="12" customHeight="1" x14ac:dyDescent="0.25">
      <c r="A522" s="15">
        <v>45218</v>
      </c>
      <c r="B522" s="16">
        <v>22301990</v>
      </c>
      <c r="C522" s="16" t="s">
        <v>198</v>
      </c>
      <c r="D522" s="16" t="str">
        <f>VLOOKUP(C522,[1]master_data!$A$2:$E$495,2,FALSE)</f>
        <v>AKARI PREMIUM YELLOW</v>
      </c>
      <c r="E522" s="16">
        <v>3</v>
      </c>
      <c r="F522" s="16">
        <f>VLOOKUP(C522,[1]master_data!$A$2:$E$495,3,FALSE)</f>
        <v>37000</v>
      </c>
      <c r="G522" s="16">
        <f>VLOOKUP(C522,[1]master_data!$A$2:$E$495,4,FALSE)</f>
        <v>50000</v>
      </c>
      <c r="H522" s="16">
        <f>E522*F522</f>
        <v>111000</v>
      </c>
      <c r="I522" s="16">
        <f>E522*G522</f>
        <v>150000</v>
      </c>
      <c r="J522" s="16">
        <f>I522-H522</f>
        <v>39000</v>
      </c>
      <c r="K522" s="16" t="str">
        <f>VLOOKUP(C522,[1]master_data!$A$2:$E$495,5,FALSE)</f>
        <v>Aksesoris</v>
      </c>
      <c r="L522" s="1"/>
    </row>
    <row r="523" spans="1:12" ht="12" customHeight="1" x14ac:dyDescent="0.25">
      <c r="A523" s="15">
        <v>45218</v>
      </c>
      <c r="B523" s="16">
        <v>22301991</v>
      </c>
      <c r="C523" s="16" t="s">
        <v>444</v>
      </c>
      <c r="D523" s="16" t="str">
        <f>VLOOKUP(C523,[1]master_data!$A$2:$E$495,2,FALSE)</f>
        <v>REDFIN HITAM</v>
      </c>
      <c r="E523" s="16">
        <v>1</v>
      </c>
      <c r="F523" s="16">
        <f>VLOOKUP(C523,[1]master_data!$A$2:$E$495,3,FALSE)</f>
        <v>1500</v>
      </c>
      <c r="G523" s="16">
        <f>VLOOKUP(C523,[1]master_data!$A$2:$E$495,4,FALSE)</f>
        <v>4000</v>
      </c>
      <c r="H523" s="16">
        <f>E523*F523</f>
        <v>1500</v>
      </c>
      <c r="I523" s="16">
        <f>E523*G523</f>
        <v>4000</v>
      </c>
      <c r="J523" s="16">
        <f>I523-H523</f>
        <v>2500</v>
      </c>
      <c r="K523" s="16" t="str">
        <f>VLOOKUP(C523,[1]master_data!$A$2:$E$495,5,FALSE)</f>
        <v>Ikan</v>
      </c>
      <c r="L523" s="1"/>
    </row>
    <row r="524" spans="1:12" ht="12" customHeight="1" x14ac:dyDescent="0.25">
      <c r="A524" s="15">
        <v>45217</v>
      </c>
      <c r="B524" s="16">
        <v>22301976</v>
      </c>
      <c r="C524" s="16" t="s">
        <v>413</v>
      </c>
      <c r="D524" s="16" t="str">
        <f>VLOOKUP(C524,[1]master_data!$A$2:$E$495,2,FALSE)</f>
        <v>KOKI B</v>
      </c>
      <c r="E524" s="16">
        <v>10</v>
      </c>
      <c r="F524" s="16">
        <f>VLOOKUP(C524,[1]master_data!$A$2:$E$495,3,FALSE)</f>
        <v>20000</v>
      </c>
      <c r="G524" s="16">
        <f>VLOOKUP(C524,[1]master_data!$A$2:$E$495,4,FALSE)</f>
        <v>50000</v>
      </c>
      <c r="H524" s="16">
        <f>E524*F524</f>
        <v>200000</v>
      </c>
      <c r="I524" s="16">
        <f>E524*G524</f>
        <v>500000</v>
      </c>
      <c r="J524" s="16">
        <f>I524-H524</f>
        <v>300000</v>
      </c>
      <c r="K524" s="16" t="str">
        <f>VLOOKUP(C524,[1]master_data!$A$2:$E$495,5,FALSE)</f>
        <v>Ikan</v>
      </c>
      <c r="L524" s="1"/>
    </row>
    <row r="525" spans="1:12" ht="12" customHeight="1" x14ac:dyDescent="0.25">
      <c r="A525" s="15">
        <v>45217</v>
      </c>
      <c r="B525" s="16">
        <v>22301977</v>
      </c>
      <c r="C525" s="16" t="s">
        <v>240</v>
      </c>
      <c r="D525" s="16" t="str">
        <f>VLOOKUP(C525,[1]master_data!$A$2:$E$495,2,FALSE)</f>
        <v>TAKARI SINKING</v>
      </c>
      <c r="E525" s="16">
        <v>30</v>
      </c>
      <c r="F525" s="16">
        <f>VLOOKUP(C525,[1]master_data!$A$2:$E$495,3,FALSE)</f>
        <v>7100</v>
      </c>
      <c r="G525" s="16">
        <f>VLOOKUP(C525,[1]master_data!$A$2:$E$495,4,FALSE)</f>
        <v>10000</v>
      </c>
      <c r="H525" s="16">
        <f>E525*F525</f>
        <v>213000</v>
      </c>
      <c r="I525" s="16">
        <f>E525*G525</f>
        <v>300000</v>
      </c>
      <c r="J525" s="16">
        <f>I525-H525</f>
        <v>87000</v>
      </c>
      <c r="K525" s="16" t="str">
        <f>VLOOKUP(C525,[1]master_data!$A$2:$E$495,5,FALSE)</f>
        <v>Aksesoris</v>
      </c>
      <c r="L525" s="1"/>
    </row>
    <row r="526" spans="1:12" ht="12" customHeight="1" x14ac:dyDescent="0.25">
      <c r="A526" s="15">
        <v>45217</v>
      </c>
      <c r="B526" s="16">
        <v>22301978</v>
      </c>
      <c r="C526" s="16" t="s">
        <v>410</v>
      </c>
      <c r="D526" s="16" t="str">
        <f>VLOOKUP(C526,[1]master_data!$A$2:$E$495,2,FALSE)</f>
        <v>HIU TAWAR</v>
      </c>
      <c r="E526" s="16">
        <v>15</v>
      </c>
      <c r="F526" s="16">
        <f>VLOOKUP(C526,[1]master_data!$A$2:$E$495,3,FALSE)</f>
        <v>600</v>
      </c>
      <c r="G526" s="16">
        <f>VLOOKUP(C526,[1]master_data!$A$2:$E$495,4,FALSE)</f>
        <v>2000</v>
      </c>
      <c r="H526" s="16">
        <f>E526*F526</f>
        <v>9000</v>
      </c>
      <c r="I526" s="16">
        <f>E526*G526</f>
        <v>30000</v>
      </c>
      <c r="J526" s="16">
        <f>I526-H526</f>
        <v>21000</v>
      </c>
      <c r="K526" s="16" t="str">
        <f>VLOOKUP(C526,[1]master_data!$A$2:$E$495,5,FALSE)</f>
        <v>Ikan</v>
      </c>
      <c r="L526" s="1"/>
    </row>
    <row r="527" spans="1:12" ht="12" customHeight="1" x14ac:dyDescent="0.25">
      <c r="A527" s="15">
        <v>45217</v>
      </c>
      <c r="B527" s="16">
        <v>22301979</v>
      </c>
      <c r="C527" s="16" t="s">
        <v>367</v>
      </c>
      <c r="D527" s="16" t="str">
        <f>VLOOKUP(C527,[1]master_data!$A$2:$E$495,2,FALSE)</f>
        <v>TUTUP AKUARIUM L</v>
      </c>
      <c r="E527" s="16">
        <v>1</v>
      </c>
      <c r="F527" s="16">
        <f>VLOOKUP(C527,[1]master_data!$A$2:$E$495,3,FALSE)</f>
        <v>28000</v>
      </c>
      <c r="G527" s="16">
        <f>VLOOKUP(C527,[1]master_data!$A$2:$E$495,4,FALSE)</f>
        <v>40000</v>
      </c>
      <c r="H527" s="16">
        <f>E527*F527</f>
        <v>28000</v>
      </c>
      <c r="I527" s="16">
        <f>E527*G527</f>
        <v>40000</v>
      </c>
      <c r="J527" s="16">
        <f>I527-H527</f>
        <v>12000</v>
      </c>
      <c r="K527" s="16" t="str">
        <f>VLOOKUP(C527,[1]master_data!$A$2:$E$495,5,FALSE)</f>
        <v>Aksesoris</v>
      </c>
      <c r="L527" s="1"/>
    </row>
    <row r="528" spans="1:12" ht="12" customHeight="1" x14ac:dyDescent="0.25">
      <c r="A528" s="15">
        <v>45217</v>
      </c>
      <c r="B528" s="16">
        <v>22301980</v>
      </c>
      <c r="C528" s="16" t="s">
        <v>428</v>
      </c>
      <c r="D528" s="16" t="str">
        <f>VLOOKUP(C528,[1]master_data!$A$2:$E$495,2,FALSE)</f>
        <v>MANFISH K</v>
      </c>
      <c r="E528" s="16">
        <v>100</v>
      </c>
      <c r="F528" s="16">
        <f>VLOOKUP(C528,[1]master_data!$A$2:$E$495,3,FALSE)</f>
        <v>2000</v>
      </c>
      <c r="G528" s="16">
        <f>VLOOKUP(C528,[1]master_data!$A$2:$E$495,4,FALSE)</f>
        <v>5000</v>
      </c>
      <c r="H528" s="16">
        <f>E528*F528</f>
        <v>200000</v>
      </c>
      <c r="I528" s="16">
        <f>E528*G528</f>
        <v>500000</v>
      </c>
      <c r="J528" s="16">
        <f>I528-H528</f>
        <v>300000</v>
      </c>
      <c r="K528" s="16" t="str">
        <f>VLOOKUP(C528,[1]master_data!$A$2:$E$495,5,FALSE)</f>
        <v>Ikan</v>
      </c>
      <c r="L528" s="1"/>
    </row>
    <row r="529" spans="1:12" ht="12" customHeight="1" x14ac:dyDescent="0.25">
      <c r="A529" s="15">
        <v>45216</v>
      </c>
      <c r="B529" s="16">
        <v>22301964</v>
      </c>
      <c r="C529" s="16" t="s">
        <v>31</v>
      </c>
      <c r="D529" s="16" t="str">
        <f>VLOOKUP(C529,[1]master_data!$A$2:$E$495,2,FALSE)</f>
        <v>TOP FILTER ROSTON B</v>
      </c>
      <c r="E529" s="16">
        <v>1</v>
      </c>
      <c r="F529" s="16">
        <f>VLOOKUP(C529,[1]master_data!$A$2:$E$495,3,FALSE)</f>
        <v>35000</v>
      </c>
      <c r="G529" s="16">
        <f>VLOOKUP(C529,[1]master_data!$A$2:$E$495,4,FALSE)</f>
        <v>65000</v>
      </c>
      <c r="H529" s="16">
        <f>E529*F529</f>
        <v>35000</v>
      </c>
      <c r="I529" s="16">
        <f>E529*G529</f>
        <v>65000</v>
      </c>
      <c r="J529" s="16">
        <f>I529-H529</f>
        <v>30000</v>
      </c>
      <c r="K529" s="16" t="str">
        <f>VLOOKUP(C529,[1]master_data!$A$2:$E$495,5,FALSE)</f>
        <v>Aksesoris</v>
      </c>
      <c r="L529" s="1"/>
    </row>
    <row r="530" spans="1:12" ht="12" customHeight="1" x14ac:dyDescent="0.25">
      <c r="A530" s="15">
        <v>45216</v>
      </c>
      <c r="B530" s="16">
        <v>22301965</v>
      </c>
      <c r="C530" s="16" t="s">
        <v>391</v>
      </c>
      <c r="D530" s="16" t="str">
        <f>VLOOKUP(C530,[1]master_data!$A$2:$E$495,2,FALSE)</f>
        <v>CHANNA ANDRAO B</v>
      </c>
      <c r="E530" s="16">
        <v>2</v>
      </c>
      <c r="F530" s="16">
        <f>VLOOKUP(C530,[1]master_data!$A$2:$E$495,3,FALSE)</f>
        <v>100000</v>
      </c>
      <c r="G530" s="16">
        <f>VLOOKUP(C530,[1]master_data!$A$2:$E$495,4,FALSE)</f>
        <v>200000</v>
      </c>
      <c r="H530" s="16">
        <f>E530*F530</f>
        <v>200000</v>
      </c>
      <c r="I530" s="16">
        <f>E530*G530</f>
        <v>400000</v>
      </c>
      <c r="J530" s="16">
        <f>I530-H530</f>
        <v>200000</v>
      </c>
      <c r="K530" s="16" t="str">
        <f>VLOOKUP(C530,[1]master_data!$A$2:$E$495,5,FALSE)</f>
        <v>Ikan</v>
      </c>
      <c r="L530" s="1"/>
    </row>
    <row r="531" spans="1:12" ht="12" customHeight="1" x14ac:dyDescent="0.25">
      <c r="A531" s="15">
        <v>45216</v>
      </c>
      <c r="B531" s="16">
        <v>22301966</v>
      </c>
      <c r="C531" s="16" t="s">
        <v>177</v>
      </c>
      <c r="D531" s="16" t="str">
        <f>VLOOKUP(C531,[1]master_data!$A$2:$E$495,2,FALSE)</f>
        <v>LED KANDILA PRO RED 180 CM</v>
      </c>
      <c r="E531" s="16">
        <v>1</v>
      </c>
      <c r="F531" s="16">
        <f>VLOOKUP(C531,[1]master_data!$A$2:$E$495,3,FALSE)</f>
        <v>317000</v>
      </c>
      <c r="G531" s="16">
        <f>VLOOKUP(C531,[1]master_data!$A$2:$E$495,4,FALSE)</f>
        <v>425000</v>
      </c>
      <c r="H531" s="16">
        <f>E531*F531</f>
        <v>317000</v>
      </c>
      <c r="I531" s="16">
        <f>E531*G531</f>
        <v>425000</v>
      </c>
      <c r="J531" s="16">
        <f>I531-H531</f>
        <v>108000</v>
      </c>
      <c r="K531" s="16" t="str">
        <f>VLOOKUP(C531,[1]master_data!$A$2:$E$495,5,FALSE)</f>
        <v>Aksesoris</v>
      </c>
      <c r="L531" s="1"/>
    </row>
    <row r="532" spans="1:12" ht="12" customHeight="1" x14ac:dyDescent="0.25">
      <c r="A532" s="15">
        <v>45216</v>
      </c>
      <c r="B532" s="16">
        <v>22301967</v>
      </c>
      <c r="C532" s="16" t="s">
        <v>406</v>
      </c>
      <c r="D532" s="16" t="str">
        <f>VLOOKUP(C532,[1]master_data!$A$2:$E$495,2,FALSE)</f>
        <v>CATFISH</v>
      </c>
      <c r="E532" s="16">
        <v>1</v>
      </c>
      <c r="F532" s="16">
        <f>VLOOKUP(C532,[1]master_data!$A$2:$E$495,3,FALSE)</f>
        <v>20000</v>
      </c>
      <c r="G532" s="16">
        <f>VLOOKUP(C532,[1]master_data!$A$2:$E$495,4,FALSE)</f>
        <v>50000</v>
      </c>
      <c r="H532" s="16">
        <f>E532*F532</f>
        <v>20000</v>
      </c>
      <c r="I532" s="16">
        <f>E532*G532</f>
        <v>50000</v>
      </c>
      <c r="J532" s="16">
        <f>I532-H532</f>
        <v>30000</v>
      </c>
      <c r="K532" s="16" t="str">
        <f>VLOOKUP(C532,[1]master_data!$A$2:$E$495,5,FALSE)</f>
        <v>Ikan</v>
      </c>
      <c r="L532" s="1"/>
    </row>
    <row r="533" spans="1:12" ht="12" customHeight="1" x14ac:dyDescent="0.25">
      <c r="A533" s="15">
        <v>45216</v>
      </c>
      <c r="B533" s="16">
        <v>22301968</v>
      </c>
      <c r="C533" s="16" t="s">
        <v>415</v>
      </c>
      <c r="D533" s="16" t="str">
        <f>VLOOKUP(C533,[1]master_data!$A$2:$E$495,2,FALSE)</f>
        <v>KOI T</v>
      </c>
      <c r="E533" s="16">
        <v>2</v>
      </c>
      <c r="F533" s="16">
        <f>VLOOKUP(C533,[1]master_data!$A$2:$E$495,3,FALSE)</f>
        <v>7000</v>
      </c>
      <c r="G533" s="16">
        <f>VLOOKUP(C533,[1]master_data!$A$2:$E$495,4,FALSE)</f>
        <v>20000</v>
      </c>
      <c r="H533" s="16">
        <f>E533*F533</f>
        <v>14000</v>
      </c>
      <c r="I533" s="16">
        <f>E533*G533</f>
        <v>40000</v>
      </c>
      <c r="J533" s="16">
        <f>I533-H533</f>
        <v>26000</v>
      </c>
      <c r="K533" s="16" t="str">
        <f>VLOOKUP(C533,[1]master_data!$A$2:$E$495,5,FALSE)</f>
        <v>Ikan</v>
      </c>
      <c r="L533" s="1"/>
    </row>
    <row r="534" spans="1:12" ht="12" customHeight="1" x14ac:dyDescent="0.25">
      <c r="A534" s="15">
        <v>45216</v>
      </c>
      <c r="B534" s="16">
        <v>22301969</v>
      </c>
      <c r="C534" s="16" t="s">
        <v>433</v>
      </c>
      <c r="D534" s="16" t="str">
        <f>VLOOKUP(C534,[1]master_data!$A$2:$E$495,2,FALSE)</f>
        <v>MOLI BALON</v>
      </c>
      <c r="E534" s="16">
        <v>20</v>
      </c>
      <c r="F534" s="16">
        <f>VLOOKUP(C534,[1]master_data!$A$2:$E$495,3,FALSE)</f>
        <v>800</v>
      </c>
      <c r="G534" s="16">
        <f>VLOOKUP(C534,[1]master_data!$A$2:$E$495,4,FALSE)</f>
        <v>2000</v>
      </c>
      <c r="H534" s="16">
        <f>E534*F534</f>
        <v>16000</v>
      </c>
      <c r="I534" s="16">
        <f>E534*G534</f>
        <v>40000</v>
      </c>
      <c r="J534" s="16">
        <f>I534-H534</f>
        <v>24000</v>
      </c>
      <c r="K534" s="16" t="str">
        <f>VLOOKUP(C534,[1]master_data!$A$2:$E$495,5,FALSE)</f>
        <v>Ikan</v>
      </c>
      <c r="L534" s="1"/>
    </row>
    <row r="535" spans="1:12" ht="12" customHeight="1" x14ac:dyDescent="0.25">
      <c r="A535" s="15">
        <v>45216</v>
      </c>
      <c r="B535" s="16">
        <v>22301970</v>
      </c>
      <c r="C535" s="16" t="s">
        <v>456</v>
      </c>
      <c r="D535" s="16" t="str">
        <f>VLOOKUP(C535,[1]master_data!$A$2:$E$495,2,FALSE)</f>
        <v>ZEBRA HIJAU</v>
      </c>
      <c r="E535" s="16">
        <v>15</v>
      </c>
      <c r="F535" s="16">
        <f>VLOOKUP(C535,[1]master_data!$A$2:$E$495,3,FALSE)</f>
        <v>800</v>
      </c>
      <c r="G535" s="16">
        <f>VLOOKUP(C535,[1]master_data!$A$2:$E$495,4,FALSE)</f>
        <v>2000</v>
      </c>
      <c r="H535" s="16">
        <f>E535*F535</f>
        <v>12000</v>
      </c>
      <c r="I535" s="16">
        <f>E535*G535</f>
        <v>30000</v>
      </c>
      <c r="J535" s="16">
        <f>I535-H535</f>
        <v>18000</v>
      </c>
      <c r="K535" s="16" t="str">
        <f>VLOOKUP(C535,[1]master_data!$A$2:$E$495,5,FALSE)</f>
        <v>Ikan</v>
      </c>
      <c r="L535" s="1"/>
    </row>
    <row r="536" spans="1:12" ht="12" customHeight="1" x14ac:dyDescent="0.25">
      <c r="A536" s="15">
        <v>45216</v>
      </c>
      <c r="B536" s="16">
        <v>22301971</v>
      </c>
      <c r="C536" s="16" t="s">
        <v>81</v>
      </c>
      <c r="D536" s="16" t="str">
        <f>VLOOKUP(C536,[1]master_data!$A$2:$E$495,2,FALSE)</f>
        <v>MESIN KIYOSAKI 105B</v>
      </c>
      <c r="E536" s="16">
        <v>1</v>
      </c>
      <c r="F536" s="16">
        <f>VLOOKUP(C536,[1]master_data!$A$2:$E$495,3,FALSE)</f>
        <v>110000</v>
      </c>
      <c r="G536" s="16">
        <f>VLOOKUP(C536,[1]master_data!$A$2:$E$495,4,FALSE)</f>
        <v>160000</v>
      </c>
      <c r="H536" s="16">
        <f>E536*F536</f>
        <v>110000</v>
      </c>
      <c r="I536" s="16">
        <f>E536*G536</f>
        <v>160000</v>
      </c>
      <c r="J536" s="16">
        <f>I536-H536</f>
        <v>50000</v>
      </c>
      <c r="K536" s="16" t="str">
        <f>VLOOKUP(C536,[1]master_data!$A$2:$E$495,5,FALSE)</f>
        <v>Aksesoris</v>
      </c>
      <c r="L536" s="1"/>
    </row>
    <row r="537" spans="1:12" ht="12" customHeight="1" x14ac:dyDescent="0.25">
      <c r="A537" s="15">
        <v>45216</v>
      </c>
      <c r="B537" s="16">
        <v>22301972</v>
      </c>
      <c r="C537" s="16" t="s">
        <v>454</v>
      </c>
      <c r="D537" s="16" t="str">
        <f>VLOOKUP(C537,[1]master_data!$A$2:$E$495,2,FALSE)</f>
        <v>TOMAN</v>
      </c>
      <c r="E537" s="16">
        <v>2</v>
      </c>
      <c r="F537" s="16">
        <f>VLOOKUP(C537,[1]master_data!$A$2:$E$495,3,FALSE)</f>
        <v>10000</v>
      </c>
      <c r="G537" s="16">
        <f>VLOOKUP(C537,[1]master_data!$A$2:$E$495,4,FALSE)</f>
        <v>25000</v>
      </c>
      <c r="H537" s="16">
        <f>E537*F537</f>
        <v>20000</v>
      </c>
      <c r="I537" s="16">
        <f>E537*G537</f>
        <v>50000</v>
      </c>
      <c r="J537" s="16">
        <f>I537-H537</f>
        <v>30000</v>
      </c>
      <c r="K537" s="16" t="str">
        <f>VLOOKUP(C537,[1]master_data!$A$2:$E$495,5,FALSE)</f>
        <v>Ikan</v>
      </c>
      <c r="L537" s="1"/>
    </row>
    <row r="538" spans="1:12" ht="12" customHeight="1" x14ac:dyDescent="0.25">
      <c r="A538" s="15">
        <v>45216</v>
      </c>
      <c r="B538" s="16">
        <v>22301973</v>
      </c>
      <c r="C538" s="16" t="s">
        <v>460</v>
      </c>
      <c r="D538" s="16" t="str">
        <f>VLOOKUP(C538,[1]master_data!$A$2:$E$495,2,FALSE)</f>
        <v>SEPAT ALBINO</v>
      </c>
      <c r="E538" s="16">
        <v>4</v>
      </c>
      <c r="F538" s="16">
        <f>VLOOKUP(C538,[1]master_data!$A$2:$E$495,3,FALSE)</f>
        <v>2000</v>
      </c>
      <c r="G538" s="16">
        <f>VLOOKUP(C538,[1]master_data!$A$2:$E$495,4,FALSE)</f>
        <v>5000</v>
      </c>
      <c r="H538" s="16">
        <f>E538*F538</f>
        <v>8000</v>
      </c>
      <c r="I538" s="16">
        <f>E538*G538</f>
        <v>20000</v>
      </c>
      <c r="J538" s="16">
        <f>I538-H538</f>
        <v>12000</v>
      </c>
      <c r="K538" s="16" t="str">
        <f>VLOOKUP(C538,[1]master_data!$A$2:$E$495,5,FALSE)</f>
        <v>Ikan</v>
      </c>
      <c r="L538" s="1"/>
    </row>
    <row r="539" spans="1:12" ht="12" customHeight="1" x14ac:dyDescent="0.25">
      <c r="A539" s="15">
        <v>45216</v>
      </c>
      <c r="B539" s="16">
        <v>22301974</v>
      </c>
      <c r="C539" s="16" t="s">
        <v>445</v>
      </c>
      <c r="D539" s="16" t="str">
        <f>VLOOKUP(C539,[1]master_data!$A$2:$E$495,2,FALSE)</f>
        <v>REDFIN ALBINO</v>
      </c>
      <c r="E539" s="16">
        <v>1</v>
      </c>
      <c r="F539" s="16">
        <f>VLOOKUP(C539,[1]master_data!$A$2:$E$495,3,FALSE)</f>
        <v>1500</v>
      </c>
      <c r="G539" s="16">
        <f>VLOOKUP(C539,[1]master_data!$A$2:$E$495,4,FALSE)</f>
        <v>4000</v>
      </c>
      <c r="H539" s="16">
        <f>E539*F539</f>
        <v>1500</v>
      </c>
      <c r="I539" s="16">
        <f>E539*G539</f>
        <v>4000</v>
      </c>
      <c r="J539" s="16">
        <f>I539-H539</f>
        <v>2500</v>
      </c>
      <c r="K539" s="16" t="str">
        <f>VLOOKUP(C539,[1]master_data!$A$2:$E$495,5,FALSE)</f>
        <v>Ikan</v>
      </c>
      <c r="L539" s="1"/>
    </row>
    <row r="540" spans="1:12" ht="12" customHeight="1" x14ac:dyDescent="0.25">
      <c r="A540" s="15">
        <v>45216</v>
      </c>
      <c r="B540" s="16">
        <v>22301975</v>
      </c>
      <c r="C540" s="16" t="s">
        <v>428</v>
      </c>
      <c r="D540" s="16" t="str">
        <f>VLOOKUP(C540,[1]master_data!$A$2:$E$495,2,FALSE)</f>
        <v>MANFISH K</v>
      </c>
      <c r="E540" s="16">
        <v>100</v>
      </c>
      <c r="F540" s="16">
        <f>VLOOKUP(C540,[1]master_data!$A$2:$E$495,3,FALSE)</f>
        <v>2000</v>
      </c>
      <c r="G540" s="16">
        <f>VLOOKUP(C540,[1]master_data!$A$2:$E$495,4,FALSE)</f>
        <v>5000</v>
      </c>
      <c r="H540" s="16">
        <f>E540*F540</f>
        <v>200000</v>
      </c>
      <c r="I540" s="16">
        <f>E540*G540</f>
        <v>500000</v>
      </c>
      <c r="J540" s="16">
        <f>I540-H540</f>
        <v>300000</v>
      </c>
      <c r="K540" s="16" t="str">
        <f>VLOOKUP(C540,[1]master_data!$A$2:$E$495,5,FALSE)</f>
        <v>Ikan</v>
      </c>
      <c r="L540" s="1"/>
    </row>
    <row r="541" spans="1:12" ht="12" customHeight="1" x14ac:dyDescent="0.25">
      <c r="A541" s="15">
        <v>45215</v>
      </c>
      <c r="B541" s="16">
        <v>22301957</v>
      </c>
      <c r="C541" s="16" t="s">
        <v>390</v>
      </c>
      <c r="D541" s="16" t="str">
        <f>VLOOKUP(C541,[1]master_data!$A$2:$E$495,2,FALSE)</f>
        <v>CHANNA ASIATICA B</v>
      </c>
      <c r="E541" s="16">
        <v>2</v>
      </c>
      <c r="F541" s="16">
        <f>VLOOKUP(C541,[1]master_data!$A$2:$E$495,3,FALSE)</f>
        <v>40000</v>
      </c>
      <c r="G541" s="16">
        <f>VLOOKUP(C541,[1]master_data!$A$2:$E$495,4,FALSE)</f>
        <v>100000</v>
      </c>
      <c r="H541" s="16">
        <f>E541*F541</f>
        <v>80000</v>
      </c>
      <c r="I541" s="16">
        <f>E541*G541</f>
        <v>200000</v>
      </c>
      <c r="J541" s="16">
        <f>I541-H541</f>
        <v>120000</v>
      </c>
      <c r="K541" s="16" t="str">
        <f>VLOOKUP(C541,[1]master_data!$A$2:$E$495,5,FALSE)</f>
        <v>Ikan</v>
      </c>
      <c r="L541" s="1"/>
    </row>
    <row r="542" spans="1:12" ht="12" customHeight="1" x14ac:dyDescent="0.25">
      <c r="A542" s="15">
        <v>45215</v>
      </c>
      <c r="B542" s="16">
        <v>22301958</v>
      </c>
      <c r="C542" s="16" t="s">
        <v>299</v>
      </c>
      <c r="D542" s="16" t="str">
        <f>VLOOKUP(C542,[1]master_data!$A$2:$E$495,2,FALSE)</f>
        <v>MAINAN ANGEL SIMON</v>
      </c>
      <c r="E542" s="16">
        <v>5</v>
      </c>
      <c r="F542" s="16">
        <f>VLOOKUP(C542,[1]master_data!$A$2:$E$495,3,FALSE)</f>
        <v>9000</v>
      </c>
      <c r="G542" s="16">
        <f>VLOOKUP(C542,[1]master_data!$A$2:$E$495,4,FALSE)</f>
        <v>18000</v>
      </c>
      <c r="H542" s="16">
        <f>E542*F542</f>
        <v>45000</v>
      </c>
      <c r="I542" s="16">
        <f>E542*G542</f>
        <v>90000</v>
      </c>
      <c r="J542" s="16">
        <f>I542-H542</f>
        <v>45000</v>
      </c>
      <c r="K542" s="16" t="str">
        <f>VLOOKUP(C542,[1]master_data!$A$2:$E$495,5,FALSE)</f>
        <v>Aksesoris</v>
      </c>
      <c r="L542" s="1"/>
    </row>
    <row r="543" spans="1:12" ht="12" customHeight="1" x14ac:dyDescent="0.25">
      <c r="A543" s="15">
        <v>45215</v>
      </c>
      <c r="B543" s="16">
        <v>22301959</v>
      </c>
      <c r="C543" s="16" t="s">
        <v>418</v>
      </c>
      <c r="D543" s="16" t="str">
        <f>VLOOKUP(C543,[1]master_data!$A$2:$E$495,2,FALSE)</f>
        <v>KAVIAT</v>
      </c>
      <c r="E543" s="16">
        <v>10</v>
      </c>
      <c r="F543" s="16">
        <f>VLOOKUP(C543,[1]master_data!$A$2:$E$495,3,FALSE)</f>
        <v>3500</v>
      </c>
      <c r="G543" s="16">
        <f>VLOOKUP(C543,[1]master_data!$A$2:$E$495,4,FALSE)</f>
        <v>8000</v>
      </c>
      <c r="H543" s="16">
        <f>E543*F543</f>
        <v>35000</v>
      </c>
      <c r="I543" s="16">
        <f>E543*G543</f>
        <v>80000</v>
      </c>
      <c r="J543" s="16">
        <f>I543-H543</f>
        <v>45000</v>
      </c>
      <c r="K543" s="16" t="str">
        <f>VLOOKUP(C543,[1]master_data!$A$2:$E$495,5,FALSE)</f>
        <v>Ikan</v>
      </c>
      <c r="L543" s="1"/>
    </row>
    <row r="544" spans="1:12" ht="12" customHeight="1" x14ac:dyDescent="0.25">
      <c r="A544" s="15">
        <v>45215</v>
      </c>
      <c r="B544" s="16">
        <v>22301960</v>
      </c>
      <c r="C544" s="16" t="s">
        <v>390</v>
      </c>
      <c r="D544" s="16" t="str">
        <f>VLOOKUP(C544,[1]master_data!$A$2:$E$495,2,FALSE)</f>
        <v>CHANNA ASIATICA B</v>
      </c>
      <c r="E544" s="16">
        <v>4</v>
      </c>
      <c r="F544" s="16">
        <f>VLOOKUP(C544,[1]master_data!$A$2:$E$495,3,FALSE)</f>
        <v>40000</v>
      </c>
      <c r="G544" s="16">
        <f>VLOOKUP(C544,[1]master_data!$A$2:$E$495,4,FALSE)</f>
        <v>100000</v>
      </c>
      <c r="H544" s="16">
        <f>E544*F544</f>
        <v>160000</v>
      </c>
      <c r="I544" s="16">
        <f>E544*G544</f>
        <v>400000</v>
      </c>
      <c r="J544" s="16">
        <f>I544-H544</f>
        <v>240000</v>
      </c>
      <c r="K544" s="16" t="str">
        <f>VLOOKUP(C544,[1]master_data!$A$2:$E$495,5,FALSE)</f>
        <v>Ikan</v>
      </c>
      <c r="L544" s="1"/>
    </row>
    <row r="545" spans="1:12" ht="12" customHeight="1" x14ac:dyDescent="0.25">
      <c r="A545" s="15">
        <v>45215</v>
      </c>
      <c r="B545" s="16">
        <v>22301961</v>
      </c>
      <c r="C545" s="16" t="s">
        <v>417</v>
      </c>
      <c r="D545" s="16" t="str">
        <f>VLOOKUP(C545,[1]master_data!$A$2:$E$495,2,FALSE)</f>
        <v>KURA - KURA</v>
      </c>
      <c r="E545" s="16">
        <v>5</v>
      </c>
      <c r="F545" s="16">
        <f>VLOOKUP(C545,[1]master_data!$A$2:$E$495,3,FALSE)</f>
        <v>25000</v>
      </c>
      <c r="G545" s="16">
        <f>VLOOKUP(C545,[1]master_data!$A$2:$E$495,4,FALSE)</f>
        <v>35000</v>
      </c>
      <c r="H545" s="16">
        <f>E545*F545</f>
        <v>125000</v>
      </c>
      <c r="I545" s="16">
        <f>E545*G545</f>
        <v>175000</v>
      </c>
      <c r="J545" s="16">
        <f>I545-H545</f>
        <v>50000</v>
      </c>
      <c r="K545" s="16" t="str">
        <f>VLOOKUP(C545,[1]master_data!$A$2:$E$495,5,FALSE)</f>
        <v>Ikan</v>
      </c>
      <c r="L545" s="1"/>
    </row>
    <row r="546" spans="1:12" ht="12" customHeight="1" x14ac:dyDescent="0.25">
      <c r="A546" s="15">
        <v>45215</v>
      </c>
      <c r="B546" s="16">
        <v>22301962</v>
      </c>
      <c r="C546" s="16" t="s">
        <v>436</v>
      </c>
      <c r="D546" s="16" t="str">
        <f>VLOOKUP(C546,[1]master_data!$A$2:$E$495,2,FALSE)</f>
        <v>NENTINEN</v>
      </c>
      <c r="E546" s="16">
        <v>30</v>
      </c>
      <c r="F546" s="16">
        <f>VLOOKUP(C546,[1]master_data!$A$2:$E$495,3,FALSE)</f>
        <v>1000</v>
      </c>
      <c r="G546" s="16">
        <f>VLOOKUP(C546,[1]master_data!$A$2:$E$495,4,FALSE)</f>
        <v>2500</v>
      </c>
      <c r="H546" s="16">
        <f>E546*F546</f>
        <v>30000</v>
      </c>
      <c r="I546" s="16">
        <f>E546*G546</f>
        <v>75000</v>
      </c>
      <c r="J546" s="16">
        <f>I546-H546</f>
        <v>45000</v>
      </c>
      <c r="K546" s="16" t="str">
        <f>VLOOKUP(C546,[1]master_data!$A$2:$E$495,5,FALSE)</f>
        <v>Ikan</v>
      </c>
      <c r="L546" s="1"/>
    </row>
    <row r="547" spans="1:12" ht="12" customHeight="1" x14ac:dyDescent="0.25">
      <c r="A547" s="15">
        <v>45215</v>
      </c>
      <c r="B547" s="16">
        <v>22301963</v>
      </c>
      <c r="C547" s="16" t="s">
        <v>294</v>
      </c>
      <c r="D547" s="16" t="str">
        <f>VLOOKUP(C547,[1]master_data!$A$2:$E$495,2,FALSE)</f>
        <v>LEM SEALANT</v>
      </c>
      <c r="E547" s="16">
        <v>8</v>
      </c>
      <c r="F547" s="16">
        <f>VLOOKUP(C547,[1]master_data!$A$2:$E$495,3,FALSE)</f>
        <v>7000</v>
      </c>
      <c r="G547" s="16">
        <f>VLOOKUP(C547,[1]master_data!$A$2:$E$495,4,FALSE)</f>
        <v>10000</v>
      </c>
      <c r="H547" s="16">
        <f>E547*F547</f>
        <v>56000</v>
      </c>
      <c r="I547" s="16">
        <f>E547*G547</f>
        <v>80000</v>
      </c>
      <c r="J547" s="16">
        <f>I547-H547</f>
        <v>24000</v>
      </c>
      <c r="K547" s="16" t="str">
        <f>VLOOKUP(C547,[1]master_data!$A$2:$E$495,5,FALSE)</f>
        <v>Aksesoris</v>
      </c>
      <c r="L547" s="1"/>
    </row>
    <row r="548" spans="1:12" ht="12" customHeight="1" x14ac:dyDescent="0.25">
      <c r="A548" s="15">
        <v>45214</v>
      </c>
      <c r="B548" s="16">
        <v>22301952</v>
      </c>
      <c r="C548" s="16" t="s">
        <v>430</v>
      </c>
      <c r="D548" s="16" t="str">
        <f>VLOOKUP(C548,[1]master_data!$A$2:$E$495,2,FALSE)</f>
        <v>MARU K</v>
      </c>
      <c r="E548" s="16">
        <v>10</v>
      </c>
      <c r="F548" s="16">
        <f>VLOOKUP(C548,[1]master_data!$A$2:$E$495,3,FALSE)</f>
        <v>23000</v>
      </c>
      <c r="G548" s="16">
        <f>VLOOKUP(C548,[1]master_data!$A$2:$E$495,4,FALSE)</f>
        <v>50000</v>
      </c>
      <c r="H548" s="16">
        <f>E548*F548</f>
        <v>230000</v>
      </c>
      <c r="I548" s="16">
        <f>E548*G548</f>
        <v>500000</v>
      </c>
      <c r="J548" s="16">
        <f>I548-H548</f>
        <v>270000</v>
      </c>
      <c r="K548" s="16" t="str">
        <f>VLOOKUP(C548,[1]master_data!$A$2:$E$495,5,FALSE)</f>
        <v>Ikan</v>
      </c>
      <c r="L548" s="1"/>
    </row>
    <row r="549" spans="1:12" ht="12" customHeight="1" x14ac:dyDescent="0.25">
      <c r="A549" s="15">
        <v>45214</v>
      </c>
      <c r="B549" s="16">
        <v>22301953</v>
      </c>
      <c r="C549" s="16" t="s">
        <v>80</v>
      </c>
      <c r="D549" s="16" t="str">
        <f>VLOOKUP(C549,[1]master_data!$A$2:$E$495,2,FALSE)</f>
        <v>MESIN KIYOSAKI 1800</v>
      </c>
      <c r="E549" s="16">
        <v>3</v>
      </c>
      <c r="F549" s="16">
        <f>VLOOKUP(C549,[1]master_data!$A$2:$E$495,3,FALSE)</f>
        <v>45000</v>
      </c>
      <c r="G549" s="16">
        <f>VLOOKUP(C549,[1]master_data!$A$2:$E$495,4,FALSE)</f>
        <v>100000</v>
      </c>
      <c r="H549" s="16">
        <f>E549*F549</f>
        <v>135000</v>
      </c>
      <c r="I549" s="16">
        <f>E549*G549</f>
        <v>300000</v>
      </c>
      <c r="J549" s="16">
        <f>I549-H549</f>
        <v>165000</v>
      </c>
      <c r="K549" s="16" t="str">
        <f>VLOOKUP(C549,[1]master_data!$A$2:$E$495,5,FALSE)</f>
        <v>Aksesoris</v>
      </c>
      <c r="L549" s="1"/>
    </row>
    <row r="550" spans="1:12" ht="12" customHeight="1" x14ac:dyDescent="0.25">
      <c r="A550" s="15">
        <v>45214</v>
      </c>
      <c r="B550" s="16">
        <v>22301954</v>
      </c>
      <c r="C550" s="16" t="s">
        <v>207</v>
      </c>
      <c r="D550" s="16" t="str">
        <f>VLOOKUP(C550,[1]master_data!$A$2:$E$495,2,FALSE)</f>
        <v>TAKARI TANGGUNG</v>
      </c>
      <c r="E550" s="16">
        <v>15</v>
      </c>
      <c r="F550" s="16">
        <f>VLOOKUP(C550,[1]master_data!$A$2:$E$495,3,FALSE)</f>
        <v>8500</v>
      </c>
      <c r="G550" s="16">
        <f>VLOOKUP(C550,[1]master_data!$A$2:$E$495,4,FALSE)</f>
        <v>10000</v>
      </c>
      <c r="H550" s="16">
        <f>E550*F550</f>
        <v>127500</v>
      </c>
      <c r="I550" s="16">
        <f>E550*G550</f>
        <v>150000</v>
      </c>
      <c r="J550" s="16">
        <f>I550-H550</f>
        <v>22500</v>
      </c>
      <c r="K550" s="16" t="str">
        <f>VLOOKUP(C550,[1]master_data!$A$2:$E$495,5,FALSE)</f>
        <v>Aksesoris</v>
      </c>
      <c r="L550" s="1"/>
    </row>
    <row r="551" spans="1:12" ht="12" customHeight="1" x14ac:dyDescent="0.25">
      <c r="A551" s="15">
        <v>45214</v>
      </c>
      <c r="B551" s="16">
        <v>22301955</v>
      </c>
      <c r="C551" s="16" t="s">
        <v>247</v>
      </c>
      <c r="D551" s="16" t="str">
        <f>VLOOKUP(C551,[1]master_data!$A$2:$E$495,2,FALSE)</f>
        <v>AIRSTONE 60</v>
      </c>
      <c r="E551" s="16">
        <v>1</v>
      </c>
      <c r="F551" s="16">
        <f>VLOOKUP(C551,[1]master_data!$A$2:$E$495,3,FALSE)</f>
        <v>8000</v>
      </c>
      <c r="G551" s="16">
        <f>VLOOKUP(C551,[1]master_data!$A$2:$E$495,4,FALSE)</f>
        <v>17000</v>
      </c>
      <c r="H551" s="16">
        <f>E551*F551</f>
        <v>8000</v>
      </c>
      <c r="I551" s="16">
        <f>E551*G551</f>
        <v>17000</v>
      </c>
      <c r="J551" s="16">
        <f>I551-H551</f>
        <v>9000</v>
      </c>
      <c r="K551" s="16" t="str">
        <f>VLOOKUP(C551,[1]master_data!$A$2:$E$495,5,FALSE)</f>
        <v>Aksesoris</v>
      </c>
      <c r="L551" s="1"/>
    </row>
    <row r="552" spans="1:12" ht="12" customHeight="1" x14ac:dyDescent="0.25">
      <c r="A552" s="15">
        <v>45214</v>
      </c>
      <c r="B552" s="16">
        <v>22301956</v>
      </c>
      <c r="C552" s="16" t="s">
        <v>236</v>
      </c>
      <c r="D552" s="16" t="str">
        <f>VLOOKUP(C552,[1]master_data!$A$2:$E$495,2,FALSE)</f>
        <v>BLUE BG</v>
      </c>
      <c r="E552" s="16">
        <v>1</v>
      </c>
      <c r="F552" s="16">
        <f>VLOOKUP(C552,[1]master_data!$A$2:$E$495,3,FALSE)</f>
        <v>12500</v>
      </c>
      <c r="G552" s="16">
        <f>VLOOKUP(C552,[1]master_data!$A$2:$E$495,4,FALSE)</f>
        <v>25000</v>
      </c>
      <c r="H552" s="16">
        <f>E552*F552</f>
        <v>12500</v>
      </c>
      <c r="I552" s="16">
        <f>E552*G552</f>
        <v>25000</v>
      </c>
      <c r="J552" s="16">
        <f>I552-H552</f>
        <v>12500</v>
      </c>
      <c r="K552" s="16" t="str">
        <f>VLOOKUP(C552,[1]master_data!$A$2:$E$495,5,FALSE)</f>
        <v>Aksesoris</v>
      </c>
      <c r="L552" s="1"/>
    </row>
    <row r="553" spans="1:12" ht="12" customHeight="1" x14ac:dyDescent="0.25">
      <c r="A553" s="15">
        <v>45213</v>
      </c>
      <c r="B553" s="16">
        <v>22301944</v>
      </c>
      <c r="C553" s="16" t="s">
        <v>422</v>
      </c>
      <c r="D553" s="16" t="str">
        <f>VLOOKUP(C553,[1]master_data!$A$2:$E$495,2,FALSE)</f>
        <v>KOI SLAYER B</v>
      </c>
      <c r="E553" s="16">
        <v>2</v>
      </c>
      <c r="F553" s="16">
        <f>VLOOKUP(C553,[1]master_data!$A$2:$E$495,3,FALSE)</f>
        <v>8000</v>
      </c>
      <c r="G553" s="16">
        <f>VLOOKUP(C553,[1]master_data!$A$2:$E$495,4,FALSE)</f>
        <v>20000</v>
      </c>
      <c r="H553" s="16">
        <f>E553*F553</f>
        <v>16000</v>
      </c>
      <c r="I553" s="16">
        <f>E553*G553</f>
        <v>40000</v>
      </c>
      <c r="J553" s="16">
        <f>I553-H553</f>
        <v>24000</v>
      </c>
      <c r="K553" s="16" t="str">
        <f>VLOOKUP(C553,[1]master_data!$A$2:$E$495,5,FALSE)</f>
        <v>Ikan</v>
      </c>
      <c r="L553" s="1"/>
    </row>
    <row r="554" spans="1:12" ht="12" customHeight="1" x14ac:dyDescent="0.25">
      <c r="A554" s="15">
        <v>45213</v>
      </c>
      <c r="B554" s="16">
        <v>22301945</v>
      </c>
      <c r="C554" s="16" t="s">
        <v>297</v>
      </c>
      <c r="D554" s="16" t="str">
        <f>VLOOKUP(C554,[1]master_data!$A$2:$E$495,2,FALSE)</f>
        <v>MAGNET L</v>
      </c>
      <c r="E554" s="16">
        <v>10</v>
      </c>
      <c r="F554" s="16">
        <f>VLOOKUP(C554,[1]master_data!$A$2:$E$495,3,FALSE)</f>
        <v>70000</v>
      </c>
      <c r="G554" s="16">
        <f>VLOOKUP(C554,[1]master_data!$A$2:$E$495,4,FALSE)</f>
        <v>90000</v>
      </c>
      <c r="H554" s="16">
        <f>E554*F554</f>
        <v>700000</v>
      </c>
      <c r="I554" s="16">
        <f>E554*G554</f>
        <v>900000</v>
      </c>
      <c r="J554" s="16">
        <f>I554-H554</f>
        <v>200000</v>
      </c>
      <c r="K554" s="16" t="str">
        <f>VLOOKUP(C554,[1]master_data!$A$2:$E$495,5,FALSE)</f>
        <v>Aksesoris</v>
      </c>
      <c r="L554" s="1"/>
    </row>
    <row r="555" spans="1:12" ht="12" customHeight="1" x14ac:dyDescent="0.25">
      <c r="A555" s="15">
        <v>45213</v>
      </c>
      <c r="B555" s="16">
        <v>22301946</v>
      </c>
      <c r="C555" s="16" t="s">
        <v>201</v>
      </c>
      <c r="D555" s="16" t="str">
        <f>VLOOKUP(C555,[1]master_data!$A$2:$E$495,2,FALSE)</f>
        <v>OK IKO LOUHAN MERAH</v>
      </c>
      <c r="E555" s="16">
        <v>2</v>
      </c>
      <c r="F555" s="16">
        <f>VLOOKUP(C555,[1]master_data!$A$2:$E$495,3,FALSE)</f>
        <v>33500</v>
      </c>
      <c r="G555" s="16">
        <f>VLOOKUP(C555,[1]master_data!$A$2:$E$495,4,FALSE)</f>
        <v>50000</v>
      </c>
      <c r="H555" s="16">
        <f>E555*F555</f>
        <v>67000</v>
      </c>
      <c r="I555" s="16">
        <f>E555*G555</f>
        <v>100000</v>
      </c>
      <c r="J555" s="16">
        <f>I555-H555</f>
        <v>33000</v>
      </c>
      <c r="K555" s="16" t="str">
        <f>VLOOKUP(C555,[1]master_data!$A$2:$E$495,5,FALSE)</f>
        <v>Aksesoris</v>
      </c>
      <c r="L555" s="1"/>
    </row>
    <row r="556" spans="1:12" ht="12" customHeight="1" x14ac:dyDescent="0.25">
      <c r="A556" s="15">
        <v>45213</v>
      </c>
      <c r="B556" s="16">
        <v>22301947</v>
      </c>
      <c r="C556" s="16" t="s">
        <v>154</v>
      </c>
      <c r="D556" s="16" t="str">
        <f>VLOOKUP(C556,[1]master_data!$A$2:$E$495,2,FALSE)</f>
        <v>LED KANDILA 2 BRS 40 CM</v>
      </c>
      <c r="E556" s="16">
        <v>2</v>
      </c>
      <c r="F556" s="16">
        <f>VLOOKUP(C556,[1]master_data!$A$2:$E$495,3,FALSE)</f>
        <v>25000</v>
      </c>
      <c r="G556" s="16">
        <f>VLOOKUP(C556,[1]master_data!$A$2:$E$495,4,FALSE)</f>
        <v>45000</v>
      </c>
      <c r="H556" s="16">
        <f>E556*F556</f>
        <v>50000</v>
      </c>
      <c r="I556" s="16">
        <f>E556*G556</f>
        <v>90000</v>
      </c>
      <c r="J556" s="16">
        <f>I556-H556</f>
        <v>40000</v>
      </c>
      <c r="K556" s="16" t="str">
        <f>VLOOKUP(C556,[1]master_data!$A$2:$E$495,5,FALSE)</f>
        <v>Aksesoris</v>
      </c>
      <c r="L556" s="1"/>
    </row>
    <row r="557" spans="1:12" ht="12" customHeight="1" x14ac:dyDescent="0.25">
      <c r="A557" s="15">
        <v>45213</v>
      </c>
      <c r="B557" s="16">
        <v>22301948</v>
      </c>
      <c r="C557" s="16" t="s">
        <v>271</v>
      </c>
      <c r="D557" s="16" t="str">
        <f>VLOOKUP(C557,[1]master_data!$A$2:$E$495,2,FALSE)</f>
        <v>HEATER KACA 100 W</v>
      </c>
      <c r="E557" s="16">
        <v>1</v>
      </c>
      <c r="F557" s="16">
        <f>VLOOKUP(C557,[1]master_data!$A$2:$E$495,3,FALSE)</f>
        <v>33000</v>
      </c>
      <c r="G557" s="16">
        <f>VLOOKUP(C557,[1]master_data!$A$2:$E$495,4,FALSE)</f>
        <v>50000</v>
      </c>
      <c r="H557" s="16">
        <f>E557*F557</f>
        <v>33000</v>
      </c>
      <c r="I557" s="16">
        <f>E557*G557</f>
        <v>50000</v>
      </c>
      <c r="J557" s="16">
        <f>I557-H557</f>
        <v>17000</v>
      </c>
      <c r="K557" s="16" t="str">
        <f>VLOOKUP(C557,[1]master_data!$A$2:$E$495,5,FALSE)</f>
        <v>Aksesoris</v>
      </c>
      <c r="L557" s="1"/>
    </row>
    <row r="558" spans="1:12" ht="12" customHeight="1" x14ac:dyDescent="0.25">
      <c r="A558" s="15">
        <v>45213</v>
      </c>
      <c r="B558" s="16">
        <v>22301949</v>
      </c>
      <c r="C558" s="16" t="s">
        <v>20</v>
      </c>
      <c r="D558" s="16" t="str">
        <f>VLOOKUP(C558,[1]master_data!$A$2:$E$495,2,FALSE)</f>
        <v>MESIN ROSTON 1200</v>
      </c>
      <c r="E558" s="16">
        <v>10</v>
      </c>
      <c r="F558" s="16">
        <f>VLOOKUP(C558,[1]master_data!$A$2:$E$495,3,FALSE)</f>
        <v>23000</v>
      </c>
      <c r="G558" s="16">
        <f>VLOOKUP(C558,[1]master_data!$A$2:$E$495,4,FALSE)</f>
        <v>35000</v>
      </c>
      <c r="H558" s="16">
        <f>E558*F558</f>
        <v>230000</v>
      </c>
      <c r="I558" s="16">
        <f>E558*G558</f>
        <v>350000</v>
      </c>
      <c r="J558" s="16">
        <f>I558-H558</f>
        <v>120000</v>
      </c>
      <c r="K558" s="16" t="str">
        <f>VLOOKUP(C558,[1]master_data!$A$2:$E$495,5,FALSE)</f>
        <v>Aksesoris</v>
      </c>
      <c r="L558" s="1"/>
    </row>
    <row r="559" spans="1:12" ht="12" customHeight="1" x14ac:dyDescent="0.25">
      <c r="A559" s="15">
        <v>45213</v>
      </c>
      <c r="B559" s="16">
        <v>22301950</v>
      </c>
      <c r="C559" s="16" t="s">
        <v>255</v>
      </c>
      <c r="D559" s="16" t="str">
        <f>VLOOKUP(C559,[1]master_data!$A$2:$E$495,2,FALSE)</f>
        <v>BILTS K</v>
      </c>
      <c r="E559" s="16">
        <v>25</v>
      </c>
      <c r="F559" s="16">
        <f>VLOOKUP(C559,[1]master_data!$A$2:$E$495,3,FALSE)</f>
        <v>5000</v>
      </c>
      <c r="G559" s="16">
        <f>VLOOKUP(C559,[1]master_data!$A$2:$E$495,4,FALSE)</f>
        <v>7000</v>
      </c>
      <c r="H559" s="16">
        <f>E559*F559</f>
        <v>125000</v>
      </c>
      <c r="I559" s="16">
        <f>E559*G559</f>
        <v>175000</v>
      </c>
      <c r="J559" s="16">
        <f>I559-H559</f>
        <v>50000</v>
      </c>
      <c r="K559" s="16" t="str">
        <f>VLOOKUP(C559,[1]master_data!$A$2:$E$495,5,FALSE)</f>
        <v>Aksesoris</v>
      </c>
      <c r="L559" s="1"/>
    </row>
    <row r="560" spans="1:12" ht="12" customHeight="1" x14ac:dyDescent="0.25">
      <c r="A560" s="15">
        <v>45213</v>
      </c>
      <c r="B560" s="16">
        <v>22301951</v>
      </c>
      <c r="C560" s="16" t="s">
        <v>415</v>
      </c>
      <c r="D560" s="16" t="str">
        <f>VLOOKUP(C560,[1]master_data!$A$2:$E$495,2,FALSE)</f>
        <v>KOI T</v>
      </c>
      <c r="E560" s="16">
        <v>10</v>
      </c>
      <c r="F560" s="16">
        <f>VLOOKUP(C560,[1]master_data!$A$2:$E$495,3,FALSE)</f>
        <v>7000</v>
      </c>
      <c r="G560" s="16">
        <f>VLOOKUP(C560,[1]master_data!$A$2:$E$495,4,FALSE)</f>
        <v>20000</v>
      </c>
      <c r="H560" s="16">
        <f>E560*F560</f>
        <v>70000</v>
      </c>
      <c r="I560" s="16">
        <f>E560*G560</f>
        <v>200000</v>
      </c>
      <c r="J560" s="16">
        <f>I560-H560</f>
        <v>130000</v>
      </c>
      <c r="K560" s="16" t="str">
        <f>VLOOKUP(C560,[1]master_data!$A$2:$E$495,5,FALSE)</f>
        <v>Ikan</v>
      </c>
      <c r="L560" s="1"/>
    </row>
    <row r="561" spans="1:12" ht="12" customHeight="1" x14ac:dyDescent="0.25">
      <c r="A561" s="15">
        <v>45212</v>
      </c>
      <c r="B561" s="16">
        <v>22301932</v>
      </c>
      <c r="C561" s="16" t="s">
        <v>436</v>
      </c>
      <c r="D561" s="16" t="str">
        <f>VLOOKUP(C561,[1]master_data!$A$2:$E$495,2,FALSE)</f>
        <v>NENTINEN</v>
      </c>
      <c r="E561" s="16">
        <v>25</v>
      </c>
      <c r="F561" s="16">
        <f>VLOOKUP(C561,[1]master_data!$A$2:$E$495,3,FALSE)</f>
        <v>1000</v>
      </c>
      <c r="G561" s="16">
        <f>VLOOKUP(C561,[1]master_data!$A$2:$E$495,4,FALSE)</f>
        <v>2500</v>
      </c>
      <c r="H561" s="16">
        <f>E561*F561</f>
        <v>25000</v>
      </c>
      <c r="I561" s="16">
        <f>E561*G561</f>
        <v>62500</v>
      </c>
      <c r="J561" s="16">
        <f>I561-H561</f>
        <v>37500</v>
      </c>
      <c r="K561" s="16" t="str">
        <f>VLOOKUP(C561,[1]master_data!$A$2:$E$495,5,FALSE)</f>
        <v>Ikan</v>
      </c>
      <c r="L561" s="1"/>
    </row>
    <row r="562" spans="1:12" ht="12" customHeight="1" x14ac:dyDescent="0.25">
      <c r="A562" s="15">
        <v>45212</v>
      </c>
      <c r="B562" s="16">
        <v>22301933</v>
      </c>
      <c r="C562" s="16" t="s">
        <v>273</v>
      </c>
      <c r="D562" s="16" t="str">
        <f>VLOOKUP(C562,[1]master_data!$A$2:$E$495,2,FALSE)</f>
        <v>JARING 12</v>
      </c>
      <c r="E562" s="16">
        <v>30</v>
      </c>
      <c r="F562" s="16">
        <f>VLOOKUP(C562,[1]master_data!$A$2:$E$495,3,FALSE)</f>
        <v>4000</v>
      </c>
      <c r="G562" s="16">
        <f>VLOOKUP(C562,[1]master_data!$A$2:$E$495,4,FALSE)</f>
        <v>7000</v>
      </c>
      <c r="H562" s="16">
        <f>E562*F562</f>
        <v>120000</v>
      </c>
      <c r="I562" s="16">
        <f>E562*G562</f>
        <v>210000</v>
      </c>
      <c r="J562" s="16">
        <f>I562-H562</f>
        <v>90000</v>
      </c>
      <c r="K562" s="16" t="str">
        <f>VLOOKUP(C562,[1]master_data!$A$2:$E$495,5,FALSE)</f>
        <v>Aksesoris</v>
      </c>
      <c r="L562" s="1"/>
    </row>
    <row r="563" spans="1:12" ht="12" customHeight="1" x14ac:dyDescent="0.25">
      <c r="A563" s="15">
        <v>45212</v>
      </c>
      <c r="B563" s="16">
        <v>22301934</v>
      </c>
      <c r="C563" s="16" t="s">
        <v>407</v>
      </c>
      <c r="D563" s="16" t="str">
        <f>VLOOKUP(C563,[1]master_data!$A$2:$E$495,2,FALSE)</f>
        <v>GOLD FISH</v>
      </c>
      <c r="E563" s="16">
        <v>10</v>
      </c>
      <c r="F563" s="16">
        <f>VLOOKUP(C563,[1]master_data!$A$2:$E$495,3,FALSE)</f>
        <v>800</v>
      </c>
      <c r="G563" s="16">
        <f>VLOOKUP(C563,[1]master_data!$A$2:$E$495,4,FALSE)</f>
        <v>2000</v>
      </c>
      <c r="H563" s="16">
        <f>E563*F563</f>
        <v>8000</v>
      </c>
      <c r="I563" s="16">
        <f>E563*G563</f>
        <v>20000</v>
      </c>
      <c r="J563" s="16">
        <f>I563-H563</f>
        <v>12000</v>
      </c>
      <c r="K563" s="16" t="str">
        <f>VLOOKUP(C563,[1]master_data!$A$2:$E$495,5,FALSE)</f>
        <v>Ikan</v>
      </c>
      <c r="L563" s="1"/>
    </row>
    <row r="564" spans="1:12" ht="12" customHeight="1" x14ac:dyDescent="0.25">
      <c r="A564" s="15">
        <v>45212</v>
      </c>
      <c r="B564" s="16">
        <v>22301935</v>
      </c>
      <c r="C564" s="16" t="s">
        <v>412</v>
      </c>
      <c r="D564" s="16" t="str">
        <f>VLOOKUP(C564,[1]master_data!$A$2:$E$495,2,FALSE)</f>
        <v>KOKI T</v>
      </c>
      <c r="E564" s="16">
        <v>2</v>
      </c>
      <c r="F564" s="16">
        <f>VLOOKUP(C564,[1]master_data!$A$2:$E$495,3,FALSE)</f>
        <v>8000</v>
      </c>
      <c r="G564" s="16">
        <f>VLOOKUP(C564,[1]master_data!$A$2:$E$495,4,FALSE)</f>
        <v>15000</v>
      </c>
      <c r="H564" s="16">
        <f>E564*F564</f>
        <v>16000</v>
      </c>
      <c r="I564" s="16">
        <f>E564*G564</f>
        <v>30000</v>
      </c>
      <c r="J564" s="16">
        <f>I564-H564</f>
        <v>14000</v>
      </c>
      <c r="K564" s="16" t="str">
        <f>VLOOKUP(C564,[1]master_data!$A$2:$E$495,5,FALSE)</f>
        <v>Ikan</v>
      </c>
      <c r="L564" s="1"/>
    </row>
    <row r="565" spans="1:12" ht="12" customHeight="1" x14ac:dyDescent="0.25">
      <c r="A565" s="15">
        <v>45212</v>
      </c>
      <c r="B565" s="16">
        <v>22301936</v>
      </c>
      <c r="C565" s="16" t="s">
        <v>454</v>
      </c>
      <c r="D565" s="16" t="str">
        <f>VLOOKUP(C565,[1]master_data!$A$2:$E$495,2,FALSE)</f>
        <v>TOMAN</v>
      </c>
      <c r="E565" s="16">
        <v>2</v>
      </c>
      <c r="F565" s="16">
        <f>VLOOKUP(C565,[1]master_data!$A$2:$E$495,3,FALSE)</f>
        <v>10000</v>
      </c>
      <c r="G565" s="16">
        <f>VLOOKUP(C565,[1]master_data!$A$2:$E$495,4,FALSE)</f>
        <v>25000</v>
      </c>
      <c r="H565" s="16">
        <f>E565*F565</f>
        <v>20000</v>
      </c>
      <c r="I565" s="16">
        <f>E565*G565</f>
        <v>50000</v>
      </c>
      <c r="J565" s="16">
        <f>I565-H565</f>
        <v>30000</v>
      </c>
      <c r="K565" s="16" t="str">
        <f>VLOOKUP(C565,[1]master_data!$A$2:$E$495,5,FALSE)</f>
        <v>Ikan</v>
      </c>
      <c r="L565" s="1"/>
    </row>
    <row r="566" spans="1:12" ht="12" customHeight="1" x14ac:dyDescent="0.25">
      <c r="A566" s="15">
        <v>45212</v>
      </c>
      <c r="B566" s="16">
        <v>22301937</v>
      </c>
      <c r="C566" s="16" t="s">
        <v>413</v>
      </c>
      <c r="D566" s="16" t="str">
        <f>VLOOKUP(C566,[1]master_data!$A$2:$E$495,2,FALSE)</f>
        <v>KOKI B</v>
      </c>
      <c r="E566" s="16">
        <v>2</v>
      </c>
      <c r="F566" s="16">
        <f>VLOOKUP(C566,[1]master_data!$A$2:$E$495,3,FALSE)</f>
        <v>20000</v>
      </c>
      <c r="G566" s="16">
        <f>VLOOKUP(C566,[1]master_data!$A$2:$E$495,4,FALSE)</f>
        <v>50000</v>
      </c>
      <c r="H566" s="16">
        <f>E566*F566</f>
        <v>40000</v>
      </c>
      <c r="I566" s="16">
        <f>E566*G566</f>
        <v>100000</v>
      </c>
      <c r="J566" s="16">
        <f>I566-H566</f>
        <v>60000</v>
      </c>
      <c r="K566" s="16" t="str">
        <f>VLOOKUP(C566,[1]master_data!$A$2:$E$495,5,FALSE)</f>
        <v>Ikan</v>
      </c>
      <c r="L566" s="1"/>
    </row>
    <row r="567" spans="1:12" ht="12" customHeight="1" x14ac:dyDescent="0.25">
      <c r="A567" s="15">
        <v>45212</v>
      </c>
      <c r="B567" s="16">
        <v>22301938</v>
      </c>
      <c r="C567" s="16" t="s">
        <v>241</v>
      </c>
      <c r="D567" s="16" t="str">
        <f>VLOOKUP(C567,[1]master_data!$A$2:$E$495,2,FALSE)</f>
        <v>PAKAN KEN</v>
      </c>
      <c r="E567" s="16">
        <v>10</v>
      </c>
      <c r="F567" s="16">
        <f>VLOOKUP(C567,[1]master_data!$A$2:$E$495,3,FALSE)</f>
        <v>16000</v>
      </c>
      <c r="G567" s="16">
        <f>VLOOKUP(C567,[1]master_data!$A$2:$E$495,4,FALSE)</f>
        <v>25000</v>
      </c>
      <c r="H567" s="16">
        <f>E567*F567</f>
        <v>160000</v>
      </c>
      <c r="I567" s="16">
        <f>E567*G567</f>
        <v>250000</v>
      </c>
      <c r="J567" s="16">
        <f>I567-H567</f>
        <v>90000</v>
      </c>
      <c r="K567" s="16" t="str">
        <f>VLOOKUP(C567,[1]master_data!$A$2:$E$495,5,FALSE)</f>
        <v>Aksesoris</v>
      </c>
      <c r="L567" s="1"/>
    </row>
    <row r="568" spans="1:12" ht="12" customHeight="1" x14ac:dyDescent="0.25">
      <c r="A568" s="15">
        <v>45212</v>
      </c>
      <c r="B568" s="16">
        <v>22301939</v>
      </c>
      <c r="C568" s="16" t="s">
        <v>425</v>
      </c>
      <c r="D568" s="16" t="str">
        <f>VLOOKUP(C568,[1]master_data!$A$2:$E$495,2,FALSE)</f>
        <v>LEMON</v>
      </c>
      <c r="E568" s="16">
        <v>10</v>
      </c>
      <c r="F568" s="16">
        <f>VLOOKUP(C568,[1]master_data!$A$2:$E$495,3,FALSE)</f>
        <v>1000</v>
      </c>
      <c r="G568" s="16">
        <f>VLOOKUP(C568,[1]master_data!$A$2:$E$495,4,FALSE)</f>
        <v>2000</v>
      </c>
      <c r="H568" s="16">
        <f>E568*F568</f>
        <v>10000</v>
      </c>
      <c r="I568" s="16">
        <f>E568*G568</f>
        <v>20000</v>
      </c>
      <c r="J568" s="16">
        <f>I568-H568</f>
        <v>10000</v>
      </c>
      <c r="K568" s="16" t="str">
        <f>VLOOKUP(C568,[1]master_data!$A$2:$E$495,5,FALSE)</f>
        <v>Ikan</v>
      </c>
      <c r="L568" s="1"/>
    </row>
    <row r="569" spans="1:12" ht="12" customHeight="1" x14ac:dyDescent="0.25">
      <c r="A569" s="15">
        <v>45212</v>
      </c>
      <c r="B569" s="16">
        <v>22301940</v>
      </c>
      <c r="C569" s="16" t="s">
        <v>28</v>
      </c>
      <c r="D569" s="16" t="str">
        <f>VLOOKUP(C569,[1]master_data!$A$2:$E$495,2,FALSE)</f>
        <v>MESIN ROSTON 107</v>
      </c>
      <c r="E569" s="16">
        <v>1</v>
      </c>
      <c r="F569" s="16">
        <f>VLOOKUP(C569,[1]master_data!$A$2:$E$495,3,FALSE)</f>
        <v>185000</v>
      </c>
      <c r="G569" s="16">
        <f>VLOOKUP(C569,[1]master_data!$A$2:$E$495,4,FALSE)</f>
        <v>260000</v>
      </c>
      <c r="H569" s="16">
        <f>E569*F569</f>
        <v>185000</v>
      </c>
      <c r="I569" s="16">
        <f>E569*G569</f>
        <v>260000</v>
      </c>
      <c r="J569" s="16">
        <f>I569-H569</f>
        <v>75000</v>
      </c>
      <c r="K569" s="16" t="str">
        <f>VLOOKUP(C569,[1]master_data!$A$2:$E$495,5,FALSE)</f>
        <v>Aksesoris</v>
      </c>
      <c r="L569" s="1"/>
    </row>
    <row r="570" spans="1:12" ht="12" customHeight="1" x14ac:dyDescent="0.25">
      <c r="A570" s="15">
        <v>45212</v>
      </c>
      <c r="B570" s="16">
        <v>22301941</v>
      </c>
      <c r="C570" s="16" t="s">
        <v>132</v>
      </c>
      <c r="D570" s="16" t="str">
        <f>VLOOKUP(C570,[1]master_data!$A$2:$E$495,2,FALSE)</f>
        <v>LED YAMANO S1000</v>
      </c>
      <c r="E570" s="16">
        <v>1</v>
      </c>
      <c r="F570" s="16">
        <f>VLOOKUP(C570,[1]master_data!$A$2:$E$495,3,FALSE)</f>
        <v>100000</v>
      </c>
      <c r="G570" s="16">
        <f>VLOOKUP(C570,[1]master_data!$A$2:$E$495,4,FALSE)</f>
        <v>140000</v>
      </c>
      <c r="H570" s="16">
        <f>E570*F570</f>
        <v>100000</v>
      </c>
      <c r="I570" s="16">
        <f>E570*G570</f>
        <v>140000</v>
      </c>
      <c r="J570" s="16">
        <f>I570-H570</f>
        <v>40000</v>
      </c>
      <c r="K570" s="16" t="str">
        <f>VLOOKUP(C570,[1]master_data!$A$2:$E$495,5,FALSE)</f>
        <v>Aksesoris</v>
      </c>
      <c r="L570" s="1"/>
    </row>
    <row r="571" spans="1:12" ht="12" customHeight="1" x14ac:dyDescent="0.25">
      <c r="A571" s="15">
        <v>45212</v>
      </c>
      <c r="B571" s="16">
        <v>22301942</v>
      </c>
      <c r="C571" s="16" t="s">
        <v>412</v>
      </c>
      <c r="D571" s="16" t="str">
        <f>VLOOKUP(C571,[1]master_data!$A$2:$E$495,2,FALSE)</f>
        <v>KOKI T</v>
      </c>
      <c r="E571" s="16">
        <v>1</v>
      </c>
      <c r="F571" s="16">
        <f>VLOOKUP(C571,[1]master_data!$A$2:$E$495,3,FALSE)</f>
        <v>8000</v>
      </c>
      <c r="G571" s="16">
        <f>VLOOKUP(C571,[1]master_data!$A$2:$E$495,4,FALSE)</f>
        <v>15000</v>
      </c>
      <c r="H571" s="16">
        <f>E571*F571</f>
        <v>8000</v>
      </c>
      <c r="I571" s="16">
        <f>E571*G571</f>
        <v>15000</v>
      </c>
      <c r="J571" s="16">
        <f>I571-H571</f>
        <v>7000</v>
      </c>
      <c r="K571" s="16" t="str">
        <f>VLOOKUP(C571,[1]master_data!$A$2:$E$495,5,FALSE)</f>
        <v>Ikan</v>
      </c>
      <c r="L571" s="1"/>
    </row>
    <row r="572" spans="1:12" ht="12" customHeight="1" x14ac:dyDescent="0.25">
      <c r="A572" s="15">
        <v>45212</v>
      </c>
      <c r="B572" s="16">
        <v>22301943</v>
      </c>
      <c r="C572" s="16" t="s">
        <v>408</v>
      </c>
      <c r="D572" s="16" t="str">
        <f>VLOOKUP(C572,[1]master_data!$A$2:$E$495,2,FALSE)</f>
        <v>GUPY</v>
      </c>
      <c r="E572" s="16">
        <v>26</v>
      </c>
      <c r="F572" s="16">
        <f>VLOOKUP(C572,[1]master_data!$A$2:$E$495,3,FALSE)</f>
        <v>1200</v>
      </c>
      <c r="G572" s="16">
        <f>VLOOKUP(C572,[1]master_data!$A$2:$E$495,4,FALSE)</f>
        <v>2500</v>
      </c>
      <c r="H572" s="16">
        <f>E572*F572</f>
        <v>31200</v>
      </c>
      <c r="I572" s="16">
        <f>E572*G572</f>
        <v>65000</v>
      </c>
      <c r="J572" s="16">
        <f>I572-H572</f>
        <v>33800</v>
      </c>
      <c r="K572" s="16" t="str">
        <f>VLOOKUP(C572,[1]master_data!$A$2:$E$495,5,FALSE)</f>
        <v>Ikan</v>
      </c>
      <c r="L572" s="1"/>
    </row>
    <row r="573" spans="1:12" ht="12" customHeight="1" x14ac:dyDescent="0.25">
      <c r="A573" s="15">
        <v>45211</v>
      </c>
      <c r="B573" s="16">
        <v>22301925</v>
      </c>
      <c r="C573" s="16" t="s">
        <v>443</v>
      </c>
      <c r="D573" s="16" t="str">
        <f>VLOOKUP(C573,[1]master_data!$A$2:$E$495,2,FALSE)</f>
        <v>PESO</v>
      </c>
      <c r="E573" s="16">
        <v>5</v>
      </c>
      <c r="F573" s="16">
        <f>VLOOKUP(C573,[1]master_data!$A$2:$E$495,3,FALSE)</f>
        <v>19000</v>
      </c>
      <c r="G573" s="16">
        <f>VLOOKUP(C573,[1]master_data!$A$2:$E$495,4,FALSE)</f>
        <v>40000</v>
      </c>
      <c r="H573" s="16">
        <f>E573*F573</f>
        <v>95000</v>
      </c>
      <c r="I573" s="16">
        <f>E573*G573</f>
        <v>200000</v>
      </c>
      <c r="J573" s="16">
        <f>I573-H573</f>
        <v>105000</v>
      </c>
      <c r="K573" s="16" t="str">
        <f>VLOOKUP(C573,[1]master_data!$A$2:$E$495,5,FALSE)</f>
        <v>Ikan</v>
      </c>
      <c r="L573" s="1"/>
    </row>
    <row r="574" spans="1:12" ht="12" customHeight="1" x14ac:dyDescent="0.25">
      <c r="A574" s="15">
        <v>45211</v>
      </c>
      <c r="B574" s="16">
        <v>22301926</v>
      </c>
      <c r="C574" s="16" t="s">
        <v>56</v>
      </c>
      <c r="D574" s="16" t="str">
        <f>VLOOKUP(C574,[1]master_data!$A$2:$E$495,2,FALSE)</f>
        <v>MESIN HIKARI 1200</v>
      </c>
      <c r="E574" s="16">
        <v>2</v>
      </c>
      <c r="F574" s="16">
        <f>VLOOKUP(C574,[1]master_data!$A$2:$E$495,3,FALSE)</f>
        <v>27000</v>
      </c>
      <c r="G574" s="16">
        <f>VLOOKUP(C574,[1]master_data!$A$2:$E$495,4,FALSE)</f>
        <v>35000</v>
      </c>
      <c r="H574" s="16">
        <f>E574*F574</f>
        <v>54000</v>
      </c>
      <c r="I574" s="16">
        <f>E574*G574</f>
        <v>70000</v>
      </c>
      <c r="J574" s="16">
        <f>I574-H574</f>
        <v>16000</v>
      </c>
      <c r="K574" s="16" t="str">
        <f>VLOOKUP(C574,[1]master_data!$A$2:$E$495,5,FALSE)</f>
        <v>Aksesoris</v>
      </c>
      <c r="L574" s="1"/>
    </row>
    <row r="575" spans="1:12" ht="12" customHeight="1" x14ac:dyDescent="0.25">
      <c r="A575" s="15">
        <v>45211</v>
      </c>
      <c r="B575" s="16">
        <v>22301927</v>
      </c>
      <c r="C575" s="16" t="s">
        <v>376</v>
      </c>
      <c r="D575" s="16" t="str">
        <f>VLOOKUP(C575,[1]master_data!$A$2:$E$495,2,FALSE)</f>
        <v>PASIR BALI</v>
      </c>
      <c r="E575" s="16">
        <v>20</v>
      </c>
      <c r="F575" s="16">
        <f>VLOOKUP(C575,[1]master_data!$A$2:$E$495,3,FALSE)</f>
        <v>5000</v>
      </c>
      <c r="G575" s="16">
        <f>VLOOKUP(C575,[1]master_data!$A$2:$E$495,4,FALSE)</f>
        <v>10000</v>
      </c>
      <c r="H575" s="16">
        <f>E575*F575</f>
        <v>100000</v>
      </c>
      <c r="I575" s="16">
        <f>E575*G575</f>
        <v>200000</v>
      </c>
      <c r="J575" s="16">
        <f>I575-H575</f>
        <v>100000</v>
      </c>
      <c r="K575" s="16" t="str">
        <f>VLOOKUP(C575,[1]master_data!$A$2:$E$495,5,FALSE)</f>
        <v>Aksesoris</v>
      </c>
      <c r="L575" s="1"/>
    </row>
    <row r="576" spans="1:12" ht="12" customHeight="1" x14ac:dyDescent="0.25">
      <c r="A576" s="15">
        <v>45211</v>
      </c>
      <c r="B576" s="16">
        <v>22301928</v>
      </c>
      <c r="C576" s="16" t="s">
        <v>414</v>
      </c>
      <c r="D576" s="16" t="str">
        <f>VLOOKUP(C576,[1]master_data!$A$2:$E$495,2,FALSE)</f>
        <v>KOI K</v>
      </c>
      <c r="E576" s="16">
        <v>10</v>
      </c>
      <c r="F576" s="16">
        <f>VLOOKUP(C576,[1]master_data!$A$2:$E$495,3,FALSE)</f>
        <v>2500</v>
      </c>
      <c r="G576" s="16">
        <f>VLOOKUP(C576,[1]master_data!$A$2:$E$495,4,FALSE)</f>
        <v>10000</v>
      </c>
      <c r="H576" s="16">
        <f>E576*F576</f>
        <v>25000</v>
      </c>
      <c r="I576" s="16">
        <f>E576*G576</f>
        <v>100000</v>
      </c>
      <c r="J576" s="16">
        <f>I576-H576</f>
        <v>75000</v>
      </c>
      <c r="K576" s="16" t="str">
        <f>VLOOKUP(C576,[1]master_data!$A$2:$E$495,5,FALSE)</f>
        <v>Ikan</v>
      </c>
      <c r="L576" s="1"/>
    </row>
    <row r="577" spans="1:12" ht="12" customHeight="1" x14ac:dyDescent="0.25">
      <c r="A577" s="15">
        <v>45211</v>
      </c>
      <c r="B577" s="16">
        <v>22301929</v>
      </c>
      <c r="C577" s="16" t="s">
        <v>410</v>
      </c>
      <c r="D577" s="16" t="str">
        <f>VLOOKUP(C577,[1]master_data!$A$2:$E$495,2,FALSE)</f>
        <v>HIU TAWAR</v>
      </c>
      <c r="E577" s="16">
        <v>15</v>
      </c>
      <c r="F577" s="16">
        <f>VLOOKUP(C577,[1]master_data!$A$2:$E$495,3,FALSE)</f>
        <v>600</v>
      </c>
      <c r="G577" s="16">
        <f>VLOOKUP(C577,[1]master_data!$A$2:$E$495,4,FALSE)</f>
        <v>2000</v>
      </c>
      <c r="H577" s="16">
        <f>E577*F577</f>
        <v>9000</v>
      </c>
      <c r="I577" s="16">
        <f>E577*G577</f>
        <v>30000</v>
      </c>
      <c r="J577" s="16">
        <f>I577-H577</f>
        <v>21000</v>
      </c>
      <c r="K577" s="16" t="str">
        <f>VLOOKUP(C577,[1]master_data!$A$2:$E$495,5,FALSE)</f>
        <v>Ikan</v>
      </c>
      <c r="L577" s="1"/>
    </row>
    <row r="578" spans="1:12" ht="12" customHeight="1" x14ac:dyDescent="0.25">
      <c r="A578" s="15">
        <v>45211</v>
      </c>
      <c r="B578" s="16">
        <v>22301930</v>
      </c>
      <c r="C578" s="16" t="s">
        <v>43</v>
      </c>
      <c r="D578" s="16" t="str">
        <f>VLOOKUP(C578,[1]master_data!$A$2:$E$495,2,FALSE)</f>
        <v>MESIN YAMANO ACO 003</v>
      </c>
      <c r="E578" s="16">
        <v>1</v>
      </c>
      <c r="F578" s="16">
        <f>VLOOKUP(C578,[1]master_data!$A$2:$E$495,3,FALSE)</f>
        <v>375000</v>
      </c>
      <c r="G578" s="16">
        <f>VLOOKUP(C578,[1]master_data!$A$2:$E$495,4,FALSE)</f>
        <v>450000</v>
      </c>
      <c r="H578" s="16">
        <f>E578*F578</f>
        <v>375000</v>
      </c>
      <c r="I578" s="16">
        <f>E578*G578</f>
        <v>450000</v>
      </c>
      <c r="J578" s="16">
        <f>I578-H578</f>
        <v>75000</v>
      </c>
      <c r="K578" s="16" t="str">
        <f>VLOOKUP(C578,[1]master_data!$A$2:$E$495,5,FALSE)</f>
        <v>Aksesoris</v>
      </c>
      <c r="L578" s="1"/>
    </row>
    <row r="579" spans="1:12" ht="12" customHeight="1" x14ac:dyDescent="0.25">
      <c r="A579" s="15">
        <v>45211</v>
      </c>
      <c r="B579" s="16">
        <v>22301931</v>
      </c>
      <c r="C579" s="16" t="s">
        <v>395</v>
      </c>
      <c r="D579" s="16" t="str">
        <f>VLOOKUP(C579,[1]master_data!$A$2:$E$495,2,FALSE)</f>
        <v>ALIGATOR</v>
      </c>
      <c r="E579" s="16">
        <v>6</v>
      </c>
      <c r="F579" s="16">
        <f>VLOOKUP(C579,[1]master_data!$A$2:$E$495,3,FALSE)</f>
        <v>17000</v>
      </c>
      <c r="G579" s="16">
        <f>VLOOKUP(C579,[1]master_data!$A$2:$E$495,4,FALSE)</f>
        <v>35000</v>
      </c>
      <c r="H579" s="16">
        <f>E579*F579</f>
        <v>102000</v>
      </c>
      <c r="I579" s="16">
        <f>E579*G579</f>
        <v>210000</v>
      </c>
      <c r="J579" s="16">
        <f>I579-H579</f>
        <v>108000</v>
      </c>
      <c r="K579" s="16" t="str">
        <f>VLOOKUP(C579,[1]master_data!$A$2:$E$495,5,FALSE)</f>
        <v>Ikan</v>
      </c>
      <c r="L579" s="1"/>
    </row>
    <row r="580" spans="1:12" ht="12" customHeight="1" x14ac:dyDescent="0.25">
      <c r="A580" s="15">
        <v>45210</v>
      </c>
      <c r="B580" s="16">
        <v>22301916</v>
      </c>
      <c r="C580" s="16" t="s">
        <v>307</v>
      </c>
      <c r="D580" s="16" t="str">
        <f>VLOOKUP(C580,[1]master_data!$A$2:$E$495,2,FALSE)</f>
        <v>SUPER BLUE</v>
      </c>
      <c r="E580" s="16">
        <v>1</v>
      </c>
      <c r="F580" s="16">
        <f>VLOOKUP(C580,[1]master_data!$A$2:$E$495,3,FALSE)</f>
        <v>8000</v>
      </c>
      <c r="G580" s="16">
        <f>VLOOKUP(C580,[1]master_data!$A$2:$E$495,4,FALSE)</f>
        <v>12000</v>
      </c>
      <c r="H580" s="16">
        <f>E580*F580</f>
        <v>8000</v>
      </c>
      <c r="I580" s="16">
        <f>E580*G580</f>
        <v>12000</v>
      </c>
      <c r="J580" s="16">
        <f>I580-H580</f>
        <v>4000</v>
      </c>
      <c r="K580" s="16" t="str">
        <f>VLOOKUP(C580,[1]master_data!$A$2:$E$495,5,FALSE)</f>
        <v>Aksesoris</v>
      </c>
      <c r="L580" s="1"/>
    </row>
    <row r="581" spans="1:12" ht="12" customHeight="1" x14ac:dyDescent="0.25">
      <c r="A581" s="15">
        <v>45210</v>
      </c>
      <c r="B581" s="16">
        <v>22301917</v>
      </c>
      <c r="C581" s="16" t="s">
        <v>264</v>
      </c>
      <c r="D581" s="16" t="str">
        <f>VLOOKUP(C581,[1]master_data!$A$2:$E$495,2,FALSE)</f>
        <v>COP SELANG</v>
      </c>
      <c r="E581" s="16">
        <v>15</v>
      </c>
      <c r="F581" s="16">
        <f>VLOOKUP(C581,[1]master_data!$A$2:$E$495,3,FALSE)</f>
        <v>750</v>
      </c>
      <c r="G581" s="16">
        <f>VLOOKUP(C581,[1]master_data!$A$2:$E$495,4,FALSE)</f>
        <v>1500</v>
      </c>
      <c r="H581" s="16">
        <f>E581*F581</f>
        <v>11250</v>
      </c>
      <c r="I581" s="16">
        <f>E581*G581</f>
        <v>22500</v>
      </c>
      <c r="J581" s="16">
        <f>I581-H581</f>
        <v>11250</v>
      </c>
      <c r="K581" s="16" t="str">
        <f>VLOOKUP(C581,[1]master_data!$A$2:$E$495,5,FALSE)</f>
        <v>Aksesoris</v>
      </c>
      <c r="L581" s="1"/>
    </row>
    <row r="582" spans="1:12" ht="12" customHeight="1" x14ac:dyDescent="0.25">
      <c r="A582" s="15">
        <v>45210</v>
      </c>
      <c r="B582" s="16">
        <v>22301918</v>
      </c>
      <c r="C582" s="16" t="s">
        <v>439</v>
      </c>
      <c r="D582" s="16" t="str">
        <f>VLOOKUP(C582,[1]master_data!$A$2:$E$495,2,FALSE)</f>
        <v>PEMBERSIH KACA BIASA</v>
      </c>
      <c r="E582" s="16">
        <v>10</v>
      </c>
      <c r="F582" s="16">
        <f>VLOOKUP(C582,[1]master_data!$A$2:$E$495,3,FALSE)</f>
        <v>2000</v>
      </c>
      <c r="G582" s="16">
        <f>VLOOKUP(C582,[1]master_data!$A$2:$E$495,4,FALSE)</f>
        <v>5000</v>
      </c>
      <c r="H582" s="16">
        <f>E582*F582</f>
        <v>20000</v>
      </c>
      <c r="I582" s="16">
        <f>E582*G582</f>
        <v>50000</v>
      </c>
      <c r="J582" s="16">
        <f>I582-H582</f>
        <v>30000</v>
      </c>
      <c r="K582" s="16" t="str">
        <f>VLOOKUP(C582,[1]master_data!$A$2:$E$495,5,FALSE)</f>
        <v>Ikan</v>
      </c>
      <c r="L582" s="1"/>
    </row>
    <row r="583" spans="1:12" ht="12" customHeight="1" x14ac:dyDescent="0.25">
      <c r="A583" s="15">
        <v>45210</v>
      </c>
      <c r="B583" s="16">
        <v>22301919</v>
      </c>
      <c r="C583" s="16" t="s">
        <v>309</v>
      </c>
      <c r="D583" s="16" t="str">
        <f>VLOOKUP(C583,[1]master_data!$A$2:$E$495,2,FALSE)</f>
        <v>SELANG FUSO</v>
      </c>
      <c r="E583" s="16">
        <v>10</v>
      </c>
      <c r="F583" s="16">
        <f>VLOOKUP(C583,[1]master_data!$A$2:$E$495,3,FALSE)</f>
        <v>800</v>
      </c>
      <c r="G583" s="16">
        <f>VLOOKUP(C583,[1]master_data!$A$2:$E$495,4,FALSE)</f>
        <v>2000</v>
      </c>
      <c r="H583" s="16">
        <f>E583*F583</f>
        <v>8000</v>
      </c>
      <c r="I583" s="16">
        <f>E583*G583</f>
        <v>20000</v>
      </c>
      <c r="J583" s="16">
        <f>I583-H583</f>
        <v>12000</v>
      </c>
      <c r="K583" s="16" t="str">
        <f>VLOOKUP(C583,[1]master_data!$A$2:$E$495,5,FALSE)</f>
        <v>Aksesoris</v>
      </c>
      <c r="L583" s="1"/>
    </row>
    <row r="584" spans="1:12" ht="12" customHeight="1" x14ac:dyDescent="0.25">
      <c r="A584" s="15">
        <v>45210</v>
      </c>
      <c r="B584" s="16">
        <v>22301920</v>
      </c>
      <c r="C584" s="16" t="s">
        <v>423</v>
      </c>
      <c r="D584" s="16" t="str">
        <f>VLOOKUP(C584,[1]master_data!$A$2:$E$495,2,FALSE)</f>
        <v>CAROLINE</v>
      </c>
      <c r="E584" s="16">
        <v>30</v>
      </c>
      <c r="F584" s="16">
        <f>VLOOKUP(C584,[1]master_data!$A$2:$E$495,3,FALSE)</f>
        <v>900</v>
      </c>
      <c r="G584" s="16">
        <f>VLOOKUP(C584,[1]master_data!$A$2:$E$495,4,FALSE)</f>
        <v>2000</v>
      </c>
      <c r="H584" s="16">
        <f>E584*F584</f>
        <v>27000</v>
      </c>
      <c r="I584" s="16">
        <f>E584*G584</f>
        <v>60000</v>
      </c>
      <c r="J584" s="16">
        <f>I584-H584</f>
        <v>33000</v>
      </c>
      <c r="K584" s="16" t="str">
        <f>VLOOKUP(C584,[1]master_data!$A$2:$E$495,5,FALSE)</f>
        <v>Ikan</v>
      </c>
      <c r="L584" s="1"/>
    </row>
    <row r="585" spans="1:12" ht="12" customHeight="1" x14ac:dyDescent="0.25">
      <c r="A585" s="15">
        <v>45210</v>
      </c>
      <c r="B585" s="16">
        <v>22301921</v>
      </c>
      <c r="C585" s="16" t="s">
        <v>396</v>
      </c>
      <c r="D585" s="16" t="str">
        <f>VLOOKUP(C585,[1]master_data!$A$2:$E$495,2,FALSE)</f>
        <v>BIPOLAR</v>
      </c>
      <c r="E585" s="16">
        <v>15</v>
      </c>
      <c r="F585" s="16">
        <f>VLOOKUP(C585,[1]master_data!$A$2:$E$495,3,FALSE)</f>
        <v>1000</v>
      </c>
      <c r="G585" s="16">
        <f>VLOOKUP(C585,[1]master_data!$A$2:$E$495,4,FALSE)</f>
        <v>2500</v>
      </c>
      <c r="H585" s="16">
        <f>E585*F585</f>
        <v>15000</v>
      </c>
      <c r="I585" s="16">
        <f>E585*G585</f>
        <v>37500</v>
      </c>
      <c r="J585" s="16">
        <f>I585-H585</f>
        <v>22500</v>
      </c>
      <c r="K585" s="16" t="str">
        <f>VLOOKUP(C585,[1]master_data!$A$2:$E$495,5,FALSE)</f>
        <v>Ikan</v>
      </c>
      <c r="L585" s="1"/>
    </row>
    <row r="586" spans="1:12" ht="12" customHeight="1" x14ac:dyDescent="0.25">
      <c r="A586" s="15">
        <v>45210</v>
      </c>
      <c r="B586" s="16">
        <v>22301922</v>
      </c>
      <c r="C586" s="16" t="s">
        <v>375</v>
      </c>
      <c r="D586" s="16" t="str">
        <f>VLOOKUP(C586,[1]master_data!$A$2:$E$495,2,FALSE)</f>
        <v>PASIR MEARAH B</v>
      </c>
      <c r="E586" s="16">
        <v>10</v>
      </c>
      <c r="F586" s="16">
        <f>VLOOKUP(C586,[1]master_data!$A$2:$E$495,3,FALSE)</f>
        <v>8000</v>
      </c>
      <c r="G586" s="16">
        <f>VLOOKUP(C586,[1]master_data!$A$2:$E$495,4,FALSE)</f>
        <v>25000</v>
      </c>
      <c r="H586" s="16">
        <f>E586*F586</f>
        <v>80000</v>
      </c>
      <c r="I586" s="16">
        <f>E586*G586</f>
        <v>250000</v>
      </c>
      <c r="J586" s="16">
        <f>I586-H586</f>
        <v>170000</v>
      </c>
      <c r="K586" s="16" t="str">
        <f>VLOOKUP(C586,[1]master_data!$A$2:$E$495,5,FALSE)</f>
        <v>Aksesoris</v>
      </c>
      <c r="L586" s="1"/>
    </row>
    <row r="587" spans="1:12" ht="12" customHeight="1" x14ac:dyDescent="0.25">
      <c r="A587" s="15">
        <v>45210</v>
      </c>
      <c r="B587" s="16">
        <v>22301923</v>
      </c>
      <c r="C587" s="16" t="s">
        <v>214</v>
      </c>
      <c r="D587" s="16" t="str">
        <f>VLOOKUP(C587,[1]master_data!$A$2:$E$495,2,FALSE)</f>
        <v>HOKKY LOUHAN COLOUR</v>
      </c>
      <c r="E587" s="16">
        <v>2</v>
      </c>
      <c r="F587" s="16">
        <f>VLOOKUP(C587,[1]master_data!$A$2:$E$495,3,FALSE)</f>
        <v>18000</v>
      </c>
      <c r="G587" s="16">
        <f>VLOOKUP(C587,[1]master_data!$A$2:$E$495,4,FALSE)</f>
        <v>25000</v>
      </c>
      <c r="H587" s="16">
        <f>E587*F587</f>
        <v>36000</v>
      </c>
      <c r="I587" s="16">
        <f>E587*G587</f>
        <v>50000</v>
      </c>
      <c r="J587" s="16">
        <f>I587-H587</f>
        <v>14000</v>
      </c>
      <c r="K587" s="16" t="str">
        <f>VLOOKUP(C587,[1]master_data!$A$2:$E$495,5,FALSE)</f>
        <v>Aksesoris</v>
      </c>
      <c r="L587" s="1"/>
    </row>
    <row r="588" spans="1:12" ht="12" customHeight="1" x14ac:dyDescent="0.25">
      <c r="A588" s="15">
        <v>45210</v>
      </c>
      <c r="B588" s="16">
        <v>22301924</v>
      </c>
      <c r="C588" s="16" t="s">
        <v>443</v>
      </c>
      <c r="D588" s="16" t="str">
        <f>VLOOKUP(C588,[1]master_data!$A$2:$E$495,2,FALSE)</f>
        <v>PESO</v>
      </c>
      <c r="E588" s="16">
        <v>9</v>
      </c>
      <c r="F588" s="16">
        <f>VLOOKUP(C588,[1]master_data!$A$2:$E$495,3,FALSE)</f>
        <v>19000</v>
      </c>
      <c r="G588" s="16">
        <f>VLOOKUP(C588,[1]master_data!$A$2:$E$495,4,FALSE)</f>
        <v>40000</v>
      </c>
      <c r="H588" s="16">
        <f>E588*F588</f>
        <v>171000</v>
      </c>
      <c r="I588" s="16">
        <f>E588*G588</f>
        <v>360000</v>
      </c>
      <c r="J588" s="16">
        <f>I588-H588</f>
        <v>189000</v>
      </c>
      <c r="K588" s="16" t="str">
        <f>VLOOKUP(C588,[1]master_data!$A$2:$E$495,5,FALSE)</f>
        <v>Ikan</v>
      </c>
      <c r="L588" s="1"/>
    </row>
    <row r="589" spans="1:12" ht="12" customHeight="1" x14ac:dyDescent="0.25">
      <c r="A589" s="15">
        <v>45209</v>
      </c>
      <c r="B589" s="16">
        <v>22301906</v>
      </c>
      <c r="C589" s="16" t="s">
        <v>419</v>
      </c>
      <c r="D589" s="16" t="str">
        <f>VLOOKUP(C589,[1]master_data!$A$2:$E$495,2,FALSE)</f>
        <v>KOMET PAKAN</v>
      </c>
      <c r="E589" s="16">
        <v>75</v>
      </c>
      <c r="F589" s="16">
        <f>VLOOKUP(C589,[1]master_data!$A$2:$E$495,3,FALSE)</f>
        <v>300</v>
      </c>
      <c r="G589" s="16">
        <f>VLOOKUP(C589,[1]master_data!$A$2:$E$495,4,FALSE)</f>
        <v>1000</v>
      </c>
      <c r="H589" s="16">
        <f>E589*F589</f>
        <v>22500</v>
      </c>
      <c r="I589" s="16">
        <f>E589*G589</f>
        <v>75000</v>
      </c>
      <c r="J589" s="16">
        <f>I589-H589</f>
        <v>52500</v>
      </c>
      <c r="K589" s="16" t="str">
        <f>VLOOKUP(C589,[1]master_data!$A$2:$E$495,5,FALSE)</f>
        <v>Ikan</v>
      </c>
      <c r="L589" s="1"/>
    </row>
    <row r="590" spans="1:12" ht="12" customHeight="1" x14ac:dyDescent="0.25">
      <c r="A590" s="15">
        <v>45209</v>
      </c>
      <c r="B590" s="16">
        <v>22301907</v>
      </c>
      <c r="C590" s="16" t="s">
        <v>425</v>
      </c>
      <c r="D590" s="16" t="str">
        <f>VLOOKUP(C590,[1]master_data!$A$2:$E$495,2,FALSE)</f>
        <v>LEMON</v>
      </c>
      <c r="E590" s="16">
        <v>15</v>
      </c>
      <c r="F590" s="16">
        <f>VLOOKUP(C590,[1]master_data!$A$2:$E$495,3,FALSE)</f>
        <v>1000</v>
      </c>
      <c r="G590" s="16">
        <f>VLOOKUP(C590,[1]master_data!$A$2:$E$495,4,FALSE)</f>
        <v>2000</v>
      </c>
      <c r="H590" s="16">
        <f>E590*F590</f>
        <v>15000</v>
      </c>
      <c r="I590" s="16">
        <f>E590*G590</f>
        <v>30000</v>
      </c>
      <c r="J590" s="16">
        <f>I590-H590</f>
        <v>15000</v>
      </c>
      <c r="K590" s="16" t="str">
        <f>VLOOKUP(C590,[1]master_data!$A$2:$E$495,5,FALSE)</f>
        <v>Ikan</v>
      </c>
      <c r="L590" s="1"/>
    </row>
    <row r="591" spans="1:12" ht="12" customHeight="1" x14ac:dyDescent="0.25">
      <c r="A591" s="15">
        <v>45209</v>
      </c>
      <c r="B591" s="16">
        <v>22301908</v>
      </c>
      <c r="C591" s="16" t="s">
        <v>51</v>
      </c>
      <c r="D591" s="16" t="str">
        <f>VLOOKUP(C591,[1]master_data!$A$2:$E$495,2,FALSE)</f>
        <v>MESIN NIKITA SWI 203</v>
      </c>
      <c r="E591" s="16">
        <v>2</v>
      </c>
      <c r="F591" s="16">
        <f>VLOOKUP(C591,[1]master_data!$A$2:$E$495,3,FALSE)</f>
        <v>35000</v>
      </c>
      <c r="G591" s="16">
        <f>VLOOKUP(C591,[1]master_data!$A$2:$E$495,4,FALSE)</f>
        <v>55000</v>
      </c>
      <c r="H591" s="16">
        <f>E591*F591</f>
        <v>70000</v>
      </c>
      <c r="I591" s="16">
        <f>E591*G591</f>
        <v>110000</v>
      </c>
      <c r="J591" s="16">
        <f>I591-H591</f>
        <v>40000</v>
      </c>
      <c r="K591" s="16" t="str">
        <f>VLOOKUP(C591,[1]master_data!$A$2:$E$495,5,FALSE)</f>
        <v>Aksesoris</v>
      </c>
      <c r="L591" s="1"/>
    </row>
    <row r="592" spans="1:12" ht="12" customHeight="1" x14ac:dyDescent="0.25">
      <c r="A592" s="15">
        <v>45209</v>
      </c>
      <c r="B592" s="16">
        <v>22301909</v>
      </c>
      <c r="C592" s="16" t="s">
        <v>100</v>
      </c>
      <c r="D592" s="16" t="str">
        <f>VLOOKUP(C592,[1]master_data!$A$2:$E$495,2,FALSE)</f>
        <v>MESIN AMARA 106</v>
      </c>
      <c r="E592" s="16">
        <v>2</v>
      </c>
      <c r="F592" s="16">
        <f>VLOOKUP(C592,[1]master_data!$A$2:$E$495,3,FALSE)</f>
        <v>270000</v>
      </c>
      <c r="G592" s="16">
        <f>VLOOKUP(C592,[1]master_data!$A$2:$E$495,4,FALSE)</f>
        <v>330000</v>
      </c>
      <c r="H592" s="16">
        <f>E592*F592</f>
        <v>540000</v>
      </c>
      <c r="I592" s="16">
        <f>E592*G592</f>
        <v>660000</v>
      </c>
      <c r="J592" s="16">
        <f>I592-H592</f>
        <v>120000</v>
      </c>
      <c r="K592" s="16" t="str">
        <f>VLOOKUP(C592,[1]master_data!$A$2:$E$495,5,FALSE)</f>
        <v>Aksesoris</v>
      </c>
      <c r="L592" s="1"/>
    </row>
    <row r="593" spans="1:12" ht="12" customHeight="1" x14ac:dyDescent="0.25">
      <c r="A593" s="15">
        <v>45209</v>
      </c>
      <c r="B593" s="16">
        <v>22301910</v>
      </c>
      <c r="C593" s="16" t="s">
        <v>447</v>
      </c>
      <c r="D593" s="16" t="str">
        <f>VLOOKUP(C593,[1]master_data!$A$2:$E$495,2,FALSE)</f>
        <v>CHANNA RED BARITO B</v>
      </c>
      <c r="E593" s="16">
        <v>1</v>
      </c>
      <c r="F593" s="16">
        <f>VLOOKUP(C593,[1]master_data!$A$2:$E$495,3,FALSE)</f>
        <v>120000</v>
      </c>
      <c r="G593" s="16">
        <f>VLOOKUP(C593,[1]master_data!$A$2:$E$495,4,FALSE)</f>
        <v>200000</v>
      </c>
      <c r="H593" s="16">
        <f>E593*F593</f>
        <v>120000</v>
      </c>
      <c r="I593" s="16">
        <f>E593*G593</f>
        <v>200000</v>
      </c>
      <c r="J593" s="16">
        <f>I593-H593</f>
        <v>80000</v>
      </c>
      <c r="K593" s="16" t="str">
        <f>VLOOKUP(C593,[1]master_data!$A$2:$E$495,5,FALSE)</f>
        <v>Ikan</v>
      </c>
      <c r="L593" s="1"/>
    </row>
    <row r="594" spans="1:12" ht="12" customHeight="1" x14ac:dyDescent="0.25">
      <c r="A594" s="15">
        <v>45209</v>
      </c>
      <c r="B594" s="16">
        <v>22301911</v>
      </c>
      <c r="C594" s="16" t="s">
        <v>434</v>
      </c>
      <c r="D594" s="16" t="str">
        <f>VLOOKUP(C594,[1]master_data!$A$2:$E$495,2,FALSE)</f>
        <v>NIASA</v>
      </c>
      <c r="E594" s="16">
        <v>30</v>
      </c>
      <c r="F594" s="16">
        <f>VLOOKUP(C594,[1]master_data!$A$2:$E$495,3,FALSE)</f>
        <v>900</v>
      </c>
      <c r="G594" s="16">
        <f>VLOOKUP(C594,[1]master_data!$A$2:$E$495,4,FALSE)</f>
        <v>2000</v>
      </c>
      <c r="H594" s="16">
        <f>E594*F594</f>
        <v>27000</v>
      </c>
      <c r="I594" s="16">
        <f>E594*G594</f>
        <v>60000</v>
      </c>
      <c r="J594" s="16">
        <f>I594-H594</f>
        <v>33000</v>
      </c>
      <c r="K594" s="16" t="str">
        <f>VLOOKUP(C594,[1]master_data!$A$2:$E$495,5,FALSE)</f>
        <v>Ikan</v>
      </c>
      <c r="L594" s="1"/>
    </row>
    <row r="595" spans="1:12" ht="12" customHeight="1" x14ac:dyDescent="0.25">
      <c r="A595" s="15">
        <v>45209</v>
      </c>
      <c r="B595" s="16">
        <v>22301912</v>
      </c>
      <c r="C595" s="16" t="s">
        <v>456</v>
      </c>
      <c r="D595" s="16" t="str">
        <f>VLOOKUP(C595,[1]master_data!$A$2:$E$495,2,FALSE)</f>
        <v>ZEBRA HIJAU</v>
      </c>
      <c r="E595" s="16">
        <v>15</v>
      </c>
      <c r="F595" s="16">
        <f>VLOOKUP(C595,[1]master_data!$A$2:$E$495,3,FALSE)</f>
        <v>800</v>
      </c>
      <c r="G595" s="16">
        <f>VLOOKUP(C595,[1]master_data!$A$2:$E$495,4,FALSE)</f>
        <v>2000</v>
      </c>
      <c r="H595" s="16">
        <f>E595*F595</f>
        <v>12000</v>
      </c>
      <c r="I595" s="16">
        <f>E595*G595</f>
        <v>30000</v>
      </c>
      <c r="J595" s="16">
        <f>I595-H595</f>
        <v>18000</v>
      </c>
      <c r="K595" s="16" t="str">
        <f>VLOOKUP(C595,[1]master_data!$A$2:$E$495,5,FALSE)</f>
        <v>Ikan</v>
      </c>
      <c r="L595" s="1"/>
    </row>
    <row r="596" spans="1:12" ht="12" customHeight="1" x14ac:dyDescent="0.25">
      <c r="A596" s="15">
        <v>45209</v>
      </c>
      <c r="B596" s="16">
        <v>22301913</v>
      </c>
      <c r="C596" s="16" t="s">
        <v>399</v>
      </c>
      <c r="D596" s="16" t="str">
        <f>VLOOKUP(C596,[1]master_data!$A$2:$E$495,2,FALSE)</f>
        <v>BALA BALA B</v>
      </c>
      <c r="E596" s="16">
        <v>1</v>
      </c>
      <c r="F596" s="16">
        <f>VLOOKUP(C596,[1]master_data!$A$2:$E$495,3,FALSE)</f>
        <v>7000</v>
      </c>
      <c r="G596" s="16">
        <f>VLOOKUP(C596,[1]master_data!$A$2:$E$495,4,FALSE)</f>
        <v>15000</v>
      </c>
      <c r="H596" s="16">
        <f>E596*F596</f>
        <v>7000</v>
      </c>
      <c r="I596" s="16">
        <f>E596*G596</f>
        <v>15000</v>
      </c>
      <c r="J596" s="16">
        <f>I596-H596</f>
        <v>8000</v>
      </c>
      <c r="K596" s="16" t="str">
        <f>VLOOKUP(C596,[1]master_data!$A$2:$E$495,5,FALSE)</f>
        <v>Ikan</v>
      </c>
      <c r="L596" s="1"/>
    </row>
    <row r="597" spans="1:12" ht="12" customHeight="1" x14ac:dyDescent="0.25">
      <c r="A597" s="15">
        <v>45209</v>
      </c>
      <c r="B597" s="16">
        <v>22301914</v>
      </c>
      <c r="C597" s="16" t="s">
        <v>58</v>
      </c>
      <c r="D597" s="16" t="str">
        <f>VLOOKUP(C597,[1]master_data!$A$2:$E$495,2,FALSE)</f>
        <v>MESIN ATMAN 104</v>
      </c>
      <c r="E597" s="16">
        <v>2</v>
      </c>
      <c r="F597" s="16">
        <f>VLOOKUP(C597,[1]master_data!$A$2:$E$495,3,FALSE)</f>
        <v>170000</v>
      </c>
      <c r="G597" s="16">
        <f>VLOOKUP(C597,[1]master_data!$A$2:$E$495,4,FALSE)</f>
        <v>225000</v>
      </c>
      <c r="H597" s="16">
        <f>E597*F597</f>
        <v>340000</v>
      </c>
      <c r="I597" s="16">
        <f>E597*G597</f>
        <v>450000</v>
      </c>
      <c r="J597" s="16">
        <f>I597-H597</f>
        <v>110000</v>
      </c>
      <c r="K597" s="16" t="str">
        <f>VLOOKUP(C597,[1]master_data!$A$2:$E$495,5,FALSE)</f>
        <v>Aksesoris</v>
      </c>
      <c r="L597" s="1"/>
    </row>
    <row r="598" spans="1:12" ht="12" customHeight="1" x14ac:dyDescent="0.25">
      <c r="A598" s="15">
        <v>45209</v>
      </c>
      <c r="B598" s="16">
        <v>22301915</v>
      </c>
      <c r="C598" s="16" t="s">
        <v>396</v>
      </c>
      <c r="D598" s="16" t="str">
        <f>VLOOKUP(C598,[1]master_data!$A$2:$E$495,2,FALSE)</f>
        <v>BIPOLAR</v>
      </c>
      <c r="E598" s="16">
        <v>30</v>
      </c>
      <c r="F598" s="16">
        <f>VLOOKUP(C598,[1]master_data!$A$2:$E$495,3,FALSE)</f>
        <v>1000</v>
      </c>
      <c r="G598" s="16">
        <f>VLOOKUP(C598,[1]master_data!$A$2:$E$495,4,FALSE)</f>
        <v>2500</v>
      </c>
      <c r="H598" s="16">
        <f>E598*F598</f>
        <v>30000</v>
      </c>
      <c r="I598" s="16">
        <f>E598*G598</f>
        <v>75000</v>
      </c>
      <c r="J598" s="16">
        <f>I598-H598</f>
        <v>45000</v>
      </c>
      <c r="K598" s="16" t="str">
        <f>VLOOKUP(C598,[1]master_data!$A$2:$E$495,5,FALSE)</f>
        <v>Ikan</v>
      </c>
      <c r="L598" s="1"/>
    </row>
    <row r="599" spans="1:12" ht="12" customHeight="1" x14ac:dyDescent="0.25">
      <c r="A599" s="15">
        <v>45208</v>
      </c>
      <c r="B599" s="16">
        <v>22301900</v>
      </c>
      <c r="C599" s="16" t="s">
        <v>409</v>
      </c>
      <c r="D599" s="16" t="str">
        <f>VLOOKUP(C599,[1]master_data!$A$2:$E$495,2,FALSE)</f>
        <v>GOLDEN BLACK</v>
      </c>
      <c r="E599" s="16">
        <v>25</v>
      </c>
      <c r="F599" s="16">
        <f>VLOOKUP(C599,[1]master_data!$A$2:$E$495,3,FALSE)</f>
        <v>800</v>
      </c>
      <c r="G599" s="16">
        <f>VLOOKUP(C599,[1]master_data!$A$2:$E$495,4,FALSE)</f>
        <v>2000</v>
      </c>
      <c r="H599" s="16">
        <f>E599*F599</f>
        <v>20000</v>
      </c>
      <c r="I599" s="16">
        <f>E599*G599</f>
        <v>50000</v>
      </c>
      <c r="J599" s="16">
        <f>I599-H599</f>
        <v>30000</v>
      </c>
      <c r="K599" s="16" t="str">
        <f>VLOOKUP(C599,[1]master_data!$A$2:$E$495,5,FALSE)</f>
        <v>Ikan</v>
      </c>
      <c r="L599" s="1"/>
    </row>
    <row r="600" spans="1:12" ht="12" customHeight="1" x14ac:dyDescent="0.25">
      <c r="A600" s="15">
        <v>45208</v>
      </c>
      <c r="B600" s="16">
        <v>22301901</v>
      </c>
      <c r="C600" s="16" t="s">
        <v>292</v>
      </c>
      <c r="D600" s="16" t="str">
        <f>VLOOKUP(C600,[1]master_data!$A$2:$E$495,2,FALSE)</f>
        <v>MAINAN KERANG</v>
      </c>
      <c r="E600" s="16">
        <v>10</v>
      </c>
      <c r="F600" s="16">
        <f>VLOOKUP(C600,[1]master_data!$A$2:$E$495,3,FALSE)</f>
        <v>15000</v>
      </c>
      <c r="G600" s="16">
        <f>VLOOKUP(C600,[1]master_data!$A$2:$E$495,4,FALSE)</f>
        <v>25000</v>
      </c>
      <c r="H600" s="16">
        <f>E600*F600</f>
        <v>150000</v>
      </c>
      <c r="I600" s="16">
        <f>E600*G600</f>
        <v>250000</v>
      </c>
      <c r="J600" s="16">
        <f>I600-H600</f>
        <v>100000</v>
      </c>
      <c r="K600" s="16" t="str">
        <f>VLOOKUP(C600,[1]master_data!$A$2:$E$495,5,FALSE)</f>
        <v>Aksesoris</v>
      </c>
      <c r="L600" s="1"/>
    </row>
    <row r="601" spans="1:12" ht="12" customHeight="1" x14ac:dyDescent="0.25">
      <c r="A601" s="15">
        <v>45208</v>
      </c>
      <c r="B601" s="16">
        <v>22301902</v>
      </c>
      <c r="C601" s="16" t="s">
        <v>402</v>
      </c>
      <c r="D601" s="16" t="str">
        <f>VLOOKUP(C601,[1]master_data!$A$2:$E$495,2,FALSE)</f>
        <v>CHANNA BLUE PULCHRA B</v>
      </c>
      <c r="E601" s="16">
        <v>2</v>
      </c>
      <c r="F601" s="16">
        <f>VLOOKUP(C601,[1]master_data!$A$2:$E$495,3,FALSE)</f>
        <v>125000</v>
      </c>
      <c r="G601" s="16">
        <f>VLOOKUP(C601,[1]master_data!$A$2:$E$495,4,FALSE)</f>
        <v>200000</v>
      </c>
      <c r="H601" s="16">
        <f>E601*F601</f>
        <v>250000</v>
      </c>
      <c r="I601" s="16">
        <f>E601*G601</f>
        <v>400000</v>
      </c>
      <c r="J601" s="16">
        <f>I601-H601</f>
        <v>150000</v>
      </c>
      <c r="K601" s="16" t="str">
        <f>VLOOKUP(C601,[1]master_data!$A$2:$E$495,5,FALSE)</f>
        <v>Ikan</v>
      </c>
      <c r="L601" s="1"/>
    </row>
    <row r="602" spans="1:12" ht="12" customHeight="1" x14ac:dyDescent="0.25">
      <c r="A602" s="15">
        <v>45208</v>
      </c>
      <c r="B602" s="16">
        <v>22301903</v>
      </c>
      <c r="C602" s="16" t="s">
        <v>415</v>
      </c>
      <c r="D602" s="16" t="str">
        <f>VLOOKUP(C602,[1]master_data!$A$2:$E$495,2,FALSE)</f>
        <v>KOI T</v>
      </c>
      <c r="E602" s="16">
        <v>10</v>
      </c>
      <c r="F602" s="16">
        <f>VLOOKUP(C602,[1]master_data!$A$2:$E$495,3,FALSE)</f>
        <v>7000</v>
      </c>
      <c r="G602" s="16">
        <f>VLOOKUP(C602,[1]master_data!$A$2:$E$495,4,FALSE)</f>
        <v>20000</v>
      </c>
      <c r="H602" s="16">
        <f>E602*F602</f>
        <v>70000</v>
      </c>
      <c r="I602" s="16">
        <f>E602*G602</f>
        <v>200000</v>
      </c>
      <c r="J602" s="16">
        <f>I602-H602</f>
        <v>130000</v>
      </c>
      <c r="K602" s="16" t="str">
        <f>VLOOKUP(C602,[1]master_data!$A$2:$E$495,5,FALSE)</f>
        <v>Ikan</v>
      </c>
      <c r="L602" s="1"/>
    </row>
    <row r="603" spans="1:12" ht="12" customHeight="1" x14ac:dyDescent="0.25">
      <c r="A603" s="15">
        <v>45208</v>
      </c>
      <c r="B603" s="16">
        <v>22301904</v>
      </c>
      <c r="C603" s="16" t="s">
        <v>458</v>
      </c>
      <c r="D603" s="16" t="str">
        <f>VLOOKUP(C603,[1]master_data!$A$2:$E$495,2,FALSE)</f>
        <v>ZEBRA KUNING</v>
      </c>
      <c r="E603" s="16">
        <v>10</v>
      </c>
      <c r="F603" s="16">
        <f>VLOOKUP(C603,[1]master_data!$A$2:$E$495,3,FALSE)</f>
        <v>800</v>
      </c>
      <c r="G603" s="16">
        <f>VLOOKUP(C603,[1]master_data!$A$2:$E$495,4,FALSE)</f>
        <v>2000</v>
      </c>
      <c r="H603" s="16">
        <f>E603*F603</f>
        <v>8000</v>
      </c>
      <c r="I603" s="16">
        <f>E603*G603</f>
        <v>20000</v>
      </c>
      <c r="J603" s="16">
        <f>I603-H603</f>
        <v>12000</v>
      </c>
      <c r="K603" s="16" t="str">
        <f>VLOOKUP(C603,[1]master_data!$A$2:$E$495,5,FALSE)</f>
        <v>Ikan</v>
      </c>
      <c r="L603" s="1"/>
    </row>
    <row r="604" spans="1:12" ht="12" customHeight="1" x14ac:dyDescent="0.25">
      <c r="A604" s="15">
        <v>45208</v>
      </c>
      <c r="B604" s="16">
        <v>22301905</v>
      </c>
      <c r="C604" s="16" t="s">
        <v>147</v>
      </c>
      <c r="D604" s="16" t="str">
        <f>VLOOKUP(C604,[1]master_data!$A$2:$E$495,2,FALSE)</f>
        <v>LED KANDILA 2 BRS 20 CM</v>
      </c>
      <c r="E604" s="16">
        <v>5</v>
      </c>
      <c r="F604" s="16">
        <f>VLOOKUP(C604,[1]master_data!$A$2:$E$495,3,FALSE)</f>
        <v>21000</v>
      </c>
      <c r="G604" s="16">
        <f>VLOOKUP(C604,[1]master_data!$A$2:$E$495,4,FALSE)</f>
        <v>35000</v>
      </c>
      <c r="H604" s="16">
        <f>E604*F604</f>
        <v>105000</v>
      </c>
      <c r="I604" s="16">
        <f>E604*G604</f>
        <v>175000</v>
      </c>
      <c r="J604" s="16">
        <f>I604-H604</f>
        <v>70000</v>
      </c>
      <c r="K604" s="16" t="str">
        <f>VLOOKUP(C604,[1]master_data!$A$2:$E$495,5,FALSE)</f>
        <v>Aksesoris</v>
      </c>
      <c r="L604" s="1"/>
    </row>
    <row r="605" spans="1:12" ht="12" customHeight="1" x14ac:dyDescent="0.25">
      <c r="A605" s="15">
        <v>45207</v>
      </c>
      <c r="B605" s="16">
        <v>22301889</v>
      </c>
      <c r="C605" s="16" t="s">
        <v>82</v>
      </c>
      <c r="D605" s="16" t="str">
        <f>VLOOKUP(C605,[1]master_data!$A$2:$E$495,2,FALSE)</f>
        <v>TOP FILTER ARMADA K</v>
      </c>
      <c r="E605" s="16">
        <v>1</v>
      </c>
      <c r="F605" s="16">
        <f>VLOOKUP(C605,[1]master_data!$A$2:$E$495,3,FALSE)</f>
        <v>33000</v>
      </c>
      <c r="G605" s="16">
        <f>VLOOKUP(C605,[1]master_data!$A$2:$E$495,4,FALSE)</f>
        <v>55000</v>
      </c>
      <c r="H605" s="16">
        <f>E605*F605</f>
        <v>33000</v>
      </c>
      <c r="I605" s="16">
        <f>E605*G605</f>
        <v>55000</v>
      </c>
      <c r="J605" s="16">
        <f>I605-H605</f>
        <v>22000</v>
      </c>
      <c r="K605" s="16" t="str">
        <f>VLOOKUP(C605,[1]master_data!$A$2:$E$495,5,FALSE)</f>
        <v>Aksesoris</v>
      </c>
      <c r="L605" s="1"/>
    </row>
    <row r="606" spans="1:12" ht="12" customHeight="1" x14ac:dyDescent="0.25">
      <c r="A606" s="15">
        <v>45207</v>
      </c>
      <c r="B606" s="16">
        <v>22301890</v>
      </c>
      <c r="C606" s="16" t="s">
        <v>103</v>
      </c>
      <c r="D606" s="16" t="str">
        <f>VLOOKUP(C606,[1]master_data!$A$2:$E$495,2,FALSE)</f>
        <v>AIRATOR ROSTON BATERAI  101</v>
      </c>
      <c r="E606" s="16">
        <v>2</v>
      </c>
      <c r="F606" s="16">
        <f>VLOOKUP(C606,[1]master_data!$A$2:$E$495,3,FALSE)</f>
        <v>35000</v>
      </c>
      <c r="G606" s="16">
        <f>VLOOKUP(C606,[1]master_data!$A$2:$E$495,4,FALSE)</f>
        <v>50000</v>
      </c>
      <c r="H606" s="16">
        <f>E606*F606</f>
        <v>70000</v>
      </c>
      <c r="I606" s="16">
        <f>E606*G606</f>
        <v>100000</v>
      </c>
      <c r="J606" s="16">
        <f>I606-H606</f>
        <v>30000</v>
      </c>
      <c r="K606" s="16" t="str">
        <f>VLOOKUP(C606,[1]master_data!$A$2:$E$495,5,FALSE)</f>
        <v>Aksesoris</v>
      </c>
      <c r="L606" s="1"/>
    </row>
    <row r="607" spans="1:12" ht="12" customHeight="1" x14ac:dyDescent="0.25">
      <c r="A607" s="15">
        <v>45207</v>
      </c>
      <c r="B607" s="16">
        <v>22301891</v>
      </c>
      <c r="C607" s="16" t="s">
        <v>415</v>
      </c>
      <c r="D607" s="16" t="str">
        <f>VLOOKUP(C607,[1]master_data!$A$2:$E$495,2,FALSE)</f>
        <v>KOI T</v>
      </c>
      <c r="E607" s="16">
        <v>1</v>
      </c>
      <c r="F607" s="16">
        <f>VLOOKUP(C607,[1]master_data!$A$2:$E$495,3,FALSE)</f>
        <v>7000</v>
      </c>
      <c r="G607" s="16">
        <f>VLOOKUP(C607,[1]master_data!$A$2:$E$495,4,FALSE)</f>
        <v>20000</v>
      </c>
      <c r="H607" s="16">
        <f>E607*F607</f>
        <v>7000</v>
      </c>
      <c r="I607" s="16">
        <f>E607*G607</f>
        <v>20000</v>
      </c>
      <c r="J607" s="16">
        <f>I607-H607</f>
        <v>13000</v>
      </c>
      <c r="K607" s="16" t="str">
        <f>VLOOKUP(C607,[1]master_data!$A$2:$E$495,5,FALSE)</f>
        <v>Ikan</v>
      </c>
      <c r="L607" s="1"/>
    </row>
    <row r="608" spans="1:12" ht="12" customHeight="1" x14ac:dyDescent="0.25">
      <c r="A608" s="15">
        <v>45207</v>
      </c>
      <c r="B608" s="16">
        <v>22301892</v>
      </c>
      <c r="C608" s="16" t="s">
        <v>149</v>
      </c>
      <c r="D608" s="16" t="str">
        <f>VLOOKUP(C608,[1]master_data!$A$2:$E$495,2,FALSE)</f>
        <v>LED HIKARI 3 MODE 80 CM</v>
      </c>
      <c r="E608" s="16">
        <v>2</v>
      </c>
      <c r="F608" s="16">
        <f>VLOOKUP(C608,[1]master_data!$A$2:$E$495,3,FALSE)</f>
        <v>89000</v>
      </c>
      <c r="G608" s="16">
        <f>VLOOKUP(C608,[1]master_data!$A$2:$E$495,4,FALSE)</f>
        <v>140000</v>
      </c>
      <c r="H608" s="16">
        <f>E608*F608</f>
        <v>178000</v>
      </c>
      <c r="I608" s="16">
        <f>E608*G608</f>
        <v>280000</v>
      </c>
      <c r="J608" s="16">
        <f>I608-H608</f>
        <v>102000</v>
      </c>
      <c r="K608" s="16" t="str">
        <f>VLOOKUP(C608,[1]master_data!$A$2:$E$495,5,FALSE)</f>
        <v>Aksesoris</v>
      </c>
      <c r="L608" s="1"/>
    </row>
    <row r="609" spans="1:12" ht="12" customHeight="1" x14ac:dyDescent="0.25">
      <c r="A609" s="15">
        <v>45207</v>
      </c>
      <c r="B609" s="16">
        <v>22301893</v>
      </c>
      <c r="C609" s="16" t="s">
        <v>389</v>
      </c>
      <c r="D609" s="16" t="str">
        <f>VLOOKUP(C609,[1]master_data!$A$2:$E$495,2,FALSE)</f>
        <v>CHANNA ANDRAO K</v>
      </c>
      <c r="E609" s="16">
        <v>10</v>
      </c>
      <c r="F609" s="16">
        <f>VLOOKUP(C609,[1]master_data!$A$2:$E$495,3,FALSE)</f>
        <v>20000</v>
      </c>
      <c r="G609" s="16">
        <f>VLOOKUP(C609,[1]master_data!$A$2:$E$495,4,FALSE)</f>
        <v>50000</v>
      </c>
      <c r="H609" s="16">
        <f>E609*F609</f>
        <v>200000</v>
      </c>
      <c r="I609" s="16">
        <f>E609*G609</f>
        <v>500000</v>
      </c>
      <c r="J609" s="16">
        <f>I609-H609</f>
        <v>300000</v>
      </c>
      <c r="K609" s="16" t="str">
        <f>VLOOKUP(C609,[1]master_data!$A$2:$E$495,5,FALSE)</f>
        <v>Ikan</v>
      </c>
      <c r="L609" s="1"/>
    </row>
    <row r="610" spans="1:12" ht="12" customHeight="1" x14ac:dyDescent="0.25">
      <c r="A610" s="15">
        <v>45207</v>
      </c>
      <c r="B610" s="16">
        <v>22301894</v>
      </c>
      <c r="C610" s="16" t="s">
        <v>409</v>
      </c>
      <c r="D610" s="16" t="str">
        <f>VLOOKUP(C610,[1]master_data!$A$2:$E$495,2,FALSE)</f>
        <v>GOLDEN BLACK</v>
      </c>
      <c r="E610" s="16">
        <v>15</v>
      </c>
      <c r="F610" s="16">
        <f>VLOOKUP(C610,[1]master_data!$A$2:$E$495,3,FALSE)</f>
        <v>800</v>
      </c>
      <c r="G610" s="16">
        <f>VLOOKUP(C610,[1]master_data!$A$2:$E$495,4,FALSE)</f>
        <v>2000</v>
      </c>
      <c r="H610" s="16">
        <f>E610*F610</f>
        <v>12000</v>
      </c>
      <c r="I610" s="16">
        <f>E610*G610</f>
        <v>30000</v>
      </c>
      <c r="J610" s="16">
        <f>I610-H610</f>
        <v>18000</v>
      </c>
      <c r="K610" s="16" t="str">
        <f>VLOOKUP(C610,[1]master_data!$A$2:$E$495,5,FALSE)</f>
        <v>Ikan</v>
      </c>
      <c r="L610" s="1"/>
    </row>
    <row r="611" spans="1:12" ht="12" customHeight="1" x14ac:dyDescent="0.25">
      <c r="A611" s="15">
        <v>45207</v>
      </c>
      <c r="B611" s="16">
        <v>22301895</v>
      </c>
      <c r="C611" s="16" t="s">
        <v>332</v>
      </c>
      <c r="D611" s="16" t="str">
        <f>VLOOKUP(C611,[1]master_data!$A$2:$E$495,2,FALSE)</f>
        <v>KAPAS 2 LAPIS</v>
      </c>
      <c r="E611" s="16">
        <v>10</v>
      </c>
      <c r="F611" s="16">
        <f>VLOOKUP(C611,[1]master_data!$A$2:$E$495,3,FALSE)</f>
        <v>2000</v>
      </c>
      <c r="G611" s="16">
        <f>VLOOKUP(C611,[1]master_data!$A$2:$E$495,4,FALSE)</f>
        <v>4000</v>
      </c>
      <c r="H611" s="16">
        <f>E611*F611</f>
        <v>20000</v>
      </c>
      <c r="I611" s="16">
        <f>E611*G611</f>
        <v>40000</v>
      </c>
      <c r="J611" s="16">
        <f>I611-H611</f>
        <v>20000</v>
      </c>
      <c r="K611" s="16" t="str">
        <f>VLOOKUP(C611,[1]master_data!$A$2:$E$495,5,FALSE)</f>
        <v>Aksesoris</v>
      </c>
      <c r="L611" s="1"/>
    </row>
    <row r="612" spans="1:12" ht="12" customHeight="1" x14ac:dyDescent="0.25">
      <c r="A612" s="15">
        <v>45207</v>
      </c>
      <c r="B612" s="16">
        <v>22301896</v>
      </c>
      <c r="C612" s="16" t="s">
        <v>440</v>
      </c>
      <c r="D612" s="16" t="str">
        <f>VLOOKUP(C612,[1]master_data!$A$2:$E$495,2,FALSE)</f>
        <v>PEMBERSIH KACA ALBINO</v>
      </c>
      <c r="E612" s="16">
        <v>20</v>
      </c>
      <c r="F612" s="16">
        <f>VLOOKUP(C612,[1]master_data!$A$2:$E$495,3,FALSE)</f>
        <v>2500</v>
      </c>
      <c r="G612" s="16">
        <f>VLOOKUP(C612,[1]master_data!$A$2:$E$495,4,FALSE)</f>
        <v>5000</v>
      </c>
      <c r="H612" s="16">
        <f>E612*F612</f>
        <v>50000</v>
      </c>
      <c r="I612" s="16">
        <f>E612*G612</f>
        <v>100000</v>
      </c>
      <c r="J612" s="16">
        <f>I612-H612</f>
        <v>50000</v>
      </c>
      <c r="K612" s="16" t="str">
        <f>VLOOKUP(C612,[1]master_data!$A$2:$E$495,5,FALSE)</f>
        <v>Ikan</v>
      </c>
      <c r="L612" s="1"/>
    </row>
    <row r="613" spans="1:12" ht="12" customHeight="1" x14ac:dyDescent="0.25">
      <c r="A613" s="15">
        <v>45207</v>
      </c>
      <c r="B613" s="16">
        <v>22301897</v>
      </c>
      <c r="C613" s="16" t="s">
        <v>404</v>
      </c>
      <c r="D613" s="16" t="str">
        <f>VLOOKUP(C613,[1]master_data!$A$2:$E$495,2,FALSE)</f>
        <v>BARBIR</v>
      </c>
      <c r="E613" s="16">
        <v>30</v>
      </c>
      <c r="F613" s="16">
        <f>VLOOKUP(C613,[1]master_data!$A$2:$E$495,3,FALSE)</f>
        <v>800</v>
      </c>
      <c r="G613" s="16">
        <f>VLOOKUP(C613,[1]master_data!$A$2:$E$495,4,FALSE)</f>
        <v>2000</v>
      </c>
      <c r="H613" s="16">
        <f>E613*F613</f>
        <v>24000</v>
      </c>
      <c r="I613" s="16">
        <f>E613*G613</f>
        <v>60000</v>
      </c>
      <c r="J613" s="16">
        <f>I613-H613</f>
        <v>36000</v>
      </c>
      <c r="K613" s="16" t="str">
        <f>VLOOKUP(C613,[1]master_data!$A$2:$E$495,5,FALSE)</f>
        <v>Ikan</v>
      </c>
      <c r="L613" s="1"/>
    </row>
    <row r="614" spans="1:12" ht="12" customHeight="1" x14ac:dyDescent="0.25">
      <c r="A614" s="15">
        <v>45207</v>
      </c>
      <c r="B614" s="16">
        <v>22301898</v>
      </c>
      <c r="C614" s="16" t="s">
        <v>227</v>
      </c>
      <c r="D614" s="16" t="str">
        <f>VLOOKUP(C614,[1]master_data!$A$2:$E$495,2,FALSE)</f>
        <v>OK IKO LOUHAN HITAM</v>
      </c>
      <c r="E614" s="16">
        <v>1</v>
      </c>
      <c r="F614" s="16">
        <f>VLOOKUP(C614,[1]master_data!$A$2:$E$495,3,FALSE)</f>
        <v>31500</v>
      </c>
      <c r="G614" s="16">
        <f>VLOOKUP(C614,[1]master_data!$A$2:$E$495,4,FALSE)</f>
        <v>50000</v>
      </c>
      <c r="H614" s="16">
        <f>E614*F614</f>
        <v>31500</v>
      </c>
      <c r="I614" s="16">
        <f>E614*G614</f>
        <v>50000</v>
      </c>
      <c r="J614" s="16">
        <f>I614-H614</f>
        <v>18500</v>
      </c>
      <c r="K614" s="16" t="str">
        <f>VLOOKUP(C614,[1]master_data!$A$2:$E$495,5,FALSE)</f>
        <v>Aksesoris</v>
      </c>
      <c r="L614" s="1"/>
    </row>
    <row r="615" spans="1:12" ht="12" customHeight="1" x14ac:dyDescent="0.25">
      <c r="A615" s="15">
        <v>45207</v>
      </c>
      <c r="B615" s="16">
        <v>22301899</v>
      </c>
      <c r="C615" s="16" t="s">
        <v>390</v>
      </c>
      <c r="D615" s="16" t="str">
        <f>VLOOKUP(C615,[1]master_data!$A$2:$E$495,2,FALSE)</f>
        <v>CHANNA ASIATICA B</v>
      </c>
      <c r="E615" s="16">
        <v>2</v>
      </c>
      <c r="F615" s="16">
        <f>VLOOKUP(C615,[1]master_data!$A$2:$E$495,3,FALSE)</f>
        <v>40000</v>
      </c>
      <c r="G615" s="16">
        <f>VLOOKUP(C615,[1]master_data!$A$2:$E$495,4,FALSE)</f>
        <v>100000</v>
      </c>
      <c r="H615" s="16">
        <f>E615*F615</f>
        <v>80000</v>
      </c>
      <c r="I615" s="16">
        <f>E615*G615</f>
        <v>200000</v>
      </c>
      <c r="J615" s="16">
        <f>I615-H615</f>
        <v>120000</v>
      </c>
      <c r="K615" s="16" t="str">
        <f>VLOOKUP(C615,[1]master_data!$A$2:$E$495,5,FALSE)</f>
        <v>Ikan</v>
      </c>
      <c r="L615" s="1"/>
    </row>
    <row r="616" spans="1:12" ht="12" customHeight="1" x14ac:dyDescent="0.25">
      <c r="A616" s="15">
        <v>45206</v>
      </c>
      <c r="B616" s="16">
        <v>22301878</v>
      </c>
      <c r="C616" s="16" t="s">
        <v>406</v>
      </c>
      <c r="D616" s="16" t="str">
        <f>VLOOKUP(C616,[1]master_data!$A$2:$E$495,2,FALSE)</f>
        <v>CATFISH</v>
      </c>
      <c r="E616" s="16">
        <v>1</v>
      </c>
      <c r="F616" s="16">
        <f>VLOOKUP(C616,[1]master_data!$A$2:$E$495,3,FALSE)</f>
        <v>20000</v>
      </c>
      <c r="G616" s="16">
        <f>VLOOKUP(C616,[1]master_data!$A$2:$E$495,4,FALSE)</f>
        <v>50000</v>
      </c>
      <c r="H616" s="16">
        <f>E616*F616</f>
        <v>20000</v>
      </c>
      <c r="I616" s="16">
        <f>E616*G616</f>
        <v>50000</v>
      </c>
      <c r="J616" s="16">
        <f>I616-H616</f>
        <v>30000</v>
      </c>
      <c r="K616" s="16" t="str">
        <f>VLOOKUP(C616,[1]master_data!$A$2:$E$495,5,FALSE)</f>
        <v>Ikan</v>
      </c>
      <c r="L616" s="1"/>
    </row>
    <row r="617" spans="1:12" ht="12" customHeight="1" x14ac:dyDescent="0.25">
      <c r="A617" s="15">
        <v>45206</v>
      </c>
      <c r="B617" s="16">
        <v>22301879</v>
      </c>
      <c r="C617" s="16" t="s">
        <v>421</v>
      </c>
      <c r="D617" s="16" t="str">
        <f>VLOOKUP(C617,[1]master_data!$A$2:$E$495,2,FALSE)</f>
        <v>KOI SLAYER K</v>
      </c>
      <c r="E617" s="16">
        <v>20</v>
      </c>
      <c r="F617" s="16">
        <f>VLOOKUP(C617,[1]master_data!$A$2:$E$495,3,FALSE)</f>
        <v>3500</v>
      </c>
      <c r="G617" s="16">
        <f>VLOOKUP(C617,[1]master_data!$A$2:$E$495,4,FALSE)</f>
        <v>10000</v>
      </c>
      <c r="H617" s="16">
        <f>E617*F617</f>
        <v>70000</v>
      </c>
      <c r="I617" s="16">
        <f>E617*G617</f>
        <v>200000</v>
      </c>
      <c r="J617" s="16">
        <f>I617-H617</f>
        <v>130000</v>
      </c>
      <c r="K617" s="16" t="str">
        <f>VLOOKUP(C617,[1]master_data!$A$2:$E$495,5,FALSE)</f>
        <v>Ikan</v>
      </c>
      <c r="L617" s="1"/>
    </row>
    <row r="618" spans="1:12" ht="12" customHeight="1" x14ac:dyDescent="0.25">
      <c r="A618" s="15">
        <v>45206</v>
      </c>
      <c r="B618" s="16">
        <v>22301880</v>
      </c>
      <c r="C618" s="16" t="s">
        <v>409</v>
      </c>
      <c r="D618" s="16" t="str">
        <f>VLOOKUP(C618,[1]master_data!$A$2:$E$495,2,FALSE)</f>
        <v>GOLDEN BLACK</v>
      </c>
      <c r="E618" s="16">
        <v>20</v>
      </c>
      <c r="F618" s="16">
        <f>VLOOKUP(C618,[1]master_data!$A$2:$E$495,3,FALSE)</f>
        <v>800</v>
      </c>
      <c r="G618" s="16">
        <f>VLOOKUP(C618,[1]master_data!$A$2:$E$495,4,FALSE)</f>
        <v>2000</v>
      </c>
      <c r="H618" s="16">
        <f>E618*F618</f>
        <v>16000</v>
      </c>
      <c r="I618" s="16">
        <f>E618*G618</f>
        <v>40000</v>
      </c>
      <c r="J618" s="16">
        <f>I618-H618</f>
        <v>24000</v>
      </c>
      <c r="K618" s="16" t="str">
        <f>VLOOKUP(C618,[1]master_data!$A$2:$E$495,5,FALSE)</f>
        <v>Ikan</v>
      </c>
      <c r="L618" s="1"/>
    </row>
    <row r="619" spans="1:12" ht="12" customHeight="1" x14ac:dyDescent="0.25">
      <c r="A619" s="15">
        <v>45206</v>
      </c>
      <c r="B619" s="16">
        <v>22301881</v>
      </c>
      <c r="C619" s="16" t="s">
        <v>390</v>
      </c>
      <c r="D619" s="16" t="str">
        <f>VLOOKUP(C619,[1]master_data!$A$2:$E$495,2,FALSE)</f>
        <v>CHANNA ASIATICA B</v>
      </c>
      <c r="E619" s="16">
        <v>4</v>
      </c>
      <c r="F619" s="16">
        <f>VLOOKUP(C619,[1]master_data!$A$2:$E$495,3,FALSE)</f>
        <v>40000</v>
      </c>
      <c r="G619" s="16">
        <f>VLOOKUP(C619,[1]master_data!$A$2:$E$495,4,FALSE)</f>
        <v>100000</v>
      </c>
      <c r="H619" s="16">
        <f>E619*F619</f>
        <v>160000</v>
      </c>
      <c r="I619" s="16">
        <f>E619*G619</f>
        <v>400000</v>
      </c>
      <c r="J619" s="16">
        <f>I619-H619</f>
        <v>240000</v>
      </c>
      <c r="K619" s="16" t="str">
        <f>VLOOKUP(C619,[1]master_data!$A$2:$E$495,5,FALSE)</f>
        <v>Ikan</v>
      </c>
      <c r="L619" s="1"/>
    </row>
    <row r="620" spans="1:12" ht="12" customHeight="1" x14ac:dyDescent="0.25">
      <c r="A620" s="15">
        <v>45206</v>
      </c>
      <c r="B620" s="16">
        <v>22301882</v>
      </c>
      <c r="C620" s="16" t="s">
        <v>407</v>
      </c>
      <c r="D620" s="16" t="str">
        <f>VLOOKUP(C620,[1]master_data!$A$2:$E$495,2,FALSE)</f>
        <v>GOLD FISH</v>
      </c>
      <c r="E620" s="16">
        <v>10</v>
      </c>
      <c r="F620" s="16">
        <f>VLOOKUP(C620,[1]master_data!$A$2:$E$495,3,FALSE)</f>
        <v>800</v>
      </c>
      <c r="G620" s="16">
        <f>VLOOKUP(C620,[1]master_data!$A$2:$E$495,4,FALSE)</f>
        <v>2000</v>
      </c>
      <c r="H620" s="16">
        <f>E620*F620</f>
        <v>8000</v>
      </c>
      <c r="I620" s="16">
        <f>E620*G620</f>
        <v>20000</v>
      </c>
      <c r="J620" s="16">
        <f>I620-H620</f>
        <v>12000</v>
      </c>
      <c r="K620" s="16" t="str">
        <f>VLOOKUP(C620,[1]master_data!$A$2:$E$495,5,FALSE)</f>
        <v>Ikan</v>
      </c>
      <c r="L620" s="1"/>
    </row>
    <row r="621" spans="1:12" ht="12" customHeight="1" x14ac:dyDescent="0.25">
      <c r="A621" s="15">
        <v>45206</v>
      </c>
      <c r="B621" s="16">
        <v>22301883</v>
      </c>
      <c r="C621" s="16" t="s">
        <v>461</v>
      </c>
      <c r="D621" s="16" t="str">
        <f>VLOOKUP(C621,[1]master_data!$A$2:$E$495,2,FALSE)</f>
        <v>CHANNA STEWARTI</v>
      </c>
      <c r="E621" s="16">
        <v>2</v>
      </c>
      <c r="F621" s="16">
        <f>VLOOKUP(C621,[1]master_data!$A$2:$E$495,3,FALSE)</f>
        <v>15000</v>
      </c>
      <c r="G621" s="16">
        <f>VLOOKUP(C621,[1]master_data!$A$2:$E$495,4,FALSE)</f>
        <v>40000</v>
      </c>
      <c r="H621" s="16">
        <f>E621*F621</f>
        <v>30000</v>
      </c>
      <c r="I621" s="16">
        <f>E621*G621</f>
        <v>80000</v>
      </c>
      <c r="J621" s="16">
        <f>I621-H621</f>
        <v>50000</v>
      </c>
      <c r="K621" s="16" t="str">
        <f>VLOOKUP(C621,[1]master_data!$A$2:$E$495,5,FALSE)</f>
        <v>Ikan</v>
      </c>
      <c r="L621" s="1"/>
    </row>
    <row r="622" spans="1:12" ht="12" customHeight="1" x14ac:dyDescent="0.25">
      <c r="A622" s="15">
        <v>45206</v>
      </c>
      <c r="B622" s="16">
        <v>22301884</v>
      </c>
      <c r="C622" s="16" t="s">
        <v>434</v>
      </c>
      <c r="D622" s="16" t="str">
        <f>VLOOKUP(C622,[1]master_data!$A$2:$E$495,2,FALSE)</f>
        <v>NIASA</v>
      </c>
      <c r="E622" s="16">
        <v>25</v>
      </c>
      <c r="F622" s="16">
        <f>VLOOKUP(C622,[1]master_data!$A$2:$E$495,3,FALSE)</f>
        <v>900</v>
      </c>
      <c r="G622" s="16">
        <f>VLOOKUP(C622,[1]master_data!$A$2:$E$495,4,FALSE)</f>
        <v>2000</v>
      </c>
      <c r="H622" s="16">
        <f>E622*F622</f>
        <v>22500</v>
      </c>
      <c r="I622" s="16">
        <f>E622*G622</f>
        <v>50000</v>
      </c>
      <c r="J622" s="16">
        <f>I622-H622</f>
        <v>27500</v>
      </c>
      <c r="K622" s="16" t="str">
        <f>VLOOKUP(C622,[1]master_data!$A$2:$E$495,5,FALSE)</f>
        <v>Ikan</v>
      </c>
      <c r="L622" s="1"/>
    </row>
    <row r="623" spans="1:12" ht="12" customHeight="1" x14ac:dyDescent="0.25">
      <c r="A623" s="15">
        <v>45206</v>
      </c>
      <c r="B623" s="16">
        <v>22301885</v>
      </c>
      <c r="C623" s="16" t="s">
        <v>420</v>
      </c>
      <c r="D623" s="16" t="str">
        <f>VLOOKUP(C623,[1]master_data!$A$2:$E$495,2,FALSE)</f>
        <v>KOMET SLAYER</v>
      </c>
      <c r="E623" s="16">
        <v>10</v>
      </c>
      <c r="F623" s="16">
        <f>VLOOKUP(C623,[1]master_data!$A$2:$E$495,3,FALSE)</f>
        <v>2000</v>
      </c>
      <c r="G623" s="16">
        <f>VLOOKUP(C623,[1]master_data!$A$2:$E$495,4,FALSE)</f>
        <v>5000</v>
      </c>
      <c r="H623" s="16">
        <f>E623*F623</f>
        <v>20000</v>
      </c>
      <c r="I623" s="16">
        <f>E623*G623</f>
        <v>50000</v>
      </c>
      <c r="J623" s="16">
        <f>I623-H623</f>
        <v>30000</v>
      </c>
      <c r="K623" s="16" t="str">
        <f>VLOOKUP(C623,[1]master_data!$A$2:$E$495,5,FALSE)</f>
        <v>Ikan</v>
      </c>
      <c r="L623" s="1"/>
    </row>
    <row r="624" spans="1:12" ht="12" customHeight="1" x14ac:dyDescent="0.25">
      <c r="A624" s="15">
        <v>45206</v>
      </c>
      <c r="B624" s="16">
        <v>22301886</v>
      </c>
      <c r="C624" s="16" t="s">
        <v>395</v>
      </c>
      <c r="D624" s="16" t="str">
        <f>VLOOKUP(C624,[1]master_data!$A$2:$E$495,2,FALSE)</f>
        <v>ALIGATOR</v>
      </c>
      <c r="E624" s="16">
        <v>2</v>
      </c>
      <c r="F624" s="16">
        <f>VLOOKUP(C624,[1]master_data!$A$2:$E$495,3,FALSE)</f>
        <v>17000</v>
      </c>
      <c r="G624" s="16">
        <f>VLOOKUP(C624,[1]master_data!$A$2:$E$495,4,FALSE)</f>
        <v>35000</v>
      </c>
      <c r="H624" s="16">
        <f>E624*F624</f>
        <v>34000</v>
      </c>
      <c r="I624" s="16">
        <f>E624*G624</f>
        <v>70000</v>
      </c>
      <c r="J624" s="16">
        <f>I624-H624</f>
        <v>36000</v>
      </c>
      <c r="K624" s="16" t="str">
        <f>VLOOKUP(C624,[1]master_data!$A$2:$E$495,5,FALSE)</f>
        <v>Ikan</v>
      </c>
      <c r="L624" s="1"/>
    </row>
    <row r="625" spans="1:12" ht="12" customHeight="1" x14ac:dyDescent="0.25">
      <c r="A625" s="15">
        <v>45206</v>
      </c>
      <c r="B625" s="16">
        <v>22301887</v>
      </c>
      <c r="C625" s="16" t="s">
        <v>406</v>
      </c>
      <c r="D625" s="16" t="str">
        <f>VLOOKUP(C625,[1]master_data!$A$2:$E$495,2,FALSE)</f>
        <v>CATFISH</v>
      </c>
      <c r="E625" s="16">
        <v>1</v>
      </c>
      <c r="F625" s="16">
        <f>VLOOKUP(C625,[1]master_data!$A$2:$E$495,3,FALSE)</f>
        <v>20000</v>
      </c>
      <c r="G625" s="16">
        <f>VLOOKUP(C625,[1]master_data!$A$2:$E$495,4,FALSE)</f>
        <v>50000</v>
      </c>
      <c r="H625" s="16">
        <f>E625*F625</f>
        <v>20000</v>
      </c>
      <c r="I625" s="16">
        <f>E625*G625</f>
        <v>50000</v>
      </c>
      <c r="J625" s="16">
        <f>I625-H625</f>
        <v>30000</v>
      </c>
      <c r="K625" s="16" t="str">
        <f>VLOOKUP(C625,[1]master_data!$A$2:$E$495,5,FALSE)</f>
        <v>Ikan</v>
      </c>
      <c r="L625" s="1"/>
    </row>
    <row r="626" spans="1:12" ht="12" customHeight="1" x14ac:dyDescent="0.25">
      <c r="A626" s="15">
        <v>45206</v>
      </c>
      <c r="B626" s="16">
        <v>22301888</v>
      </c>
      <c r="C626" s="16" t="s">
        <v>406</v>
      </c>
      <c r="D626" s="16" t="str">
        <f>VLOOKUP(C626,[1]master_data!$A$2:$E$495,2,FALSE)</f>
        <v>CATFISH</v>
      </c>
      <c r="E626" s="16">
        <v>1</v>
      </c>
      <c r="F626" s="16">
        <f>VLOOKUP(C626,[1]master_data!$A$2:$E$495,3,FALSE)</f>
        <v>20000</v>
      </c>
      <c r="G626" s="16">
        <f>VLOOKUP(C626,[1]master_data!$A$2:$E$495,4,FALSE)</f>
        <v>50000</v>
      </c>
      <c r="H626" s="16">
        <f>E626*F626</f>
        <v>20000</v>
      </c>
      <c r="I626" s="16">
        <f>E626*G626</f>
        <v>50000</v>
      </c>
      <c r="J626" s="16">
        <f>I626-H626</f>
        <v>30000</v>
      </c>
      <c r="K626" s="16" t="str">
        <f>VLOOKUP(C626,[1]master_data!$A$2:$E$495,5,FALSE)</f>
        <v>Ikan</v>
      </c>
      <c r="L626" s="1"/>
    </row>
    <row r="627" spans="1:12" ht="12" customHeight="1" x14ac:dyDescent="0.25">
      <c r="A627" s="15">
        <v>45205</v>
      </c>
      <c r="B627" s="16">
        <v>22301874</v>
      </c>
      <c r="C627" s="16" t="s">
        <v>443</v>
      </c>
      <c r="D627" s="16" t="str">
        <f>VLOOKUP(C627,[1]master_data!$A$2:$E$495,2,FALSE)</f>
        <v>PESO</v>
      </c>
      <c r="E627" s="16">
        <v>10</v>
      </c>
      <c r="F627" s="16">
        <f>VLOOKUP(C627,[1]master_data!$A$2:$E$495,3,FALSE)</f>
        <v>19000</v>
      </c>
      <c r="G627" s="16">
        <f>VLOOKUP(C627,[1]master_data!$A$2:$E$495,4,FALSE)</f>
        <v>40000</v>
      </c>
      <c r="H627" s="16">
        <f>E627*F627</f>
        <v>190000</v>
      </c>
      <c r="I627" s="16">
        <f>E627*G627</f>
        <v>400000</v>
      </c>
      <c r="J627" s="16">
        <f>I627-H627</f>
        <v>210000</v>
      </c>
      <c r="K627" s="16" t="str">
        <f>VLOOKUP(C627,[1]master_data!$A$2:$E$495,5,FALSE)</f>
        <v>Ikan</v>
      </c>
      <c r="L627" s="1"/>
    </row>
    <row r="628" spans="1:12" ht="12" customHeight="1" x14ac:dyDescent="0.25">
      <c r="A628" s="15">
        <v>45205</v>
      </c>
      <c r="B628" s="16">
        <v>22301875</v>
      </c>
      <c r="C628" s="16" t="s">
        <v>391</v>
      </c>
      <c r="D628" s="16" t="str">
        <f>VLOOKUP(C628,[1]master_data!$A$2:$E$495,2,FALSE)</f>
        <v>CHANNA ANDRAO B</v>
      </c>
      <c r="E628" s="16">
        <v>2</v>
      </c>
      <c r="F628" s="16">
        <f>VLOOKUP(C628,[1]master_data!$A$2:$E$495,3,FALSE)</f>
        <v>100000</v>
      </c>
      <c r="G628" s="16">
        <f>VLOOKUP(C628,[1]master_data!$A$2:$E$495,4,FALSE)</f>
        <v>200000</v>
      </c>
      <c r="H628" s="16">
        <f>E628*F628</f>
        <v>200000</v>
      </c>
      <c r="I628" s="16">
        <f>E628*G628</f>
        <v>400000</v>
      </c>
      <c r="J628" s="16">
        <f>I628-H628</f>
        <v>200000</v>
      </c>
      <c r="K628" s="16" t="str">
        <f>VLOOKUP(C628,[1]master_data!$A$2:$E$495,5,FALSE)</f>
        <v>Ikan</v>
      </c>
      <c r="L628" s="1"/>
    </row>
    <row r="629" spans="1:12" ht="12" customHeight="1" x14ac:dyDescent="0.25">
      <c r="A629" s="15">
        <v>45205</v>
      </c>
      <c r="B629" s="16">
        <v>22301876</v>
      </c>
      <c r="C629" s="16" t="s">
        <v>398</v>
      </c>
      <c r="D629" s="16" t="str">
        <f>VLOOKUP(C629,[1]master_data!$A$2:$E$495,2,FALSE)</f>
        <v>BALA BALA K</v>
      </c>
      <c r="E629" s="16">
        <v>22</v>
      </c>
      <c r="F629" s="16">
        <f>VLOOKUP(C629,[1]master_data!$A$2:$E$495,3,FALSE)</f>
        <v>4000</v>
      </c>
      <c r="G629" s="16">
        <f>VLOOKUP(C629,[1]master_data!$A$2:$E$495,4,FALSE)</f>
        <v>8000</v>
      </c>
      <c r="H629" s="16">
        <f>E629*F629</f>
        <v>88000</v>
      </c>
      <c r="I629" s="16">
        <f>E629*G629</f>
        <v>176000</v>
      </c>
      <c r="J629" s="16">
        <f>I629-H629</f>
        <v>88000</v>
      </c>
      <c r="K629" s="16" t="str">
        <f>VLOOKUP(C629,[1]master_data!$A$2:$E$495,5,FALSE)</f>
        <v>Ikan</v>
      </c>
      <c r="L629" s="1"/>
    </row>
    <row r="630" spans="1:12" ht="12" customHeight="1" x14ac:dyDescent="0.25">
      <c r="A630" s="15">
        <v>45205</v>
      </c>
      <c r="B630" s="16">
        <v>22301877</v>
      </c>
      <c r="C630" s="16" t="s">
        <v>433</v>
      </c>
      <c r="D630" s="16" t="str">
        <f>VLOOKUP(C630,[1]master_data!$A$2:$E$495,2,FALSE)</f>
        <v>MOLI BALON</v>
      </c>
      <c r="E630" s="16">
        <v>1</v>
      </c>
      <c r="F630" s="16">
        <f>VLOOKUP(C630,[1]master_data!$A$2:$E$495,3,FALSE)</f>
        <v>800</v>
      </c>
      <c r="G630" s="16">
        <f>VLOOKUP(C630,[1]master_data!$A$2:$E$495,4,FALSE)</f>
        <v>2000</v>
      </c>
      <c r="H630" s="16">
        <f>E630*F630</f>
        <v>800</v>
      </c>
      <c r="I630" s="16">
        <f>E630*G630</f>
        <v>2000</v>
      </c>
      <c r="J630" s="16">
        <f>I630-H630</f>
        <v>1200</v>
      </c>
      <c r="K630" s="16" t="str">
        <f>VLOOKUP(C630,[1]master_data!$A$2:$E$495,5,FALSE)</f>
        <v>Ikan</v>
      </c>
      <c r="L630" s="1"/>
    </row>
    <row r="631" spans="1:12" ht="12" customHeight="1" x14ac:dyDescent="0.25">
      <c r="A631" s="15">
        <v>45204</v>
      </c>
      <c r="B631" s="16">
        <v>22301873</v>
      </c>
      <c r="C631" s="16" t="s">
        <v>446</v>
      </c>
      <c r="D631" s="16" t="str">
        <f>VLOOKUP(C631,[1]master_data!$A$2:$E$495,2,FALSE)</f>
        <v xml:space="preserve"> CHANNA RED BARITO K</v>
      </c>
      <c r="E631" s="16">
        <v>9</v>
      </c>
      <c r="F631" s="16">
        <f>VLOOKUP(C631,[1]master_data!$A$2:$E$495,3,FALSE)</f>
        <v>45000</v>
      </c>
      <c r="G631" s="16">
        <f>VLOOKUP(C631,[1]master_data!$A$2:$E$495,4,FALSE)</f>
        <v>100000</v>
      </c>
      <c r="H631" s="16">
        <f>E631*F631</f>
        <v>405000</v>
      </c>
      <c r="I631" s="16">
        <f>E631*G631</f>
        <v>900000</v>
      </c>
      <c r="J631" s="16">
        <f>I631-H631</f>
        <v>495000</v>
      </c>
      <c r="K631" s="16" t="str">
        <f>VLOOKUP(C631,[1]master_data!$A$2:$E$495,5,FALSE)</f>
        <v>Ikan</v>
      </c>
      <c r="L631" s="1"/>
    </row>
    <row r="632" spans="1:12" ht="12" customHeight="1" x14ac:dyDescent="0.25">
      <c r="A632" s="15">
        <v>45203</v>
      </c>
      <c r="B632" s="16">
        <v>22301864</v>
      </c>
      <c r="C632" s="16" t="s">
        <v>430</v>
      </c>
      <c r="D632" s="16" t="str">
        <f>VLOOKUP(C632,[1]master_data!$A$2:$E$495,2,FALSE)</f>
        <v>MARU K</v>
      </c>
      <c r="E632" s="16">
        <v>1</v>
      </c>
      <c r="F632" s="16">
        <f>VLOOKUP(C632,[1]master_data!$A$2:$E$495,3,FALSE)</f>
        <v>23000</v>
      </c>
      <c r="G632" s="16">
        <f>VLOOKUP(C632,[1]master_data!$A$2:$E$495,4,FALSE)</f>
        <v>50000</v>
      </c>
      <c r="H632" s="16">
        <f>E632*F632</f>
        <v>23000</v>
      </c>
      <c r="I632" s="16">
        <f>E632*G632</f>
        <v>50000</v>
      </c>
      <c r="J632" s="16">
        <f>I632-H632</f>
        <v>27000</v>
      </c>
      <c r="K632" s="16" t="str">
        <f>VLOOKUP(C632,[1]master_data!$A$2:$E$495,5,FALSE)</f>
        <v>Ikan</v>
      </c>
      <c r="L632" s="1"/>
    </row>
    <row r="633" spans="1:12" ht="12" customHeight="1" x14ac:dyDescent="0.25">
      <c r="A633" s="15">
        <v>45203</v>
      </c>
      <c r="B633" s="16">
        <v>22301865</v>
      </c>
      <c r="C633" s="16" t="s">
        <v>456</v>
      </c>
      <c r="D633" s="16" t="str">
        <f>VLOOKUP(C633,[1]master_data!$A$2:$E$495,2,FALSE)</f>
        <v>ZEBRA HIJAU</v>
      </c>
      <c r="E633" s="16">
        <v>20</v>
      </c>
      <c r="F633" s="16">
        <f>VLOOKUP(C633,[1]master_data!$A$2:$E$495,3,FALSE)</f>
        <v>800</v>
      </c>
      <c r="G633" s="16">
        <f>VLOOKUP(C633,[1]master_data!$A$2:$E$495,4,FALSE)</f>
        <v>2000</v>
      </c>
      <c r="H633" s="16">
        <f>E633*F633</f>
        <v>16000</v>
      </c>
      <c r="I633" s="16">
        <f>E633*G633</f>
        <v>40000</v>
      </c>
      <c r="J633" s="16">
        <f>I633-H633</f>
        <v>24000</v>
      </c>
      <c r="K633" s="16" t="str">
        <f>VLOOKUP(C633,[1]master_data!$A$2:$E$495,5,FALSE)</f>
        <v>Ikan</v>
      </c>
      <c r="L633" s="1"/>
    </row>
    <row r="634" spans="1:12" ht="12" customHeight="1" x14ac:dyDescent="0.25">
      <c r="A634" s="15">
        <v>45203</v>
      </c>
      <c r="B634" s="16">
        <v>22301866</v>
      </c>
      <c r="C634" s="16" t="s">
        <v>159</v>
      </c>
      <c r="D634" s="16" t="str">
        <f>VLOOKUP(C634,[1]master_data!$A$2:$E$495,2,FALSE)</f>
        <v>LED KANDILA PRO RED 60 CM</v>
      </c>
      <c r="E634" s="16">
        <v>1</v>
      </c>
      <c r="F634" s="16">
        <f>VLOOKUP(C634,[1]master_data!$A$2:$E$495,3,FALSE)</f>
        <v>170000</v>
      </c>
      <c r="G634" s="16">
        <f>VLOOKUP(C634,[1]master_data!$A$2:$E$495,4,FALSE)</f>
        <v>215000</v>
      </c>
      <c r="H634" s="16">
        <f>E634*F634</f>
        <v>170000</v>
      </c>
      <c r="I634" s="16">
        <f>E634*G634</f>
        <v>215000</v>
      </c>
      <c r="J634" s="16">
        <f>I634-H634</f>
        <v>45000</v>
      </c>
      <c r="K634" s="16" t="str">
        <f>VLOOKUP(C634,[1]master_data!$A$2:$E$495,5,FALSE)</f>
        <v>Aksesoris</v>
      </c>
      <c r="L634" s="1"/>
    </row>
    <row r="635" spans="1:12" ht="12" customHeight="1" x14ac:dyDescent="0.25">
      <c r="A635" s="15">
        <v>45203</v>
      </c>
      <c r="B635" s="16">
        <v>22301867</v>
      </c>
      <c r="C635" s="16" t="s">
        <v>33</v>
      </c>
      <c r="D635" s="16" t="str">
        <f>VLOOKUP(C635,[1]master_data!$A$2:$E$495,2,FALSE)</f>
        <v>MESIN YAMANO 1200</v>
      </c>
      <c r="E635" s="16">
        <v>1</v>
      </c>
      <c r="F635" s="16">
        <f>VLOOKUP(C635,[1]master_data!$A$2:$E$495,3,FALSE)</f>
        <v>27000</v>
      </c>
      <c r="G635" s="16">
        <f>VLOOKUP(C635,[1]master_data!$A$2:$E$495,4,FALSE)</f>
        <v>40000</v>
      </c>
      <c r="H635" s="16">
        <f>E635*F635</f>
        <v>27000</v>
      </c>
      <c r="I635" s="16">
        <f>E635*G635</f>
        <v>40000</v>
      </c>
      <c r="J635" s="16">
        <f>I635-H635</f>
        <v>13000</v>
      </c>
      <c r="K635" s="16" t="str">
        <f>VLOOKUP(C635,[1]master_data!$A$2:$E$495,5,FALSE)</f>
        <v>Aksesoris</v>
      </c>
      <c r="L635" s="1"/>
    </row>
    <row r="636" spans="1:12" ht="12" customHeight="1" x14ac:dyDescent="0.25">
      <c r="A636" s="15">
        <v>45203</v>
      </c>
      <c r="B636" s="16">
        <v>22301868</v>
      </c>
      <c r="C636" s="16" t="s">
        <v>135</v>
      </c>
      <c r="D636" s="16" t="str">
        <f>VLOOKUP(C636,[1]master_data!$A$2:$E$495,2,FALSE)</f>
        <v>LED NIKITA NS 400</v>
      </c>
      <c r="E636" s="16">
        <v>10</v>
      </c>
      <c r="F636" s="16">
        <f>VLOOKUP(C636,[1]master_data!$A$2:$E$495,3,FALSE)</f>
        <v>41000</v>
      </c>
      <c r="G636" s="16">
        <f>VLOOKUP(C636,[1]master_data!$A$2:$E$495,4,FALSE)</f>
        <v>65000</v>
      </c>
      <c r="H636" s="16">
        <f>E636*F636</f>
        <v>410000</v>
      </c>
      <c r="I636" s="16">
        <f>E636*G636</f>
        <v>650000</v>
      </c>
      <c r="J636" s="16">
        <f>I636-H636</f>
        <v>240000</v>
      </c>
      <c r="K636" s="16" t="str">
        <f>VLOOKUP(C636,[1]master_data!$A$2:$E$495,5,FALSE)</f>
        <v>Aksesoris</v>
      </c>
      <c r="L636" s="1"/>
    </row>
    <row r="637" spans="1:12" ht="12" customHeight="1" x14ac:dyDescent="0.25">
      <c r="A637" s="15">
        <v>45203</v>
      </c>
      <c r="B637" s="16">
        <v>22301869</v>
      </c>
      <c r="C637" s="16" t="s">
        <v>163</v>
      </c>
      <c r="D637" s="16" t="str">
        <f>VLOOKUP(C637,[1]master_data!$A$2:$E$495,2,FALSE)</f>
        <v>LED KANDILA VIBRANT 60 CM</v>
      </c>
      <c r="E637" s="16">
        <v>1</v>
      </c>
      <c r="F637" s="16">
        <f>VLOOKUP(C637,[1]master_data!$A$2:$E$495,3,FALSE)</f>
        <v>109000</v>
      </c>
      <c r="G637" s="16">
        <f>VLOOKUP(C637,[1]master_data!$A$2:$E$495,4,FALSE)</f>
        <v>150000</v>
      </c>
      <c r="H637" s="16">
        <f>E637*F637</f>
        <v>109000</v>
      </c>
      <c r="I637" s="16">
        <f>E637*G637</f>
        <v>150000</v>
      </c>
      <c r="J637" s="16">
        <f>I637-H637</f>
        <v>41000</v>
      </c>
      <c r="K637" s="16" t="str">
        <f>VLOOKUP(C637,[1]master_data!$A$2:$E$495,5,FALSE)</f>
        <v>Aksesoris</v>
      </c>
      <c r="L637" s="1"/>
    </row>
    <row r="638" spans="1:12" ht="12" customHeight="1" x14ac:dyDescent="0.25">
      <c r="A638" s="15">
        <v>45203</v>
      </c>
      <c r="B638" s="16">
        <v>22301870</v>
      </c>
      <c r="C638" s="16" t="s">
        <v>310</v>
      </c>
      <c r="D638" s="16" t="str">
        <f>VLOOKUP(C638,[1]master_data!$A$2:$E$495,2,FALSE)</f>
        <v>L PIPA</v>
      </c>
      <c r="E638" s="16">
        <v>20</v>
      </c>
      <c r="F638" s="16">
        <f>VLOOKUP(C638,[1]master_data!$A$2:$E$495,3,FALSE)</f>
        <v>800</v>
      </c>
      <c r="G638" s="16">
        <f>VLOOKUP(C638,[1]master_data!$A$2:$E$495,4,FALSE)</f>
        <v>2000</v>
      </c>
      <c r="H638" s="16">
        <f>E638*F638</f>
        <v>16000</v>
      </c>
      <c r="I638" s="16">
        <f>E638*G638</f>
        <v>40000</v>
      </c>
      <c r="J638" s="16">
        <f>I638-H638</f>
        <v>24000</v>
      </c>
      <c r="K638" s="16" t="str">
        <f>VLOOKUP(C638,[1]master_data!$A$2:$E$495,5,FALSE)</f>
        <v>Aksesoris</v>
      </c>
      <c r="L638" s="1"/>
    </row>
    <row r="639" spans="1:12" ht="12" customHeight="1" x14ac:dyDescent="0.25">
      <c r="A639" s="15">
        <v>45203</v>
      </c>
      <c r="B639" s="16">
        <v>22301871</v>
      </c>
      <c r="C639" s="16" t="s">
        <v>22</v>
      </c>
      <c r="D639" s="16" t="str">
        <f>VLOOKUP(C639,[1]master_data!$A$2:$E$495,2,FALSE)</f>
        <v>MESIN ROSTON 2600</v>
      </c>
      <c r="E639" s="16">
        <v>2</v>
      </c>
      <c r="F639" s="16">
        <f>VLOOKUP(C639,[1]master_data!$A$2:$E$495,3,FALSE)</f>
        <v>45000</v>
      </c>
      <c r="G639" s="16">
        <f>VLOOKUP(C639,[1]master_data!$A$2:$E$495,4,FALSE)</f>
        <v>75000</v>
      </c>
      <c r="H639" s="16">
        <f>E639*F639</f>
        <v>90000</v>
      </c>
      <c r="I639" s="16">
        <f>E639*G639</f>
        <v>150000</v>
      </c>
      <c r="J639" s="16">
        <f>I639-H639</f>
        <v>60000</v>
      </c>
      <c r="K639" s="16" t="str">
        <f>VLOOKUP(C639,[1]master_data!$A$2:$E$495,5,FALSE)</f>
        <v>Aksesoris</v>
      </c>
      <c r="L639" s="1"/>
    </row>
    <row r="640" spans="1:12" ht="12" customHeight="1" x14ac:dyDescent="0.25">
      <c r="A640" s="15">
        <v>45203</v>
      </c>
      <c r="B640" s="16">
        <v>22301872</v>
      </c>
      <c r="C640" s="16" t="s">
        <v>198</v>
      </c>
      <c r="D640" s="16" t="str">
        <f>VLOOKUP(C640,[1]master_data!$A$2:$E$495,2,FALSE)</f>
        <v>AKARI PREMIUM YELLOW</v>
      </c>
      <c r="E640" s="16">
        <v>1</v>
      </c>
      <c r="F640" s="16">
        <f>VLOOKUP(C640,[1]master_data!$A$2:$E$495,3,FALSE)</f>
        <v>37000</v>
      </c>
      <c r="G640" s="16">
        <f>VLOOKUP(C640,[1]master_data!$A$2:$E$495,4,FALSE)</f>
        <v>50000</v>
      </c>
      <c r="H640" s="16">
        <f>E640*F640</f>
        <v>37000</v>
      </c>
      <c r="I640" s="16">
        <f>E640*G640</f>
        <v>50000</v>
      </c>
      <c r="J640" s="16">
        <f>I640-H640</f>
        <v>13000</v>
      </c>
      <c r="K640" s="16" t="str">
        <f>VLOOKUP(C640,[1]master_data!$A$2:$E$495,5,FALSE)</f>
        <v>Aksesoris</v>
      </c>
      <c r="L640" s="1"/>
    </row>
    <row r="641" spans="1:12" ht="12" customHeight="1" x14ac:dyDescent="0.25">
      <c r="A641" s="15">
        <v>45202</v>
      </c>
      <c r="B641" s="16">
        <v>22301857</v>
      </c>
      <c r="C641" s="16" t="s">
        <v>459</v>
      </c>
      <c r="D641" s="16" t="str">
        <f>VLOOKUP(C641,[1]master_data!$A$2:$E$495,2,FALSE)</f>
        <v>SEPAT</v>
      </c>
      <c r="E641" s="16">
        <v>15</v>
      </c>
      <c r="F641" s="16">
        <f>VLOOKUP(C641,[1]master_data!$A$2:$E$495,3,FALSE)</f>
        <v>600</v>
      </c>
      <c r="G641" s="16">
        <f>VLOOKUP(C641,[1]master_data!$A$2:$E$495,4,FALSE)</f>
        <v>2000</v>
      </c>
      <c r="H641" s="16">
        <f>E641*F641</f>
        <v>9000</v>
      </c>
      <c r="I641" s="16">
        <f>E641*G641</f>
        <v>30000</v>
      </c>
      <c r="J641" s="16">
        <f>I641-H641</f>
        <v>21000</v>
      </c>
      <c r="K641" s="16" t="str">
        <f>VLOOKUP(C641,[1]master_data!$A$2:$E$495,5,FALSE)</f>
        <v>Ikan</v>
      </c>
      <c r="L641" s="1"/>
    </row>
    <row r="642" spans="1:12" ht="12" customHeight="1" x14ac:dyDescent="0.25">
      <c r="A642" s="15">
        <v>45202</v>
      </c>
      <c r="B642" s="16">
        <v>22301858</v>
      </c>
      <c r="C642" s="16" t="s">
        <v>431</v>
      </c>
      <c r="D642" s="16" t="str">
        <f>VLOOKUP(C642,[1]master_data!$A$2:$E$495,2,FALSE)</f>
        <v>MARU B</v>
      </c>
      <c r="E642" s="16">
        <v>2</v>
      </c>
      <c r="F642" s="16">
        <f>VLOOKUP(C642,[1]master_data!$A$2:$E$495,3,FALSE)</f>
        <v>90000</v>
      </c>
      <c r="G642" s="16">
        <f>VLOOKUP(C642,[1]master_data!$A$2:$E$495,4,FALSE)</f>
        <v>150000</v>
      </c>
      <c r="H642" s="16">
        <f>E642*F642</f>
        <v>180000</v>
      </c>
      <c r="I642" s="16">
        <f>E642*G642</f>
        <v>300000</v>
      </c>
      <c r="J642" s="16">
        <f>I642-H642</f>
        <v>120000</v>
      </c>
      <c r="K642" s="16" t="str">
        <f>VLOOKUP(C642,[1]master_data!$A$2:$E$495,5,FALSE)</f>
        <v>Ikan</v>
      </c>
      <c r="L642" s="1"/>
    </row>
    <row r="643" spans="1:12" ht="12" customHeight="1" x14ac:dyDescent="0.25">
      <c r="A643" s="15">
        <v>45202</v>
      </c>
      <c r="B643" s="16">
        <v>22301859</v>
      </c>
      <c r="C643" s="16" t="s">
        <v>411</v>
      </c>
      <c r="D643" s="16" t="str">
        <f>VLOOKUP(C643,[1]master_data!$A$2:$E$495,2,FALSE)</f>
        <v>KOKI K</v>
      </c>
      <c r="E643" s="16">
        <v>30</v>
      </c>
      <c r="F643" s="16">
        <f>VLOOKUP(C643,[1]master_data!$A$2:$E$495,3,FALSE)</f>
        <v>3500</v>
      </c>
      <c r="G643" s="16">
        <f>VLOOKUP(C643,[1]master_data!$A$2:$E$495,4,FALSE)</f>
        <v>10000</v>
      </c>
      <c r="H643" s="16">
        <f>E643*F643</f>
        <v>105000</v>
      </c>
      <c r="I643" s="16">
        <f>E643*G643</f>
        <v>300000</v>
      </c>
      <c r="J643" s="16">
        <f>I643-H643</f>
        <v>195000</v>
      </c>
      <c r="K643" s="16" t="str">
        <f>VLOOKUP(C643,[1]master_data!$A$2:$E$495,5,FALSE)</f>
        <v>Ikan</v>
      </c>
      <c r="L643" s="1"/>
    </row>
    <row r="644" spans="1:12" ht="12" customHeight="1" x14ac:dyDescent="0.25">
      <c r="A644" s="15">
        <v>45202</v>
      </c>
      <c r="B644" s="16">
        <v>22301860</v>
      </c>
      <c r="C644" s="16" t="s">
        <v>110</v>
      </c>
      <c r="D644" s="16" t="str">
        <f>VLOOKUP(C644,[1]master_data!$A$2:$E$495,2,FALSE)</f>
        <v>AIRATOR NIKITA LUB 2</v>
      </c>
      <c r="E644" s="16">
        <v>5</v>
      </c>
      <c r="F644" s="16">
        <f>VLOOKUP(C644,[1]master_data!$A$2:$E$495,3,FALSE)</f>
        <v>30000</v>
      </c>
      <c r="G644" s="16">
        <f>VLOOKUP(C644,[1]master_data!$A$2:$E$495,4,FALSE)</f>
        <v>50000</v>
      </c>
      <c r="H644" s="16">
        <f>E644*F644</f>
        <v>150000</v>
      </c>
      <c r="I644" s="16">
        <f>E644*G644</f>
        <v>250000</v>
      </c>
      <c r="J644" s="16">
        <f>I644-H644</f>
        <v>100000</v>
      </c>
      <c r="K644" s="16" t="str">
        <f>VLOOKUP(C644,[1]master_data!$A$2:$E$495,5,FALSE)</f>
        <v>Aksesoris</v>
      </c>
      <c r="L644" s="1"/>
    </row>
    <row r="645" spans="1:12" ht="12" customHeight="1" x14ac:dyDescent="0.25">
      <c r="A645" s="15">
        <v>45202</v>
      </c>
      <c r="B645" s="16">
        <v>22301861</v>
      </c>
      <c r="C645" s="16" t="s">
        <v>339</v>
      </c>
      <c r="D645" s="16" t="str">
        <f>VLOOKUP(C645,[1]master_data!$A$2:$E$495,2,FALSE)</f>
        <v>FOOD TIMER AMARA 8431</v>
      </c>
      <c r="E645" s="16">
        <v>1</v>
      </c>
      <c r="F645" s="16">
        <f>VLOOKUP(C645,[1]master_data!$A$2:$E$495,3,FALSE)</f>
        <v>45000</v>
      </c>
      <c r="G645" s="16">
        <f>VLOOKUP(C645,[1]master_data!$A$2:$E$495,4,FALSE)</f>
        <v>115000</v>
      </c>
      <c r="H645" s="16">
        <f>E645*F645</f>
        <v>45000</v>
      </c>
      <c r="I645" s="16">
        <f>E645*G645</f>
        <v>115000</v>
      </c>
      <c r="J645" s="16">
        <f>I645-H645</f>
        <v>70000</v>
      </c>
      <c r="K645" s="16" t="str">
        <f>VLOOKUP(C645,[1]master_data!$A$2:$E$495,5,FALSE)</f>
        <v>Aksesoris</v>
      </c>
      <c r="L645" s="1"/>
    </row>
    <row r="646" spans="1:12" ht="12" customHeight="1" x14ac:dyDescent="0.25">
      <c r="A646" s="15">
        <v>45202</v>
      </c>
      <c r="B646" s="16">
        <v>22301862</v>
      </c>
      <c r="C646" s="16" t="s">
        <v>217</v>
      </c>
      <c r="D646" s="16" t="str">
        <f>VLOOKUP(C646,[1]master_data!$A$2:$E$495,2,FALSE)</f>
        <v>HIRO GROWTH</v>
      </c>
      <c r="E646" s="16">
        <v>4</v>
      </c>
      <c r="F646" s="16">
        <f>VLOOKUP(C646,[1]master_data!$A$2:$E$495,3,FALSE)</f>
        <v>72000</v>
      </c>
      <c r="G646" s="16">
        <f>VLOOKUP(C646,[1]master_data!$A$2:$E$495,4,FALSE)</f>
        <v>80000</v>
      </c>
      <c r="H646" s="16">
        <f>E646*F646</f>
        <v>288000</v>
      </c>
      <c r="I646" s="16">
        <f>E646*G646</f>
        <v>320000</v>
      </c>
      <c r="J646" s="16">
        <f>I646-H646</f>
        <v>32000</v>
      </c>
      <c r="K646" s="16" t="str">
        <f>VLOOKUP(C646,[1]master_data!$A$2:$E$495,5,FALSE)</f>
        <v>Aksesoris</v>
      </c>
      <c r="L646" s="1"/>
    </row>
    <row r="647" spans="1:12" ht="12" customHeight="1" x14ac:dyDescent="0.25">
      <c r="A647" s="15">
        <v>45202</v>
      </c>
      <c r="B647" s="16">
        <v>22301863</v>
      </c>
      <c r="C647" s="16" t="s">
        <v>428</v>
      </c>
      <c r="D647" s="16" t="str">
        <f>VLOOKUP(C647,[1]master_data!$A$2:$E$495,2,FALSE)</f>
        <v>MANFISH K</v>
      </c>
      <c r="E647" s="16">
        <v>1</v>
      </c>
      <c r="F647" s="16">
        <f>VLOOKUP(C647,[1]master_data!$A$2:$E$495,3,FALSE)</f>
        <v>2000</v>
      </c>
      <c r="G647" s="16">
        <f>VLOOKUP(C647,[1]master_data!$A$2:$E$495,4,FALSE)</f>
        <v>5000</v>
      </c>
      <c r="H647" s="16">
        <f>E647*F647</f>
        <v>2000</v>
      </c>
      <c r="I647" s="16">
        <f>E647*G647</f>
        <v>5000</v>
      </c>
      <c r="J647" s="16">
        <f>I647-H647</f>
        <v>3000</v>
      </c>
      <c r="K647" s="16" t="str">
        <f>VLOOKUP(C647,[1]master_data!$A$2:$E$495,5,FALSE)</f>
        <v>Ikan</v>
      </c>
      <c r="L647" s="1"/>
    </row>
    <row r="648" spans="1:12" ht="12" customHeight="1" x14ac:dyDescent="0.25">
      <c r="A648" s="15">
        <v>45201</v>
      </c>
      <c r="B648" s="16">
        <v>22301849</v>
      </c>
      <c r="C648" s="16" t="s">
        <v>423</v>
      </c>
      <c r="D648" s="16" t="str">
        <f>VLOOKUP(C648,[1]master_data!$A$2:$E$495,2,FALSE)</f>
        <v>CAROLINE</v>
      </c>
      <c r="E648" s="16">
        <v>25</v>
      </c>
      <c r="F648" s="16">
        <f>VLOOKUP(C648,[1]master_data!$A$2:$E$495,3,FALSE)</f>
        <v>900</v>
      </c>
      <c r="G648" s="16">
        <f>VLOOKUP(C648,[1]master_data!$A$2:$E$495,4,FALSE)</f>
        <v>2000</v>
      </c>
      <c r="H648" s="16">
        <f>E648*F648</f>
        <v>22500</v>
      </c>
      <c r="I648" s="16">
        <f>E648*G648</f>
        <v>50000</v>
      </c>
      <c r="J648" s="16">
        <f>I648-H648</f>
        <v>27500</v>
      </c>
      <c r="K648" s="16" t="str">
        <f>VLOOKUP(C648,[1]master_data!$A$2:$E$495,5,FALSE)</f>
        <v>Ikan</v>
      </c>
      <c r="L648" s="1"/>
    </row>
    <row r="649" spans="1:12" ht="12" customHeight="1" x14ac:dyDescent="0.25">
      <c r="A649" s="15">
        <v>45201</v>
      </c>
      <c r="B649" s="16">
        <v>22301850</v>
      </c>
      <c r="C649" s="16" t="s">
        <v>298</v>
      </c>
      <c r="D649" s="16" t="str">
        <f>VLOOKUP(C649,[1]master_data!$A$2:$E$495,2,FALSE)</f>
        <v>MAINAN ARCA</v>
      </c>
      <c r="E649" s="16">
        <v>5</v>
      </c>
      <c r="F649" s="16">
        <f>VLOOKUP(C649,[1]master_data!$A$2:$E$495,3,FALSE)</f>
        <v>16500</v>
      </c>
      <c r="G649" s="16">
        <f>VLOOKUP(C649,[1]master_data!$A$2:$E$495,4,FALSE)</f>
        <v>30000</v>
      </c>
      <c r="H649" s="16">
        <f>E649*F649</f>
        <v>82500</v>
      </c>
      <c r="I649" s="16">
        <f>E649*G649</f>
        <v>150000</v>
      </c>
      <c r="J649" s="16">
        <f>I649-H649</f>
        <v>67500</v>
      </c>
      <c r="K649" s="16" t="str">
        <f>VLOOKUP(C649,[1]master_data!$A$2:$E$495,5,FALSE)</f>
        <v>Aksesoris</v>
      </c>
      <c r="L649" s="1"/>
    </row>
    <row r="650" spans="1:12" ht="12" customHeight="1" x14ac:dyDescent="0.25">
      <c r="A650" s="15">
        <v>45201</v>
      </c>
      <c r="B650" s="16">
        <v>22301851</v>
      </c>
      <c r="C650" s="16" t="s">
        <v>403</v>
      </c>
      <c r="D650" s="16" t="str">
        <f>VLOOKUP(C650,[1]master_data!$A$2:$E$495,2,FALSE)</f>
        <v>KOMET BOKIM</v>
      </c>
      <c r="E650" s="16">
        <v>15</v>
      </c>
      <c r="F650" s="16">
        <f>VLOOKUP(C650,[1]master_data!$A$2:$E$495,3,FALSE)</f>
        <v>1500</v>
      </c>
      <c r="G650" s="16">
        <f>VLOOKUP(C650,[1]master_data!$A$2:$E$495,4,FALSE)</f>
        <v>5000</v>
      </c>
      <c r="H650" s="16">
        <f>E650*F650</f>
        <v>22500</v>
      </c>
      <c r="I650" s="16">
        <f>E650*G650</f>
        <v>75000</v>
      </c>
      <c r="J650" s="16">
        <f>I650-H650</f>
        <v>52500</v>
      </c>
      <c r="K650" s="16" t="str">
        <f>VLOOKUP(C650,[1]master_data!$A$2:$E$495,5,FALSE)</f>
        <v>Ikan</v>
      </c>
      <c r="L650" s="1"/>
    </row>
    <row r="651" spans="1:12" ht="12" customHeight="1" x14ac:dyDescent="0.25">
      <c r="A651" s="15">
        <v>45201</v>
      </c>
      <c r="B651" s="16">
        <v>22301852</v>
      </c>
      <c r="C651" s="16" t="s">
        <v>427</v>
      </c>
      <c r="D651" s="16" t="str">
        <f>VLOOKUP(C651,[1]master_data!$A$2:$E$495,2,FALSE)</f>
        <v>LOUHAN SUPER</v>
      </c>
      <c r="E651" s="16">
        <v>1</v>
      </c>
      <c r="F651" s="16">
        <f>VLOOKUP(C651,[1]master_data!$A$2:$E$495,3,FALSE)</f>
        <v>300000</v>
      </c>
      <c r="G651" s="16">
        <f>VLOOKUP(C651,[1]master_data!$A$2:$E$495,4,FALSE)</f>
        <v>500000</v>
      </c>
      <c r="H651" s="16">
        <f>E651*F651</f>
        <v>300000</v>
      </c>
      <c r="I651" s="16">
        <f>E651*G651</f>
        <v>500000</v>
      </c>
      <c r="J651" s="16">
        <f>I651-H651</f>
        <v>200000</v>
      </c>
      <c r="K651" s="16" t="str">
        <f>VLOOKUP(C651,[1]master_data!$A$2:$E$495,5,FALSE)</f>
        <v>Ikan</v>
      </c>
      <c r="L651" s="1"/>
    </row>
    <row r="652" spans="1:12" ht="12" customHeight="1" x14ac:dyDescent="0.25">
      <c r="A652" s="15">
        <v>45201</v>
      </c>
      <c r="B652" s="16">
        <v>22301853</v>
      </c>
      <c r="C652" s="16" t="s">
        <v>62</v>
      </c>
      <c r="D652" s="16" t="str">
        <f>VLOOKUP(C652,[1]master_data!$A$2:$E$495,2,FALSE)</f>
        <v>MESIN KANDILA 1200</v>
      </c>
      <c r="E652" s="16">
        <v>1</v>
      </c>
      <c r="F652" s="16">
        <f>VLOOKUP(C652,[1]master_data!$A$2:$E$495,3,FALSE)</f>
        <v>19000</v>
      </c>
      <c r="G652" s="16">
        <f>VLOOKUP(C652,[1]master_data!$A$2:$E$495,4,FALSE)</f>
        <v>30000</v>
      </c>
      <c r="H652" s="16">
        <f>E652*F652</f>
        <v>19000</v>
      </c>
      <c r="I652" s="16">
        <f>E652*G652</f>
        <v>30000</v>
      </c>
      <c r="J652" s="16">
        <f>I652-H652</f>
        <v>11000</v>
      </c>
      <c r="K652" s="16" t="str">
        <f>VLOOKUP(C652,[1]master_data!$A$2:$E$495,5,FALSE)</f>
        <v>Aksesoris</v>
      </c>
      <c r="L652" s="1"/>
    </row>
    <row r="653" spans="1:12" ht="12" customHeight="1" x14ac:dyDescent="0.25">
      <c r="A653" s="15">
        <v>45201</v>
      </c>
      <c r="B653" s="16">
        <v>22301854</v>
      </c>
      <c r="C653" s="16" t="s">
        <v>433</v>
      </c>
      <c r="D653" s="16" t="str">
        <f>VLOOKUP(C653,[1]master_data!$A$2:$E$495,2,FALSE)</f>
        <v>MOLI BALON</v>
      </c>
      <c r="E653" s="16">
        <v>30</v>
      </c>
      <c r="F653" s="16">
        <f>VLOOKUP(C653,[1]master_data!$A$2:$E$495,3,FALSE)</f>
        <v>800</v>
      </c>
      <c r="G653" s="16">
        <f>VLOOKUP(C653,[1]master_data!$A$2:$E$495,4,FALSE)</f>
        <v>2000</v>
      </c>
      <c r="H653" s="16">
        <f>E653*F653</f>
        <v>24000</v>
      </c>
      <c r="I653" s="16">
        <f>E653*G653</f>
        <v>60000</v>
      </c>
      <c r="J653" s="16">
        <f>I653-H653</f>
        <v>36000</v>
      </c>
      <c r="K653" s="16" t="str">
        <f>VLOOKUP(C653,[1]master_data!$A$2:$E$495,5,FALSE)</f>
        <v>Ikan</v>
      </c>
      <c r="L653" s="1"/>
    </row>
    <row r="654" spans="1:12" ht="12" customHeight="1" x14ac:dyDescent="0.25">
      <c r="A654" s="15">
        <v>45201</v>
      </c>
      <c r="B654" s="16">
        <v>22301855</v>
      </c>
      <c r="C654" s="16" t="s">
        <v>399</v>
      </c>
      <c r="D654" s="16" t="str">
        <f>VLOOKUP(C654,[1]master_data!$A$2:$E$495,2,FALSE)</f>
        <v>BALA BALA B</v>
      </c>
      <c r="E654" s="16">
        <v>10</v>
      </c>
      <c r="F654" s="16">
        <f>VLOOKUP(C654,[1]master_data!$A$2:$E$495,3,FALSE)</f>
        <v>7000</v>
      </c>
      <c r="G654" s="16">
        <f>VLOOKUP(C654,[1]master_data!$A$2:$E$495,4,FALSE)</f>
        <v>15000</v>
      </c>
      <c r="H654" s="16">
        <f>E654*F654</f>
        <v>70000</v>
      </c>
      <c r="I654" s="16">
        <f>E654*G654</f>
        <v>150000</v>
      </c>
      <c r="J654" s="16">
        <f>I654-H654</f>
        <v>80000</v>
      </c>
      <c r="K654" s="16" t="str">
        <f>VLOOKUP(C654,[1]master_data!$A$2:$E$495,5,FALSE)</f>
        <v>Ikan</v>
      </c>
      <c r="L654" s="1"/>
    </row>
    <row r="655" spans="1:12" ht="12" customHeight="1" x14ac:dyDescent="0.25">
      <c r="A655" s="15">
        <v>45201</v>
      </c>
      <c r="B655" s="16">
        <v>22301856</v>
      </c>
      <c r="C655" s="16" t="s">
        <v>414</v>
      </c>
      <c r="D655" s="16" t="str">
        <f>VLOOKUP(C655,[1]master_data!$A$2:$E$495,2,FALSE)</f>
        <v>KOI K</v>
      </c>
      <c r="E655" s="16">
        <v>1</v>
      </c>
      <c r="F655" s="16">
        <f>VLOOKUP(C655,[1]master_data!$A$2:$E$495,3,FALSE)</f>
        <v>2500</v>
      </c>
      <c r="G655" s="16">
        <f>VLOOKUP(C655,[1]master_data!$A$2:$E$495,4,FALSE)</f>
        <v>10000</v>
      </c>
      <c r="H655" s="16">
        <f>E655*F655</f>
        <v>2500</v>
      </c>
      <c r="I655" s="16">
        <f>E655*G655</f>
        <v>10000</v>
      </c>
      <c r="J655" s="16">
        <f>I655-H655</f>
        <v>7500</v>
      </c>
      <c r="K655" s="16" t="str">
        <f>VLOOKUP(C655,[1]master_data!$A$2:$E$495,5,FALSE)</f>
        <v>Ikan</v>
      </c>
      <c r="L655" s="1"/>
    </row>
    <row r="656" spans="1:12" ht="12" customHeight="1" x14ac:dyDescent="0.25">
      <c r="A656" s="15">
        <v>45200</v>
      </c>
      <c r="B656" s="16">
        <v>22301842</v>
      </c>
      <c r="C656" s="16" t="s">
        <v>434</v>
      </c>
      <c r="D656" s="16" t="str">
        <f>VLOOKUP(C656,[1]master_data!$A$2:$E$495,2,FALSE)</f>
        <v>NIASA</v>
      </c>
      <c r="E656" s="16">
        <v>10</v>
      </c>
      <c r="F656" s="16">
        <f>VLOOKUP(C656,[1]master_data!$A$2:$E$495,3,FALSE)</f>
        <v>900</v>
      </c>
      <c r="G656" s="16">
        <f>VLOOKUP(C656,[1]master_data!$A$2:$E$495,4,FALSE)</f>
        <v>2000</v>
      </c>
      <c r="H656" s="16">
        <f>E656*F656</f>
        <v>9000</v>
      </c>
      <c r="I656" s="16">
        <f>E656*G656</f>
        <v>20000</v>
      </c>
      <c r="J656" s="16">
        <f>I656-H656</f>
        <v>11000</v>
      </c>
      <c r="K656" s="16" t="str">
        <f>VLOOKUP(C656,[1]master_data!$A$2:$E$495,5,FALSE)</f>
        <v>Ikan</v>
      </c>
      <c r="L656" s="1"/>
    </row>
    <row r="657" spans="1:12" ht="12" customHeight="1" x14ac:dyDescent="0.25">
      <c r="A657" s="15">
        <v>45200</v>
      </c>
      <c r="B657" s="16">
        <v>22301843</v>
      </c>
      <c r="C657" s="16" t="s">
        <v>137</v>
      </c>
      <c r="D657" s="16" t="str">
        <f>VLOOKUP(C657,[1]master_data!$A$2:$E$495,2,FALSE)</f>
        <v>LAMPU YAMANO UV 20W</v>
      </c>
      <c r="E657" s="16">
        <v>1</v>
      </c>
      <c r="F657" s="16">
        <f>VLOOKUP(C657,[1]master_data!$A$2:$E$495,3,FALSE)</f>
        <v>184000</v>
      </c>
      <c r="G657" s="16">
        <f>VLOOKUP(C657,[1]master_data!$A$2:$E$495,4,FALSE)</f>
        <v>225000</v>
      </c>
      <c r="H657" s="16">
        <f>E657*F657</f>
        <v>184000</v>
      </c>
      <c r="I657" s="16">
        <f>E657*G657</f>
        <v>225000</v>
      </c>
      <c r="J657" s="16">
        <f>I657-H657</f>
        <v>41000</v>
      </c>
      <c r="K657" s="16" t="str">
        <f>VLOOKUP(C657,[1]master_data!$A$2:$E$495,5,FALSE)</f>
        <v>Aksesoris</v>
      </c>
      <c r="L657" s="1"/>
    </row>
    <row r="658" spans="1:12" ht="12" customHeight="1" x14ac:dyDescent="0.25">
      <c r="A658" s="15">
        <v>45200</v>
      </c>
      <c r="B658" s="16">
        <v>22301844</v>
      </c>
      <c r="C658" s="16" t="s">
        <v>428</v>
      </c>
      <c r="D658" s="16" t="str">
        <f>VLOOKUP(C658,[1]master_data!$A$2:$E$495,2,FALSE)</f>
        <v>MANFISH K</v>
      </c>
      <c r="E658" s="16">
        <v>20</v>
      </c>
      <c r="F658" s="16">
        <f>VLOOKUP(C658,[1]master_data!$A$2:$E$495,3,FALSE)</f>
        <v>2000</v>
      </c>
      <c r="G658" s="16">
        <f>VLOOKUP(C658,[1]master_data!$A$2:$E$495,4,FALSE)</f>
        <v>5000</v>
      </c>
      <c r="H658" s="16">
        <f>E658*F658</f>
        <v>40000</v>
      </c>
      <c r="I658" s="16">
        <f>E658*G658</f>
        <v>100000</v>
      </c>
      <c r="J658" s="16">
        <f>I658-H658</f>
        <v>60000</v>
      </c>
      <c r="K658" s="16" t="str">
        <f>VLOOKUP(C658,[1]master_data!$A$2:$E$495,5,FALSE)</f>
        <v>Ikan</v>
      </c>
      <c r="L658" s="1"/>
    </row>
    <row r="659" spans="1:12" ht="12" customHeight="1" x14ac:dyDescent="0.25">
      <c r="A659" s="15">
        <v>45200</v>
      </c>
      <c r="B659" s="16">
        <v>22301845</v>
      </c>
      <c r="C659" s="16" t="s">
        <v>54</v>
      </c>
      <c r="D659" s="16" t="str">
        <f>VLOOKUP(C659,[1]master_data!$A$2:$E$495,2,FALSE)</f>
        <v>TOP FILTER LENGKAP B</v>
      </c>
      <c r="E659" s="16">
        <v>1</v>
      </c>
      <c r="F659" s="16">
        <f>VLOOKUP(C659,[1]master_data!$A$2:$E$495,3,FALSE)</f>
        <v>37500</v>
      </c>
      <c r="G659" s="16">
        <f>VLOOKUP(C659,[1]master_data!$A$2:$E$495,4,FALSE)</f>
        <v>65000</v>
      </c>
      <c r="H659" s="16">
        <f>E659*F659</f>
        <v>37500</v>
      </c>
      <c r="I659" s="16">
        <f>E659*G659</f>
        <v>65000</v>
      </c>
      <c r="J659" s="16">
        <f>I659-H659</f>
        <v>27500</v>
      </c>
      <c r="K659" s="16" t="str">
        <f>VLOOKUP(C659,[1]master_data!$A$2:$E$495,5,FALSE)</f>
        <v>Aksesoris</v>
      </c>
      <c r="L659" s="1"/>
    </row>
    <row r="660" spans="1:12" ht="12" customHeight="1" x14ac:dyDescent="0.25">
      <c r="A660" s="15">
        <v>45200</v>
      </c>
      <c r="B660" s="16">
        <v>22301846</v>
      </c>
      <c r="C660" s="16" t="s">
        <v>421</v>
      </c>
      <c r="D660" s="16" t="str">
        <f>VLOOKUP(C660,[1]master_data!$A$2:$E$495,2,FALSE)</f>
        <v>KOI SLAYER K</v>
      </c>
      <c r="E660" s="16">
        <v>20</v>
      </c>
      <c r="F660" s="16">
        <f>VLOOKUP(C660,[1]master_data!$A$2:$E$495,3,FALSE)</f>
        <v>3500</v>
      </c>
      <c r="G660" s="16">
        <f>VLOOKUP(C660,[1]master_data!$A$2:$E$495,4,FALSE)</f>
        <v>10000</v>
      </c>
      <c r="H660" s="16">
        <f>E660*F660</f>
        <v>70000</v>
      </c>
      <c r="I660" s="16">
        <f>E660*G660</f>
        <v>200000</v>
      </c>
      <c r="J660" s="16">
        <f>I660-H660</f>
        <v>130000</v>
      </c>
      <c r="K660" s="16" t="str">
        <f>VLOOKUP(C660,[1]master_data!$A$2:$E$495,5,FALSE)</f>
        <v>Ikan</v>
      </c>
      <c r="L660" s="1"/>
    </row>
    <row r="661" spans="1:12" ht="12" customHeight="1" x14ac:dyDescent="0.25">
      <c r="A661" s="15">
        <v>45200</v>
      </c>
      <c r="B661" s="16">
        <v>22301847</v>
      </c>
      <c r="C661" s="16" t="s">
        <v>408</v>
      </c>
      <c r="D661" s="16" t="str">
        <f>VLOOKUP(C661,[1]master_data!$A$2:$E$495,2,FALSE)</f>
        <v>GUPY</v>
      </c>
      <c r="E661" s="16">
        <v>30</v>
      </c>
      <c r="F661" s="16">
        <f>VLOOKUP(C661,[1]master_data!$A$2:$E$495,3,FALSE)</f>
        <v>1200</v>
      </c>
      <c r="G661" s="16">
        <f>VLOOKUP(C661,[1]master_data!$A$2:$E$495,4,FALSE)</f>
        <v>2500</v>
      </c>
      <c r="H661" s="16">
        <f>E661*F661</f>
        <v>36000</v>
      </c>
      <c r="I661" s="16">
        <f>E661*G661</f>
        <v>75000</v>
      </c>
      <c r="J661" s="16">
        <f>I661-H661</f>
        <v>39000</v>
      </c>
      <c r="K661" s="16" t="str">
        <f>VLOOKUP(C661,[1]master_data!$A$2:$E$495,5,FALSE)</f>
        <v>Ikan</v>
      </c>
      <c r="L661" s="1"/>
    </row>
    <row r="662" spans="1:12" ht="12" customHeight="1" x14ac:dyDescent="0.25">
      <c r="A662" s="15">
        <v>45200</v>
      </c>
      <c r="B662" s="16">
        <v>22301848</v>
      </c>
      <c r="C662" s="16" t="s">
        <v>354</v>
      </c>
      <c r="D662" s="16" t="str">
        <f>VLOOKUP(C662,[1]master_data!$A$2:$E$495,2,FALSE)</f>
        <v>AKUARIUM BAHARI M60</v>
      </c>
      <c r="E662" s="16">
        <v>1</v>
      </c>
      <c r="F662" s="16">
        <f>VLOOKUP(C662,[1]master_data!$A$2:$E$495,3,FALSE)</f>
        <v>82000</v>
      </c>
      <c r="G662" s="16">
        <f>VLOOKUP(C662,[1]master_data!$A$2:$E$495,4,FALSE)</f>
        <v>260000</v>
      </c>
      <c r="H662" s="16">
        <f>E662*F662</f>
        <v>82000</v>
      </c>
      <c r="I662" s="16">
        <f>E662*G662</f>
        <v>260000</v>
      </c>
      <c r="J662" s="16">
        <f>I662-H662</f>
        <v>178000</v>
      </c>
      <c r="K662" s="16" t="str">
        <f>VLOOKUP(C662,[1]master_data!$A$2:$E$495,5,FALSE)</f>
        <v>Aksesoris</v>
      </c>
      <c r="L662" s="1"/>
    </row>
    <row r="663" spans="1:12" ht="12" customHeight="1" x14ac:dyDescent="0.25">
      <c r="A663" s="15">
        <v>45199</v>
      </c>
      <c r="B663" s="16">
        <v>22301834</v>
      </c>
      <c r="C663" s="16" t="s">
        <v>400</v>
      </c>
      <c r="D663" s="16" t="str">
        <f>VLOOKUP(C663,[1]master_data!$A$2:$E$495,2,FALSE)</f>
        <v>BLACK GHOST</v>
      </c>
      <c r="E663" s="16">
        <v>10</v>
      </c>
      <c r="F663" s="16">
        <f>VLOOKUP(C663,[1]master_data!$A$2:$E$495,3,FALSE)</f>
        <v>4000</v>
      </c>
      <c r="G663" s="16">
        <f>VLOOKUP(C663,[1]master_data!$A$2:$E$495,4,FALSE)</f>
        <v>10000</v>
      </c>
      <c r="H663" s="16">
        <f>E663*F663</f>
        <v>40000</v>
      </c>
      <c r="I663" s="16">
        <f>E663*G663</f>
        <v>100000</v>
      </c>
      <c r="J663" s="16">
        <f>I663-H663</f>
        <v>60000</v>
      </c>
      <c r="K663" s="16" t="str">
        <f>VLOOKUP(C663,[1]master_data!$A$2:$E$495,5,FALSE)</f>
        <v>Ikan</v>
      </c>
      <c r="L663" s="1"/>
    </row>
    <row r="664" spans="1:12" ht="12" customHeight="1" x14ac:dyDescent="0.25">
      <c r="A664" s="15">
        <v>45199</v>
      </c>
      <c r="B664" s="16">
        <v>22301835</v>
      </c>
      <c r="C664" s="16" t="s">
        <v>337</v>
      </c>
      <c r="D664" s="16" t="str">
        <f>VLOOKUP(C664,[1]master_data!$A$2:$E$495,2,FALSE)</f>
        <v>KARUNG JALA S</v>
      </c>
      <c r="E664" s="16">
        <v>30</v>
      </c>
      <c r="F664" s="16">
        <f>VLOOKUP(C664,[1]master_data!$A$2:$E$495,3,FALSE)</f>
        <v>2500</v>
      </c>
      <c r="G664" s="16">
        <f>VLOOKUP(C664,[1]master_data!$A$2:$E$495,4,FALSE)</f>
        <v>5000</v>
      </c>
      <c r="H664" s="16">
        <f>E664*F664</f>
        <v>75000</v>
      </c>
      <c r="I664" s="16">
        <f>E664*G664</f>
        <v>150000</v>
      </c>
      <c r="J664" s="16">
        <f>I664-H664</f>
        <v>75000</v>
      </c>
      <c r="K664" s="16" t="str">
        <f>VLOOKUP(C664,[1]master_data!$A$2:$E$495,5,FALSE)</f>
        <v>Aksesoris</v>
      </c>
      <c r="L664" s="1"/>
    </row>
    <row r="665" spans="1:12" ht="12" customHeight="1" x14ac:dyDescent="0.25">
      <c r="A665" s="15">
        <v>45199</v>
      </c>
      <c r="B665" s="16">
        <v>22301836</v>
      </c>
      <c r="C665" s="16" t="s">
        <v>189</v>
      </c>
      <c r="D665" s="16" t="str">
        <f>VLOOKUP(C665,[1]master_data!$A$2:$E$495,2,FALSE)</f>
        <v>LED KANDILA PRO RED ECO 40 CM</v>
      </c>
      <c r="E665" s="16">
        <v>5</v>
      </c>
      <c r="F665" s="16">
        <f>VLOOKUP(C665,[1]master_data!$A$2:$E$495,3,FALSE)</f>
        <v>45000</v>
      </c>
      <c r="G665" s="16">
        <f>VLOOKUP(C665,[1]master_data!$A$2:$E$495,4,FALSE)</f>
        <v>65000</v>
      </c>
      <c r="H665" s="16">
        <f>E665*F665</f>
        <v>225000</v>
      </c>
      <c r="I665" s="16">
        <f>E665*G665</f>
        <v>325000</v>
      </c>
      <c r="J665" s="16">
        <f>I665-H665</f>
        <v>100000</v>
      </c>
      <c r="K665" s="16" t="str">
        <f>VLOOKUP(C665,[1]master_data!$A$2:$E$495,5,FALSE)</f>
        <v>Aksesoris</v>
      </c>
      <c r="L665" s="1"/>
    </row>
    <row r="666" spans="1:12" ht="12" customHeight="1" x14ac:dyDescent="0.25">
      <c r="A666" s="15">
        <v>45199</v>
      </c>
      <c r="B666" s="16">
        <v>22301837</v>
      </c>
      <c r="C666" s="16" t="s">
        <v>417</v>
      </c>
      <c r="D666" s="16" t="str">
        <f>VLOOKUP(C666,[1]master_data!$A$2:$E$495,2,FALSE)</f>
        <v>KURA - KURA</v>
      </c>
      <c r="E666" s="16">
        <v>1</v>
      </c>
      <c r="F666" s="16">
        <f>VLOOKUP(C666,[1]master_data!$A$2:$E$495,3,FALSE)</f>
        <v>25000</v>
      </c>
      <c r="G666" s="16">
        <f>VLOOKUP(C666,[1]master_data!$A$2:$E$495,4,FALSE)</f>
        <v>35000</v>
      </c>
      <c r="H666" s="16">
        <f>E666*F666</f>
        <v>25000</v>
      </c>
      <c r="I666" s="16">
        <f>E666*G666</f>
        <v>35000</v>
      </c>
      <c r="J666" s="16">
        <f>I666-H666</f>
        <v>10000</v>
      </c>
      <c r="K666" s="16" t="str">
        <f>VLOOKUP(C666,[1]master_data!$A$2:$E$495,5,FALSE)</f>
        <v>Ikan</v>
      </c>
      <c r="L666" s="1"/>
    </row>
    <row r="667" spans="1:12" ht="12" customHeight="1" x14ac:dyDescent="0.25">
      <c r="A667" s="15">
        <v>45199</v>
      </c>
      <c r="B667" s="16">
        <v>22301838</v>
      </c>
      <c r="C667" s="16" t="s">
        <v>148</v>
      </c>
      <c r="D667" s="16" t="str">
        <f>VLOOKUP(C667,[1]master_data!$A$2:$E$495,2,FALSE)</f>
        <v>LED KANDILA 3 BRS 30 CM</v>
      </c>
      <c r="E667" s="16">
        <v>5</v>
      </c>
      <c r="F667" s="16">
        <f>VLOOKUP(C667,[1]master_data!$A$2:$E$495,3,FALSE)</f>
        <v>22000</v>
      </c>
      <c r="G667" s="16">
        <f>VLOOKUP(C667,[1]master_data!$A$2:$E$495,4,FALSE)</f>
        <v>40000</v>
      </c>
      <c r="H667" s="16">
        <f>E667*F667</f>
        <v>110000</v>
      </c>
      <c r="I667" s="16">
        <f>E667*G667</f>
        <v>200000</v>
      </c>
      <c r="J667" s="16">
        <f>I667-H667</f>
        <v>90000</v>
      </c>
      <c r="K667" s="16" t="str">
        <f>VLOOKUP(C667,[1]master_data!$A$2:$E$495,5,FALSE)</f>
        <v>Aksesoris</v>
      </c>
      <c r="L667" s="1"/>
    </row>
    <row r="668" spans="1:12" ht="12" customHeight="1" x14ac:dyDescent="0.25">
      <c r="A668" s="15">
        <v>45199</v>
      </c>
      <c r="B668" s="16">
        <v>22301839</v>
      </c>
      <c r="C668" s="16" t="s">
        <v>395</v>
      </c>
      <c r="D668" s="16" t="str">
        <f>VLOOKUP(C668,[1]master_data!$A$2:$E$495,2,FALSE)</f>
        <v>ALIGATOR</v>
      </c>
      <c r="E668" s="16">
        <v>1</v>
      </c>
      <c r="F668" s="16">
        <f>VLOOKUP(C668,[1]master_data!$A$2:$E$495,3,FALSE)</f>
        <v>17000</v>
      </c>
      <c r="G668" s="16">
        <f>VLOOKUP(C668,[1]master_data!$A$2:$E$495,4,FALSE)</f>
        <v>35000</v>
      </c>
      <c r="H668" s="16">
        <f>E668*F668</f>
        <v>17000</v>
      </c>
      <c r="I668" s="16">
        <f>E668*G668</f>
        <v>35000</v>
      </c>
      <c r="J668" s="16">
        <f>I668-H668</f>
        <v>18000</v>
      </c>
      <c r="K668" s="16" t="str">
        <f>VLOOKUP(C668,[1]master_data!$A$2:$E$495,5,FALSE)</f>
        <v>Ikan</v>
      </c>
      <c r="L668" s="1"/>
    </row>
    <row r="669" spans="1:12" ht="12" customHeight="1" x14ac:dyDescent="0.25">
      <c r="A669" s="15">
        <v>45199</v>
      </c>
      <c r="B669" s="16">
        <v>22301840</v>
      </c>
      <c r="C669" s="16" t="s">
        <v>405</v>
      </c>
      <c r="D669" s="16" t="str">
        <f>VLOOKUP(C669,[1]master_data!$A$2:$E$495,2,FALSE)</f>
        <v>CUPANG</v>
      </c>
      <c r="E669" s="16">
        <v>20</v>
      </c>
      <c r="F669" s="16">
        <f>VLOOKUP(C669,[1]master_data!$A$2:$E$495,3,FALSE)</f>
        <v>2000</v>
      </c>
      <c r="G669" s="16">
        <f>VLOOKUP(C669,[1]master_data!$A$2:$E$495,4,FALSE)</f>
        <v>5000</v>
      </c>
      <c r="H669" s="16">
        <f>E669*F669</f>
        <v>40000</v>
      </c>
      <c r="I669" s="16">
        <f>E669*G669</f>
        <v>100000</v>
      </c>
      <c r="J669" s="16">
        <f>I669-H669</f>
        <v>60000</v>
      </c>
      <c r="K669" s="16" t="str">
        <f>VLOOKUP(C669,[1]master_data!$A$2:$E$495,5,FALSE)</f>
        <v>Ikan</v>
      </c>
      <c r="L669" s="1"/>
    </row>
    <row r="670" spans="1:12" ht="12" customHeight="1" x14ac:dyDescent="0.25">
      <c r="A670" s="15">
        <v>45199</v>
      </c>
      <c r="B670" s="16">
        <v>22301841</v>
      </c>
      <c r="C670" s="16" t="s">
        <v>392</v>
      </c>
      <c r="D670" s="16" t="str">
        <f>VLOOKUP(C670,[1]master_data!$A$2:$E$495,2,FALSE)</f>
        <v>ARWANA SILVER K</v>
      </c>
      <c r="E670" s="16">
        <v>1</v>
      </c>
      <c r="F670" s="16">
        <f>VLOOKUP(C670,[1]master_data!$A$2:$E$495,3,FALSE)</f>
        <v>100000</v>
      </c>
      <c r="G670" s="16">
        <f>VLOOKUP(C670,[1]master_data!$A$2:$E$495,4,FALSE)</f>
        <v>200000</v>
      </c>
      <c r="H670" s="16">
        <f>E670*F670</f>
        <v>100000</v>
      </c>
      <c r="I670" s="16">
        <f>E670*G670</f>
        <v>200000</v>
      </c>
      <c r="J670" s="16">
        <f>I670-H670</f>
        <v>100000</v>
      </c>
      <c r="K670" s="16" t="str">
        <f>VLOOKUP(C670,[1]master_data!$A$2:$E$495,5,FALSE)</f>
        <v>Ikan</v>
      </c>
      <c r="L670" s="1"/>
    </row>
    <row r="671" spans="1:12" ht="12" customHeight="1" x14ac:dyDescent="0.25">
      <c r="A671" s="15">
        <v>45198</v>
      </c>
      <c r="B671" s="16">
        <v>22301826</v>
      </c>
      <c r="C671" s="16" t="s">
        <v>359</v>
      </c>
      <c r="D671" s="16" t="str">
        <f>VLOOKUP(C671,[1]master_data!$A$2:$E$495,2,FALSE)</f>
        <v>TOPLES 12,3 L</v>
      </c>
      <c r="E671" s="16">
        <v>2</v>
      </c>
      <c r="F671" s="16">
        <f>VLOOKUP(C671,[1]master_data!$A$2:$E$495,3,FALSE)</f>
        <v>52000</v>
      </c>
      <c r="G671" s="16">
        <f>VLOOKUP(C671,[1]master_data!$A$2:$E$495,4,FALSE)</f>
        <v>110000</v>
      </c>
      <c r="H671" s="16">
        <f>E671*F671</f>
        <v>104000</v>
      </c>
      <c r="I671" s="16">
        <f>E671*G671</f>
        <v>220000</v>
      </c>
      <c r="J671" s="16">
        <f>I671-H671</f>
        <v>116000</v>
      </c>
      <c r="K671" s="16" t="str">
        <f>VLOOKUP(C671,[1]master_data!$A$2:$E$495,5,FALSE)</f>
        <v>Aksesoris</v>
      </c>
      <c r="L671" s="1"/>
    </row>
    <row r="672" spans="1:12" ht="12" customHeight="1" x14ac:dyDescent="0.25">
      <c r="A672" s="15">
        <v>45198</v>
      </c>
      <c r="B672" s="16">
        <v>22301827</v>
      </c>
      <c r="C672" s="16" t="s">
        <v>436</v>
      </c>
      <c r="D672" s="16" t="str">
        <f>VLOOKUP(C672,[1]master_data!$A$2:$E$495,2,FALSE)</f>
        <v>NENTINEN</v>
      </c>
      <c r="E672" s="16">
        <v>30</v>
      </c>
      <c r="F672" s="16">
        <f>VLOOKUP(C672,[1]master_data!$A$2:$E$495,3,FALSE)</f>
        <v>1000</v>
      </c>
      <c r="G672" s="16">
        <f>VLOOKUP(C672,[1]master_data!$A$2:$E$495,4,FALSE)</f>
        <v>2500</v>
      </c>
      <c r="H672" s="16">
        <f>E672*F672</f>
        <v>30000</v>
      </c>
      <c r="I672" s="16">
        <f>E672*G672</f>
        <v>75000</v>
      </c>
      <c r="J672" s="16">
        <f>I672-H672</f>
        <v>45000</v>
      </c>
      <c r="K672" s="16" t="str">
        <f>VLOOKUP(C672,[1]master_data!$A$2:$E$495,5,FALSE)</f>
        <v>Ikan</v>
      </c>
      <c r="L672" s="1"/>
    </row>
    <row r="673" spans="1:12" ht="12" customHeight="1" x14ac:dyDescent="0.25">
      <c r="A673" s="15">
        <v>45198</v>
      </c>
      <c r="B673" s="16">
        <v>22301828</v>
      </c>
      <c r="C673" s="16" t="s">
        <v>443</v>
      </c>
      <c r="D673" s="16" t="str">
        <f>VLOOKUP(C673,[1]master_data!$A$2:$E$495,2,FALSE)</f>
        <v>PESO</v>
      </c>
      <c r="E673" s="16">
        <v>10</v>
      </c>
      <c r="F673" s="16">
        <f>VLOOKUP(C673,[1]master_data!$A$2:$E$495,3,FALSE)</f>
        <v>19000</v>
      </c>
      <c r="G673" s="16">
        <f>VLOOKUP(C673,[1]master_data!$A$2:$E$495,4,FALSE)</f>
        <v>40000</v>
      </c>
      <c r="H673" s="16">
        <f>E673*F673</f>
        <v>190000</v>
      </c>
      <c r="I673" s="16">
        <f>E673*G673</f>
        <v>400000</v>
      </c>
      <c r="J673" s="16">
        <f>I673-H673</f>
        <v>210000</v>
      </c>
      <c r="K673" s="16" t="str">
        <f>VLOOKUP(C673,[1]master_data!$A$2:$E$495,5,FALSE)</f>
        <v>Ikan</v>
      </c>
      <c r="L673" s="1"/>
    </row>
    <row r="674" spans="1:12" ht="12" customHeight="1" x14ac:dyDescent="0.25">
      <c r="A674" s="15">
        <v>45198</v>
      </c>
      <c r="B674" s="16">
        <v>22301829</v>
      </c>
      <c r="C674" s="16" t="s">
        <v>407</v>
      </c>
      <c r="D674" s="16" t="str">
        <f>VLOOKUP(C674,[1]master_data!$A$2:$E$495,2,FALSE)</f>
        <v>GOLD FISH</v>
      </c>
      <c r="E674" s="16">
        <v>15</v>
      </c>
      <c r="F674" s="16">
        <f>VLOOKUP(C674,[1]master_data!$A$2:$E$495,3,FALSE)</f>
        <v>800</v>
      </c>
      <c r="G674" s="16">
        <f>VLOOKUP(C674,[1]master_data!$A$2:$E$495,4,FALSE)</f>
        <v>2000</v>
      </c>
      <c r="H674" s="16">
        <f>E674*F674</f>
        <v>12000</v>
      </c>
      <c r="I674" s="16">
        <f>E674*G674</f>
        <v>30000</v>
      </c>
      <c r="J674" s="16">
        <f>I674-H674</f>
        <v>18000</v>
      </c>
      <c r="K674" s="16" t="str">
        <f>VLOOKUP(C674,[1]master_data!$A$2:$E$495,5,FALSE)</f>
        <v>Ikan</v>
      </c>
      <c r="L674" s="1"/>
    </row>
    <row r="675" spans="1:12" ht="12" customHeight="1" x14ac:dyDescent="0.25">
      <c r="A675" s="15">
        <v>45198</v>
      </c>
      <c r="B675" s="16">
        <v>22301830</v>
      </c>
      <c r="C675" s="16" t="s">
        <v>175</v>
      </c>
      <c r="D675" s="16" t="str">
        <f>VLOOKUP(C675,[1]master_data!$A$2:$E$495,2,FALSE)</f>
        <v>LED ARMADA 3 BRS AP 600</v>
      </c>
      <c r="E675" s="16">
        <v>2</v>
      </c>
      <c r="F675" s="16">
        <f>VLOOKUP(C675,[1]master_data!$A$2:$E$495,3,FALSE)</f>
        <v>55000</v>
      </c>
      <c r="G675" s="16">
        <f>VLOOKUP(C675,[1]master_data!$A$2:$E$495,4,FALSE)</f>
        <v>80000</v>
      </c>
      <c r="H675" s="16">
        <f>E675*F675</f>
        <v>110000</v>
      </c>
      <c r="I675" s="16">
        <f>E675*G675</f>
        <v>160000</v>
      </c>
      <c r="J675" s="16">
        <f>I675-H675</f>
        <v>50000</v>
      </c>
      <c r="K675" s="16" t="str">
        <f>VLOOKUP(C675,[1]master_data!$A$2:$E$495,5,FALSE)</f>
        <v>Aksesoris</v>
      </c>
      <c r="L675" s="1"/>
    </row>
    <row r="676" spans="1:12" ht="12" customHeight="1" x14ac:dyDescent="0.25">
      <c r="A676" s="15">
        <v>45198</v>
      </c>
      <c r="B676" s="16">
        <v>22301831</v>
      </c>
      <c r="C676" s="16" t="s">
        <v>457</v>
      </c>
      <c r="D676" s="16" t="str">
        <f>VLOOKUP(C676,[1]master_data!$A$2:$E$495,2,FALSE)</f>
        <v>ZEBRA UNGU</v>
      </c>
      <c r="E676" s="16">
        <v>15</v>
      </c>
      <c r="F676" s="16">
        <f>VLOOKUP(C676,[1]master_data!$A$2:$E$495,3,FALSE)</f>
        <v>800</v>
      </c>
      <c r="G676" s="16">
        <f>VLOOKUP(C676,[1]master_data!$A$2:$E$495,4,FALSE)</f>
        <v>2000</v>
      </c>
      <c r="H676" s="16">
        <f>E676*F676</f>
        <v>12000</v>
      </c>
      <c r="I676" s="16">
        <f>E676*G676</f>
        <v>30000</v>
      </c>
      <c r="J676" s="16">
        <f>I676-H676</f>
        <v>18000</v>
      </c>
      <c r="K676" s="16" t="str">
        <f>VLOOKUP(C676,[1]master_data!$A$2:$E$495,5,FALSE)</f>
        <v>Ikan</v>
      </c>
      <c r="L676" s="1"/>
    </row>
    <row r="677" spans="1:12" ht="12" customHeight="1" x14ac:dyDescent="0.25">
      <c r="A677" s="15">
        <v>45198</v>
      </c>
      <c r="B677" s="16">
        <v>22301832</v>
      </c>
      <c r="C677" s="16" t="s">
        <v>419</v>
      </c>
      <c r="D677" s="16" t="str">
        <f>VLOOKUP(C677,[1]master_data!$A$2:$E$495,2,FALSE)</f>
        <v>KOMET PAKAN</v>
      </c>
      <c r="E677" s="16">
        <v>9</v>
      </c>
      <c r="F677" s="16">
        <f>VLOOKUP(C677,[1]master_data!$A$2:$E$495,3,FALSE)</f>
        <v>300</v>
      </c>
      <c r="G677" s="16">
        <f>VLOOKUP(C677,[1]master_data!$A$2:$E$495,4,FALSE)</f>
        <v>1000</v>
      </c>
      <c r="H677" s="16">
        <f>E677*F677</f>
        <v>2700</v>
      </c>
      <c r="I677" s="16">
        <f>E677*G677</f>
        <v>9000</v>
      </c>
      <c r="J677" s="16">
        <f>I677-H677</f>
        <v>6300</v>
      </c>
      <c r="K677" s="16" t="str">
        <f>VLOOKUP(C677,[1]master_data!$A$2:$E$495,5,FALSE)</f>
        <v>Ikan</v>
      </c>
      <c r="L677" s="1"/>
    </row>
    <row r="678" spans="1:12" ht="12" customHeight="1" x14ac:dyDescent="0.25">
      <c r="A678" s="15">
        <v>45198</v>
      </c>
      <c r="B678" s="16">
        <v>22301833</v>
      </c>
      <c r="C678" s="16" t="s">
        <v>405</v>
      </c>
      <c r="D678" s="16" t="str">
        <f>VLOOKUP(C678,[1]master_data!$A$2:$E$495,2,FALSE)</f>
        <v>CUPANG</v>
      </c>
      <c r="E678" s="16">
        <v>1</v>
      </c>
      <c r="F678" s="16">
        <f>VLOOKUP(C678,[1]master_data!$A$2:$E$495,3,FALSE)</f>
        <v>2000</v>
      </c>
      <c r="G678" s="16">
        <f>VLOOKUP(C678,[1]master_data!$A$2:$E$495,4,FALSE)</f>
        <v>5000</v>
      </c>
      <c r="H678" s="16">
        <f>E678*F678</f>
        <v>2000</v>
      </c>
      <c r="I678" s="16">
        <f>E678*G678</f>
        <v>5000</v>
      </c>
      <c r="J678" s="16">
        <f>I678-H678</f>
        <v>3000</v>
      </c>
      <c r="K678" s="16" t="str">
        <f>VLOOKUP(C678,[1]master_data!$A$2:$E$495,5,FALSE)</f>
        <v>Ikan</v>
      </c>
      <c r="L678" s="1"/>
    </row>
    <row r="679" spans="1:12" ht="12" customHeight="1" x14ac:dyDescent="0.25">
      <c r="A679" s="15">
        <v>45197</v>
      </c>
      <c r="B679" s="16">
        <v>22301820</v>
      </c>
      <c r="C679" s="16" t="s">
        <v>265</v>
      </c>
      <c r="D679" s="16" t="str">
        <f>VLOOKUP(C679,[1]master_data!$A$2:$E$495,2,FALSE)</f>
        <v>HEATER STENLEES 25 W</v>
      </c>
      <c r="E679" s="16">
        <v>1</v>
      </c>
      <c r="F679" s="16">
        <f>VLOOKUP(C679,[1]master_data!$A$2:$E$495,3,FALSE)</f>
        <v>56500</v>
      </c>
      <c r="G679" s="16">
        <f>VLOOKUP(C679,[1]master_data!$A$2:$E$495,4,FALSE)</f>
        <v>85000</v>
      </c>
      <c r="H679" s="16">
        <f>E679*F679</f>
        <v>56500</v>
      </c>
      <c r="I679" s="16">
        <f>E679*G679</f>
        <v>85000</v>
      </c>
      <c r="J679" s="16">
        <f>I679-H679</f>
        <v>28500</v>
      </c>
      <c r="K679" s="16" t="str">
        <f>VLOOKUP(C679,[1]master_data!$A$2:$E$495,5,FALSE)</f>
        <v>Aksesoris</v>
      </c>
      <c r="L679" s="1"/>
    </row>
    <row r="680" spans="1:12" ht="12" customHeight="1" x14ac:dyDescent="0.25">
      <c r="A680" s="15">
        <v>45197</v>
      </c>
      <c r="B680" s="16">
        <v>22301821</v>
      </c>
      <c r="C680" s="16" t="s">
        <v>159</v>
      </c>
      <c r="D680" s="16" t="str">
        <f>VLOOKUP(C680,[1]master_data!$A$2:$E$495,2,FALSE)</f>
        <v>LED KANDILA PRO RED 60 CM</v>
      </c>
      <c r="E680" s="16">
        <v>2</v>
      </c>
      <c r="F680" s="16">
        <f>VLOOKUP(C680,[1]master_data!$A$2:$E$495,3,FALSE)</f>
        <v>170000</v>
      </c>
      <c r="G680" s="16">
        <f>VLOOKUP(C680,[1]master_data!$A$2:$E$495,4,FALSE)</f>
        <v>215000</v>
      </c>
      <c r="H680" s="16">
        <f>E680*F680</f>
        <v>340000</v>
      </c>
      <c r="I680" s="16">
        <f>E680*G680</f>
        <v>430000</v>
      </c>
      <c r="J680" s="16">
        <f>I680-H680</f>
        <v>90000</v>
      </c>
      <c r="K680" s="16" t="str">
        <f>VLOOKUP(C680,[1]master_data!$A$2:$E$495,5,FALSE)</f>
        <v>Aksesoris</v>
      </c>
      <c r="L680" s="1"/>
    </row>
    <row r="681" spans="1:12" ht="12" customHeight="1" x14ac:dyDescent="0.25">
      <c r="A681" s="15">
        <v>45197</v>
      </c>
      <c r="B681" s="16">
        <v>22301822</v>
      </c>
      <c r="C681" s="16" t="s">
        <v>129</v>
      </c>
      <c r="D681" s="16" t="str">
        <f>VLOOKUP(C681,[1]master_data!$A$2:$E$495,2,FALSE)</f>
        <v>LED YAMANO S400</v>
      </c>
      <c r="E681" s="16">
        <v>1</v>
      </c>
      <c r="F681" s="16">
        <f>VLOOKUP(C681,[1]master_data!$A$2:$E$495,3,FALSE)</f>
        <v>50000</v>
      </c>
      <c r="G681" s="16">
        <f>VLOOKUP(C681,[1]master_data!$A$2:$E$495,4,FALSE)</f>
        <v>75000</v>
      </c>
      <c r="H681" s="16">
        <f>E681*F681</f>
        <v>50000</v>
      </c>
      <c r="I681" s="16">
        <f>E681*G681</f>
        <v>75000</v>
      </c>
      <c r="J681" s="16">
        <f>I681-H681</f>
        <v>25000</v>
      </c>
      <c r="K681" s="16" t="str">
        <f>VLOOKUP(C681,[1]master_data!$A$2:$E$495,5,FALSE)</f>
        <v>Aksesoris</v>
      </c>
      <c r="L681" s="1"/>
    </row>
    <row r="682" spans="1:12" ht="12" customHeight="1" x14ac:dyDescent="0.25">
      <c r="A682" s="15">
        <v>45197</v>
      </c>
      <c r="B682" s="16">
        <v>22301823</v>
      </c>
      <c r="C682" s="16" t="s">
        <v>459</v>
      </c>
      <c r="D682" s="16" t="str">
        <f>VLOOKUP(C682,[1]master_data!$A$2:$E$495,2,FALSE)</f>
        <v>SEPAT</v>
      </c>
      <c r="E682" s="16">
        <v>10</v>
      </c>
      <c r="F682" s="16">
        <f>VLOOKUP(C682,[1]master_data!$A$2:$E$495,3,FALSE)</f>
        <v>600</v>
      </c>
      <c r="G682" s="16">
        <f>VLOOKUP(C682,[1]master_data!$A$2:$E$495,4,FALSE)</f>
        <v>2000</v>
      </c>
      <c r="H682" s="16">
        <f>E682*F682</f>
        <v>6000</v>
      </c>
      <c r="I682" s="16">
        <f>E682*G682</f>
        <v>20000</v>
      </c>
      <c r="J682" s="16">
        <f>I682-H682</f>
        <v>14000</v>
      </c>
      <c r="K682" s="16" t="str">
        <f>VLOOKUP(C682,[1]master_data!$A$2:$E$495,5,FALSE)</f>
        <v>Ikan</v>
      </c>
      <c r="L682" s="1"/>
    </row>
    <row r="683" spans="1:12" ht="12" customHeight="1" x14ac:dyDescent="0.25">
      <c r="A683" s="15">
        <v>45197</v>
      </c>
      <c r="B683" s="16">
        <v>22301824</v>
      </c>
      <c r="C683" s="16" t="s">
        <v>182</v>
      </c>
      <c r="D683" s="16" t="str">
        <f>VLOOKUP(C683,[1]master_data!$A$2:$E$495,2,FALSE)</f>
        <v>LED ARMADA 3 MODE M60</v>
      </c>
      <c r="E683" s="16">
        <v>9</v>
      </c>
      <c r="F683" s="16">
        <f>VLOOKUP(C683,[1]master_data!$A$2:$E$495,3,FALSE)</f>
        <v>29000</v>
      </c>
      <c r="G683" s="16">
        <f>VLOOKUP(C683,[1]master_data!$A$2:$E$495,4,FALSE)</f>
        <v>60000</v>
      </c>
      <c r="H683" s="16">
        <f>E683*F683</f>
        <v>261000</v>
      </c>
      <c r="I683" s="16">
        <f>E683*G683</f>
        <v>540000</v>
      </c>
      <c r="J683" s="16">
        <f>I683-H683</f>
        <v>279000</v>
      </c>
      <c r="K683" s="16" t="str">
        <f>VLOOKUP(C683,[1]master_data!$A$2:$E$495,5,FALSE)</f>
        <v>Aksesoris</v>
      </c>
      <c r="L683" s="1"/>
    </row>
    <row r="684" spans="1:12" ht="12" customHeight="1" x14ac:dyDescent="0.25">
      <c r="A684" s="15">
        <v>45197</v>
      </c>
      <c r="B684" s="16">
        <v>22301825</v>
      </c>
      <c r="C684" s="16" t="s">
        <v>452</v>
      </c>
      <c r="D684" s="16" t="str">
        <f>VLOOKUP(C684,[1]master_data!$A$2:$E$495,2,FALSE)</f>
        <v>SYNODONTI B</v>
      </c>
      <c r="E684" s="16">
        <v>1</v>
      </c>
      <c r="F684" s="16">
        <f>VLOOKUP(C684,[1]master_data!$A$2:$E$495,3,FALSE)</f>
        <v>4000</v>
      </c>
      <c r="G684" s="16">
        <f>VLOOKUP(C684,[1]master_data!$A$2:$E$495,4,FALSE)</f>
        <v>10000</v>
      </c>
      <c r="H684" s="16">
        <f>E684*F684</f>
        <v>4000</v>
      </c>
      <c r="I684" s="16">
        <f>E684*G684</f>
        <v>10000</v>
      </c>
      <c r="J684" s="16">
        <f>I684-H684</f>
        <v>6000</v>
      </c>
      <c r="K684" s="16" t="str">
        <f>VLOOKUP(C684,[1]master_data!$A$2:$E$495,5,FALSE)</f>
        <v>Ikan</v>
      </c>
      <c r="L684" s="1"/>
    </row>
    <row r="685" spans="1:12" ht="12" customHeight="1" x14ac:dyDescent="0.25">
      <c r="A685" s="15">
        <v>45196</v>
      </c>
      <c r="B685" s="16">
        <v>22301815</v>
      </c>
      <c r="C685" s="16" t="s">
        <v>250</v>
      </c>
      <c r="D685" s="16" t="str">
        <f>VLOOKUP(C685,[1]master_data!$A$2:$E$495,2,FALSE)</f>
        <v>GOSOKAN BIASA</v>
      </c>
      <c r="E685" s="16">
        <v>2</v>
      </c>
      <c r="F685" s="16">
        <f>VLOOKUP(C685,[1]master_data!$A$2:$E$495,3,FALSE)</f>
        <v>10000</v>
      </c>
      <c r="G685" s="16">
        <f>VLOOKUP(C685,[1]master_data!$A$2:$E$495,4,FALSE)</f>
        <v>20000</v>
      </c>
      <c r="H685" s="16">
        <f>E685*F685</f>
        <v>20000</v>
      </c>
      <c r="I685" s="16">
        <f>E685*G685</f>
        <v>40000</v>
      </c>
      <c r="J685" s="16">
        <f>I685-H685</f>
        <v>20000</v>
      </c>
      <c r="K685" s="16" t="str">
        <f>VLOOKUP(C685,[1]master_data!$A$2:$E$495,5,FALSE)</f>
        <v>Aksesoris</v>
      </c>
      <c r="L685" s="1"/>
    </row>
    <row r="686" spans="1:12" ht="12" customHeight="1" x14ac:dyDescent="0.25">
      <c r="A686" s="15">
        <v>45196</v>
      </c>
      <c r="B686" s="16">
        <v>22301816</v>
      </c>
      <c r="C686" s="16" t="s">
        <v>377</v>
      </c>
      <c r="D686" s="16" t="str">
        <f>VLOOKUP(C686,[1]master_data!$A$2:$E$495,2,FALSE)</f>
        <v>PASIR PANTAI</v>
      </c>
      <c r="E686" s="16">
        <v>10</v>
      </c>
      <c r="F686" s="16">
        <f>VLOOKUP(C686,[1]master_data!$A$2:$E$495,3,FALSE)</f>
        <v>5000</v>
      </c>
      <c r="G686" s="16">
        <f>VLOOKUP(C686,[1]master_data!$A$2:$E$495,4,FALSE)</f>
        <v>10000</v>
      </c>
      <c r="H686" s="16">
        <f>E686*F686</f>
        <v>50000</v>
      </c>
      <c r="I686" s="16">
        <f>E686*G686</f>
        <v>100000</v>
      </c>
      <c r="J686" s="16">
        <f>I686-H686</f>
        <v>50000</v>
      </c>
      <c r="K686" s="16" t="str">
        <f>VLOOKUP(C686,[1]master_data!$A$2:$E$495,5,FALSE)</f>
        <v>Aksesoris</v>
      </c>
      <c r="L686" s="1"/>
    </row>
    <row r="687" spans="1:12" ht="12" customHeight="1" x14ac:dyDescent="0.25">
      <c r="A687" s="15">
        <v>45196</v>
      </c>
      <c r="B687" s="16">
        <v>22301817</v>
      </c>
      <c r="C687" s="16" t="s">
        <v>389</v>
      </c>
      <c r="D687" s="16" t="str">
        <f>VLOOKUP(C687,[1]master_data!$A$2:$E$495,2,FALSE)</f>
        <v>CHANNA ANDRAO K</v>
      </c>
      <c r="E687" s="16">
        <v>20</v>
      </c>
      <c r="F687" s="16">
        <f>VLOOKUP(C687,[1]master_data!$A$2:$E$495,3,FALSE)</f>
        <v>20000</v>
      </c>
      <c r="G687" s="16">
        <f>VLOOKUP(C687,[1]master_data!$A$2:$E$495,4,FALSE)</f>
        <v>50000</v>
      </c>
      <c r="H687" s="16">
        <f>E687*F687</f>
        <v>400000</v>
      </c>
      <c r="I687" s="16">
        <f>E687*G687</f>
        <v>1000000</v>
      </c>
      <c r="J687" s="16">
        <f>I687-H687</f>
        <v>600000</v>
      </c>
      <c r="K687" s="16" t="str">
        <f>VLOOKUP(C687,[1]master_data!$A$2:$E$495,5,FALSE)</f>
        <v>Ikan</v>
      </c>
      <c r="L687" s="1"/>
    </row>
    <row r="688" spans="1:12" ht="12" customHeight="1" x14ac:dyDescent="0.25">
      <c r="A688" s="15">
        <v>45196</v>
      </c>
      <c r="B688" s="16">
        <v>22301818</v>
      </c>
      <c r="C688" s="16" t="s">
        <v>407</v>
      </c>
      <c r="D688" s="16" t="str">
        <f>VLOOKUP(C688,[1]master_data!$A$2:$E$495,2,FALSE)</f>
        <v>GOLD FISH</v>
      </c>
      <c r="E688" s="16">
        <v>25</v>
      </c>
      <c r="F688" s="16">
        <f>VLOOKUP(C688,[1]master_data!$A$2:$E$495,3,FALSE)</f>
        <v>800</v>
      </c>
      <c r="G688" s="16">
        <f>VLOOKUP(C688,[1]master_data!$A$2:$E$495,4,FALSE)</f>
        <v>2000</v>
      </c>
      <c r="H688" s="16">
        <f>E688*F688</f>
        <v>20000</v>
      </c>
      <c r="I688" s="16">
        <f>E688*G688</f>
        <v>50000</v>
      </c>
      <c r="J688" s="16">
        <f>I688-H688</f>
        <v>30000</v>
      </c>
      <c r="K688" s="16" t="str">
        <f>VLOOKUP(C688,[1]master_data!$A$2:$E$495,5,FALSE)</f>
        <v>Ikan</v>
      </c>
      <c r="L688" s="1"/>
    </row>
    <row r="689" spans="1:12" ht="12" customHeight="1" x14ac:dyDescent="0.25">
      <c r="A689" s="15">
        <v>45196</v>
      </c>
      <c r="B689" s="16">
        <v>22301819</v>
      </c>
      <c r="C689" s="16" t="s">
        <v>402</v>
      </c>
      <c r="D689" s="16" t="str">
        <f>VLOOKUP(C689,[1]master_data!$A$2:$E$495,2,FALSE)</f>
        <v>CHANNA BLUE PULCHRA B</v>
      </c>
      <c r="E689" s="16">
        <v>1</v>
      </c>
      <c r="F689" s="16">
        <f>VLOOKUP(C689,[1]master_data!$A$2:$E$495,3,FALSE)</f>
        <v>125000</v>
      </c>
      <c r="G689" s="16">
        <f>VLOOKUP(C689,[1]master_data!$A$2:$E$495,4,FALSE)</f>
        <v>200000</v>
      </c>
      <c r="H689" s="16">
        <f>E689*F689</f>
        <v>125000</v>
      </c>
      <c r="I689" s="16">
        <f>E689*G689</f>
        <v>200000</v>
      </c>
      <c r="J689" s="16">
        <f>I689-H689</f>
        <v>75000</v>
      </c>
      <c r="K689" s="16" t="str">
        <f>VLOOKUP(C689,[1]master_data!$A$2:$E$495,5,FALSE)</f>
        <v>Ikan</v>
      </c>
      <c r="L689" s="1"/>
    </row>
    <row r="690" spans="1:12" ht="12" customHeight="1" x14ac:dyDescent="0.25">
      <c r="A690" s="15">
        <v>45195</v>
      </c>
      <c r="B690" s="16">
        <v>22301805</v>
      </c>
      <c r="C690" s="16" t="s">
        <v>451</v>
      </c>
      <c r="D690" s="16" t="str">
        <f>VLOOKUP(C690,[1]master_data!$A$2:$E$495,2,FALSE)</f>
        <v>SYNODONTIS K</v>
      </c>
      <c r="E690" s="16">
        <v>15</v>
      </c>
      <c r="F690" s="16">
        <f>VLOOKUP(C690,[1]master_data!$A$2:$E$495,3,FALSE)</f>
        <v>1500</v>
      </c>
      <c r="G690" s="16">
        <f>VLOOKUP(C690,[1]master_data!$A$2:$E$495,4,FALSE)</f>
        <v>5000</v>
      </c>
      <c r="H690" s="16">
        <f>E690*F690</f>
        <v>22500</v>
      </c>
      <c r="I690" s="16">
        <f>E690*G690</f>
        <v>75000</v>
      </c>
      <c r="J690" s="16">
        <f>I690-H690</f>
        <v>52500</v>
      </c>
      <c r="K690" s="16" t="str">
        <f>VLOOKUP(C690,[1]master_data!$A$2:$E$495,5,FALSE)</f>
        <v>Ikan</v>
      </c>
      <c r="L690" s="1"/>
    </row>
    <row r="691" spans="1:12" ht="12" customHeight="1" x14ac:dyDescent="0.25">
      <c r="A691" s="15">
        <v>45195</v>
      </c>
      <c r="B691" s="16">
        <v>22301806</v>
      </c>
      <c r="C691" s="16" t="s">
        <v>174</v>
      </c>
      <c r="D691" s="16" t="str">
        <f>VLOOKUP(C691,[1]master_data!$A$2:$E$495,2,FALSE)</f>
        <v>LED KANDILA DnN 100 CM</v>
      </c>
      <c r="E691" s="16">
        <v>1</v>
      </c>
      <c r="F691" s="16">
        <f>VLOOKUP(C691,[1]master_data!$A$2:$E$495,3,FALSE)</f>
        <v>55000</v>
      </c>
      <c r="G691" s="16">
        <f>VLOOKUP(C691,[1]master_data!$A$2:$E$495,4,FALSE)</f>
        <v>100000</v>
      </c>
      <c r="H691" s="16">
        <f>E691*F691</f>
        <v>55000</v>
      </c>
      <c r="I691" s="16">
        <f>E691*G691</f>
        <v>100000</v>
      </c>
      <c r="J691" s="16">
        <f>I691-H691</f>
        <v>45000</v>
      </c>
      <c r="K691" s="16" t="str">
        <f>VLOOKUP(C691,[1]master_data!$A$2:$E$495,5,FALSE)</f>
        <v>Aksesoris</v>
      </c>
      <c r="L691" s="1"/>
    </row>
    <row r="692" spans="1:12" ht="12" customHeight="1" x14ac:dyDescent="0.25">
      <c r="A692" s="15">
        <v>45195</v>
      </c>
      <c r="B692" s="16">
        <v>22301807</v>
      </c>
      <c r="C692" s="16" t="s">
        <v>425</v>
      </c>
      <c r="D692" s="16" t="str">
        <f>VLOOKUP(C692,[1]master_data!$A$2:$E$495,2,FALSE)</f>
        <v>LEMON</v>
      </c>
      <c r="E692" s="16">
        <v>15</v>
      </c>
      <c r="F692" s="16">
        <f>VLOOKUP(C692,[1]master_data!$A$2:$E$495,3,FALSE)</f>
        <v>1000</v>
      </c>
      <c r="G692" s="16">
        <f>VLOOKUP(C692,[1]master_data!$A$2:$E$495,4,FALSE)</f>
        <v>2000</v>
      </c>
      <c r="H692" s="16">
        <f>E692*F692</f>
        <v>15000</v>
      </c>
      <c r="I692" s="16">
        <f>E692*G692</f>
        <v>30000</v>
      </c>
      <c r="J692" s="16">
        <f>I692-H692</f>
        <v>15000</v>
      </c>
      <c r="K692" s="16" t="str">
        <f>VLOOKUP(C692,[1]master_data!$A$2:$E$495,5,FALSE)</f>
        <v>Ikan</v>
      </c>
      <c r="L692" s="1"/>
    </row>
    <row r="693" spans="1:12" ht="12" customHeight="1" x14ac:dyDescent="0.25">
      <c r="A693" s="15">
        <v>45195</v>
      </c>
      <c r="B693" s="16">
        <v>22301808</v>
      </c>
      <c r="C693" s="16" t="s">
        <v>185</v>
      </c>
      <c r="D693" s="16" t="str">
        <f>VLOOKUP(C693,[1]master_data!$A$2:$E$495,2,FALSE)</f>
        <v>LED RECENT DnN 40 CM</v>
      </c>
      <c r="E693" s="16">
        <v>2</v>
      </c>
      <c r="F693" s="16">
        <f>VLOOKUP(C693,[1]master_data!$A$2:$E$495,3,FALSE)</f>
        <v>29000</v>
      </c>
      <c r="G693" s="16">
        <f>VLOOKUP(C693,[1]master_data!$A$2:$E$495,4,FALSE)</f>
        <v>50000</v>
      </c>
      <c r="H693" s="16">
        <f>E693*F693</f>
        <v>58000</v>
      </c>
      <c r="I693" s="16">
        <f>E693*G693</f>
        <v>100000</v>
      </c>
      <c r="J693" s="16">
        <f>I693-H693</f>
        <v>42000</v>
      </c>
      <c r="K693" s="16" t="str">
        <f>VLOOKUP(C693,[1]master_data!$A$2:$E$495,5,FALSE)</f>
        <v>Aksesoris</v>
      </c>
      <c r="L693" s="1"/>
    </row>
    <row r="694" spans="1:12" ht="12" customHeight="1" x14ac:dyDescent="0.25">
      <c r="A694" s="15">
        <v>45195</v>
      </c>
      <c r="B694" s="16">
        <v>22301809</v>
      </c>
      <c r="C694" s="16" t="s">
        <v>450</v>
      </c>
      <c r="D694" s="16" t="str">
        <f>VLOOKUP(C694,[1]master_data!$A$2:$E$495,2,FALSE)</f>
        <v>SNOW WHITE</v>
      </c>
      <c r="E694" s="16">
        <v>10</v>
      </c>
      <c r="F694" s="16">
        <f>VLOOKUP(C694,[1]master_data!$A$2:$E$495,3,FALSE)</f>
        <v>1500</v>
      </c>
      <c r="G694" s="16">
        <f>VLOOKUP(C694,[1]master_data!$A$2:$E$495,4,FALSE)</f>
        <v>3000</v>
      </c>
      <c r="H694" s="16">
        <f>E694*F694</f>
        <v>15000</v>
      </c>
      <c r="I694" s="16">
        <f>E694*G694</f>
        <v>30000</v>
      </c>
      <c r="J694" s="16">
        <f>I694-H694</f>
        <v>15000</v>
      </c>
      <c r="K694" s="16" t="str">
        <f>VLOOKUP(C694,[1]master_data!$A$2:$E$495,5,FALSE)</f>
        <v>Ikan</v>
      </c>
      <c r="L694" s="1"/>
    </row>
    <row r="695" spans="1:12" ht="12" customHeight="1" x14ac:dyDescent="0.25">
      <c r="A695" s="15">
        <v>45195</v>
      </c>
      <c r="B695" s="16">
        <v>22301810</v>
      </c>
      <c r="C695" s="16" t="s">
        <v>220</v>
      </c>
      <c r="D695" s="16" t="str">
        <f>VLOOKUP(C695,[1]master_data!$A$2:$E$495,2,FALSE)</f>
        <v>HIKARI FRIEND 75 GR</v>
      </c>
      <c r="E695" s="16">
        <v>2</v>
      </c>
      <c r="F695" s="16">
        <f>VLOOKUP(C695,[1]master_data!$A$2:$E$495,3,FALSE)</f>
        <v>50000</v>
      </c>
      <c r="G695" s="16">
        <f>VLOOKUP(C695,[1]master_data!$A$2:$E$495,4,FALSE)</f>
        <v>65000</v>
      </c>
      <c r="H695" s="16">
        <f>E695*F695</f>
        <v>100000</v>
      </c>
      <c r="I695" s="16">
        <f>E695*G695</f>
        <v>130000</v>
      </c>
      <c r="J695" s="16">
        <f>I695-H695</f>
        <v>30000</v>
      </c>
      <c r="K695" s="16" t="str">
        <f>VLOOKUP(C695,[1]master_data!$A$2:$E$495,5,FALSE)</f>
        <v>Aksesoris</v>
      </c>
      <c r="L695" s="1"/>
    </row>
    <row r="696" spans="1:12" ht="12" customHeight="1" x14ac:dyDescent="0.25">
      <c r="A696" s="15">
        <v>45195</v>
      </c>
      <c r="B696" s="16">
        <v>22301811</v>
      </c>
      <c r="C696" s="16" t="s">
        <v>384</v>
      </c>
      <c r="D696" s="16" t="str">
        <f>VLOOKUP(C696,[1]master_data!$A$2:$E$495,2,FALSE)</f>
        <v>BATU ZELOID</v>
      </c>
      <c r="E696" s="16">
        <v>1</v>
      </c>
      <c r="F696" s="16">
        <f>VLOOKUP(C696,[1]master_data!$A$2:$E$495,3,FALSE)</f>
        <v>25000</v>
      </c>
      <c r="G696" s="16">
        <f>VLOOKUP(C696,[1]master_data!$A$2:$E$495,4,FALSE)</f>
        <v>35000</v>
      </c>
      <c r="H696" s="16">
        <f>E696*F696</f>
        <v>25000</v>
      </c>
      <c r="I696" s="16">
        <f>E696*G696</f>
        <v>35000</v>
      </c>
      <c r="J696" s="16">
        <f>I696-H696</f>
        <v>10000</v>
      </c>
      <c r="K696" s="16" t="str">
        <f>VLOOKUP(C696,[1]master_data!$A$2:$E$495,5,FALSE)</f>
        <v>Aksesoris</v>
      </c>
      <c r="L696" s="1"/>
    </row>
    <row r="697" spans="1:12" ht="12" customHeight="1" x14ac:dyDescent="0.25">
      <c r="A697" s="15">
        <v>45195</v>
      </c>
      <c r="B697" s="16">
        <v>22301812</v>
      </c>
      <c r="C697" s="16" t="s">
        <v>186</v>
      </c>
      <c r="D697" s="16" t="str">
        <f>VLOOKUP(C697,[1]master_data!$A$2:$E$495,2,FALSE)</f>
        <v>LED RECENT DnN 50CM</v>
      </c>
      <c r="E697" s="16">
        <v>5</v>
      </c>
      <c r="F697" s="16">
        <f>VLOOKUP(C697,[1]master_data!$A$2:$E$495,3,FALSE)</f>
        <v>30000</v>
      </c>
      <c r="G697" s="16">
        <f>VLOOKUP(C697,[1]master_data!$A$2:$E$495,4,FALSE)</f>
        <v>60000</v>
      </c>
      <c r="H697" s="16">
        <f>E697*F697</f>
        <v>150000</v>
      </c>
      <c r="I697" s="16">
        <f>E697*G697</f>
        <v>300000</v>
      </c>
      <c r="J697" s="16">
        <f>I697-H697</f>
        <v>150000</v>
      </c>
      <c r="K697" s="16" t="str">
        <f>VLOOKUP(C697,[1]master_data!$A$2:$E$495,5,FALSE)</f>
        <v>Aksesoris</v>
      </c>
      <c r="L697" s="1"/>
    </row>
    <row r="698" spans="1:12" ht="12" customHeight="1" x14ac:dyDescent="0.25">
      <c r="A698" s="15">
        <v>45195</v>
      </c>
      <c r="B698" s="16">
        <v>22301813</v>
      </c>
      <c r="C698" s="16" t="s">
        <v>415</v>
      </c>
      <c r="D698" s="16" t="str">
        <f>VLOOKUP(C698,[1]master_data!$A$2:$E$495,2,FALSE)</f>
        <v>KOI T</v>
      </c>
      <c r="E698" s="16">
        <v>4</v>
      </c>
      <c r="F698" s="16">
        <f>VLOOKUP(C698,[1]master_data!$A$2:$E$495,3,FALSE)</f>
        <v>7000</v>
      </c>
      <c r="G698" s="16">
        <f>VLOOKUP(C698,[1]master_data!$A$2:$E$495,4,FALSE)</f>
        <v>20000</v>
      </c>
      <c r="H698" s="16">
        <f>E698*F698</f>
        <v>28000</v>
      </c>
      <c r="I698" s="16">
        <f>E698*G698</f>
        <v>80000</v>
      </c>
      <c r="J698" s="16">
        <f>I698-H698</f>
        <v>52000</v>
      </c>
      <c r="K698" s="16" t="str">
        <f>VLOOKUP(C698,[1]master_data!$A$2:$E$495,5,FALSE)</f>
        <v>Ikan</v>
      </c>
      <c r="L698" s="1"/>
    </row>
    <row r="699" spans="1:12" ht="12" customHeight="1" x14ac:dyDescent="0.25">
      <c r="A699" s="15">
        <v>45195</v>
      </c>
      <c r="B699" s="16">
        <v>22301814</v>
      </c>
      <c r="C699" s="16" t="s">
        <v>302</v>
      </c>
      <c r="D699" s="16" t="str">
        <f>VLOOKUP(C699,[1]master_data!$A$2:$E$495,2,FALSE)</f>
        <v>PIPA LONJOR 2 M</v>
      </c>
      <c r="E699" s="16">
        <v>1</v>
      </c>
      <c r="F699" s="16">
        <f>VLOOKUP(C699,[1]master_data!$A$2:$E$495,3,FALSE)</f>
        <v>5000</v>
      </c>
      <c r="G699" s="16">
        <f>VLOOKUP(C699,[1]master_data!$A$2:$E$495,4,FALSE)</f>
        <v>10000</v>
      </c>
      <c r="H699" s="16">
        <f>E699*F699</f>
        <v>5000</v>
      </c>
      <c r="I699" s="16">
        <f>E699*G699</f>
        <v>10000</v>
      </c>
      <c r="J699" s="16">
        <f>I699-H699</f>
        <v>5000</v>
      </c>
      <c r="K699" s="16" t="str">
        <f>VLOOKUP(C699,[1]master_data!$A$2:$E$495,5,FALSE)</f>
        <v>Aksesoris</v>
      </c>
      <c r="L699" s="1"/>
    </row>
    <row r="700" spans="1:12" ht="12" customHeight="1" x14ac:dyDescent="0.25">
      <c r="A700" s="15">
        <v>45194</v>
      </c>
      <c r="B700" s="16">
        <v>22301800</v>
      </c>
      <c r="C700" s="16" t="s">
        <v>153</v>
      </c>
      <c r="D700" s="16" t="str">
        <f>VLOOKUP(C700,[1]master_data!$A$2:$E$495,2,FALSE)</f>
        <v>LED VOSSO A 600</v>
      </c>
      <c r="E700" s="16">
        <v>5</v>
      </c>
      <c r="F700" s="16">
        <f>VLOOKUP(C700,[1]master_data!$A$2:$E$495,3,FALSE)</f>
        <v>55000</v>
      </c>
      <c r="G700" s="16">
        <f>VLOOKUP(C700,[1]master_data!$A$2:$E$495,4,FALSE)</f>
        <v>75000</v>
      </c>
      <c r="H700" s="16">
        <f>E700*F700</f>
        <v>275000</v>
      </c>
      <c r="I700" s="16">
        <f>E700*G700</f>
        <v>375000</v>
      </c>
      <c r="J700" s="16">
        <f>I700-H700</f>
        <v>100000</v>
      </c>
      <c r="K700" s="16" t="str">
        <f>VLOOKUP(C700,[1]master_data!$A$2:$E$495,5,FALSE)</f>
        <v>Aksesoris</v>
      </c>
      <c r="L700" s="1"/>
    </row>
    <row r="701" spans="1:12" ht="12" customHeight="1" x14ac:dyDescent="0.25">
      <c r="A701" s="15">
        <v>45194</v>
      </c>
      <c r="B701" s="16">
        <v>22301801</v>
      </c>
      <c r="C701" s="16" t="s">
        <v>85</v>
      </c>
      <c r="D701" s="16" t="str">
        <f>VLOOKUP(C701,[1]master_data!$A$2:$E$495,2,FALSE)</f>
        <v>MESIN KIYOSAKI 107A</v>
      </c>
      <c r="E701" s="16">
        <v>1</v>
      </c>
      <c r="F701" s="16">
        <f>VLOOKUP(C701,[1]master_data!$A$2:$E$495,3,FALSE)</f>
        <v>250000</v>
      </c>
      <c r="G701" s="16">
        <f>VLOOKUP(C701,[1]master_data!$A$2:$E$495,4,FALSE)</f>
        <v>300000</v>
      </c>
      <c r="H701" s="16">
        <f>E701*F701</f>
        <v>250000</v>
      </c>
      <c r="I701" s="16">
        <f>E701*G701</f>
        <v>300000</v>
      </c>
      <c r="J701" s="16">
        <f>I701-H701</f>
        <v>50000</v>
      </c>
      <c r="K701" s="16" t="str">
        <f>VLOOKUP(C701,[1]master_data!$A$2:$E$495,5,FALSE)</f>
        <v>Aksesoris</v>
      </c>
      <c r="L701" s="1"/>
    </row>
    <row r="702" spans="1:12" ht="12" customHeight="1" x14ac:dyDescent="0.25">
      <c r="A702" s="15">
        <v>45194</v>
      </c>
      <c r="B702" s="16">
        <v>22301802</v>
      </c>
      <c r="C702" s="16" t="s">
        <v>155</v>
      </c>
      <c r="D702" s="16" t="str">
        <f>VLOOKUP(C702,[1]master_data!$A$2:$E$495,2,FALSE)</f>
        <v>LED ROSTON 3 MODE 40 CM</v>
      </c>
      <c r="E702" s="16">
        <v>2</v>
      </c>
      <c r="F702" s="16">
        <f>VLOOKUP(C702,[1]master_data!$A$2:$E$495,3,FALSE)</f>
        <v>27000</v>
      </c>
      <c r="G702" s="16">
        <f>VLOOKUP(C702,[1]master_data!$A$2:$E$495,4,FALSE)</f>
        <v>50000</v>
      </c>
      <c r="H702" s="16">
        <f>E702*F702</f>
        <v>54000</v>
      </c>
      <c r="I702" s="16">
        <f>E702*G702</f>
        <v>100000</v>
      </c>
      <c r="J702" s="16">
        <f>I702-H702</f>
        <v>46000</v>
      </c>
      <c r="K702" s="16" t="str">
        <f>VLOOKUP(C702,[1]master_data!$A$2:$E$495,5,FALSE)</f>
        <v>Aksesoris</v>
      </c>
      <c r="L702" s="1"/>
    </row>
    <row r="703" spans="1:12" ht="12" customHeight="1" x14ac:dyDescent="0.25">
      <c r="A703" s="15">
        <v>45194</v>
      </c>
      <c r="B703" s="16">
        <v>22301803</v>
      </c>
      <c r="C703" s="16" t="s">
        <v>104</v>
      </c>
      <c r="D703" s="16" t="str">
        <f>VLOOKUP(C703,[1]master_data!$A$2:$E$495,2,FALSE)</f>
        <v>AIRATOR ROSTON LUB 2</v>
      </c>
      <c r="E703" s="16">
        <v>5</v>
      </c>
      <c r="F703" s="16">
        <f>VLOOKUP(C703,[1]master_data!$A$2:$E$495,3,FALSE)</f>
        <v>31000</v>
      </c>
      <c r="G703" s="16">
        <f>VLOOKUP(C703,[1]master_data!$A$2:$E$495,4,FALSE)</f>
        <v>50000</v>
      </c>
      <c r="H703" s="16">
        <f>E703*F703</f>
        <v>155000</v>
      </c>
      <c r="I703" s="16">
        <f>E703*G703</f>
        <v>250000</v>
      </c>
      <c r="J703" s="16">
        <f>I703-H703</f>
        <v>95000</v>
      </c>
      <c r="K703" s="16" t="str">
        <f>VLOOKUP(C703,[1]master_data!$A$2:$E$495,5,FALSE)</f>
        <v>Aksesoris</v>
      </c>
      <c r="L703" s="1"/>
    </row>
    <row r="704" spans="1:12" ht="12" customHeight="1" x14ac:dyDescent="0.25">
      <c r="A704" s="15">
        <v>45194</v>
      </c>
      <c r="B704" s="16">
        <v>22301804</v>
      </c>
      <c r="C704" s="16" t="s">
        <v>427</v>
      </c>
      <c r="D704" s="16" t="str">
        <f>VLOOKUP(C704,[1]master_data!$A$2:$E$495,2,FALSE)</f>
        <v>LOUHAN SUPER</v>
      </c>
      <c r="E704" s="16">
        <v>1</v>
      </c>
      <c r="F704" s="16">
        <f>VLOOKUP(C704,[1]master_data!$A$2:$E$495,3,FALSE)</f>
        <v>300000</v>
      </c>
      <c r="G704" s="16">
        <f>VLOOKUP(C704,[1]master_data!$A$2:$E$495,4,FALSE)</f>
        <v>500000</v>
      </c>
      <c r="H704" s="16">
        <f>E704*F704</f>
        <v>300000</v>
      </c>
      <c r="I704" s="16">
        <f>E704*G704</f>
        <v>500000</v>
      </c>
      <c r="J704" s="16">
        <f>I704-H704</f>
        <v>200000</v>
      </c>
      <c r="K704" s="16" t="str">
        <f>VLOOKUP(C704,[1]master_data!$A$2:$E$495,5,FALSE)</f>
        <v>Ikan</v>
      </c>
      <c r="L704" s="1"/>
    </row>
    <row r="705" spans="1:12" ht="12" customHeight="1" x14ac:dyDescent="0.25">
      <c r="A705" s="15">
        <v>45193</v>
      </c>
      <c r="B705" s="16">
        <v>22301793</v>
      </c>
      <c r="C705" s="16" t="s">
        <v>392</v>
      </c>
      <c r="D705" s="16" t="str">
        <f>VLOOKUP(C705,[1]master_data!$A$2:$E$495,2,FALSE)</f>
        <v>ARWANA SILVER K</v>
      </c>
      <c r="E705" s="16">
        <v>1</v>
      </c>
      <c r="F705" s="16">
        <f>VLOOKUP(C705,[1]master_data!$A$2:$E$495,3,FALSE)</f>
        <v>100000</v>
      </c>
      <c r="G705" s="16">
        <f>VLOOKUP(C705,[1]master_data!$A$2:$E$495,4,FALSE)</f>
        <v>200000</v>
      </c>
      <c r="H705" s="16">
        <f>E705*F705</f>
        <v>100000</v>
      </c>
      <c r="I705" s="16">
        <f>E705*G705</f>
        <v>200000</v>
      </c>
      <c r="J705" s="16">
        <f>I705-H705</f>
        <v>100000</v>
      </c>
      <c r="K705" s="16" t="str">
        <f>VLOOKUP(C705,[1]master_data!$A$2:$E$495,5,FALSE)</f>
        <v>Ikan</v>
      </c>
      <c r="L705" s="1"/>
    </row>
    <row r="706" spans="1:12" ht="12" customHeight="1" x14ac:dyDescent="0.25">
      <c r="A706" s="15">
        <v>45193</v>
      </c>
      <c r="B706" s="16">
        <v>22301794</v>
      </c>
      <c r="C706" s="16" t="s">
        <v>15</v>
      </c>
      <c r="D706" s="16" t="str">
        <f>VLOOKUP(C706,[1]master_data!$A$2:$E$495,2,FALSE)</f>
        <v>MESIN YANG 107</v>
      </c>
      <c r="E706" s="16">
        <v>2</v>
      </c>
      <c r="F706" s="16">
        <f>VLOOKUP(C706,[1]master_data!$A$2:$E$495,3,FALSE)</f>
        <v>330000</v>
      </c>
      <c r="G706" s="16">
        <f>VLOOKUP(C706,[1]master_data!$A$2:$E$495,4,FALSE)</f>
        <v>400000</v>
      </c>
      <c r="H706" s="16">
        <f>E706*F706</f>
        <v>660000</v>
      </c>
      <c r="I706" s="16">
        <f>E706*G706</f>
        <v>800000</v>
      </c>
      <c r="J706" s="16">
        <f>I706-H706</f>
        <v>140000</v>
      </c>
      <c r="K706" s="16" t="str">
        <f>VLOOKUP(C706,[1]master_data!$A$2:$E$495,5,FALSE)</f>
        <v>Aksesoris</v>
      </c>
      <c r="L706" s="1"/>
    </row>
    <row r="707" spans="1:12" ht="12" customHeight="1" x14ac:dyDescent="0.25">
      <c r="A707" s="15">
        <v>45193</v>
      </c>
      <c r="B707" s="16">
        <v>22301795</v>
      </c>
      <c r="C707" s="16" t="s">
        <v>417</v>
      </c>
      <c r="D707" s="16" t="str">
        <f>VLOOKUP(C707,[1]master_data!$A$2:$E$495,2,FALSE)</f>
        <v>KURA - KURA</v>
      </c>
      <c r="E707" s="16">
        <v>5</v>
      </c>
      <c r="F707" s="16">
        <f>VLOOKUP(C707,[1]master_data!$A$2:$E$495,3,FALSE)</f>
        <v>25000</v>
      </c>
      <c r="G707" s="16">
        <f>VLOOKUP(C707,[1]master_data!$A$2:$E$495,4,FALSE)</f>
        <v>35000</v>
      </c>
      <c r="H707" s="16">
        <f>E707*F707</f>
        <v>125000</v>
      </c>
      <c r="I707" s="16">
        <f>E707*G707</f>
        <v>175000</v>
      </c>
      <c r="J707" s="16">
        <f>I707-H707</f>
        <v>50000</v>
      </c>
      <c r="K707" s="16" t="str">
        <f>VLOOKUP(C707,[1]master_data!$A$2:$E$495,5,FALSE)</f>
        <v>Ikan</v>
      </c>
      <c r="L707" s="1"/>
    </row>
    <row r="708" spans="1:12" ht="12" customHeight="1" x14ac:dyDescent="0.25">
      <c r="A708" s="15">
        <v>45193</v>
      </c>
      <c r="B708" s="16">
        <v>22301796</v>
      </c>
      <c r="C708" s="16" t="s">
        <v>458</v>
      </c>
      <c r="D708" s="16" t="str">
        <f>VLOOKUP(C708,[1]master_data!$A$2:$E$495,2,FALSE)</f>
        <v>ZEBRA KUNING</v>
      </c>
      <c r="E708" s="16">
        <v>15</v>
      </c>
      <c r="F708" s="16">
        <f>VLOOKUP(C708,[1]master_data!$A$2:$E$495,3,FALSE)</f>
        <v>800</v>
      </c>
      <c r="G708" s="16">
        <f>VLOOKUP(C708,[1]master_data!$A$2:$E$495,4,FALSE)</f>
        <v>2000</v>
      </c>
      <c r="H708" s="16">
        <f>E708*F708</f>
        <v>12000</v>
      </c>
      <c r="I708" s="16">
        <f>E708*G708</f>
        <v>30000</v>
      </c>
      <c r="J708" s="16">
        <f>I708-H708</f>
        <v>18000</v>
      </c>
      <c r="K708" s="16" t="str">
        <f>VLOOKUP(C708,[1]master_data!$A$2:$E$495,5,FALSE)</f>
        <v>Ikan</v>
      </c>
      <c r="L708" s="1"/>
    </row>
    <row r="709" spans="1:12" ht="12" customHeight="1" x14ac:dyDescent="0.25">
      <c r="A709" s="15">
        <v>45193</v>
      </c>
      <c r="B709" s="16">
        <v>22301797</v>
      </c>
      <c r="C709" s="16" t="s">
        <v>452</v>
      </c>
      <c r="D709" s="16" t="str">
        <f>VLOOKUP(C709,[1]master_data!$A$2:$E$495,2,FALSE)</f>
        <v>SYNODONTI B</v>
      </c>
      <c r="E709" s="16">
        <v>15</v>
      </c>
      <c r="F709" s="16">
        <f>VLOOKUP(C709,[1]master_data!$A$2:$E$495,3,FALSE)</f>
        <v>4000</v>
      </c>
      <c r="G709" s="16">
        <f>VLOOKUP(C709,[1]master_data!$A$2:$E$495,4,FALSE)</f>
        <v>10000</v>
      </c>
      <c r="H709" s="16">
        <f>E709*F709</f>
        <v>60000</v>
      </c>
      <c r="I709" s="16">
        <f>E709*G709</f>
        <v>150000</v>
      </c>
      <c r="J709" s="16">
        <f>I709-H709</f>
        <v>90000</v>
      </c>
      <c r="K709" s="16" t="str">
        <f>VLOOKUP(C709,[1]master_data!$A$2:$E$495,5,FALSE)</f>
        <v>Ikan</v>
      </c>
      <c r="L709" s="1"/>
    </row>
    <row r="710" spans="1:12" ht="12" customHeight="1" x14ac:dyDescent="0.25">
      <c r="A710" s="15">
        <v>45193</v>
      </c>
      <c r="B710" s="16">
        <v>22301798</v>
      </c>
      <c r="C710" s="16" t="s">
        <v>409</v>
      </c>
      <c r="D710" s="16" t="str">
        <f>VLOOKUP(C710,[1]master_data!$A$2:$E$495,2,FALSE)</f>
        <v>GOLDEN BLACK</v>
      </c>
      <c r="E710" s="16">
        <v>2</v>
      </c>
      <c r="F710" s="16">
        <f>VLOOKUP(C710,[1]master_data!$A$2:$E$495,3,FALSE)</f>
        <v>800</v>
      </c>
      <c r="G710" s="16">
        <f>VLOOKUP(C710,[1]master_data!$A$2:$E$495,4,FALSE)</f>
        <v>2000</v>
      </c>
      <c r="H710" s="16">
        <f>E710*F710</f>
        <v>1600</v>
      </c>
      <c r="I710" s="16">
        <f>E710*G710</f>
        <v>4000</v>
      </c>
      <c r="J710" s="16">
        <f>I710-H710</f>
        <v>2400</v>
      </c>
      <c r="K710" s="16" t="str">
        <f>VLOOKUP(C710,[1]master_data!$A$2:$E$495,5,FALSE)</f>
        <v>Ikan</v>
      </c>
      <c r="L710" s="1"/>
    </row>
    <row r="711" spans="1:12" ht="12" customHeight="1" x14ac:dyDescent="0.25">
      <c r="A711" s="15">
        <v>45193</v>
      </c>
      <c r="B711" s="16">
        <v>22301799</v>
      </c>
      <c r="C711" s="16" t="s">
        <v>150</v>
      </c>
      <c r="D711" s="16" t="str">
        <f>VLOOKUP(C711,[1]master_data!$A$2:$E$495,2,FALSE)</f>
        <v>LED VOSSO 50-60 CM</v>
      </c>
      <c r="E711" s="16">
        <v>1</v>
      </c>
      <c r="F711" s="16">
        <f>VLOOKUP(C711,[1]master_data!$A$2:$E$495,3,FALSE)</f>
        <v>50000</v>
      </c>
      <c r="G711" s="16">
        <f>VLOOKUP(C711,[1]master_data!$A$2:$E$495,4,FALSE)</f>
        <v>75000</v>
      </c>
      <c r="H711" s="16">
        <f>E711*F711</f>
        <v>50000</v>
      </c>
      <c r="I711" s="16">
        <f>E711*G711</f>
        <v>75000</v>
      </c>
      <c r="J711" s="16">
        <f>I711-H711</f>
        <v>25000</v>
      </c>
      <c r="K711" s="16" t="str">
        <f>VLOOKUP(C711,[1]master_data!$A$2:$E$495,5,FALSE)</f>
        <v>Aksesoris</v>
      </c>
      <c r="L711" s="1"/>
    </row>
    <row r="712" spans="1:12" ht="12" customHeight="1" x14ac:dyDescent="0.25">
      <c r="A712" s="15">
        <v>45192</v>
      </c>
      <c r="B712" s="16">
        <v>22301785</v>
      </c>
      <c r="C712" s="16" t="s">
        <v>440</v>
      </c>
      <c r="D712" s="16" t="str">
        <f>VLOOKUP(C712,[1]master_data!$A$2:$E$495,2,FALSE)</f>
        <v>PEMBERSIH KACA ALBINO</v>
      </c>
      <c r="E712" s="16">
        <v>60</v>
      </c>
      <c r="F712" s="16">
        <f>VLOOKUP(C712,[1]master_data!$A$2:$E$495,3,FALSE)</f>
        <v>2500</v>
      </c>
      <c r="G712" s="16">
        <f>VLOOKUP(C712,[1]master_data!$A$2:$E$495,4,FALSE)</f>
        <v>5000</v>
      </c>
      <c r="H712" s="16">
        <f>E712*F712</f>
        <v>150000</v>
      </c>
      <c r="I712" s="16">
        <f>E712*G712</f>
        <v>300000</v>
      </c>
      <c r="J712" s="16">
        <f>I712-H712</f>
        <v>150000</v>
      </c>
      <c r="K712" s="16" t="str">
        <f>VLOOKUP(C712,[1]master_data!$A$2:$E$495,5,FALSE)</f>
        <v>Ikan</v>
      </c>
      <c r="L712" s="1"/>
    </row>
    <row r="713" spans="1:12" ht="12" customHeight="1" x14ac:dyDescent="0.25">
      <c r="A713" s="15">
        <v>45192</v>
      </c>
      <c r="B713" s="16">
        <v>22301786</v>
      </c>
      <c r="C713" s="16" t="s">
        <v>409</v>
      </c>
      <c r="D713" s="16" t="str">
        <f>VLOOKUP(C713,[1]master_data!$A$2:$E$495,2,FALSE)</f>
        <v>GOLDEN BLACK</v>
      </c>
      <c r="E713" s="16">
        <v>30</v>
      </c>
      <c r="F713" s="16">
        <f>VLOOKUP(C713,[1]master_data!$A$2:$E$495,3,FALSE)</f>
        <v>800</v>
      </c>
      <c r="G713" s="16">
        <f>VLOOKUP(C713,[1]master_data!$A$2:$E$495,4,FALSE)</f>
        <v>2000</v>
      </c>
      <c r="H713" s="16">
        <f>E713*F713</f>
        <v>24000</v>
      </c>
      <c r="I713" s="16">
        <f>E713*G713</f>
        <v>60000</v>
      </c>
      <c r="J713" s="16">
        <f>I713-H713</f>
        <v>36000</v>
      </c>
      <c r="K713" s="16" t="str">
        <f>VLOOKUP(C713,[1]master_data!$A$2:$E$495,5,FALSE)</f>
        <v>Ikan</v>
      </c>
      <c r="L713" s="1"/>
    </row>
    <row r="714" spans="1:12" ht="12" customHeight="1" x14ac:dyDescent="0.25">
      <c r="A714" s="15">
        <v>45192</v>
      </c>
      <c r="B714" s="16">
        <v>22301787</v>
      </c>
      <c r="C714" s="16" t="s">
        <v>432</v>
      </c>
      <c r="D714" s="16" t="str">
        <f>VLOOKUP(C714,[1]master_data!$A$2:$E$495,2,FALSE)</f>
        <v>MOLI PAKAN</v>
      </c>
      <c r="E714" s="16">
        <v>25</v>
      </c>
      <c r="F714" s="16">
        <f>VLOOKUP(C714,[1]master_data!$A$2:$E$495,3,FALSE)</f>
        <v>100</v>
      </c>
      <c r="G714" s="16">
        <f>VLOOKUP(C714,[1]master_data!$A$2:$E$495,4,FALSE)</f>
        <v>200</v>
      </c>
      <c r="H714" s="16">
        <f>E714*F714</f>
        <v>2500</v>
      </c>
      <c r="I714" s="16">
        <f>E714*G714</f>
        <v>5000</v>
      </c>
      <c r="J714" s="16">
        <f>I714-H714</f>
        <v>2500</v>
      </c>
      <c r="K714" s="16" t="str">
        <f>VLOOKUP(C714,[1]master_data!$A$2:$E$495,5,FALSE)</f>
        <v>Ikan</v>
      </c>
      <c r="L714" s="1"/>
    </row>
    <row r="715" spans="1:12" ht="12" customHeight="1" x14ac:dyDescent="0.25">
      <c r="A715" s="15">
        <v>45192</v>
      </c>
      <c r="B715" s="16">
        <v>22301788</v>
      </c>
      <c r="C715" s="16" t="s">
        <v>405</v>
      </c>
      <c r="D715" s="16" t="str">
        <f>VLOOKUP(C715,[1]master_data!$A$2:$E$495,2,FALSE)</f>
        <v>CUPANG</v>
      </c>
      <c r="E715" s="16">
        <v>30</v>
      </c>
      <c r="F715" s="16">
        <f>VLOOKUP(C715,[1]master_data!$A$2:$E$495,3,FALSE)</f>
        <v>2000</v>
      </c>
      <c r="G715" s="16">
        <f>VLOOKUP(C715,[1]master_data!$A$2:$E$495,4,FALSE)</f>
        <v>5000</v>
      </c>
      <c r="H715" s="16">
        <f>E715*F715</f>
        <v>60000</v>
      </c>
      <c r="I715" s="16">
        <f>E715*G715</f>
        <v>150000</v>
      </c>
      <c r="J715" s="16">
        <f>I715-H715</f>
        <v>90000</v>
      </c>
      <c r="K715" s="16" t="str">
        <f>VLOOKUP(C715,[1]master_data!$A$2:$E$495,5,FALSE)</f>
        <v>Ikan</v>
      </c>
      <c r="L715" s="1"/>
    </row>
    <row r="716" spans="1:12" ht="12" customHeight="1" x14ac:dyDescent="0.25">
      <c r="A716" s="15">
        <v>45192</v>
      </c>
      <c r="B716" s="16">
        <v>22301789</v>
      </c>
      <c r="C716" s="16" t="s">
        <v>23</v>
      </c>
      <c r="D716" s="16" t="str">
        <f>VLOOKUP(C716,[1]master_data!$A$2:$E$495,2,FALSE)</f>
        <v>MESIN ROSTON 3900</v>
      </c>
      <c r="E716" s="16">
        <v>1</v>
      </c>
      <c r="F716" s="16">
        <f>VLOOKUP(C716,[1]master_data!$A$2:$E$495,3,FALSE)</f>
        <v>90000</v>
      </c>
      <c r="G716" s="16">
        <f>VLOOKUP(C716,[1]master_data!$A$2:$E$495,4,FALSE)</f>
        <v>150000</v>
      </c>
      <c r="H716" s="16">
        <f>E716*F716</f>
        <v>90000</v>
      </c>
      <c r="I716" s="16">
        <f>E716*G716</f>
        <v>150000</v>
      </c>
      <c r="J716" s="16">
        <f>I716-H716</f>
        <v>60000</v>
      </c>
      <c r="K716" s="16" t="str">
        <f>VLOOKUP(C716,[1]master_data!$A$2:$E$495,5,FALSE)</f>
        <v>Aksesoris</v>
      </c>
      <c r="L716" s="1"/>
    </row>
    <row r="717" spans="1:12" ht="12" customHeight="1" x14ac:dyDescent="0.25">
      <c r="A717" s="15">
        <v>45192</v>
      </c>
      <c r="B717" s="16">
        <v>22301790</v>
      </c>
      <c r="C717" s="16" t="s">
        <v>443</v>
      </c>
      <c r="D717" s="16" t="str">
        <f>VLOOKUP(C717,[1]master_data!$A$2:$E$495,2,FALSE)</f>
        <v>PESO</v>
      </c>
      <c r="E717" s="16">
        <v>6</v>
      </c>
      <c r="F717" s="16">
        <f>VLOOKUP(C717,[1]master_data!$A$2:$E$495,3,FALSE)</f>
        <v>19000</v>
      </c>
      <c r="G717" s="16">
        <f>VLOOKUP(C717,[1]master_data!$A$2:$E$495,4,FALSE)</f>
        <v>40000</v>
      </c>
      <c r="H717" s="16">
        <f>E717*F717</f>
        <v>114000</v>
      </c>
      <c r="I717" s="16">
        <f>E717*G717</f>
        <v>240000</v>
      </c>
      <c r="J717" s="16">
        <f>I717-H717</f>
        <v>126000</v>
      </c>
      <c r="K717" s="16" t="str">
        <f>VLOOKUP(C717,[1]master_data!$A$2:$E$495,5,FALSE)</f>
        <v>Ikan</v>
      </c>
      <c r="L717" s="1"/>
    </row>
    <row r="718" spans="1:12" ht="12" customHeight="1" x14ac:dyDescent="0.25">
      <c r="A718" s="15">
        <v>45192</v>
      </c>
      <c r="B718" s="16">
        <v>22301791</v>
      </c>
      <c r="C718" s="16" t="s">
        <v>449</v>
      </c>
      <c r="D718" s="16" t="str">
        <f>VLOOKUP(C718,[1]master_data!$A$2:$E$495,2,FALSE)</f>
        <v>SUMATRA GOLD FISH</v>
      </c>
      <c r="E718" s="16">
        <v>15</v>
      </c>
      <c r="F718" s="16">
        <f>VLOOKUP(C718,[1]master_data!$A$2:$E$495,3,FALSE)</f>
        <v>2500</v>
      </c>
      <c r="G718" s="16">
        <f>VLOOKUP(C718,[1]master_data!$A$2:$E$495,4,FALSE)</f>
        <v>4000</v>
      </c>
      <c r="H718" s="16">
        <f>E718*F718</f>
        <v>37500</v>
      </c>
      <c r="I718" s="16">
        <f>E718*G718</f>
        <v>60000</v>
      </c>
      <c r="J718" s="16">
        <f>I718-H718</f>
        <v>22500</v>
      </c>
      <c r="K718" s="16" t="str">
        <f>VLOOKUP(C718,[1]master_data!$A$2:$E$495,5,FALSE)</f>
        <v>Ikan</v>
      </c>
      <c r="L718" s="1"/>
    </row>
    <row r="719" spans="1:12" ht="12" customHeight="1" x14ac:dyDescent="0.25">
      <c r="A719" s="15">
        <v>45192</v>
      </c>
      <c r="B719" s="16">
        <v>22301792</v>
      </c>
      <c r="C719" s="16" t="s">
        <v>120</v>
      </c>
      <c r="D719" s="16" t="str">
        <f>VLOOKUP(C719,[1]master_data!$A$2:$E$495,2,FALSE)</f>
        <v>LED VOSSO 30 CM</v>
      </c>
      <c r="E719" s="16">
        <v>1</v>
      </c>
      <c r="F719" s="16">
        <f>VLOOKUP(C719,[1]master_data!$A$2:$E$495,3,FALSE)</f>
        <v>21000</v>
      </c>
      <c r="G719" s="16">
        <f>VLOOKUP(C719,[1]master_data!$A$2:$E$495,4,FALSE)</f>
        <v>35000</v>
      </c>
      <c r="H719" s="16">
        <f>E719*F719</f>
        <v>21000</v>
      </c>
      <c r="I719" s="16">
        <f>E719*G719</f>
        <v>35000</v>
      </c>
      <c r="J719" s="16">
        <f>I719-H719</f>
        <v>14000</v>
      </c>
      <c r="K719" s="16" t="str">
        <f>VLOOKUP(C719,[1]master_data!$A$2:$E$495,5,FALSE)</f>
        <v>Aksesoris</v>
      </c>
      <c r="L719" s="1"/>
    </row>
    <row r="720" spans="1:12" ht="12" customHeight="1" x14ac:dyDescent="0.25">
      <c r="A720" s="15">
        <v>45191</v>
      </c>
      <c r="B720" s="16">
        <v>22301782</v>
      </c>
      <c r="C720" s="16" t="s">
        <v>393</v>
      </c>
      <c r="D720" s="16" t="str">
        <f>VLOOKUP(C720,[1]master_data!$A$2:$E$495,2,FALSE)</f>
        <v>ARWANA SILVER B</v>
      </c>
      <c r="E720" s="16">
        <v>2</v>
      </c>
      <c r="F720" s="16">
        <f>VLOOKUP(C720,[1]master_data!$A$2:$E$495,3,FALSE)</f>
        <v>300000</v>
      </c>
      <c r="G720" s="16">
        <f>VLOOKUP(C720,[1]master_data!$A$2:$E$495,4,FALSE)</f>
        <v>500000</v>
      </c>
      <c r="H720" s="16">
        <f>E720*F720</f>
        <v>600000</v>
      </c>
      <c r="I720" s="16">
        <f>E720*G720</f>
        <v>1000000</v>
      </c>
      <c r="J720" s="16">
        <f>I720-H720</f>
        <v>400000</v>
      </c>
      <c r="K720" s="16" t="str">
        <f>VLOOKUP(C720,[1]master_data!$A$2:$E$495,5,FALSE)</f>
        <v>Ikan</v>
      </c>
      <c r="L720" s="1"/>
    </row>
    <row r="721" spans="1:12" ht="12" customHeight="1" x14ac:dyDescent="0.25">
      <c r="A721" s="15">
        <v>45191</v>
      </c>
      <c r="B721" s="16">
        <v>22301783</v>
      </c>
      <c r="C721" s="16" t="s">
        <v>55</v>
      </c>
      <c r="D721" s="16" t="str">
        <f>VLOOKUP(C721,[1]master_data!$A$2:$E$495,2,FALSE)</f>
        <v>MESIN RECENT 203</v>
      </c>
      <c r="E721" s="16">
        <v>1</v>
      </c>
      <c r="F721" s="16">
        <f>VLOOKUP(C721,[1]master_data!$A$2:$E$495,3,FALSE)</f>
        <v>43500</v>
      </c>
      <c r="G721" s="16">
        <f>VLOOKUP(C721,[1]master_data!$A$2:$E$495,4,FALSE)</f>
        <v>70000</v>
      </c>
      <c r="H721" s="16">
        <f>E721*F721</f>
        <v>43500</v>
      </c>
      <c r="I721" s="16">
        <f>E721*G721</f>
        <v>70000</v>
      </c>
      <c r="J721" s="16">
        <f>I721-H721</f>
        <v>26500</v>
      </c>
      <c r="K721" s="16" t="str">
        <f>VLOOKUP(C721,[1]master_data!$A$2:$E$495,5,FALSE)</f>
        <v>Aksesoris</v>
      </c>
      <c r="L721" s="1"/>
    </row>
    <row r="722" spans="1:12" ht="12" customHeight="1" x14ac:dyDescent="0.25">
      <c r="A722" s="15">
        <v>45191</v>
      </c>
      <c r="B722" s="16">
        <v>22301784</v>
      </c>
      <c r="C722" s="16" t="s">
        <v>437</v>
      </c>
      <c r="D722" s="16" t="str">
        <f>VLOOKUP(C722,[1]master_data!$A$2:$E$495,2,FALSE)</f>
        <v>NEON</v>
      </c>
      <c r="E722" s="16">
        <v>50</v>
      </c>
      <c r="F722" s="16">
        <f>VLOOKUP(C722,[1]master_data!$A$2:$E$495,3,FALSE)</f>
        <v>1250</v>
      </c>
      <c r="G722" s="16">
        <f>VLOOKUP(C722,[1]master_data!$A$2:$E$495,4,FALSE)</f>
        <v>5000</v>
      </c>
      <c r="H722" s="16">
        <f>E722*F722</f>
        <v>62500</v>
      </c>
      <c r="I722" s="16">
        <f>E722*G722</f>
        <v>250000</v>
      </c>
      <c r="J722" s="16">
        <f>I722-H722</f>
        <v>187500</v>
      </c>
      <c r="K722" s="16" t="str">
        <f>VLOOKUP(C722,[1]master_data!$A$2:$E$495,5,FALSE)</f>
        <v>Ikan</v>
      </c>
      <c r="L722" s="1"/>
    </row>
    <row r="723" spans="1:12" ht="12" customHeight="1" x14ac:dyDescent="0.25">
      <c r="A723" s="15">
        <v>45190</v>
      </c>
      <c r="B723" s="16">
        <v>22301777</v>
      </c>
      <c r="C723" s="16" t="s">
        <v>66</v>
      </c>
      <c r="D723" s="16" t="str">
        <f>VLOOKUP(C723,[1]master_data!$A$2:$E$495,2,FALSE)</f>
        <v>BOX KOSONG TANGGUNG</v>
      </c>
      <c r="E723" s="16">
        <v>2</v>
      </c>
      <c r="F723" s="16">
        <f>VLOOKUP(C723,[1]master_data!$A$2:$E$495,3,FALSE)</f>
        <v>15000</v>
      </c>
      <c r="G723" s="16">
        <f>VLOOKUP(C723,[1]master_data!$A$2:$E$495,4,FALSE)</f>
        <v>25000</v>
      </c>
      <c r="H723" s="16">
        <f>E723*F723</f>
        <v>30000</v>
      </c>
      <c r="I723" s="16">
        <f>E723*G723</f>
        <v>50000</v>
      </c>
      <c r="J723" s="16">
        <f>I723-H723</f>
        <v>20000</v>
      </c>
      <c r="K723" s="16" t="str">
        <f>VLOOKUP(C723,[1]master_data!$A$2:$E$495,5,FALSE)</f>
        <v>Aksesoris</v>
      </c>
      <c r="L723" s="1"/>
    </row>
    <row r="724" spans="1:12" ht="12" customHeight="1" x14ac:dyDescent="0.25">
      <c r="A724" s="15">
        <v>45190</v>
      </c>
      <c r="B724" s="16">
        <v>22301778</v>
      </c>
      <c r="C724" s="16" t="s">
        <v>406</v>
      </c>
      <c r="D724" s="16" t="str">
        <f>VLOOKUP(C724,[1]master_data!$A$2:$E$495,2,FALSE)</f>
        <v>CATFISH</v>
      </c>
      <c r="E724" s="16">
        <v>10</v>
      </c>
      <c r="F724" s="16">
        <f>VLOOKUP(C724,[1]master_data!$A$2:$E$495,3,FALSE)</f>
        <v>20000</v>
      </c>
      <c r="G724" s="16">
        <f>VLOOKUP(C724,[1]master_data!$A$2:$E$495,4,FALSE)</f>
        <v>50000</v>
      </c>
      <c r="H724" s="16">
        <f>E724*F724</f>
        <v>200000</v>
      </c>
      <c r="I724" s="16">
        <f>E724*G724</f>
        <v>500000</v>
      </c>
      <c r="J724" s="16">
        <f>I724-H724</f>
        <v>300000</v>
      </c>
      <c r="K724" s="16" t="str">
        <f>VLOOKUP(C724,[1]master_data!$A$2:$E$495,5,FALSE)</f>
        <v>Ikan</v>
      </c>
      <c r="L724" s="1"/>
    </row>
    <row r="725" spans="1:12" ht="12" customHeight="1" x14ac:dyDescent="0.25">
      <c r="A725" s="15">
        <v>45190</v>
      </c>
      <c r="B725" s="16">
        <v>22301779</v>
      </c>
      <c r="C725" s="16" t="s">
        <v>68</v>
      </c>
      <c r="D725" s="16" t="str">
        <f>VLOOKUP(C725,[1]master_data!$A$2:$E$495,2,FALSE)</f>
        <v>BIO FOAM M</v>
      </c>
      <c r="E725" s="16">
        <v>2</v>
      </c>
      <c r="F725" s="16">
        <f>VLOOKUP(C725,[1]master_data!$A$2:$E$495,3,FALSE)</f>
        <v>17000</v>
      </c>
      <c r="G725" s="16">
        <f>VLOOKUP(C725,[1]master_data!$A$2:$E$495,4,FALSE)</f>
        <v>30000</v>
      </c>
      <c r="H725" s="16">
        <f>E725*F725</f>
        <v>34000</v>
      </c>
      <c r="I725" s="16">
        <f>E725*G725</f>
        <v>60000</v>
      </c>
      <c r="J725" s="16">
        <f>I725-H725</f>
        <v>26000</v>
      </c>
      <c r="K725" s="16" t="str">
        <f>VLOOKUP(C725,[1]master_data!$A$2:$E$495,5,FALSE)</f>
        <v>Aksesoris</v>
      </c>
      <c r="L725" s="1"/>
    </row>
    <row r="726" spans="1:12" ht="12" customHeight="1" x14ac:dyDescent="0.25">
      <c r="A726" s="15">
        <v>45190</v>
      </c>
      <c r="B726" s="16">
        <v>22301780</v>
      </c>
      <c r="C726" s="16" t="s">
        <v>451</v>
      </c>
      <c r="D726" s="16" t="str">
        <f>VLOOKUP(C726,[1]master_data!$A$2:$E$495,2,FALSE)</f>
        <v>SYNODONTIS K</v>
      </c>
      <c r="E726" s="16">
        <v>19</v>
      </c>
      <c r="F726" s="16">
        <f>VLOOKUP(C726,[1]master_data!$A$2:$E$495,3,FALSE)</f>
        <v>1500</v>
      </c>
      <c r="G726" s="16">
        <f>VLOOKUP(C726,[1]master_data!$A$2:$E$495,4,FALSE)</f>
        <v>5000</v>
      </c>
      <c r="H726" s="16">
        <f>E726*F726</f>
        <v>28500</v>
      </c>
      <c r="I726" s="16">
        <f>E726*G726</f>
        <v>95000</v>
      </c>
      <c r="J726" s="16">
        <f>I726-H726</f>
        <v>66500</v>
      </c>
      <c r="K726" s="16" t="str">
        <f>VLOOKUP(C726,[1]master_data!$A$2:$E$495,5,FALSE)</f>
        <v>Ikan</v>
      </c>
      <c r="L726" s="1"/>
    </row>
    <row r="727" spans="1:12" ht="12" customHeight="1" x14ac:dyDescent="0.25">
      <c r="A727" s="15">
        <v>45190</v>
      </c>
      <c r="B727" s="16">
        <v>22301781</v>
      </c>
      <c r="C727" s="16" t="s">
        <v>407</v>
      </c>
      <c r="D727" s="16" t="str">
        <f>VLOOKUP(C727,[1]master_data!$A$2:$E$495,2,FALSE)</f>
        <v>GOLD FISH</v>
      </c>
      <c r="E727" s="16">
        <v>1</v>
      </c>
      <c r="F727" s="16">
        <f>VLOOKUP(C727,[1]master_data!$A$2:$E$495,3,FALSE)</f>
        <v>800</v>
      </c>
      <c r="G727" s="16">
        <f>VLOOKUP(C727,[1]master_data!$A$2:$E$495,4,FALSE)</f>
        <v>2000</v>
      </c>
      <c r="H727" s="16">
        <f>E727*F727</f>
        <v>800</v>
      </c>
      <c r="I727" s="16">
        <f>E727*G727</f>
        <v>2000</v>
      </c>
      <c r="J727" s="16">
        <f>I727-H727</f>
        <v>1200</v>
      </c>
      <c r="K727" s="16" t="str">
        <f>VLOOKUP(C727,[1]master_data!$A$2:$E$495,5,FALSE)</f>
        <v>Ikan</v>
      </c>
      <c r="L727" s="1"/>
    </row>
    <row r="728" spans="1:12" ht="12" customHeight="1" x14ac:dyDescent="0.25">
      <c r="A728" s="15">
        <v>45189</v>
      </c>
      <c r="B728" s="16">
        <v>22301769</v>
      </c>
      <c r="C728" s="16" t="s">
        <v>425</v>
      </c>
      <c r="D728" s="16" t="str">
        <f>VLOOKUP(C728,[1]master_data!$A$2:$E$495,2,FALSE)</f>
        <v>LEMON</v>
      </c>
      <c r="E728" s="16">
        <v>10</v>
      </c>
      <c r="F728" s="16">
        <f>VLOOKUP(C728,[1]master_data!$A$2:$E$495,3,FALSE)</f>
        <v>1000</v>
      </c>
      <c r="G728" s="16">
        <f>VLOOKUP(C728,[1]master_data!$A$2:$E$495,4,FALSE)</f>
        <v>2000</v>
      </c>
      <c r="H728" s="16">
        <f>E728*F728</f>
        <v>10000</v>
      </c>
      <c r="I728" s="16">
        <f>E728*G728</f>
        <v>20000</v>
      </c>
      <c r="J728" s="16">
        <f>I728-H728</f>
        <v>10000</v>
      </c>
      <c r="K728" s="16" t="str">
        <f>VLOOKUP(C728,[1]master_data!$A$2:$E$495,5,FALSE)</f>
        <v>Ikan</v>
      </c>
      <c r="L728" s="1"/>
    </row>
    <row r="729" spans="1:12" ht="12" customHeight="1" x14ac:dyDescent="0.25">
      <c r="A729" s="15">
        <v>45189</v>
      </c>
      <c r="B729" s="16">
        <v>22301770</v>
      </c>
      <c r="C729" s="16" t="s">
        <v>448</v>
      </c>
      <c r="D729" s="16" t="str">
        <f>VLOOKUP(C729,[1]master_data!$A$2:$E$495,2,FALSE)</f>
        <v>SUMATRA BIASA</v>
      </c>
      <c r="E729" s="16">
        <v>15</v>
      </c>
      <c r="F729" s="16">
        <f>VLOOKUP(C729,[1]master_data!$A$2:$E$495,3,FALSE)</f>
        <v>800</v>
      </c>
      <c r="G729" s="16">
        <f>VLOOKUP(C729,[1]master_data!$A$2:$E$495,4,FALSE)</f>
        <v>2000</v>
      </c>
      <c r="H729" s="16">
        <f>E729*F729</f>
        <v>12000</v>
      </c>
      <c r="I729" s="16">
        <f>E729*G729</f>
        <v>30000</v>
      </c>
      <c r="J729" s="16">
        <f>I729-H729</f>
        <v>18000</v>
      </c>
      <c r="K729" s="16" t="str">
        <f>VLOOKUP(C729,[1]master_data!$A$2:$E$495,5,FALSE)</f>
        <v>Ikan</v>
      </c>
      <c r="L729" s="1"/>
    </row>
    <row r="730" spans="1:12" ht="12" customHeight="1" x14ac:dyDescent="0.25">
      <c r="A730" s="15">
        <v>45189</v>
      </c>
      <c r="B730" s="16">
        <v>22301771</v>
      </c>
      <c r="C730" s="16" t="s">
        <v>391</v>
      </c>
      <c r="D730" s="16" t="str">
        <f>VLOOKUP(C730,[1]master_data!$A$2:$E$495,2,FALSE)</f>
        <v>CHANNA ANDRAO B</v>
      </c>
      <c r="E730" s="16">
        <v>2</v>
      </c>
      <c r="F730" s="16">
        <f>VLOOKUP(C730,[1]master_data!$A$2:$E$495,3,FALSE)</f>
        <v>100000</v>
      </c>
      <c r="G730" s="16">
        <f>VLOOKUP(C730,[1]master_data!$A$2:$E$495,4,FALSE)</f>
        <v>200000</v>
      </c>
      <c r="H730" s="16">
        <f>E730*F730</f>
        <v>200000</v>
      </c>
      <c r="I730" s="16">
        <f>E730*G730</f>
        <v>400000</v>
      </c>
      <c r="J730" s="16">
        <f>I730-H730</f>
        <v>200000</v>
      </c>
      <c r="K730" s="16" t="str">
        <f>VLOOKUP(C730,[1]master_data!$A$2:$E$495,5,FALSE)</f>
        <v>Ikan</v>
      </c>
      <c r="L730" s="1"/>
    </row>
    <row r="731" spans="1:12" ht="12" customHeight="1" x14ac:dyDescent="0.25">
      <c r="A731" s="15">
        <v>45189</v>
      </c>
      <c r="B731" s="16">
        <v>22301772</v>
      </c>
      <c r="C731" s="16" t="s">
        <v>406</v>
      </c>
      <c r="D731" s="16" t="str">
        <f>VLOOKUP(C731,[1]master_data!$A$2:$E$495,2,FALSE)</f>
        <v>CATFISH</v>
      </c>
      <c r="E731" s="16">
        <v>6</v>
      </c>
      <c r="F731" s="16">
        <f>VLOOKUP(C731,[1]master_data!$A$2:$E$495,3,FALSE)</f>
        <v>20000</v>
      </c>
      <c r="G731" s="16">
        <f>VLOOKUP(C731,[1]master_data!$A$2:$E$495,4,FALSE)</f>
        <v>50000</v>
      </c>
      <c r="H731" s="16">
        <f>E731*F731</f>
        <v>120000</v>
      </c>
      <c r="I731" s="16">
        <f>E731*G731</f>
        <v>300000</v>
      </c>
      <c r="J731" s="16">
        <f>I731-H731</f>
        <v>180000</v>
      </c>
      <c r="K731" s="16" t="str">
        <f>VLOOKUP(C731,[1]master_data!$A$2:$E$495,5,FALSE)</f>
        <v>Ikan</v>
      </c>
      <c r="L731" s="1"/>
    </row>
    <row r="732" spans="1:12" ht="12" customHeight="1" x14ac:dyDescent="0.25">
      <c r="A732" s="15">
        <v>45189</v>
      </c>
      <c r="B732" s="16">
        <v>22301773</v>
      </c>
      <c r="C732" s="16" t="s">
        <v>400</v>
      </c>
      <c r="D732" s="16" t="str">
        <f>VLOOKUP(C732,[1]master_data!$A$2:$E$495,2,FALSE)</f>
        <v>BLACK GHOST</v>
      </c>
      <c r="E732" s="16">
        <v>2</v>
      </c>
      <c r="F732" s="16">
        <f>VLOOKUP(C732,[1]master_data!$A$2:$E$495,3,FALSE)</f>
        <v>4000</v>
      </c>
      <c r="G732" s="16">
        <f>VLOOKUP(C732,[1]master_data!$A$2:$E$495,4,FALSE)</f>
        <v>10000</v>
      </c>
      <c r="H732" s="16">
        <f>E732*F732</f>
        <v>8000</v>
      </c>
      <c r="I732" s="16">
        <f>E732*G732</f>
        <v>20000</v>
      </c>
      <c r="J732" s="16">
        <f>I732-H732</f>
        <v>12000</v>
      </c>
      <c r="K732" s="16" t="str">
        <f>VLOOKUP(C732,[1]master_data!$A$2:$E$495,5,FALSE)</f>
        <v>Ikan</v>
      </c>
      <c r="L732" s="1"/>
    </row>
    <row r="733" spans="1:12" ht="12" customHeight="1" x14ac:dyDescent="0.25">
      <c r="A733" s="15">
        <v>45189</v>
      </c>
      <c r="B733" s="16">
        <v>22301774</v>
      </c>
      <c r="C733" s="16" t="s">
        <v>437</v>
      </c>
      <c r="D733" s="16" t="str">
        <f>VLOOKUP(C733,[1]master_data!$A$2:$E$495,2,FALSE)</f>
        <v>NEON</v>
      </c>
      <c r="E733" s="16">
        <v>1</v>
      </c>
      <c r="F733" s="16">
        <f>VLOOKUP(C733,[1]master_data!$A$2:$E$495,3,FALSE)</f>
        <v>1250</v>
      </c>
      <c r="G733" s="16">
        <f>VLOOKUP(C733,[1]master_data!$A$2:$E$495,4,FALSE)</f>
        <v>5000</v>
      </c>
      <c r="H733" s="16">
        <f>E733*F733</f>
        <v>1250</v>
      </c>
      <c r="I733" s="16">
        <f>E733*G733</f>
        <v>5000</v>
      </c>
      <c r="J733" s="16">
        <f>I733-H733</f>
        <v>3750</v>
      </c>
      <c r="K733" s="16" t="str">
        <f>VLOOKUP(C733,[1]master_data!$A$2:$E$495,5,FALSE)</f>
        <v>Ikan</v>
      </c>
      <c r="L733" s="1"/>
    </row>
    <row r="734" spans="1:12" ht="12" customHeight="1" x14ac:dyDescent="0.25">
      <c r="A734" s="15">
        <v>45189</v>
      </c>
      <c r="B734" s="16">
        <v>22301775</v>
      </c>
      <c r="C734" s="16" t="s">
        <v>353</v>
      </c>
      <c r="D734" s="16" t="str">
        <f>VLOOKUP(C734,[1]master_data!$A$2:$E$495,2,FALSE)</f>
        <v>AKUARIUM BAHARI L</v>
      </c>
      <c r="E734" s="16">
        <v>1</v>
      </c>
      <c r="F734" s="16">
        <f>VLOOKUP(C734,[1]master_data!$A$2:$E$495,3,FALSE)</f>
        <v>82000</v>
      </c>
      <c r="G734" s="16">
        <f>VLOOKUP(C734,[1]master_data!$A$2:$E$495,4,FALSE)</f>
        <v>150000</v>
      </c>
      <c r="H734" s="16">
        <f>E734*F734</f>
        <v>82000</v>
      </c>
      <c r="I734" s="16">
        <f>E734*G734</f>
        <v>150000</v>
      </c>
      <c r="J734" s="16">
        <f>I734-H734</f>
        <v>68000</v>
      </c>
      <c r="K734" s="16" t="str">
        <f>VLOOKUP(C734,[1]master_data!$A$2:$E$495,5,FALSE)</f>
        <v>Aksesoris</v>
      </c>
      <c r="L734" s="1"/>
    </row>
    <row r="735" spans="1:12" ht="12" customHeight="1" x14ac:dyDescent="0.25">
      <c r="A735" s="15">
        <v>45189</v>
      </c>
      <c r="B735" s="16">
        <v>22301776</v>
      </c>
      <c r="C735" s="16" t="s">
        <v>422</v>
      </c>
      <c r="D735" s="16" t="str">
        <f>VLOOKUP(C735,[1]master_data!$A$2:$E$495,2,FALSE)</f>
        <v>KOI SLAYER B</v>
      </c>
      <c r="E735" s="16">
        <v>10</v>
      </c>
      <c r="F735" s="16">
        <f>VLOOKUP(C735,[1]master_data!$A$2:$E$495,3,FALSE)</f>
        <v>8000</v>
      </c>
      <c r="G735" s="16">
        <f>VLOOKUP(C735,[1]master_data!$A$2:$E$495,4,FALSE)</f>
        <v>20000</v>
      </c>
      <c r="H735" s="16">
        <f>E735*F735</f>
        <v>80000</v>
      </c>
      <c r="I735" s="16">
        <f>E735*G735</f>
        <v>200000</v>
      </c>
      <c r="J735" s="16">
        <f>I735-H735</f>
        <v>120000</v>
      </c>
      <c r="K735" s="16" t="str">
        <f>VLOOKUP(C735,[1]master_data!$A$2:$E$495,5,FALSE)</f>
        <v>Ikan</v>
      </c>
      <c r="L735" s="1"/>
    </row>
    <row r="736" spans="1:12" ht="12" customHeight="1" x14ac:dyDescent="0.25">
      <c r="A736" s="15">
        <v>45188</v>
      </c>
      <c r="B736" s="16">
        <v>22301762</v>
      </c>
      <c r="C736" s="16" t="s">
        <v>426</v>
      </c>
      <c r="D736" s="16" t="str">
        <f>VLOOKUP(C736,[1]master_data!$A$2:$E$495,2,FALSE)</f>
        <v>LOUHAN</v>
      </c>
      <c r="E736" s="16">
        <v>2</v>
      </c>
      <c r="F736" s="16">
        <f>VLOOKUP(C736,[1]master_data!$A$2:$E$495,3,FALSE)</f>
        <v>85000</v>
      </c>
      <c r="G736" s="16">
        <f>VLOOKUP(C736,[1]master_data!$A$2:$E$495,4,FALSE)</f>
        <v>200000</v>
      </c>
      <c r="H736" s="16">
        <f>E736*F736</f>
        <v>170000</v>
      </c>
      <c r="I736" s="16">
        <f>E736*G736</f>
        <v>400000</v>
      </c>
      <c r="J736" s="16">
        <f>I736-H736</f>
        <v>230000</v>
      </c>
      <c r="K736" s="16" t="str">
        <f>VLOOKUP(C736,[1]master_data!$A$2:$E$495,5,FALSE)</f>
        <v>Ikan</v>
      </c>
      <c r="L736" s="1"/>
    </row>
    <row r="737" spans="1:12" ht="12" customHeight="1" x14ac:dyDescent="0.25">
      <c r="A737" s="15">
        <v>45188</v>
      </c>
      <c r="B737" s="16">
        <v>22301763</v>
      </c>
      <c r="C737" s="16" t="s">
        <v>397</v>
      </c>
      <c r="D737" s="16" t="str">
        <f>VLOOKUP(C737,[1]master_data!$A$2:$E$495,2,FALSE)</f>
        <v>BUENOS AIRES TETRA</v>
      </c>
      <c r="E737" s="16">
        <v>25</v>
      </c>
      <c r="F737" s="16">
        <f>VLOOKUP(C737,[1]master_data!$A$2:$E$495,3,FALSE)</f>
        <v>800</v>
      </c>
      <c r="G737" s="16">
        <f>VLOOKUP(C737,[1]master_data!$A$2:$E$495,4,FALSE)</f>
        <v>2000</v>
      </c>
      <c r="H737" s="16">
        <f>E737*F737</f>
        <v>20000</v>
      </c>
      <c r="I737" s="16">
        <f>E737*G737</f>
        <v>50000</v>
      </c>
      <c r="J737" s="16">
        <f>I737-H737</f>
        <v>30000</v>
      </c>
      <c r="K737" s="16" t="str">
        <f>VLOOKUP(C737,[1]master_data!$A$2:$E$495,5,FALSE)</f>
        <v>Ikan</v>
      </c>
      <c r="L737" s="1"/>
    </row>
    <row r="738" spans="1:12" ht="12" customHeight="1" x14ac:dyDescent="0.25">
      <c r="A738" s="15">
        <v>45188</v>
      </c>
      <c r="B738" s="16">
        <v>22301764</v>
      </c>
      <c r="C738" s="16" t="s">
        <v>437</v>
      </c>
      <c r="D738" s="16" t="str">
        <f>VLOOKUP(C738,[1]master_data!$A$2:$E$495,2,FALSE)</f>
        <v>NEON</v>
      </c>
      <c r="E738" s="16">
        <v>10</v>
      </c>
      <c r="F738" s="16">
        <f>VLOOKUP(C738,[1]master_data!$A$2:$E$495,3,FALSE)</f>
        <v>1250</v>
      </c>
      <c r="G738" s="16">
        <f>VLOOKUP(C738,[1]master_data!$A$2:$E$495,4,FALSE)</f>
        <v>5000</v>
      </c>
      <c r="H738" s="16">
        <f>E738*F738</f>
        <v>12500</v>
      </c>
      <c r="I738" s="16">
        <f>E738*G738</f>
        <v>50000</v>
      </c>
      <c r="J738" s="16">
        <f>I738-H738</f>
        <v>37500</v>
      </c>
      <c r="K738" s="16" t="str">
        <f>VLOOKUP(C738,[1]master_data!$A$2:$E$495,5,FALSE)</f>
        <v>Ikan</v>
      </c>
      <c r="L738" s="1"/>
    </row>
    <row r="739" spans="1:12" ht="12" customHeight="1" x14ac:dyDescent="0.25">
      <c r="A739" s="15">
        <v>45188</v>
      </c>
      <c r="B739" s="16">
        <v>22301765</v>
      </c>
      <c r="C739" s="16" t="s">
        <v>427</v>
      </c>
      <c r="D739" s="16" t="str">
        <f>VLOOKUP(C739,[1]master_data!$A$2:$E$495,2,FALSE)</f>
        <v>LOUHAN SUPER</v>
      </c>
      <c r="E739" s="16">
        <v>1</v>
      </c>
      <c r="F739" s="16">
        <f>VLOOKUP(C739,[1]master_data!$A$2:$E$495,3,FALSE)</f>
        <v>300000</v>
      </c>
      <c r="G739" s="16">
        <f>VLOOKUP(C739,[1]master_data!$A$2:$E$495,4,FALSE)</f>
        <v>500000</v>
      </c>
      <c r="H739" s="16">
        <f>E739*F739</f>
        <v>300000</v>
      </c>
      <c r="I739" s="16">
        <f>E739*G739</f>
        <v>500000</v>
      </c>
      <c r="J739" s="16">
        <f>I739-H739</f>
        <v>200000</v>
      </c>
      <c r="K739" s="16" t="str">
        <f>VLOOKUP(C739,[1]master_data!$A$2:$E$495,5,FALSE)</f>
        <v>Ikan</v>
      </c>
      <c r="L739" s="1"/>
    </row>
    <row r="740" spans="1:12" ht="12" customHeight="1" x14ac:dyDescent="0.25">
      <c r="A740" s="15">
        <v>45188</v>
      </c>
      <c r="B740" s="16">
        <v>22301766</v>
      </c>
      <c r="C740" s="16" t="s">
        <v>126</v>
      </c>
      <c r="D740" s="16" t="str">
        <f>VLOOKUP(C740,[1]master_data!$A$2:$E$495,2,FALSE)</f>
        <v>LAMPU YAMANO UV 9W</v>
      </c>
      <c r="E740" s="16">
        <v>2</v>
      </c>
      <c r="F740" s="16">
        <f>VLOOKUP(C740,[1]master_data!$A$2:$E$495,3,FALSE)</f>
        <v>66000</v>
      </c>
      <c r="G740" s="16">
        <f>VLOOKUP(C740,[1]master_data!$A$2:$E$495,4,FALSE)</f>
        <v>85000</v>
      </c>
      <c r="H740" s="16">
        <f>E740*F740</f>
        <v>132000</v>
      </c>
      <c r="I740" s="16">
        <f>E740*G740</f>
        <v>170000</v>
      </c>
      <c r="J740" s="16">
        <f>I740-H740</f>
        <v>38000</v>
      </c>
      <c r="K740" s="16" t="str">
        <f>VLOOKUP(C740,[1]master_data!$A$2:$E$495,5,FALSE)</f>
        <v>Aksesoris</v>
      </c>
      <c r="L740" s="1"/>
    </row>
    <row r="741" spans="1:12" ht="12" customHeight="1" x14ac:dyDescent="0.25">
      <c r="A741" s="15">
        <v>45188</v>
      </c>
      <c r="B741" s="16">
        <v>22301767</v>
      </c>
      <c r="C741" s="16" t="s">
        <v>428</v>
      </c>
      <c r="D741" s="16" t="str">
        <f>VLOOKUP(C741,[1]master_data!$A$2:$E$495,2,FALSE)</f>
        <v>MANFISH K</v>
      </c>
      <c r="E741" s="16">
        <v>6</v>
      </c>
      <c r="F741" s="16">
        <f>VLOOKUP(C741,[1]master_data!$A$2:$E$495,3,FALSE)</f>
        <v>2000</v>
      </c>
      <c r="G741" s="16">
        <f>VLOOKUP(C741,[1]master_data!$A$2:$E$495,4,FALSE)</f>
        <v>5000</v>
      </c>
      <c r="H741" s="16">
        <f>E741*F741</f>
        <v>12000</v>
      </c>
      <c r="I741" s="16">
        <f>E741*G741</f>
        <v>30000</v>
      </c>
      <c r="J741" s="16">
        <f>I741-H741</f>
        <v>18000</v>
      </c>
      <c r="K741" s="16" t="str">
        <f>VLOOKUP(C741,[1]master_data!$A$2:$E$495,5,FALSE)</f>
        <v>Ikan</v>
      </c>
      <c r="L741" s="1"/>
    </row>
    <row r="742" spans="1:12" ht="12" customHeight="1" x14ac:dyDescent="0.25">
      <c r="A742" s="15">
        <v>45188</v>
      </c>
      <c r="B742" s="16">
        <v>22301768</v>
      </c>
      <c r="C742" s="16" t="s">
        <v>294</v>
      </c>
      <c r="D742" s="16" t="str">
        <f>VLOOKUP(C742,[1]master_data!$A$2:$E$495,2,FALSE)</f>
        <v>LEM SEALANT</v>
      </c>
      <c r="E742" s="16">
        <v>1</v>
      </c>
      <c r="F742" s="16">
        <f>VLOOKUP(C742,[1]master_data!$A$2:$E$495,3,FALSE)</f>
        <v>7000</v>
      </c>
      <c r="G742" s="16">
        <f>VLOOKUP(C742,[1]master_data!$A$2:$E$495,4,FALSE)</f>
        <v>10000</v>
      </c>
      <c r="H742" s="16">
        <f>E742*F742</f>
        <v>7000</v>
      </c>
      <c r="I742" s="16">
        <f>E742*G742</f>
        <v>10000</v>
      </c>
      <c r="J742" s="16">
        <f>I742-H742</f>
        <v>3000</v>
      </c>
      <c r="K742" s="16" t="str">
        <f>VLOOKUP(C742,[1]master_data!$A$2:$E$495,5,FALSE)</f>
        <v>Aksesoris</v>
      </c>
      <c r="L742" s="1"/>
    </row>
    <row r="743" spans="1:12" ht="12" customHeight="1" x14ac:dyDescent="0.25">
      <c r="A743" s="15">
        <v>45187</v>
      </c>
      <c r="B743" s="16">
        <v>22301757</v>
      </c>
      <c r="C743" s="16" t="s">
        <v>251</v>
      </c>
      <c r="D743" s="16" t="str">
        <f>VLOOKUP(C743,[1]master_data!$A$2:$E$495,2,FALSE)</f>
        <v>GOSOKAN STENLEES</v>
      </c>
      <c r="E743" s="16">
        <v>10</v>
      </c>
      <c r="F743" s="16">
        <f>VLOOKUP(C743,[1]master_data!$A$2:$E$495,3,FALSE)</f>
        <v>15000</v>
      </c>
      <c r="G743" s="16">
        <f>VLOOKUP(C743,[1]master_data!$A$2:$E$495,4,FALSE)</f>
        <v>25000</v>
      </c>
      <c r="H743" s="16">
        <f>E743*F743</f>
        <v>150000</v>
      </c>
      <c r="I743" s="16">
        <f>E743*G743</f>
        <v>250000</v>
      </c>
      <c r="J743" s="16">
        <f>I743-H743</f>
        <v>100000</v>
      </c>
      <c r="K743" s="16" t="str">
        <f>VLOOKUP(C743,[1]master_data!$A$2:$E$495,5,FALSE)</f>
        <v>Aksesoris</v>
      </c>
      <c r="L743" s="1"/>
    </row>
    <row r="744" spans="1:12" ht="12" customHeight="1" x14ac:dyDescent="0.25">
      <c r="A744" s="15">
        <v>45187</v>
      </c>
      <c r="B744" s="16">
        <v>22301758</v>
      </c>
      <c r="C744" s="16" t="s">
        <v>416</v>
      </c>
      <c r="D744" s="16" t="str">
        <f>VLOOKUP(C744,[1]master_data!$A$2:$E$495,2,FALSE)</f>
        <v>KOI B</v>
      </c>
      <c r="E744" s="16">
        <v>10</v>
      </c>
      <c r="F744" s="16">
        <f>VLOOKUP(C744,[1]master_data!$A$2:$E$495,3,FALSE)</f>
        <v>9000</v>
      </c>
      <c r="G744" s="16">
        <f>VLOOKUP(C744,[1]master_data!$A$2:$E$495,4,FALSE)</f>
        <v>30000</v>
      </c>
      <c r="H744" s="16">
        <f>E744*F744</f>
        <v>90000</v>
      </c>
      <c r="I744" s="16">
        <f>E744*G744</f>
        <v>300000</v>
      </c>
      <c r="J744" s="16">
        <f>I744-H744</f>
        <v>210000</v>
      </c>
      <c r="K744" s="16" t="str">
        <f>VLOOKUP(C744,[1]master_data!$A$2:$E$495,5,FALSE)</f>
        <v>Ikan</v>
      </c>
      <c r="L744" s="1"/>
    </row>
    <row r="745" spans="1:12" ht="12" customHeight="1" x14ac:dyDescent="0.25">
      <c r="A745" s="15">
        <v>45187</v>
      </c>
      <c r="B745" s="16">
        <v>22301759</v>
      </c>
      <c r="C745" s="16" t="s">
        <v>433</v>
      </c>
      <c r="D745" s="16" t="str">
        <f>VLOOKUP(C745,[1]master_data!$A$2:$E$495,2,FALSE)</f>
        <v>MOLI BALON</v>
      </c>
      <c r="E745" s="16">
        <v>30</v>
      </c>
      <c r="F745" s="16">
        <f>VLOOKUP(C745,[1]master_data!$A$2:$E$495,3,FALSE)</f>
        <v>800</v>
      </c>
      <c r="G745" s="16">
        <f>VLOOKUP(C745,[1]master_data!$A$2:$E$495,4,FALSE)</f>
        <v>2000</v>
      </c>
      <c r="H745" s="16">
        <f>E745*F745</f>
        <v>24000</v>
      </c>
      <c r="I745" s="16">
        <f>E745*G745</f>
        <v>60000</v>
      </c>
      <c r="J745" s="16">
        <f>I745-H745</f>
        <v>36000</v>
      </c>
      <c r="K745" s="16" t="str">
        <f>VLOOKUP(C745,[1]master_data!$A$2:$E$495,5,FALSE)</f>
        <v>Ikan</v>
      </c>
      <c r="L745" s="1"/>
    </row>
    <row r="746" spans="1:12" ht="12" customHeight="1" x14ac:dyDescent="0.25">
      <c r="A746" s="15">
        <v>45187</v>
      </c>
      <c r="B746" s="16">
        <v>22301760</v>
      </c>
      <c r="C746" s="16" t="s">
        <v>443</v>
      </c>
      <c r="D746" s="16" t="str">
        <f>VLOOKUP(C746,[1]master_data!$A$2:$E$495,2,FALSE)</f>
        <v>PESO</v>
      </c>
      <c r="E746" s="16">
        <v>5</v>
      </c>
      <c r="F746" s="16">
        <f>VLOOKUP(C746,[1]master_data!$A$2:$E$495,3,FALSE)</f>
        <v>19000</v>
      </c>
      <c r="G746" s="16">
        <f>VLOOKUP(C746,[1]master_data!$A$2:$E$495,4,FALSE)</f>
        <v>40000</v>
      </c>
      <c r="H746" s="16">
        <f>E746*F746</f>
        <v>95000</v>
      </c>
      <c r="I746" s="16">
        <f>E746*G746</f>
        <v>200000</v>
      </c>
      <c r="J746" s="16">
        <f>I746-H746</f>
        <v>105000</v>
      </c>
      <c r="K746" s="16" t="str">
        <f>VLOOKUP(C746,[1]master_data!$A$2:$E$495,5,FALSE)</f>
        <v>Ikan</v>
      </c>
      <c r="L746" s="1"/>
    </row>
    <row r="747" spans="1:12" ht="12" customHeight="1" x14ac:dyDescent="0.25">
      <c r="A747" s="15">
        <v>45187</v>
      </c>
      <c r="B747" s="16">
        <v>22301761</v>
      </c>
      <c r="C747" s="16" t="s">
        <v>278</v>
      </c>
      <c r="D747" s="16" t="str">
        <f>VLOOKUP(C747,[1]master_data!$A$2:$E$495,2,FALSE)</f>
        <v>HEATER STENLEES 100 W</v>
      </c>
      <c r="E747" s="16">
        <v>1</v>
      </c>
      <c r="F747" s="16">
        <f>VLOOKUP(C747,[1]master_data!$A$2:$E$495,3,FALSE)</f>
        <v>56000</v>
      </c>
      <c r="G747" s="16">
        <f>VLOOKUP(C747,[1]master_data!$A$2:$E$495,4,FALSE)</f>
        <v>85000</v>
      </c>
      <c r="H747" s="16">
        <f>E747*F747</f>
        <v>56000</v>
      </c>
      <c r="I747" s="16">
        <f>E747*G747</f>
        <v>85000</v>
      </c>
      <c r="J747" s="16">
        <f>I747-H747</f>
        <v>29000</v>
      </c>
      <c r="K747" s="16" t="str">
        <f>VLOOKUP(C747,[1]master_data!$A$2:$E$495,5,FALSE)</f>
        <v>Aksesoris</v>
      </c>
      <c r="L747" s="1"/>
    </row>
    <row r="748" spans="1:12" ht="12" customHeight="1" x14ac:dyDescent="0.25">
      <c r="A748" s="15">
        <v>45186</v>
      </c>
      <c r="B748" s="16">
        <v>22301750</v>
      </c>
      <c r="C748" s="16" t="s">
        <v>442</v>
      </c>
      <c r="D748" s="16" t="str">
        <f>VLOOKUP(C748,[1]master_data!$A$2:$E$495,2,FALSE)</f>
        <v>PARROT</v>
      </c>
      <c r="E748" s="16">
        <v>1</v>
      </c>
      <c r="F748" s="16">
        <f>VLOOKUP(C748,[1]master_data!$A$2:$E$495,3,FALSE)</f>
        <v>27000</v>
      </c>
      <c r="G748" s="16">
        <f>VLOOKUP(C748,[1]master_data!$A$2:$E$495,4,FALSE)</f>
        <v>60000</v>
      </c>
      <c r="H748" s="16">
        <f>E748*F748</f>
        <v>27000</v>
      </c>
      <c r="I748" s="16">
        <f>E748*G748</f>
        <v>60000</v>
      </c>
      <c r="J748" s="16">
        <f>I748-H748</f>
        <v>33000</v>
      </c>
      <c r="K748" s="16" t="str">
        <f>VLOOKUP(C748,[1]master_data!$A$2:$E$495,5,FALSE)</f>
        <v>Ikan</v>
      </c>
      <c r="L748" s="1"/>
    </row>
    <row r="749" spans="1:12" ht="12" customHeight="1" x14ac:dyDescent="0.25">
      <c r="A749" s="15">
        <v>45186</v>
      </c>
      <c r="B749" s="16">
        <v>22301751</v>
      </c>
      <c r="C749" s="16" t="s">
        <v>396</v>
      </c>
      <c r="D749" s="16" t="str">
        <f>VLOOKUP(C749,[1]master_data!$A$2:$E$495,2,FALSE)</f>
        <v>BIPOLAR</v>
      </c>
      <c r="E749" s="16">
        <v>25</v>
      </c>
      <c r="F749" s="16">
        <f>VLOOKUP(C749,[1]master_data!$A$2:$E$495,3,FALSE)</f>
        <v>1000</v>
      </c>
      <c r="G749" s="16">
        <f>VLOOKUP(C749,[1]master_data!$A$2:$E$495,4,FALSE)</f>
        <v>2500</v>
      </c>
      <c r="H749" s="16">
        <f>E749*F749</f>
        <v>25000</v>
      </c>
      <c r="I749" s="16">
        <f>E749*G749</f>
        <v>62500</v>
      </c>
      <c r="J749" s="16">
        <f>I749-H749</f>
        <v>37500</v>
      </c>
      <c r="K749" s="16" t="str">
        <f>VLOOKUP(C749,[1]master_data!$A$2:$E$495,5,FALSE)</f>
        <v>Ikan</v>
      </c>
      <c r="L749" s="1"/>
    </row>
    <row r="750" spans="1:12" ht="12" customHeight="1" x14ac:dyDescent="0.25">
      <c r="A750" s="15">
        <v>45186</v>
      </c>
      <c r="B750" s="16">
        <v>22301752</v>
      </c>
      <c r="C750" s="16" t="s">
        <v>448</v>
      </c>
      <c r="D750" s="16" t="str">
        <f>VLOOKUP(C750,[1]master_data!$A$2:$E$495,2,FALSE)</f>
        <v>SUMATRA BIASA</v>
      </c>
      <c r="E750" s="16">
        <v>30</v>
      </c>
      <c r="F750" s="16">
        <f>VLOOKUP(C750,[1]master_data!$A$2:$E$495,3,FALSE)</f>
        <v>800</v>
      </c>
      <c r="G750" s="16">
        <f>VLOOKUP(C750,[1]master_data!$A$2:$E$495,4,FALSE)</f>
        <v>2000</v>
      </c>
      <c r="H750" s="16">
        <f>E750*F750</f>
        <v>24000</v>
      </c>
      <c r="I750" s="16">
        <f>E750*G750</f>
        <v>60000</v>
      </c>
      <c r="J750" s="16">
        <f>I750-H750</f>
        <v>36000</v>
      </c>
      <c r="K750" s="16" t="str">
        <f>VLOOKUP(C750,[1]master_data!$A$2:$E$495,5,FALSE)</f>
        <v>Ikan</v>
      </c>
      <c r="L750" s="1"/>
    </row>
    <row r="751" spans="1:12" ht="12" customHeight="1" x14ac:dyDescent="0.25">
      <c r="A751" s="15">
        <v>45186</v>
      </c>
      <c r="B751" s="16">
        <v>22301753</v>
      </c>
      <c r="C751" s="16" t="s">
        <v>438</v>
      </c>
      <c r="D751" s="16" t="str">
        <f>VLOOKUP(C751,[1]master_data!$A$2:$E$495,2,FALSE)</f>
        <v>OSCAR</v>
      </c>
      <c r="E751" s="16">
        <v>1</v>
      </c>
      <c r="F751" s="16">
        <f>VLOOKUP(C751,[1]master_data!$A$2:$E$495,3,FALSE)</f>
        <v>25000</v>
      </c>
      <c r="G751" s="16">
        <f>VLOOKUP(C751,[1]master_data!$A$2:$E$495,4,FALSE)</f>
        <v>50000</v>
      </c>
      <c r="H751" s="16">
        <f>E751*F751</f>
        <v>25000</v>
      </c>
      <c r="I751" s="16">
        <f>E751*G751</f>
        <v>50000</v>
      </c>
      <c r="J751" s="16">
        <f>I751-H751</f>
        <v>25000</v>
      </c>
      <c r="K751" s="16" t="str">
        <f>VLOOKUP(C751,[1]master_data!$A$2:$E$495,5,FALSE)</f>
        <v>Ikan</v>
      </c>
      <c r="L751" s="1"/>
    </row>
    <row r="752" spans="1:12" ht="12" customHeight="1" x14ac:dyDescent="0.25">
      <c r="A752" s="15">
        <v>45186</v>
      </c>
      <c r="B752" s="16">
        <v>22301754</v>
      </c>
      <c r="C752" s="16" t="s">
        <v>74</v>
      </c>
      <c r="D752" s="16" t="str">
        <f>VLOOKUP(C752,[1]master_data!$A$2:$E$495,2,FALSE)</f>
        <v>MESIN HAILONG 1600</v>
      </c>
      <c r="E752" s="16">
        <v>8</v>
      </c>
      <c r="F752" s="16">
        <f>VLOOKUP(C752,[1]master_data!$A$2:$E$495,3,FALSE)</f>
        <v>58000</v>
      </c>
      <c r="G752" s="16">
        <f>VLOOKUP(C752,[1]master_data!$A$2:$E$495,4,FALSE)</f>
        <v>100000</v>
      </c>
      <c r="H752" s="16">
        <f>E752*F752</f>
        <v>464000</v>
      </c>
      <c r="I752" s="16">
        <f>E752*G752</f>
        <v>800000</v>
      </c>
      <c r="J752" s="16">
        <f>I752-H752</f>
        <v>336000</v>
      </c>
      <c r="K752" s="16" t="str">
        <f>VLOOKUP(C752,[1]master_data!$A$2:$E$495,5,FALSE)</f>
        <v>Aksesoris</v>
      </c>
      <c r="L752" s="1"/>
    </row>
    <row r="753" spans="1:12" ht="12" customHeight="1" x14ac:dyDescent="0.25">
      <c r="A753" s="15">
        <v>45186</v>
      </c>
      <c r="B753" s="16">
        <v>22301755</v>
      </c>
      <c r="C753" s="16" t="s">
        <v>407</v>
      </c>
      <c r="D753" s="16" t="str">
        <f>VLOOKUP(C753,[1]master_data!$A$2:$E$495,2,FALSE)</f>
        <v>GOLD FISH</v>
      </c>
      <c r="E753" s="16">
        <v>9</v>
      </c>
      <c r="F753" s="16">
        <f>VLOOKUP(C753,[1]master_data!$A$2:$E$495,3,FALSE)</f>
        <v>800</v>
      </c>
      <c r="G753" s="16">
        <f>VLOOKUP(C753,[1]master_data!$A$2:$E$495,4,FALSE)</f>
        <v>2000</v>
      </c>
      <c r="H753" s="16">
        <f>E753*F753</f>
        <v>7200</v>
      </c>
      <c r="I753" s="16">
        <f>E753*G753</f>
        <v>18000</v>
      </c>
      <c r="J753" s="16">
        <f>I753-H753</f>
        <v>10800</v>
      </c>
      <c r="K753" s="16" t="str">
        <f>VLOOKUP(C753,[1]master_data!$A$2:$E$495,5,FALSE)</f>
        <v>Ikan</v>
      </c>
      <c r="L753" s="1"/>
    </row>
    <row r="754" spans="1:12" ht="12" customHeight="1" x14ac:dyDescent="0.25">
      <c r="A754" s="15">
        <v>45186</v>
      </c>
      <c r="B754" s="16">
        <v>22301756</v>
      </c>
      <c r="C754" s="16" t="s">
        <v>395</v>
      </c>
      <c r="D754" s="16" t="str">
        <f>VLOOKUP(C754,[1]master_data!$A$2:$E$495,2,FALSE)</f>
        <v>ALIGATOR</v>
      </c>
      <c r="E754" s="16">
        <v>1</v>
      </c>
      <c r="F754" s="16">
        <f>VLOOKUP(C754,[1]master_data!$A$2:$E$495,3,FALSE)</f>
        <v>17000</v>
      </c>
      <c r="G754" s="16">
        <f>VLOOKUP(C754,[1]master_data!$A$2:$E$495,4,FALSE)</f>
        <v>35000</v>
      </c>
      <c r="H754" s="16">
        <f>E754*F754</f>
        <v>17000</v>
      </c>
      <c r="I754" s="16">
        <f>E754*G754</f>
        <v>35000</v>
      </c>
      <c r="J754" s="16">
        <f>I754-H754</f>
        <v>18000</v>
      </c>
      <c r="K754" s="16" t="str">
        <f>VLOOKUP(C754,[1]master_data!$A$2:$E$495,5,FALSE)</f>
        <v>Ikan</v>
      </c>
      <c r="L754" s="1"/>
    </row>
    <row r="755" spans="1:12" ht="12" customHeight="1" x14ac:dyDescent="0.25">
      <c r="A755" s="15">
        <v>45185</v>
      </c>
      <c r="B755" s="16">
        <v>22301741</v>
      </c>
      <c r="C755" s="16" t="s">
        <v>436</v>
      </c>
      <c r="D755" s="16" t="str">
        <f>VLOOKUP(C755,[1]master_data!$A$2:$E$495,2,FALSE)</f>
        <v>NENTINEN</v>
      </c>
      <c r="E755" s="16">
        <v>15</v>
      </c>
      <c r="F755" s="16">
        <f>VLOOKUP(C755,[1]master_data!$A$2:$E$495,3,FALSE)</f>
        <v>1000</v>
      </c>
      <c r="G755" s="16">
        <f>VLOOKUP(C755,[1]master_data!$A$2:$E$495,4,FALSE)</f>
        <v>2500</v>
      </c>
      <c r="H755" s="16">
        <f>E755*F755</f>
        <v>15000</v>
      </c>
      <c r="I755" s="16">
        <f>E755*G755</f>
        <v>37500</v>
      </c>
      <c r="J755" s="16">
        <f>I755-H755</f>
        <v>22500</v>
      </c>
      <c r="K755" s="16" t="str">
        <f>VLOOKUP(C755,[1]master_data!$A$2:$E$495,5,FALSE)</f>
        <v>Ikan</v>
      </c>
      <c r="L755" s="1"/>
    </row>
    <row r="756" spans="1:12" ht="12" customHeight="1" x14ac:dyDescent="0.25">
      <c r="A756" s="15">
        <v>45185</v>
      </c>
      <c r="B756" s="16">
        <v>22301742</v>
      </c>
      <c r="C756" s="16" t="s">
        <v>409</v>
      </c>
      <c r="D756" s="16" t="str">
        <f>VLOOKUP(C756,[1]master_data!$A$2:$E$495,2,FALSE)</f>
        <v>GOLDEN BLACK</v>
      </c>
      <c r="E756" s="16">
        <v>25</v>
      </c>
      <c r="F756" s="16">
        <f>VLOOKUP(C756,[1]master_data!$A$2:$E$495,3,FALSE)</f>
        <v>800</v>
      </c>
      <c r="G756" s="16">
        <f>VLOOKUP(C756,[1]master_data!$A$2:$E$495,4,FALSE)</f>
        <v>2000</v>
      </c>
      <c r="H756" s="16">
        <f>E756*F756</f>
        <v>20000</v>
      </c>
      <c r="I756" s="16">
        <f>E756*G756</f>
        <v>50000</v>
      </c>
      <c r="J756" s="16">
        <f>I756-H756</f>
        <v>30000</v>
      </c>
      <c r="K756" s="16" t="str">
        <f>VLOOKUP(C756,[1]master_data!$A$2:$E$495,5,FALSE)</f>
        <v>Ikan</v>
      </c>
      <c r="L756" s="1"/>
    </row>
    <row r="757" spans="1:12" ht="12" customHeight="1" x14ac:dyDescent="0.25">
      <c r="A757" s="15">
        <v>45185</v>
      </c>
      <c r="B757" s="16">
        <v>22301743</v>
      </c>
      <c r="C757" s="16" t="s">
        <v>186</v>
      </c>
      <c r="D757" s="16" t="str">
        <f>VLOOKUP(C757,[1]master_data!$A$2:$E$495,2,FALSE)</f>
        <v>LED RECENT DnN 50CM</v>
      </c>
      <c r="E757" s="16">
        <v>10</v>
      </c>
      <c r="F757" s="16">
        <f>VLOOKUP(C757,[1]master_data!$A$2:$E$495,3,FALSE)</f>
        <v>30000</v>
      </c>
      <c r="G757" s="16">
        <f>VLOOKUP(C757,[1]master_data!$A$2:$E$495,4,FALSE)</f>
        <v>60000</v>
      </c>
      <c r="H757" s="16">
        <f>E757*F757</f>
        <v>300000</v>
      </c>
      <c r="I757" s="16">
        <f>E757*G757</f>
        <v>600000</v>
      </c>
      <c r="J757" s="16">
        <f>I757-H757</f>
        <v>300000</v>
      </c>
      <c r="K757" s="16" t="str">
        <f>VLOOKUP(C757,[1]master_data!$A$2:$E$495,5,FALSE)</f>
        <v>Aksesoris</v>
      </c>
      <c r="L757" s="1"/>
    </row>
    <row r="758" spans="1:12" ht="12" customHeight="1" x14ac:dyDescent="0.25">
      <c r="A758" s="15">
        <v>45185</v>
      </c>
      <c r="B758" s="16">
        <v>22301744</v>
      </c>
      <c r="C758" s="16" t="s">
        <v>241</v>
      </c>
      <c r="D758" s="16" t="str">
        <f>VLOOKUP(C758,[1]master_data!$A$2:$E$495,2,FALSE)</f>
        <v>PAKAN KEN</v>
      </c>
      <c r="E758" s="16">
        <v>2</v>
      </c>
      <c r="F758" s="16">
        <f>VLOOKUP(C758,[1]master_data!$A$2:$E$495,3,FALSE)</f>
        <v>16000</v>
      </c>
      <c r="G758" s="16">
        <f>VLOOKUP(C758,[1]master_data!$A$2:$E$495,4,FALSE)</f>
        <v>25000</v>
      </c>
      <c r="H758" s="16">
        <f>E758*F758</f>
        <v>32000</v>
      </c>
      <c r="I758" s="16">
        <f>E758*G758</f>
        <v>50000</v>
      </c>
      <c r="J758" s="16">
        <f>I758-H758</f>
        <v>18000</v>
      </c>
      <c r="K758" s="16" t="str">
        <f>VLOOKUP(C758,[1]master_data!$A$2:$E$495,5,FALSE)</f>
        <v>Aksesoris</v>
      </c>
      <c r="L758" s="1"/>
    </row>
    <row r="759" spans="1:12" ht="12" customHeight="1" x14ac:dyDescent="0.25">
      <c r="A759" s="15">
        <v>45185</v>
      </c>
      <c r="B759" s="16">
        <v>22301745</v>
      </c>
      <c r="C759" s="16" t="s">
        <v>239</v>
      </c>
      <c r="D759" s="16" t="str">
        <f>VLOOKUP(C759,[1]master_data!$A$2:$E$495,2,FALSE)</f>
        <v>PAKAN GOLD FISH HITAM</v>
      </c>
      <c r="E759" s="16">
        <v>1</v>
      </c>
      <c r="F759" s="16">
        <f>VLOOKUP(C759,[1]master_data!$A$2:$E$495,3,FALSE)</f>
        <v>7000</v>
      </c>
      <c r="G759" s="16">
        <f>VLOOKUP(C759,[1]master_data!$A$2:$E$495,4,FALSE)</f>
        <v>12000</v>
      </c>
      <c r="H759" s="16">
        <f>E759*F759</f>
        <v>7000</v>
      </c>
      <c r="I759" s="16">
        <f>E759*G759</f>
        <v>12000</v>
      </c>
      <c r="J759" s="16">
        <f>I759-H759</f>
        <v>5000</v>
      </c>
      <c r="K759" s="16" t="str">
        <f>VLOOKUP(C759,[1]master_data!$A$2:$E$495,5,FALSE)</f>
        <v>Aksesoris</v>
      </c>
      <c r="L759" s="1"/>
    </row>
    <row r="760" spans="1:12" ht="12" customHeight="1" x14ac:dyDescent="0.25">
      <c r="A760" s="15">
        <v>45185</v>
      </c>
      <c r="B760" s="16">
        <v>22301746</v>
      </c>
      <c r="C760" s="16" t="s">
        <v>434</v>
      </c>
      <c r="D760" s="16" t="str">
        <f>VLOOKUP(C760,[1]master_data!$A$2:$E$495,2,FALSE)</f>
        <v>NIASA</v>
      </c>
      <c r="E760" s="16">
        <v>20</v>
      </c>
      <c r="F760" s="16">
        <f>VLOOKUP(C760,[1]master_data!$A$2:$E$495,3,FALSE)</f>
        <v>900</v>
      </c>
      <c r="G760" s="16">
        <f>VLOOKUP(C760,[1]master_data!$A$2:$E$495,4,FALSE)</f>
        <v>2000</v>
      </c>
      <c r="H760" s="16">
        <f>E760*F760</f>
        <v>18000</v>
      </c>
      <c r="I760" s="16">
        <f>E760*G760</f>
        <v>40000</v>
      </c>
      <c r="J760" s="16">
        <f>I760-H760</f>
        <v>22000</v>
      </c>
      <c r="K760" s="16" t="str">
        <f>VLOOKUP(C760,[1]master_data!$A$2:$E$495,5,FALSE)</f>
        <v>Ikan</v>
      </c>
      <c r="L760" s="1"/>
    </row>
    <row r="761" spans="1:12" ht="12" customHeight="1" x14ac:dyDescent="0.25">
      <c r="A761" s="15">
        <v>45185</v>
      </c>
      <c r="B761" s="16">
        <v>22301747</v>
      </c>
      <c r="C761" s="16" t="s">
        <v>448</v>
      </c>
      <c r="D761" s="16" t="str">
        <f>VLOOKUP(C761,[1]master_data!$A$2:$E$495,2,FALSE)</f>
        <v>SUMATRA BIASA</v>
      </c>
      <c r="E761" s="16">
        <v>15</v>
      </c>
      <c r="F761" s="16">
        <f>VLOOKUP(C761,[1]master_data!$A$2:$E$495,3,FALSE)</f>
        <v>800</v>
      </c>
      <c r="G761" s="16">
        <f>VLOOKUP(C761,[1]master_data!$A$2:$E$495,4,FALSE)</f>
        <v>2000</v>
      </c>
      <c r="H761" s="16">
        <f>E761*F761</f>
        <v>12000</v>
      </c>
      <c r="I761" s="16">
        <f>E761*G761</f>
        <v>30000</v>
      </c>
      <c r="J761" s="16">
        <f>I761-H761</f>
        <v>18000</v>
      </c>
      <c r="K761" s="16" t="str">
        <f>VLOOKUP(C761,[1]master_data!$A$2:$E$495,5,FALSE)</f>
        <v>Ikan</v>
      </c>
      <c r="L761" s="1"/>
    </row>
    <row r="762" spans="1:12" ht="12" customHeight="1" x14ac:dyDescent="0.25">
      <c r="A762" s="15">
        <v>45185</v>
      </c>
      <c r="B762" s="16">
        <v>22301748</v>
      </c>
      <c r="C762" s="16" t="s">
        <v>452</v>
      </c>
      <c r="D762" s="16" t="str">
        <f>VLOOKUP(C762,[1]master_data!$A$2:$E$495,2,FALSE)</f>
        <v>SYNODONTI B</v>
      </c>
      <c r="E762" s="16">
        <v>14</v>
      </c>
      <c r="F762" s="16">
        <f>VLOOKUP(C762,[1]master_data!$A$2:$E$495,3,FALSE)</f>
        <v>4000</v>
      </c>
      <c r="G762" s="16">
        <f>VLOOKUP(C762,[1]master_data!$A$2:$E$495,4,FALSE)</f>
        <v>10000</v>
      </c>
      <c r="H762" s="16">
        <f>E762*F762</f>
        <v>56000</v>
      </c>
      <c r="I762" s="16">
        <f>E762*G762</f>
        <v>140000</v>
      </c>
      <c r="J762" s="16">
        <f>I762-H762</f>
        <v>84000</v>
      </c>
      <c r="K762" s="16" t="str">
        <f>VLOOKUP(C762,[1]master_data!$A$2:$E$495,5,FALSE)</f>
        <v>Ikan</v>
      </c>
      <c r="L762" s="1"/>
    </row>
    <row r="763" spans="1:12" ht="12" customHeight="1" x14ac:dyDescent="0.25">
      <c r="A763" s="15">
        <v>45185</v>
      </c>
      <c r="B763" s="16">
        <v>22301749</v>
      </c>
      <c r="C763" s="16" t="s">
        <v>289</v>
      </c>
      <c r="D763" s="16" t="str">
        <f>VLOOKUP(C763,[1]master_data!$A$2:$E$495,2,FALSE)</f>
        <v>JARING 30</v>
      </c>
      <c r="E763" s="16">
        <v>1</v>
      </c>
      <c r="F763" s="16">
        <f>VLOOKUP(C763,[1]master_data!$A$2:$E$495,3,FALSE)</f>
        <v>7900</v>
      </c>
      <c r="G763" s="16">
        <f>VLOOKUP(C763,[1]master_data!$A$2:$E$495,4,FALSE)</f>
        <v>15000</v>
      </c>
      <c r="H763" s="16">
        <f>E763*F763</f>
        <v>7900</v>
      </c>
      <c r="I763" s="16">
        <f>E763*G763</f>
        <v>15000</v>
      </c>
      <c r="J763" s="16">
        <f>I763-H763</f>
        <v>7100</v>
      </c>
      <c r="K763" s="16" t="str">
        <f>VLOOKUP(C763,[1]master_data!$A$2:$E$495,5,FALSE)</f>
        <v>Aksesoris</v>
      </c>
      <c r="L763" s="1"/>
    </row>
    <row r="764" spans="1:12" ht="12" customHeight="1" x14ac:dyDescent="0.25">
      <c r="A764" s="15">
        <v>45184</v>
      </c>
      <c r="B764" s="16">
        <v>22301732</v>
      </c>
      <c r="C764" s="16" t="s">
        <v>133</v>
      </c>
      <c r="D764" s="16" t="str">
        <f>VLOOKUP(C764,[1]master_data!$A$2:$E$495,2,FALSE)</f>
        <v>LED YAMANO P1000</v>
      </c>
      <c r="E764" s="16">
        <v>1</v>
      </c>
      <c r="F764" s="16">
        <f>VLOOKUP(C764,[1]master_data!$A$2:$E$495,3,FALSE)</f>
        <v>100000</v>
      </c>
      <c r="G764" s="16">
        <f>VLOOKUP(C764,[1]master_data!$A$2:$E$495,4,FALSE)</f>
        <v>130000</v>
      </c>
      <c r="H764" s="16">
        <f>E764*F764</f>
        <v>100000</v>
      </c>
      <c r="I764" s="16">
        <f>E764*G764</f>
        <v>130000</v>
      </c>
      <c r="J764" s="16">
        <f>I764-H764</f>
        <v>30000</v>
      </c>
      <c r="K764" s="16" t="str">
        <f>VLOOKUP(C764,[1]master_data!$A$2:$E$495,5,FALSE)</f>
        <v>Aksesoris</v>
      </c>
      <c r="L764" s="1"/>
    </row>
    <row r="765" spans="1:12" ht="12" customHeight="1" x14ac:dyDescent="0.25">
      <c r="A765" s="15">
        <v>45184</v>
      </c>
      <c r="B765" s="16">
        <v>22301733</v>
      </c>
      <c r="C765" s="16" t="s">
        <v>147</v>
      </c>
      <c r="D765" s="16" t="str">
        <f>VLOOKUP(C765,[1]master_data!$A$2:$E$495,2,FALSE)</f>
        <v>LED KANDILA 2 BRS 20 CM</v>
      </c>
      <c r="E765" s="16">
        <v>5</v>
      </c>
      <c r="F765" s="16">
        <f>VLOOKUP(C765,[1]master_data!$A$2:$E$495,3,FALSE)</f>
        <v>21000</v>
      </c>
      <c r="G765" s="16">
        <f>VLOOKUP(C765,[1]master_data!$A$2:$E$495,4,FALSE)</f>
        <v>35000</v>
      </c>
      <c r="H765" s="16">
        <f>E765*F765</f>
        <v>105000</v>
      </c>
      <c r="I765" s="16">
        <f>E765*G765</f>
        <v>175000</v>
      </c>
      <c r="J765" s="16">
        <f>I765-H765</f>
        <v>70000</v>
      </c>
      <c r="K765" s="16" t="str">
        <f>VLOOKUP(C765,[1]master_data!$A$2:$E$495,5,FALSE)</f>
        <v>Aksesoris</v>
      </c>
      <c r="L765" s="1"/>
    </row>
    <row r="766" spans="1:12" ht="12" customHeight="1" x14ac:dyDescent="0.25">
      <c r="A766" s="15">
        <v>45184</v>
      </c>
      <c r="B766" s="16">
        <v>22301734</v>
      </c>
      <c r="C766" s="16" t="s">
        <v>441</v>
      </c>
      <c r="D766" s="16" t="str">
        <f>VLOOKUP(C766,[1]master_data!$A$2:$E$495,2,FALSE)</f>
        <v>PALMAS</v>
      </c>
      <c r="E766" s="16">
        <v>10</v>
      </c>
      <c r="F766" s="16">
        <f>VLOOKUP(C766,[1]master_data!$A$2:$E$495,3,FALSE)</f>
        <v>10000</v>
      </c>
      <c r="G766" s="16">
        <f>VLOOKUP(C766,[1]master_data!$A$2:$E$495,4,FALSE)</f>
        <v>25000</v>
      </c>
      <c r="H766" s="16">
        <f>E766*F766</f>
        <v>100000</v>
      </c>
      <c r="I766" s="16">
        <f>E766*G766</f>
        <v>250000</v>
      </c>
      <c r="J766" s="16">
        <f>I766-H766</f>
        <v>150000</v>
      </c>
      <c r="K766" s="16" t="str">
        <f>VLOOKUP(C766,[1]master_data!$A$2:$E$495,5,FALSE)</f>
        <v>Ikan</v>
      </c>
      <c r="L766" s="1"/>
    </row>
    <row r="767" spans="1:12" ht="12" customHeight="1" x14ac:dyDescent="0.25">
      <c r="A767" s="15">
        <v>45184</v>
      </c>
      <c r="B767" s="16">
        <v>22301735</v>
      </c>
      <c r="C767" s="16" t="s">
        <v>456</v>
      </c>
      <c r="D767" s="16" t="str">
        <f>VLOOKUP(C767,[1]master_data!$A$2:$E$495,2,FALSE)</f>
        <v>ZEBRA HIJAU</v>
      </c>
      <c r="E767" s="16">
        <v>20</v>
      </c>
      <c r="F767" s="16">
        <f>VLOOKUP(C767,[1]master_data!$A$2:$E$495,3,FALSE)</f>
        <v>800</v>
      </c>
      <c r="G767" s="16">
        <f>VLOOKUP(C767,[1]master_data!$A$2:$E$495,4,FALSE)</f>
        <v>2000</v>
      </c>
      <c r="H767" s="16">
        <f>E767*F767</f>
        <v>16000</v>
      </c>
      <c r="I767" s="16">
        <f>E767*G767</f>
        <v>40000</v>
      </c>
      <c r="J767" s="16">
        <f>I767-H767</f>
        <v>24000</v>
      </c>
      <c r="K767" s="16" t="str">
        <f>VLOOKUP(C767,[1]master_data!$A$2:$E$495,5,FALSE)</f>
        <v>Ikan</v>
      </c>
      <c r="L767" s="1"/>
    </row>
    <row r="768" spans="1:12" ht="12" customHeight="1" x14ac:dyDescent="0.25">
      <c r="A768" s="15">
        <v>45184</v>
      </c>
      <c r="B768" s="16">
        <v>22301736</v>
      </c>
      <c r="C768" s="16" t="s">
        <v>60</v>
      </c>
      <c r="D768" s="16" t="str">
        <f>VLOOKUP(C768,[1]master_data!$A$2:$E$495,2,FALSE)</f>
        <v>MESIN MARVIN 1200</v>
      </c>
      <c r="E768" s="16">
        <v>2</v>
      </c>
      <c r="F768" s="16">
        <f>VLOOKUP(C768,[1]master_data!$A$2:$E$495,3,FALSE)</f>
        <v>23000</v>
      </c>
      <c r="G768" s="16">
        <f>VLOOKUP(C768,[1]master_data!$A$2:$E$495,4,FALSE)</f>
        <v>35000</v>
      </c>
      <c r="H768" s="16">
        <f>E768*F768</f>
        <v>46000</v>
      </c>
      <c r="I768" s="16">
        <f>E768*G768</f>
        <v>70000</v>
      </c>
      <c r="J768" s="16">
        <f>I768-H768</f>
        <v>24000</v>
      </c>
      <c r="K768" s="16" t="str">
        <f>VLOOKUP(C768,[1]master_data!$A$2:$E$495,5,FALSE)</f>
        <v>Aksesoris</v>
      </c>
      <c r="L768" s="1"/>
    </row>
    <row r="769" spans="1:12" ht="12" customHeight="1" x14ac:dyDescent="0.25">
      <c r="A769" s="15">
        <v>45184</v>
      </c>
      <c r="B769" s="16">
        <v>22301737</v>
      </c>
      <c r="C769" s="16" t="s">
        <v>448</v>
      </c>
      <c r="D769" s="16" t="str">
        <f>VLOOKUP(C769,[1]master_data!$A$2:$E$495,2,FALSE)</f>
        <v>SUMATRA BIASA</v>
      </c>
      <c r="E769" s="16">
        <v>10</v>
      </c>
      <c r="F769" s="16">
        <f>VLOOKUP(C769,[1]master_data!$A$2:$E$495,3,FALSE)</f>
        <v>800</v>
      </c>
      <c r="G769" s="16">
        <f>VLOOKUP(C769,[1]master_data!$A$2:$E$495,4,FALSE)</f>
        <v>2000</v>
      </c>
      <c r="H769" s="16">
        <f>E769*F769</f>
        <v>8000</v>
      </c>
      <c r="I769" s="16">
        <f>E769*G769</f>
        <v>20000</v>
      </c>
      <c r="J769" s="16">
        <f>I769-H769</f>
        <v>12000</v>
      </c>
      <c r="K769" s="16" t="str">
        <f>VLOOKUP(C769,[1]master_data!$A$2:$E$495,5,FALSE)</f>
        <v>Ikan</v>
      </c>
      <c r="L769" s="1"/>
    </row>
    <row r="770" spans="1:12" ht="12" customHeight="1" x14ac:dyDescent="0.25">
      <c r="A770" s="15">
        <v>45184</v>
      </c>
      <c r="B770" s="16">
        <v>22301738</v>
      </c>
      <c r="C770" s="16" t="s">
        <v>276</v>
      </c>
      <c r="D770" s="16" t="str">
        <f>VLOOKUP(C770,[1]master_data!$A$2:$E$495,2,FALSE)</f>
        <v>JARING 30</v>
      </c>
      <c r="E770" s="16">
        <v>10</v>
      </c>
      <c r="F770" s="16">
        <f>VLOOKUP(C770,[1]master_data!$A$2:$E$495,3,FALSE)</f>
        <v>7100</v>
      </c>
      <c r="G770" s="16">
        <f>VLOOKUP(C770,[1]master_data!$A$2:$E$495,4,FALSE)</f>
        <v>12000</v>
      </c>
      <c r="H770" s="16">
        <f>E770*F770</f>
        <v>71000</v>
      </c>
      <c r="I770" s="16">
        <f>E770*G770</f>
        <v>120000</v>
      </c>
      <c r="J770" s="16">
        <f>I770-H770</f>
        <v>49000</v>
      </c>
      <c r="K770" s="16" t="str">
        <f>VLOOKUP(C770,[1]master_data!$A$2:$E$495,5,FALSE)</f>
        <v>Aksesoris</v>
      </c>
      <c r="L770" s="1"/>
    </row>
    <row r="771" spans="1:12" ht="12" customHeight="1" x14ac:dyDescent="0.25">
      <c r="A771" s="15">
        <v>45184</v>
      </c>
      <c r="B771" s="16">
        <v>22301739</v>
      </c>
      <c r="C771" s="16" t="s">
        <v>7</v>
      </c>
      <c r="D771" s="16" t="str">
        <f>VLOOKUP(C771,[1]master_data!$A$2:$E$495,2,FALSE)</f>
        <v>MESIN YANG 1600</v>
      </c>
      <c r="E771" s="16">
        <v>6</v>
      </c>
      <c r="F771" s="16">
        <f>VLOOKUP(C771,[1]master_data!$A$2:$E$495,3,FALSE)</f>
        <v>64000</v>
      </c>
      <c r="G771" s="16">
        <f>VLOOKUP(C771,[1]master_data!$A$2:$E$495,4,FALSE)</f>
        <v>90000</v>
      </c>
      <c r="H771" s="16">
        <f>E771*F771</f>
        <v>384000</v>
      </c>
      <c r="I771" s="16">
        <f>E771*G771</f>
        <v>540000</v>
      </c>
      <c r="J771" s="16">
        <f>I771-H771</f>
        <v>156000</v>
      </c>
      <c r="K771" s="16" t="str">
        <f>VLOOKUP(C771,[1]master_data!$A$2:$E$495,5,FALSE)</f>
        <v>Aksesoris</v>
      </c>
      <c r="L771" s="1"/>
    </row>
    <row r="772" spans="1:12" ht="12" customHeight="1" x14ac:dyDescent="0.25">
      <c r="A772" s="15">
        <v>45184</v>
      </c>
      <c r="B772" s="16">
        <v>22301740</v>
      </c>
      <c r="C772" s="16" t="s">
        <v>270</v>
      </c>
      <c r="D772" s="16" t="str">
        <f>VLOOKUP(C772,[1]master_data!$A$2:$E$495,2,FALSE)</f>
        <v>HEATER KACA 75 W</v>
      </c>
      <c r="E772" s="16">
        <v>1</v>
      </c>
      <c r="F772" s="16">
        <f>VLOOKUP(C772,[1]master_data!$A$2:$E$495,3,FALSE)</f>
        <v>33000</v>
      </c>
      <c r="G772" s="16">
        <f>VLOOKUP(C772,[1]master_data!$A$2:$E$495,4,FALSE)</f>
        <v>50000</v>
      </c>
      <c r="H772" s="16">
        <f>E772*F772</f>
        <v>33000</v>
      </c>
      <c r="I772" s="16">
        <f>E772*G772</f>
        <v>50000</v>
      </c>
      <c r="J772" s="16">
        <f>I772-H772</f>
        <v>17000</v>
      </c>
      <c r="K772" s="16" t="str">
        <f>VLOOKUP(C772,[1]master_data!$A$2:$E$495,5,FALSE)</f>
        <v>Aksesoris</v>
      </c>
      <c r="L772" s="1"/>
    </row>
    <row r="773" spans="1:12" ht="12" customHeight="1" x14ac:dyDescent="0.25">
      <c r="A773" s="15">
        <v>45183</v>
      </c>
      <c r="B773" s="16">
        <v>22301724</v>
      </c>
      <c r="C773" s="16" t="s">
        <v>112</v>
      </c>
      <c r="D773" s="16" t="str">
        <f>VLOOKUP(C773,[1]master_data!$A$2:$E$495,2,FALSE)</f>
        <v>AIRATOR VOSSO LUB 1</v>
      </c>
      <c r="E773" s="16">
        <v>1</v>
      </c>
      <c r="F773" s="16">
        <f>VLOOKUP(C773,[1]master_data!$A$2:$E$495,3,FALSE)</f>
        <v>16000</v>
      </c>
      <c r="G773" s="16">
        <f>VLOOKUP(C773,[1]master_data!$A$2:$E$495,4,FALSE)</f>
        <v>25000</v>
      </c>
      <c r="H773" s="16">
        <f>E773*F773</f>
        <v>16000</v>
      </c>
      <c r="I773" s="16">
        <f>E773*G773</f>
        <v>25000</v>
      </c>
      <c r="J773" s="16">
        <f>I773-H773</f>
        <v>9000</v>
      </c>
      <c r="K773" s="16" t="str">
        <f>VLOOKUP(C773,[1]master_data!$A$2:$E$495,5,FALSE)</f>
        <v>Aksesoris</v>
      </c>
      <c r="L773" s="1"/>
    </row>
    <row r="774" spans="1:12" ht="12" customHeight="1" x14ac:dyDescent="0.25">
      <c r="A774" s="15">
        <v>45183</v>
      </c>
      <c r="B774" s="16">
        <v>22301725</v>
      </c>
      <c r="C774" s="16" t="s">
        <v>162</v>
      </c>
      <c r="D774" s="16" t="str">
        <f>VLOOKUP(C774,[1]master_data!$A$2:$E$495,2,FALSE)</f>
        <v>LED KANDILA VIBRANT 50 CM</v>
      </c>
      <c r="E774" s="16">
        <v>1</v>
      </c>
      <c r="F774" s="16">
        <f>VLOOKUP(C774,[1]master_data!$A$2:$E$495,3,FALSE)</f>
        <v>110000</v>
      </c>
      <c r="G774" s="16">
        <f>VLOOKUP(C774,[1]master_data!$A$2:$E$495,4,FALSE)</f>
        <v>135000</v>
      </c>
      <c r="H774" s="16">
        <f>E774*F774</f>
        <v>110000</v>
      </c>
      <c r="I774" s="16">
        <f>E774*G774</f>
        <v>135000</v>
      </c>
      <c r="J774" s="16">
        <f>I774-H774</f>
        <v>25000</v>
      </c>
      <c r="K774" s="16" t="str">
        <f>VLOOKUP(C774,[1]master_data!$A$2:$E$495,5,FALSE)</f>
        <v>Aksesoris</v>
      </c>
      <c r="L774" s="1"/>
    </row>
    <row r="775" spans="1:12" ht="12" customHeight="1" x14ac:dyDescent="0.25">
      <c r="A775" s="15">
        <v>45183</v>
      </c>
      <c r="B775" s="16">
        <v>22301726</v>
      </c>
      <c r="C775" s="16" t="s">
        <v>161</v>
      </c>
      <c r="D775" s="16" t="str">
        <f>VLOOKUP(C775,[1]master_data!$A$2:$E$495,2,FALSE)</f>
        <v>LED KANDILA PRO RED 100 CM</v>
      </c>
      <c r="E775" s="16">
        <v>2</v>
      </c>
      <c r="F775" s="16">
        <f>VLOOKUP(C775,[1]master_data!$A$2:$E$495,3,FALSE)</f>
        <v>225000</v>
      </c>
      <c r="G775" s="16">
        <f>VLOOKUP(C775,[1]master_data!$A$2:$E$495,4,FALSE)</f>
        <v>270000</v>
      </c>
      <c r="H775" s="16">
        <f>E775*F775</f>
        <v>450000</v>
      </c>
      <c r="I775" s="16">
        <f>E775*G775</f>
        <v>540000</v>
      </c>
      <c r="J775" s="16">
        <f>I775-H775</f>
        <v>90000</v>
      </c>
      <c r="K775" s="16" t="str">
        <f>VLOOKUP(C775,[1]master_data!$A$2:$E$495,5,FALSE)</f>
        <v>Aksesoris</v>
      </c>
      <c r="L775" s="1"/>
    </row>
    <row r="776" spans="1:12" ht="12" customHeight="1" x14ac:dyDescent="0.25">
      <c r="A776" s="15">
        <v>45183</v>
      </c>
      <c r="B776" s="16">
        <v>22301727</v>
      </c>
      <c r="C776" s="16" t="s">
        <v>403</v>
      </c>
      <c r="D776" s="16" t="str">
        <f>VLOOKUP(C776,[1]master_data!$A$2:$E$495,2,FALSE)</f>
        <v>KOMET BOKIM</v>
      </c>
      <c r="E776" s="16">
        <v>30</v>
      </c>
      <c r="F776" s="16">
        <f>VLOOKUP(C776,[1]master_data!$A$2:$E$495,3,FALSE)</f>
        <v>1500</v>
      </c>
      <c r="G776" s="16">
        <f>VLOOKUP(C776,[1]master_data!$A$2:$E$495,4,FALSE)</f>
        <v>5000</v>
      </c>
      <c r="H776" s="16">
        <f>E776*F776</f>
        <v>45000</v>
      </c>
      <c r="I776" s="16">
        <f>E776*G776</f>
        <v>150000</v>
      </c>
      <c r="J776" s="16">
        <f>I776-H776</f>
        <v>105000</v>
      </c>
      <c r="K776" s="16" t="str">
        <f>VLOOKUP(C776,[1]master_data!$A$2:$E$495,5,FALSE)</f>
        <v>Ikan</v>
      </c>
      <c r="L776" s="1"/>
    </row>
    <row r="777" spans="1:12" ht="12" customHeight="1" x14ac:dyDescent="0.25">
      <c r="A777" s="15">
        <v>45183</v>
      </c>
      <c r="B777" s="16">
        <v>22301728</v>
      </c>
      <c r="C777" s="16" t="s">
        <v>254</v>
      </c>
      <c r="D777" s="16" t="str">
        <f>VLOOKUP(C777,[1]master_data!$A$2:$E$495,2,FALSE)</f>
        <v>BACKGROUND</v>
      </c>
      <c r="E777" s="16">
        <v>10</v>
      </c>
      <c r="F777" s="16">
        <f>VLOOKUP(C777,[1]master_data!$A$2:$E$495,3,FALSE)</f>
        <v>8000</v>
      </c>
      <c r="G777" s="16">
        <f>VLOOKUP(C777,[1]master_data!$A$2:$E$495,4,FALSE)</f>
        <v>15000</v>
      </c>
      <c r="H777" s="16">
        <f>E777*F777</f>
        <v>80000</v>
      </c>
      <c r="I777" s="16">
        <f>E777*G777</f>
        <v>150000</v>
      </c>
      <c r="J777" s="16">
        <f>I777-H777</f>
        <v>70000</v>
      </c>
      <c r="K777" s="16" t="str">
        <f>VLOOKUP(C777,[1]master_data!$A$2:$E$495,5,FALSE)</f>
        <v>Aksesoris</v>
      </c>
      <c r="L777" s="1"/>
    </row>
    <row r="778" spans="1:12" ht="12" customHeight="1" x14ac:dyDescent="0.25">
      <c r="A778" s="15">
        <v>45183</v>
      </c>
      <c r="B778" s="16">
        <v>22301729</v>
      </c>
      <c r="C778" s="16" t="s">
        <v>428</v>
      </c>
      <c r="D778" s="16" t="str">
        <f>VLOOKUP(C778,[1]master_data!$A$2:$E$495,2,FALSE)</f>
        <v>MANFISH K</v>
      </c>
      <c r="E778" s="16">
        <v>20</v>
      </c>
      <c r="F778" s="16">
        <f>VLOOKUP(C778,[1]master_data!$A$2:$E$495,3,FALSE)</f>
        <v>2000</v>
      </c>
      <c r="G778" s="16">
        <f>VLOOKUP(C778,[1]master_data!$A$2:$E$495,4,FALSE)</f>
        <v>5000</v>
      </c>
      <c r="H778" s="16">
        <f>E778*F778</f>
        <v>40000</v>
      </c>
      <c r="I778" s="16">
        <f>E778*G778</f>
        <v>100000</v>
      </c>
      <c r="J778" s="16">
        <f>I778-H778</f>
        <v>60000</v>
      </c>
      <c r="K778" s="16" t="str">
        <f>VLOOKUP(C778,[1]master_data!$A$2:$E$495,5,FALSE)</f>
        <v>Ikan</v>
      </c>
      <c r="L778" s="1"/>
    </row>
    <row r="779" spans="1:12" ht="12" customHeight="1" x14ac:dyDescent="0.25">
      <c r="A779" s="15">
        <v>45183</v>
      </c>
      <c r="B779" s="16">
        <v>22301730</v>
      </c>
      <c r="C779" s="16" t="s">
        <v>453</v>
      </c>
      <c r="D779" s="16" t="str">
        <f>VLOOKUP(C779,[1]master_data!$A$2:$E$495,2,FALSE)</f>
        <v>TETRA</v>
      </c>
      <c r="E779" s="16">
        <v>30</v>
      </c>
      <c r="F779" s="16">
        <f>VLOOKUP(C779,[1]master_data!$A$2:$E$495,3,FALSE)</f>
        <v>800</v>
      </c>
      <c r="G779" s="16">
        <f>VLOOKUP(C779,[1]master_data!$A$2:$E$495,4,FALSE)</f>
        <v>2000</v>
      </c>
      <c r="H779" s="16">
        <f>E779*F779</f>
        <v>24000</v>
      </c>
      <c r="I779" s="16">
        <f>E779*G779</f>
        <v>60000</v>
      </c>
      <c r="J779" s="16">
        <f>I779-H779</f>
        <v>36000</v>
      </c>
      <c r="K779" s="16" t="str">
        <f>VLOOKUP(C779,[1]master_data!$A$2:$E$495,5,FALSE)</f>
        <v>Ikan</v>
      </c>
      <c r="L779" s="1"/>
    </row>
    <row r="780" spans="1:12" ht="12" customHeight="1" x14ac:dyDescent="0.25">
      <c r="A780" s="15">
        <v>45183</v>
      </c>
      <c r="B780" s="16">
        <v>22301731</v>
      </c>
      <c r="C780" s="16" t="s">
        <v>427</v>
      </c>
      <c r="D780" s="16" t="str">
        <f>VLOOKUP(C780,[1]master_data!$A$2:$E$495,2,FALSE)</f>
        <v>LOUHAN SUPER</v>
      </c>
      <c r="E780" s="16">
        <v>1</v>
      </c>
      <c r="F780" s="16">
        <f>VLOOKUP(C780,[1]master_data!$A$2:$E$495,3,FALSE)</f>
        <v>300000</v>
      </c>
      <c r="G780" s="16">
        <f>VLOOKUP(C780,[1]master_data!$A$2:$E$495,4,FALSE)</f>
        <v>500000</v>
      </c>
      <c r="H780" s="16">
        <f>E780*F780</f>
        <v>300000</v>
      </c>
      <c r="I780" s="16">
        <f>E780*G780</f>
        <v>500000</v>
      </c>
      <c r="J780" s="16">
        <f>I780-H780</f>
        <v>200000</v>
      </c>
      <c r="K780" s="16" t="str">
        <f>VLOOKUP(C780,[1]master_data!$A$2:$E$495,5,FALSE)</f>
        <v>Ikan</v>
      </c>
      <c r="L780" s="1"/>
    </row>
    <row r="781" spans="1:12" ht="12" customHeight="1" x14ac:dyDescent="0.25">
      <c r="A781" s="15">
        <v>45182</v>
      </c>
      <c r="B781" s="16">
        <v>22301712</v>
      </c>
      <c r="C781" s="16" t="s">
        <v>244</v>
      </c>
      <c r="D781" s="16" t="str">
        <f>VLOOKUP(C781,[1]master_data!$A$2:$E$495,2,FALSE)</f>
        <v>MATLINE BLUE</v>
      </c>
      <c r="E781" s="16">
        <v>30</v>
      </c>
      <c r="F781" s="16">
        <f>VLOOKUP(C781,[1]master_data!$A$2:$E$495,3,FALSE)</f>
        <v>7000</v>
      </c>
      <c r="G781" s="16">
        <f>VLOOKUP(C781,[1]master_data!$A$2:$E$495,4,FALSE)</f>
        <v>10000</v>
      </c>
      <c r="H781" s="16">
        <f>E781*F781</f>
        <v>210000</v>
      </c>
      <c r="I781" s="16">
        <f>E781*G781</f>
        <v>300000</v>
      </c>
      <c r="J781" s="16">
        <f>I781-H781</f>
        <v>90000</v>
      </c>
      <c r="K781" s="16" t="str">
        <f>VLOOKUP(C781,[1]master_data!$A$2:$E$495,5,FALSE)</f>
        <v>Aksesoris</v>
      </c>
      <c r="L781" s="1"/>
    </row>
    <row r="782" spans="1:12" ht="12" customHeight="1" x14ac:dyDescent="0.25">
      <c r="A782" s="15">
        <v>45182</v>
      </c>
      <c r="B782" s="16">
        <v>22301713</v>
      </c>
      <c r="C782" s="16" t="s">
        <v>410</v>
      </c>
      <c r="D782" s="16" t="str">
        <f>VLOOKUP(C782,[1]master_data!$A$2:$E$495,2,FALSE)</f>
        <v>HIU TAWAR</v>
      </c>
      <c r="E782" s="16">
        <v>30</v>
      </c>
      <c r="F782" s="16">
        <f>VLOOKUP(C782,[1]master_data!$A$2:$E$495,3,FALSE)</f>
        <v>600</v>
      </c>
      <c r="G782" s="16">
        <f>VLOOKUP(C782,[1]master_data!$A$2:$E$495,4,FALSE)</f>
        <v>2000</v>
      </c>
      <c r="H782" s="16">
        <f>E782*F782</f>
        <v>18000</v>
      </c>
      <c r="I782" s="16">
        <f>E782*G782</f>
        <v>60000</v>
      </c>
      <c r="J782" s="16">
        <f>I782-H782</f>
        <v>42000</v>
      </c>
      <c r="K782" s="16" t="str">
        <f>VLOOKUP(C782,[1]master_data!$A$2:$E$495,5,FALSE)</f>
        <v>Ikan</v>
      </c>
      <c r="L782" s="1"/>
    </row>
    <row r="783" spans="1:12" ht="12" customHeight="1" x14ac:dyDescent="0.25">
      <c r="A783" s="15">
        <v>45182</v>
      </c>
      <c r="B783" s="16">
        <v>22301714</v>
      </c>
      <c r="C783" s="16" t="s">
        <v>429</v>
      </c>
      <c r="D783" s="16" t="str">
        <f>VLOOKUP(C783,[1]master_data!$A$2:$E$495,2,FALSE)</f>
        <v>MANFISH B</v>
      </c>
      <c r="E783" s="16">
        <v>20</v>
      </c>
      <c r="F783" s="16">
        <f>VLOOKUP(C783,[1]master_data!$A$2:$E$495,3,FALSE)</f>
        <v>4000</v>
      </c>
      <c r="G783" s="16">
        <f>VLOOKUP(C783,[1]master_data!$A$2:$E$495,4,FALSE)</f>
        <v>10000</v>
      </c>
      <c r="H783" s="16">
        <f>E783*F783</f>
        <v>80000</v>
      </c>
      <c r="I783" s="16">
        <f>E783*G783</f>
        <v>200000</v>
      </c>
      <c r="J783" s="16">
        <f>I783-H783</f>
        <v>120000</v>
      </c>
      <c r="K783" s="16" t="str">
        <f>VLOOKUP(C783,[1]master_data!$A$2:$E$495,5,FALSE)</f>
        <v>Ikan</v>
      </c>
      <c r="L783" s="1"/>
    </row>
    <row r="784" spans="1:12" ht="12" customHeight="1" x14ac:dyDescent="0.25">
      <c r="A784" s="15">
        <v>45182</v>
      </c>
      <c r="B784" s="16">
        <v>22301715</v>
      </c>
      <c r="C784" s="16" t="s">
        <v>294</v>
      </c>
      <c r="D784" s="16" t="str">
        <f>VLOOKUP(C784,[1]master_data!$A$2:$E$495,2,FALSE)</f>
        <v>LEM SEALANT</v>
      </c>
      <c r="E784" s="16">
        <v>15</v>
      </c>
      <c r="F784" s="16">
        <f>VLOOKUP(C784,[1]master_data!$A$2:$E$495,3,FALSE)</f>
        <v>7000</v>
      </c>
      <c r="G784" s="16">
        <f>VLOOKUP(C784,[1]master_data!$A$2:$E$495,4,FALSE)</f>
        <v>10000</v>
      </c>
      <c r="H784" s="16">
        <f>E784*F784</f>
        <v>105000</v>
      </c>
      <c r="I784" s="16">
        <f>E784*G784</f>
        <v>150000</v>
      </c>
      <c r="J784" s="16">
        <f>I784-H784</f>
        <v>45000</v>
      </c>
      <c r="K784" s="16" t="str">
        <f>VLOOKUP(C784,[1]master_data!$A$2:$E$495,5,FALSE)</f>
        <v>Aksesoris</v>
      </c>
      <c r="L784" s="1"/>
    </row>
    <row r="785" spans="1:12" ht="12" customHeight="1" x14ac:dyDescent="0.25">
      <c r="A785" s="15">
        <v>45182</v>
      </c>
      <c r="B785" s="16">
        <v>22301716</v>
      </c>
      <c r="C785" s="16" t="s">
        <v>299</v>
      </c>
      <c r="D785" s="16" t="str">
        <f>VLOOKUP(C785,[1]master_data!$A$2:$E$495,2,FALSE)</f>
        <v>MAINAN ANGEL SIMON</v>
      </c>
      <c r="E785" s="16">
        <v>5</v>
      </c>
      <c r="F785" s="16">
        <f>VLOOKUP(C785,[1]master_data!$A$2:$E$495,3,FALSE)</f>
        <v>9000</v>
      </c>
      <c r="G785" s="16">
        <f>VLOOKUP(C785,[1]master_data!$A$2:$E$495,4,FALSE)</f>
        <v>18000</v>
      </c>
      <c r="H785" s="16">
        <f>E785*F785</f>
        <v>45000</v>
      </c>
      <c r="I785" s="16">
        <f>E785*G785</f>
        <v>90000</v>
      </c>
      <c r="J785" s="16">
        <f>I785-H785</f>
        <v>45000</v>
      </c>
      <c r="K785" s="16" t="str">
        <f>VLOOKUP(C785,[1]master_data!$A$2:$E$495,5,FALSE)</f>
        <v>Aksesoris</v>
      </c>
      <c r="L785" s="1"/>
    </row>
    <row r="786" spans="1:12" ht="12" customHeight="1" x14ac:dyDescent="0.25">
      <c r="A786" s="15">
        <v>45182</v>
      </c>
      <c r="B786" s="16">
        <v>22301717</v>
      </c>
      <c r="C786" s="16" t="s">
        <v>218</v>
      </c>
      <c r="D786" s="16" t="str">
        <f>VLOOKUP(C786,[1]master_data!$A$2:$E$495,2,FALSE)</f>
        <v>HIRO COLOUR</v>
      </c>
      <c r="E786" s="16">
        <v>5</v>
      </c>
      <c r="F786" s="16">
        <f>VLOOKUP(C786,[1]master_data!$A$2:$E$495,3,FALSE)</f>
        <v>72000</v>
      </c>
      <c r="G786" s="16">
        <f>VLOOKUP(C786,[1]master_data!$A$2:$E$495,4,FALSE)</f>
        <v>80000</v>
      </c>
      <c r="H786" s="16">
        <f>E786*F786</f>
        <v>360000</v>
      </c>
      <c r="I786" s="16">
        <f>E786*G786</f>
        <v>400000</v>
      </c>
      <c r="J786" s="16">
        <f>I786-H786</f>
        <v>40000</v>
      </c>
      <c r="K786" s="16" t="str">
        <f>VLOOKUP(C786,[1]master_data!$A$2:$E$495,5,FALSE)</f>
        <v>Aksesoris</v>
      </c>
      <c r="L786" s="1"/>
    </row>
    <row r="787" spans="1:12" ht="12" customHeight="1" x14ac:dyDescent="0.25">
      <c r="A787" s="15">
        <v>45182</v>
      </c>
      <c r="B787" s="16">
        <v>22301718</v>
      </c>
      <c r="C787" s="16" t="s">
        <v>315</v>
      </c>
      <c r="D787" s="16" t="str">
        <f>VLOOKUP(C787,[1]master_data!$A$2:$E$495,2,FALSE)</f>
        <v>LURUS SELANG</v>
      </c>
      <c r="E787" s="16">
        <v>10</v>
      </c>
      <c r="F787" s="16">
        <f>VLOOKUP(C787,[1]master_data!$A$2:$E$495,3,FALSE)</f>
        <v>750</v>
      </c>
      <c r="G787" s="16">
        <f>VLOOKUP(C787,[1]master_data!$A$2:$E$495,4,FALSE)</f>
        <v>1500</v>
      </c>
      <c r="H787" s="16">
        <f>E787*F787</f>
        <v>7500</v>
      </c>
      <c r="I787" s="16">
        <f>E787*G787</f>
        <v>15000</v>
      </c>
      <c r="J787" s="16">
        <f>I787-H787</f>
        <v>7500</v>
      </c>
      <c r="K787" s="16" t="str">
        <f>VLOOKUP(C787,[1]master_data!$A$2:$E$495,5,FALSE)</f>
        <v>Aksesoris</v>
      </c>
      <c r="L787" s="1"/>
    </row>
    <row r="788" spans="1:12" ht="12" customHeight="1" x14ac:dyDescent="0.25">
      <c r="A788" s="15">
        <v>45182</v>
      </c>
      <c r="B788" s="16">
        <v>22301719</v>
      </c>
      <c r="C788" s="16" t="s">
        <v>457</v>
      </c>
      <c r="D788" s="16" t="str">
        <f>VLOOKUP(C788,[1]master_data!$A$2:$E$495,2,FALSE)</f>
        <v>ZEBRA UNGU</v>
      </c>
      <c r="E788" s="16">
        <v>10</v>
      </c>
      <c r="F788" s="16">
        <f>VLOOKUP(C788,[1]master_data!$A$2:$E$495,3,FALSE)</f>
        <v>800</v>
      </c>
      <c r="G788" s="16">
        <f>VLOOKUP(C788,[1]master_data!$A$2:$E$495,4,FALSE)</f>
        <v>2000</v>
      </c>
      <c r="H788" s="16">
        <f>E788*F788</f>
        <v>8000</v>
      </c>
      <c r="I788" s="16">
        <f>E788*G788</f>
        <v>20000</v>
      </c>
      <c r="J788" s="16">
        <f>I788-H788</f>
        <v>12000</v>
      </c>
      <c r="K788" s="16" t="str">
        <f>VLOOKUP(C788,[1]master_data!$A$2:$E$495,5,FALSE)</f>
        <v>Ikan</v>
      </c>
      <c r="L788" s="1"/>
    </row>
    <row r="789" spans="1:12" ht="12" customHeight="1" x14ac:dyDescent="0.25">
      <c r="A789" s="15">
        <v>45182</v>
      </c>
      <c r="B789" s="16">
        <v>22301720</v>
      </c>
      <c r="C789" s="16" t="s">
        <v>401</v>
      </c>
      <c r="D789" s="16" t="str">
        <f>VLOOKUP(C789,[1]master_data!$A$2:$E$495,2,FALSE)</f>
        <v>CHANNA BLUE PULCHRA K</v>
      </c>
      <c r="E789" s="16">
        <v>2</v>
      </c>
      <c r="F789" s="16">
        <f>VLOOKUP(C789,[1]master_data!$A$2:$E$495,3,FALSE)</f>
        <v>25000</v>
      </c>
      <c r="G789" s="16">
        <f>VLOOKUP(C789,[1]master_data!$A$2:$E$495,4,FALSE)</f>
        <v>50000</v>
      </c>
      <c r="H789" s="16">
        <f>E789*F789</f>
        <v>50000</v>
      </c>
      <c r="I789" s="16">
        <f>E789*G789</f>
        <v>100000</v>
      </c>
      <c r="J789" s="16">
        <f>I789-H789</f>
        <v>50000</v>
      </c>
      <c r="K789" s="16" t="str">
        <f>VLOOKUP(C789,[1]master_data!$A$2:$E$495,5,FALSE)</f>
        <v>Ikan</v>
      </c>
      <c r="L789" s="1"/>
    </row>
    <row r="790" spans="1:12" ht="12" customHeight="1" x14ac:dyDescent="0.25">
      <c r="A790" s="15">
        <v>45182</v>
      </c>
      <c r="B790" s="16">
        <v>22301721</v>
      </c>
      <c r="C790" s="16" t="s">
        <v>121</v>
      </c>
      <c r="D790" s="16" t="str">
        <f>VLOOKUP(C790,[1]master_data!$A$2:$E$495,2,FALSE)</f>
        <v>LED KIYOSAKI 3 MODE 40 CM</v>
      </c>
      <c r="E790" s="16">
        <v>1</v>
      </c>
      <c r="F790" s="16">
        <f>VLOOKUP(C790,[1]master_data!$A$2:$E$495,3,FALSE)</f>
        <v>32000</v>
      </c>
      <c r="G790" s="16">
        <f>VLOOKUP(C790,[1]master_data!$A$2:$E$495,4,FALSE)</f>
        <v>55000</v>
      </c>
      <c r="H790" s="16">
        <f>E790*F790</f>
        <v>32000</v>
      </c>
      <c r="I790" s="16">
        <f>E790*G790</f>
        <v>55000</v>
      </c>
      <c r="J790" s="16">
        <f>I790-H790</f>
        <v>23000</v>
      </c>
      <c r="K790" s="16" t="str">
        <f>VLOOKUP(C790,[1]master_data!$A$2:$E$495,5,FALSE)</f>
        <v>Aksesoris</v>
      </c>
      <c r="L790" s="1"/>
    </row>
    <row r="791" spans="1:12" ht="12" customHeight="1" x14ac:dyDescent="0.25">
      <c r="A791" s="15">
        <v>45182</v>
      </c>
      <c r="B791" s="16">
        <v>22301722</v>
      </c>
      <c r="C791" s="16" t="s">
        <v>343</v>
      </c>
      <c r="D791" s="16" t="str">
        <f>VLOOKUP(C791,[1]master_data!$A$2:$E$495,2,FALSE)</f>
        <v>KRAN 5 W</v>
      </c>
      <c r="E791" s="16">
        <v>5</v>
      </c>
      <c r="F791" s="16">
        <f>VLOOKUP(C791,[1]master_data!$A$2:$E$495,3,FALSE)</f>
        <v>10000</v>
      </c>
      <c r="G791" s="16">
        <f>VLOOKUP(C791,[1]master_data!$A$2:$E$495,4,FALSE)</f>
        <v>15000</v>
      </c>
      <c r="H791" s="16">
        <f>E791*F791</f>
        <v>50000</v>
      </c>
      <c r="I791" s="16">
        <f>E791*G791</f>
        <v>75000</v>
      </c>
      <c r="J791" s="16">
        <f>I791-H791</f>
        <v>25000</v>
      </c>
      <c r="K791" s="16" t="str">
        <f>VLOOKUP(C791,[1]master_data!$A$2:$E$495,5,FALSE)</f>
        <v>Aksesoris</v>
      </c>
      <c r="L791" s="1"/>
    </row>
    <row r="792" spans="1:12" ht="12" customHeight="1" x14ac:dyDescent="0.25">
      <c r="A792" s="15">
        <v>45182</v>
      </c>
      <c r="B792" s="16">
        <v>22301723</v>
      </c>
      <c r="C792" s="16" t="s">
        <v>327</v>
      </c>
      <c r="D792" s="16" t="str">
        <f>VLOOKUP(C792,[1]master_data!$A$2:$E$495,2,FALSE)</f>
        <v>AIRSTONE K</v>
      </c>
      <c r="E792" s="16">
        <v>25</v>
      </c>
      <c r="F792" s="16">
        <f>VLOOKUP(C792,[1]master_data!$A$2:$E$495,3,FALSE)</f>
        <v>850</v>
      </c>
      <c r="G792" s="16">
        <f>VLOOKUP(C792,[1]master_data!$A$2:$E$495,4,FALSE)</f>
        <v>3000</v>
      </c>
      <c r="H792" s="16">
        <f>E792*F792</f>
        <v>21250</v>
      </c>
      <c r="I792" s="16">
        <f>E792*G792</f>
        <v>75000</v>
      </c>
      <c r="J792" s="16">
        <f>I792-H792</f>
        <v>53750</v>
      </c>
      <c r="K792" s="16" t="str">
        <f>VLOOKUP(C792,[1]master_data!$A$2:$E$495,5,FALSE)</f>
        <v>Aksesoris</v>
      </c>
      <c r="L792" s="1"/>
    </row>
    <row r="793" spans="1:12" ht="12" customHeight="1" x14ac:dyDescent="0.25">
      <c r="A793" s="15">
        <v>45181</v>
      </c>
      <c r="B793" s="16">
        <v>22301703</v>
      </c>
      <c r="C793" s="16" t="s">
        <v>214</v>
      </c>
      <c r="D793" s="16" t="str">
        <f>VLOOKUP(C793,[1]master_data!$A$2:$E$495,2,FALSE)</f>
        <v>HOKKY LOUHAN COLOUR</v>
      </c>
      <c r="E793" s="16">
        <v>2</v>
      </c>
      <c r="F793" s="16">
        <f>VLOOKUP(C793,[1]master_data!$A$2:$E$495,3,FALSE)</f>
        <v>18000</v>
      </c>
      <c r="G793" s="16">
        <f>VLOOKUP(C793,[1]master_data!$A$2:$E$495,4,FALSE)</f>
        <v>25000</v>
      </c>
      <c r="H793" s="16">
        <f>E793*F793</f>
        <v>36000</v>
      </c>
      <c r="I793" s="16">
        <f>E793*G793</f>
        <v>50000</v>
      </c>
      <c r="J793" s="16">
        <f>I793-H793</f>
        <v>14000</v>
      </c>
      <c r="K793" s="16" t="str">
        <f>VLOOKUP(C793,[1]master_data!$A$2:$E$495,5,FALSE)</f>
        <v>Aksesoris</v>
      </c>
      <c r="L793" s="1"/>
    </row>
    <row r="794" spans="1:12" ht="12" customHeight="1" x14ac:dyDescent="0.25">
      <c r="A794" s="15">
        <v>45181</v>
      </c>
      <c r="B794" s="16">
        <v>22301704</v>
      </c>
      <c r="C794" s="16" t="s">
        <v>55</v>
      </c>
      <c r="D794" s="16" t="str">
        <f>VLOOKUP(C794,[1]master_data!$A$2:$E$495,2,FALSE)</f>
        <v>MESIN RECENT 203</v>
      </c>
      <c r="E794" s="16">
        <v>2</v>
      </c>
      <c r="F794" s="16">
        <f>VLOOKUP(C794,[1]master_data!$A$2:$E$495,3,FALSE)</f>
        <v>43500</v>
      </c>
      <c r="G794" s="16">
        <f>VLOOKUP(C794,[1]master_data!$A$2:$E$495,4,FALSE)</f>
        <v>70000</v>
      </c>
      <c r="H794" s="16">
        <f>E794*F794</f>
        <v>87000</v>
      </c>
      <c r="I794" s="16">
        <f>E794*G794</f>
        <v>140000</v>
      </c>
      <c r="J794" s="16">
        <f>I794-H794</f>
        <v>53000</v>
      </c>
      <c r="K794" s="16" t="str">
        <f>VLOOKUP(C794,[1]master_data!$A$2:$E$495,5,FALSE)</f>
        <v>Aksesoris</v>
      </c>
      <c r="L794" s="1"/>
    </row>
    <row r="795" spans="1:12" ht="12" customHeight="1" x14ac:dyDescent="0.25">
      <c r="A795" s="15">
        <v>45181</v>
      </c>
      <c r="B795" s="16">
        <v>22301705</v>
      </c>
      <c r="C795" s="16" t="s">
        <v>73</v>
      </c>
      <c r="D795" s="16" t="str">
        <f>VLOOKUP(C795,[1]master_data!$A$2:$E$495,2,FALSE)</f>
        <v>TOP FILTER HAILONG 650</v>
      </c>
      <c r="E795" s="16">
        <v>10</v>
      </c>
      <c r="F795" s="16">
        <f>VLOOKUP(C795,[1]master_data!$A$2:$E$495,3,FALSE)</f>
        <v>41000</v>
      </c>
      <c r="G795" s="16">
        <f>VLOOKUP(C795,[1]master_data!$A$2:$E$495,4,FALSE)</f>
        <v>60000</v>
      </c>
      <c r="H795" s="16">
        <f>E795*F795</f>
        <v>410000</v>
      </c>
      <c r="I795" s="16">
        <f>E795*G795</f>
        <v>600000</v>
      </c>
      <c r="J795" s="16">
        <f>I795-H795</f>
        <v>190000</v>
      </c>
      <c r="K795" s="16" t="str">
        <f>VLOOKUP(C795,[1]master_data!$A$2:$E$495,5,FALSE)</f>
        <v>Aksesoris</v>
      </c>
      <c r="L795" s="1"/>
    </row>
    <row r="796" spans="1:12" ht="12" customHeight="1" x14ac:dyDescent="0.25">
      <c r="A796" s="15">
        <v>45181</v>
      </c>
      <c r="B796" s="16">
        <v>22301706</v>
      </c>
      <c r="C796" s="16" t="s">
        <v>443</v>
      </c>
      <c r="D796" s="16" t="str">
        <f>VLOOKUP(C796,[1]master_data!$A$2:$E$495,2,FALSE)</f>
        <v>PESO</v>
      </c>
      <c r="E796" s="16">
        <v>5</v>
      </c>
      <c r="F796" s="16">
        <f>VLOOKUP(C796,[1]master_data!$A$2:$E$495,3,FALSE)</f>
        <v>19000</v>
      </c>
      <c r="G796" s="16">
        <f>VLOOKUP(C796,[1]master_data!$A$2:$E$495,4,FALSE)</f>
        <v>40000</v>
      </c>
      <c r="H796" s="16">
        <f>E796*F796</f>
        <v>95000</v>
      </c>
      <c r="I796" s="16">
        <f>E796*G796</f>
        <v>200000</v>
      </c>
      <c r="J796" s="16">
        <f>I796-H796</f>
        <v>105000</v>
      </c>
      <c r="K796" s="16" t="str">
        <f>VLOOKUP(C796,[1]master_data!$A$2:$E$495,5,FALSE)</f>
        <v>Ikan</v>
      </c>
      <c r="L796" s="1"/>
    </row>
    <row r="797" spans="1:12" ht="12" customHeight="1" x14ac:dyDescent="0.25">
      <c r="A797" s="15">
        <v>45181</v>
      </c>
      <c r="B797" s="16">
        <v>22301707</v>
      </c>
      <c r="C797" s="16" t="s">
        <v>388</v>
      </c>
      <c r="D797" s="16" t="str">
        <f>VLOOKUP(C797,[1]master_data!$A$2:$E$495,2,FALSE)</f>
        <v>CHANNA ASIATICA K</v>
      </c>
      <c r="E797" s="16">
        <v>5</v>
      </c>
      <c r="F797" s="16">
        <f>VLOOKUP(C797,[1]master_data!$A$2:$E$495,3,FALSE)</f>
        <v>10000</v>
      </c>
      <c r="G797" s="16">
        <f>VLOOKUP(C797,[1]master_data!$A$2:$E$495,4,FALSE)</f>
        <v>40000</v>
      </c>
      <c r="H797" s="16">
        <f>E797*F797</f>
        <v>50000</v>
      </c>
      <c r="I797" s="16">
        <f>E797*G797</f>
        <v>200000</v>
      </c>
      <c r="J797" s="16">
        <f>I797-H797</f>
        <v>150000</v>
      </c>
      <c r="K797" s="16" t="str">
        <f>VLOOKUP(C797,[1]master_data!$A$2:$E$495,5,FALSE)</f>
        <v>Ikan</v>
      </c>
      <c r="L797" s="1"/>
    </row>
    <row r="798" spans="1:12" ht="12" customHeight="1" x14ac:dyDescent="0.25">
      <c r="A798" s="15">
        <v>45181</v>
      </c>
      <c r="B798" s="16">
        <v>22301708</v>
      </c>
      <c r="C798" s="16" t="s">
        <v>448</v>
      </c>
      <c r="D798" s="16" t="str">
        <f>VLOOKUP(C798,[1]master_data!$A$2:$E$495,2,FALSE)</f>
        <v>SUMATRA BIASA</v>
      </c>
      <c r="E798" s="16">
        <v>10</v>
      </c>
      <c r="F798" s="16">
        <f>VLOOKUP(C798,[1]master_data!$A$2:$E$495,3,FALSE)</f>
        <v>800</v>
      </c>
      <c r="G798" s="16">
        <f>VLOOKUP(C798,[1]master_data!$A$2:$E$495,4,FALSE)</f>
        <v>2000</v>
      </c>
      <c r="H798" s="16">
        <f>E798*F798</f>
        <v>8000</v>
      </c>
      <c r="I798" s="16">
        <f>E798*G798</f>
        <v>20000</v>
      </c>
      <c r="J798" s="16">
        <f>I798-H798</f>
        <v>12000</v>
      </c>
      <c r="K798" s="16" t="str">
        <f>VLOOKUP(C798,[1]master_data!$A$2:$E$495,5,FALSE)</f>
        <v>Ikan</v>
      </c>
      <c r="L798" s="1"/>
    </row>
    <row r="799" spans="1:12" ht="12" customHeight="1" x14ac:dyDescent="0.25">
      <c r="A799" s="15">
        <v>45181</v>
      </c>
      <c r="B799" s="16">
        <v>22301709</v>
      </c>
      <c r="C799" s="16" t="s">
        <v>7</v>
      </c>
      <c r="D799" s="16" t="str">
        <f>VLOOKUP(C799,[1]master_data!$A$2:$E$495,2,FALSE)</f>
        <v>MESIN YANG 1600</v>
      </c>
      <c r="E799" s="16">
        <v>1</v>
      </c>
      <c r="F799" s="16">
        <f>VLOOKUP(C799,[1]master_data!$A$2:$E$495,3,FALSE)</f>
        <v>64000</v>
      </c>
      <c r="G799" s="16">
        <f>VLOOKUP(C799,[1]master_data!$A$2:$E$495,4,FALSE)</f>
        <v>90000</v>
      </c>
      <c r="H799" s="16">
        <f>E799*F799</f>
        <v>64000</v>
      </c>
      <c r="I799" s="16">
        <f>E799*G799</f>
        <v>90000</v>
      </c>
      <c r="J799" s="16">
        <f>I799-H799</f>
        <v>26000</v>
      </c>
      <c r="K799" s="16" t="str">
        <f>VLOOKUP(C799,[1]master_data!$A$2:$E$495,5,FALSE)</f>
        <v>Aksesoris</v>
      </c>
      <c r="L799" s="1"/>
    </row>
    <row r="800" spans="1:12" ht="12" customHeight="1" x14ac:dyDescent="0.25">
      <c r="A800" s="15">
        <v>45181</v>
      </c>
      <c r="B800" s="16">
        <v>22301710</v>
      </c>
      <c r="C800" s="16" t="s">
        <v>436</v>
      </c>
      <c r="D800" s="16" t="str">
        <f>VLOOKUP(C800,[1]master_data!$A$2:$E$495,2,FALSE)</f>
        <v>NENTINEN</v>
      </c>
      <c r="E800" s="16">
        <v>10</v>
      </c>
      <c r="F800" s="16">
        <f>VLOOKUP(C800,[1]master_data!$A$2:$E$495,3,FALSE)</f>
        <v>1000</v>
      </c>
      <c r="G800" s="16">
        <f>VLOOKUP(C800,[1]master_data!$A$2:$E$495,4,FALSE)</f>
        <v>2500</v>
      </c>
      <c r="H800" s="16">
        <f>E800*F800</f>
        <v>10000</v>
      </c>
      <c r="I800" s="16">
        <f>E800*G800</f>
        <v>25000</v>
      </c>
      <c r="J800" s="16">
        <f>I800-H800</f>
        <v>15000</v>
      </c>
      <c r="K800" s="16" t="str">
        <f>VLOOKUP(C800,[1]master_data!$A$2:$E$495,5,FALSE)</f>
        <v>Ikan</v>
      </c>
      <c r="L800" s="1"/>
    </row>
    <row r="801" spans="1:12" ht="12" customHeight="1" x14ac:dyDescent="0.25">
      <c r="A801" s="15">
        <v>45181</v>
      </c>
      <c r="B801" s="16">
        <v>22301711</v>
      </c>
      <c r="C801" s="16" t="s">
        <v>291</v>
      </c>
      <c r="D801" s="16" t="str">
        <f>VLOOKUP(C801,[1]master_data!$A$2:$E$495,2,FALSE)</f>
        <v>MAINAN KODOK</v>
      </c>
      <c r="E801" s="16">
        <v>1</v>
      </c>
      <c r="F801" s="16">
        <f>VLOOKUP(C801,[1]master_data!$A$2:$E$495,3,FALSE)</f>
        <v>11000</v>
      </c>
      <c r="G801" s="16">
        <f>VLOOKUP(C801,[1]master_data!$A$2:$E$495,4,FALSE)</f>
        <v>20000</v>
      </c>
      <c r="H801" s="16">
        <f>E801*F801</f>
        <v>11000</v>
      </c>
      <c r="I801" s="16">
        <f>E801*G801</f>
        <v>20000</v>
      </c>
      <c r="J801" s="16">
        <f>I801-H801</f>
        <v>9000</v>
      </c>
      <c r="K801" s="16" t="str">
        <f>VLOOKUP(C801,[1]master_data!$A$2:$E$495,5,FALSE)</f>
        <v>Aksesoris</v>
      </c>
      <c r="L801" s="1"/>
    </row>
    <row r="802" spans="1:12" ht="12" customHeight="1" x14ac:dyDescent="0.25">
      <c r="A802" s="15">
        <v>45180</v>
      </c>
      <c r="B802" s="16">
        <v>22301695</v>
      </c>
      <c r="C802" s="16" t="s">
        <v>423</v>
      </c>
      <c r="D802" s="16" t="str">
        <f>VLOOKUP(C802,[1]master_data!$A$2:$E$495,2,FALSE)</f>
        <v>CAROLINE</v>
      </c>
      <c r="E802" s="16">
        <v>10</v>
      </c>
      <c r="F802" s="16">
        <f>VLOOKUP(C802,[1]master_data!$A$2:$E$495,3,FALSE)</f>
        <v>900</v>
      </c>
      <c r="G802" s="16">
        <f>VLOOKUP(C802,[1]master_data!$A$2:$E$495,4,FALSE)</f>
        <v>2000</v>
      </c>
      <c r="H802" s="16">
        <f>E802*F802</f>
        <v>9000</v>
      </c>
      <c r="I802" s="16">
        <f>E802*G802</f>
        <v>20000</v>
      </c>
      <c r="J802" s="16">
        <f>I802-H802</f>
        <v>11000</v>
      </c>
      <c r="K802" s="16" t="str">
        <f>VLOOKUP(C802,[1]master_data!$A$2:$E$495,5,FALSE)</f>
        <v>Ikan</v>
      </c>
      <c r="L802" s="1"/>
    </row>
    <row r="803" spans="1:12" ht="12" customHeight="1" x14ac:dyDescent="0.25">
      <c r="A803" s="15">
        <v>45180</v>
      </c>
      <c r="B803" s="16">
        <v>22301696</v>
      </c>
      <c r="C803" s="16" t="s">
        <v>16</v>
      </c>
      <c r="D803" s="16" t="str">
        <f>VLOOKUP(C803,[1]master_data!$A$2:$E$495,2,FALSE)</f>
        <v>HANG ON YANG 502</v>
      </c>
      <c r="E803" s="16">
        <v>2</v>
      </c>
      <c r="F803" s="16">
        <f>VLOOKUP(C803,[1]master_data!$A$2:$E$495,3,FALSE)</f>
        <v>71000</v>
      </c>
      <c r="G803" s="16">
        <f>VLOOKUP(C803,[1]master_data!$A$2:$E$495,4,FALSE)</f>
        <v>95000</v>
      </c>
      <c r="H803" s="16">
        <f>E803*F803</f>
        <v>142000</v>
      </c>
      <c r="I803" s="16">
        <f>E803*G803</f>
        <v>190000</v>
      </c>
      <c r="J803" s="16">
        <f>I803-H803</f>
        <v>48000</v>
      </c>
      <c r="K803" s="16" t="str">
        <f>VLOOKUP(C803,[1]master_data!$A$2:$E$495,5,FALSE)</f>
        <v>Aksesoris</v>
      </c>
      <c r="L803" s="1"/>
    </row>
    <row r="804" spans="1:12" ht="12" customHeight="1" x14ac:dyDescent="0.25">
      <c r="A804" s="15">
        <v>45180</v>
      </c>
      <c r="B804" s="16">
        <v>22301697</v>
      </c>
      <c r="C804" s="16" t="s">
        <v>81</v>
      </c>
      <c r="D804" s="16" t="str">
        <f>VLOOKUP(C804,[1]master_data!$A$2:$E$495,2,FALSE)</f>
        <v>MESIN KIYOSAKI 105B</v>
      </c>
      <c r="E804" s="16">
        <v>1</v>
      </c>
      <c r="F804" s="16">
        <f>VLOOKUP(C804,[1]master_data!$A$2:$E$495,3,FALSE)</f>
        <v>110000</v>
      </c>
      <c r="G804" s="16">
        <f>VLOOKUP(C804,[1]master_data!$A$2:$E$495,4,FALSE)</f>
        <v>160000</v>
      </c>
      <c r="H804" s="16">
        <f>E804*F804</f>
        <v>110000</v>
      </c>
      <c r="I804" s="16">
        <f>E804*G804</f>
        <v>160000</v>
      </c>
      <c r="J804" s="16">
        <f>I804-H804</f>
        <v>50000</v>
      </c>
      <c r="K804" s="16" t="str">
        <f>VLOOKUP(C804,[1]master_data!$A$2:$E$495,5,FALSE)</f>
        <v>Aksesoris</v>
      </c>
      <c r="L804" s="1"/>
    </row>
    <row r="805" spans="1:12" ht="12" customHeight="1" x14ac:dyDescent="0.25">
      <c r="A805" s="15">
        <v>45180</v>
      </c>
      <c r="B805" s="16">
        <v>22301698</v>
      </c>
      <c r="C805" s="16" t="s">
        <v>127</v>
      </c>
      <c r="D805" s="16" t="str">
        <f>VLOOKUP(C805,[1]master_data!$A$2:$E$495,2,FALSE)</f>
        <v>LED YAMANO 3W</v>
      </c>
      <c r="E805" s="16">
        <v>5</v>
      </c>
      <c r="F805" s="16">
        <f>VLOOKUP(C805,[1]master_data!$A$2:$E$495,3,FALSE)</f>
        <v>37000</v>
      </c>
      <c r="G805" s="16">
        <f>VLOOKUP(C805,[1]master_data!$A$2:$E$495,4,FALSE)</f>
        <v>60000</v>
      </c>
      <c r="H805" s="16">
        <f>E805*F805</f>
        <v>185000</v>
      </c>
      <c r="I805" s="16">
        <f>E805*G805</f>
        <v>300000</v>
      </c>
      <c r="J805" s="16">
        <f>I805-H805</f>
        <v>115000</v>
      </c>
      <c r="K805" s="16" t="str">
        <f>VLOOKUP(C805,[1]master_data!$A$2:$E$495,5,FALSE)</f>
        <v>Aksesoris</v>
      </c>
      <c r="L805" s="1"/>
    </row>
    <row r="806" spans="1:12" ht="12" customHeight="1" x14ac:dyDescent="0.25">
      <c r="A806" s="15">
        <v>45180</v>
      </c>
      <c r="B806" s="16">
        <v>22301699</v>
      </c>
      <c r="C806" s="16" t="s">
        <v>327</v>
      </c>
      <c r="D806" s="16" t="str">
        <f>VLOOKUP(C806,[1]master_data!$A$2:$E$495,2,FALSE)</f>
        <v>AIRSTONE K</v>
      </c>
      <c r="E806" s="16">
        <v>15</v>
      </c>
      <c r="F806" s="16">
        <f>VLOOKUP(C806,[1]master_data!$A$2:$E$495,3,FALSE)</f>
        <v>850</v>
      </c>
      <c r="G806" s="16">
        <f>VLOOKUP(C806,[1]master_data!$A$2:$E$495,4,FALSE)</f>
        <v>3000</v>
      </c>
      <c r="H806" s="16">
        <f>E806*F806</f>
        <v>12750</v>
      </c>
      <c r="I806" s="16">
        <f>E806*G806</f>
        <v>45000</v>
      </c>
      <c r="J806" s="16">
        <f>I806-H806</f>
        <v>32250</v>
      </c>
      <c r="K806" s="16" t="str">
        <f>VLOOKUP(C806,[1]master_data!$A$2:$E$495,5,FALSE)</f>
        <v>Aksesoris</v>
      </c>
      <c r="L806" s="1"/>
    </row>
    <row r="807" spans="1:12" ht="12" customHeight="1" x14ac:dyDescent="0.25">
      <c r="A807" s="15">
        <v>45180</v>
      </c>
      <c r="B807" s="16">
        <v>22301700</v>
      </c>
      <c r="C807" s="16" t="s">
        <v>322</v>
      </c>
      <c r="D807" s="16" t="str">
        <f>VLOOKUP(C807,[1]master_data!$A$2:$E$495,2,FALSE)</f>
        <v>AIRSTONE PANJANG 4</v>
      </c>
      <c r="E807" s="16">
        <v>30</v>
      </c>
      <c r="F807" s="16">
        <f>VLOOKUP(C807,[1]master_data!$A$2:$E$495,3,FALSE)</f>
        <v>6000</v>
      </c>
      <c r="G807" s="16">
        <f>VLOOKUP(C807,[1]master_data!$A$2:$E$495,4,FALSE)</f>
        <v>10000</v>
      </c>
      <c r="H807" s="16">
        <f>E807*F807</f>
        <v>180000</v>
      </c>
      <c r="I807" s="16">
        <f>E807*G807</f>
        <v>300000</v>
      </c>
      <c r="J807" s="16">
        <f>I807-H807</f>
        <v>120000</v>
      </c>
      <c r="K807" s="16" t="str">
        <f>VLOOKUP(C807,[1]master_data!$A$2:$E$495,5,FALSE)</f>
        <v>Aksesoris</v>
      </c>
      <c r="L807" s="1"/>
    </row>
    <row r="808" spans="1:12" ht="12" customHeight="1" x14ac:dyDescent="0.25">
      <c r="A808" s="15">
        <v>45180</v>
      </c>
      <c r="B808" s="16">
        <v>22301701</v>
      </c>
      <c r="C808" s="16" t="s">
        <v>157</v>
      </c>
      <c r="D808" s="16" t="str">
        <f>VLOOKUP(C808,[1]master_data!$A$2:$E$495,2,FALSE)</f>
        <v>LED KANDILA 2 BRS 80 CM</v>
      </c>
      <c r="E808" s="16">
        <v>5</v>
      </c>
      <c r="F808" s="16">
        <f>VLOOKUP(C808,[1]master_data!$A$2:$E$495,3,FALSE)</f>
        <v>45000</v>
      </c>
      <c r="G808" s="16">
        <f>VLOOKUP(C808,[1]master_data!$A$2:$E$495,4,FALSE)</f>
        <v>85000</v>
      </c>
      <c r="H808" s="16">
        <f>E808*F808</f>
        <v>225000</v>
      </c>
      <c r="I808" s="16">
        <f>E808*G808</f>
        <v>425000</v>
      </c>
      <c r="J808" s="16">
        <f>I808-H808</f>
        <v>200000</v>
      </c>
      <c r="K808" s="16" t="str">
        <f>VLOOKUP(C808,[1]master_data!$A$2:$E$495,5,FALSE)</f>
        <v>Aksesoris</v>
      </c>
      <c r="L808" s="1"/>
    </row>
    <row r="809" spans="1:12" ht="12" customHeight="1" x14ac:dyDescent="0.25">
      <c r="A809" s="15">
        <v>45180</v>
      </c>
      <c r="B809" s="16">
        <v>22301702</v>
      </c>
      <c r="C809" s="16" t="s">
        <v>171</v>
      </c>
      <c r="D809" s="16" t="str">
        <f>VLOOKUP(C809,[1]master_data!$A$2:$E$495,2,FALSE)</f>
        <v>LED ARROW 3 MODE 80 CM</v>
      </c>
      <c r="E809" s="16">
        <v>1</v>
      </c>
      <c r="F809" s="16">
        <f>VLOOKUP(C809,[1]master_data!$A$2:$E$495,3,FALSE)</f>
        <v>69000</v>
      </c>
      <c r="G809" s="16">
        <f>VLOOKUP(C809,[1]master_data!$A$2:$E$495,4,FALSE)</f>
        <v>90000</v>
      </c>
      <c r="H809" s="16">
        <f>E809*F809</f>
        <v>69000</v>
      </c>
      <c r="I809" s="16">
        <f>E809*G809</f>
        <v>90000</v>
      </c>
      <c r="J809" s="16">
        <f>I809-H809</f>
        <v>21000</v>
      </c>
      <c r="K809" s="16" t="str">
        <f>VLOOKUP(C809,[1]master_data!$A$2:$E$495,5,FALSE)</f>
        <v>Aksesoris</v>
      </c>
      <c r="L809" s="1"/>
    </row>
    <row r="810" spans="1:12" ht="12" customHeight="1" x14ac:dyDescent="0.25">
      <c r="A810" s="15">
        <v>45179</v>
      </c>
      <c r="B810" s="16">
        <v>22301684</v>
      </c>
      <c r="C810" s="16" t="s">
        <v>395</v>
      </c>
      <c r="D810" s="16" t="str">
        <f>VLOOKUP(C810,[1]master_data!$A$2:$E$495,2,FALSE)</f>
        <v>ALIGATOR</v>
      </c>
      <c r="E810" s="16">
        <v>2</v>
      </c>
      <c r="F810" s="16">
        <f>VLOOKUP(C810,[1]master_data!$A$2:$E$495,3,FALSE)</f>
        <v>17000</v>
      </c>
      <c r="G810" s="16">
        <f>VLOOKUP(C810,[1]master_data!$A$2:$E$495,4,FALSE)</f>
        <v>35000</v>
      </c>
      <c r="H810" s="16">
        <f>E810*F810</f>
        <v>34000</v>
      </c>
      <c r="I810" s="16">
        <f>E810*G810</f>
        <v>70000</v>
      </c>
      <c r="J810" s="16">
        <f>I810-H810</f>
        <v>36000</v>
      </c>
      <c r="K810" s="16" t="str">
        <f>VLOOKUP(C810,[1]master_data!$A$2:$E$495,5,FALSE)</f>
        <v>Ikan</v>
      </c>
      <c r="L810" s="1"/>
    </row>
    <row r="811" spans="1:12" ht="12" customHeight="1" x14ac:dyDescent="0.25">
      <c r="A811" s="15">
        <v>45179</v>
      </c>
      <c r="B811" s="16">
        <v>22301685</v>
      </c>
      <c r="C811" s="16" t="s">
        <v>249</v>
      </c>
      <c r="D811" s="16" t="str">
        <f>VLOOKUP(C811,[1]master_data!$A$2:$E$495,2,FALSE)</f>
        <v>AIRSTONE 100</v>
      </c>
      <c r="E811" s="16">
        <v>1</v>
      </c>
      <c r="F811" s="16">
        <f>VLOOKUP(C811,[1]master_data!$A$2:$E$495,3,FALSE)</f>
        <v>15000</v>
      </c>
      <c r="G811" s="16">
        <f>VLOOKUP(C811,[1]master_data!$A$2:$E$495,4,FALSE)</f>
        <v>35000</v>
      </c>
      <c r="H811" s="16">
        <f>E811*F811</f>
        <v>15000</v>
      </c>
      <c r="I811" s="16">
        <f>E811*G811</f>
        <v>35000</v>
      </c>
      <c r="J811" s="16">
        <f>I811-H811</f>
        <v>20000</v>
      </c>
      <c r="K811" s="16" t="str">
        <f>VLOOKUP(C811,[1]master_data!$A$2:$E$495,5,FALSE)</f>
        <v>Aksesoris</v>
      </c>
      <c r="L811" s="1"/>
    </row>
    <row r="812" spans="1:12" ht="12" customHeight="1" x14ac:dyDescent="0.25">
      <c r="A812" s="15">
        <v>45179</v>
      </c>
      <c r="B812" s="16">
        <v>22301686</v>
      </c>
      <c r="C812" s="16" t="s">
        <v>214</v>
      </c>
      <c r="D812" s="16" t="str">
        <f>VLOOKUP(C812,[1]master_data!$A$2:$E$495,2,FALSE)</f>
        <v>HOKKY LOUHAN COLOUR</v>
      </c>
      <c r="E812" s="16">
        <v>10</v>
      </c>
      <c r="F812" s="16">
        <f>VLOOKUP(C812,[1]master_data!$A$2:$E$495,3,FALSE)</f>
        <v>18000</v>
      </c>
      <c r="G812" s="16">
        <f>VLOOKUP(C812,[1]master_data!$A$2:$E$495,4,FALSE)</f>
        <v>25000</v>
      </c>
      <c r="H812" s="16">
        <f>E812*F812</f>
        <v>180000</v>
      </c>
      <c r="I812" s="16">
        <f>E812*G812</f>
        <v>250000</v>
      </c>
      <c r="J812" s="16">
        <f>I812-H812</f>
        <v>70000</v>
      </c>
      <c r="K812" s="16" t="str">
        <f>VLOOKUP(C812,[1]master_data!$A$2:$E$495,5,FALSE)</f>
        <v>Aksesoris</v>
      </c>
      <c r="L812" s="1"/>
    </row>
    <row r="813" spans="1:12" ht="12" customHeight="1" x14ac:dyDescent="0.25">
      <c r="A813" s="15">
        <v>45179</v>
      </c>
      <c r="B813" s="16">
        <v>22301687</v>
      </c>
      <c r="C813" s="16" t="s">
        <v>400</v>
      </c>
      <c r="D813" s="16" t="str">
        <f>VLOOKUP(C813,[1]master_data!$A$2:$E$495,2,FALSE)</f>
        <v>BLACK GHOST</v>
      </c>
      <c r="E813" s="16">
        <v>20</v>
      </c>
      <c r="F813" s="16">
        <f>VLOOKUP(C813,[1]master_data!$A$2:$E$495,3,FALSE)</f>
        <v>4000</v>
      </c>
      <c r="G813" s="16">
        <f>VLOOKUP(C813,[1]master_data!$A$2:$E$495,4,FALSE)</f>
        <v>10000</v>
      </c>
      <c r="H813" s="16">
        <f>E813*F813</f>
        <v>80000</v>
      </c>
      <c r="I813" s="16">
        <f>E813*G813</f>
        <v>200000</v>
      </c>
      <c r="J813" s="16">
        <f>I813-H813</f>
        <v>120000</v>
      </c>
      <c r="K813" s="16" t="str">
        <f>VLOOKUP(C813,[1]master_data!$A$2:$E$495,5,FALSE)</f>
        <v>Ikan</v>
      </c>
      <c r="L813" s="1"/>
    </row>
    <row r="814" spans="1:12" ht="12" customHeight="1" x14ac:dyDescent="0.25">
      <c r="A814" s="15">
        <v>45179</v>
      </c>
      <c r="B814" s="16">
        <v>22301688</v>
      </c>
      <c r="C814" s="16" t="s">
        <v>419</v>
      </c>
      <c r="D814" s="16" t="str">
        <f>VLOOKUP(C814,[1]master_data!$A$2:$E$495,2,FALSE)</f>
        <v>KOMET PAKAN</v>
      </c>
      <c r="E814" s="16">
        <v>30</v>
      </c>
      <c r="F814" s="16">
        <f>VLOOKUP(C814,[1]master_data!$A$2:$E$495,3,FALSE)</f>
        <v>300</v>
      </c>
      <c r="G814" s="16">
        <f>VLOOKUP(C814,[1]master_data!$A$2:$E$495,4,FALSE)</f>
        <v>1000</v>
      </c>
      <c r="H814" s="16">
        <f>E814*F814</f>
        <v>9000</v>
      </c>
      <c r="I814" s="16">
        <f>E814*G814</f>
        <v>30000</v>
      </c>
      <c r="J814" s="16">
        <f>I814-H814</f>
        <v>21000</v>
      </c>
      <c r="K814" s="16" t="str">
        <f>VLOOKUP(C814,[1]master_data!$A$2:$E$495,5,FALSE)</f>
        <v>Ikan</v>
      </c>
      <c r="L814" s="1"/>
    </row>
    <row r="815" spans="1:12" ht="12" customHeight="1" x14ac:dyDescent="0.25">
      <c r="A815" s="15">
        <v>45179</v>
      </c>
      <c r="B815" s="16">
        <v>22301689</v>
      </c>
      <c r="C815" s="16" t="s">
        <v>414</v>
      </c>
      <c r="D815" s="16" t="str">
        <f>VLOOKUP(C815,[1]master_data!$A$2:$E$495,2,FALSE)</f>
        <v>KOI K</v>
      </c>
      <c r="E815" s="16">
        <v>20</v>
      </c>
      <c r="F815" s="16">
        <f>VLOOKUP(C815,[1]master_data!$A$2:$E$495,3,FALSE)</f>
        <v>2500</v>
      </c>
      <c r="G815" s="16">
        <f>VLOOKUP(C815,[1]master_data!$A$2:$E$495,4,FALSE)</f>
        <v>10000</v>
      </c>
      <c r="H815" s="16">
        <f>E815*F815</f>
        <v>50000</v>
      </c>
      <c r="I815" s="16">
        <f>E815*G815</f>
        <v>200000</v>
      </c>
      <c r="J815" s="16">
        <f>I815-H815</f>
        <v>150000</v>
      </c>
      <c r="K815" s="16" t="str">
        <f>VLOOKUP(C815,[1]master_data!$A$2:$E$495,5,FALSE)</f>
        <v>Ikan</v>
      </c>
      <c r="L815" s="1"/>
    </row>
    <row r="816" spans="1:12" ht="12" customHeight="1" x14ac:dyDescent="0.25">
      <c r="A816" s="15">
        <v>45179</v>
      </c>
      <c r="B816" s="16">
        <v>22301690</v>
      </c>
      <c r="C816" s="16" t="s">
        <v>458</v>
      </c>
      <c r="D816" s="16" t="str">
        <f>VLOOKUP(C816,[1]master_data!$A$2:$E$495,2,FALSE)</f>
        <v>ZEBRA KUNING</v>
      </c>
      <c r="E816" s="16">
        <v>30</v>
      </c>
      <c r="F816" s="16">
        <f>VLOOKUP(C816,[1]master_data!$A$2:$E$495,3,FALSE)</f>
        <v>800</v>
      </c>
      <c r="G816" s="16">
        <f>VLOOKUP(C816,[1]master_data!$A$2:$E$495,4,FALSE)</f>
        <v>2000</v>
      </c>
      <c r="H816" s="16">
        <f>E816*F816</f>
        <v>24000</v>
      </c>
      <c r="I816" s="16">
        <f>E816*G816</f>
        <v>60000</v>
      </c>
      <c r="J816" s="16">
        <f>I816-H816</f>
        <v>36000</v>
      </c>
      <c r="K816" s="16" t="str">
        <f>VLOOKUP(C816,[1]master_data!$A$2:$E$495,5,FALSE)</f>
        <v>Ikan</v>
      </c>
      <c r="L816" s="1"/>
    </row>
    <row r="817" spans="1:12" ht="12" customHeight="1" x14ac:dyDescent="0.25">
      <c r="A817" s="15">
        <v>45179</v>
      </c>
      <c r="B817" s="16">
        <v>22301691</v>
      </c>
      <c r="C817" s="16" t="s">
        <v>440</v>
      </c>
      <c r="D817" s="16" t="str">
        <f>VLOOKUP(C817,[1]master_data!$A$2:$E$495,2,FALSE)</f>
        <v>PEMBERSIH KACA ALBINO</v>
      </c>
      <c r="E817" s="16">
        <v>40</v>
      </c>
      <c r="F817" s="16">
        <f>VLOOKUP(C817,[1]master_data!$A$2:$E$495,3,FALSE)</f>
        <v>2500</v>
      </c>
      <c r="G817" s="16">
        <f>VLOOKUP(C817,[1]master_data!$A$2:$E$495,4,FALSE)</f>
        <v>5000</v>
      </c>
      <c r="H817" s="16">
        <f>E817*F817</f>
        <v>100000</v>
      </c>
      <c r="I817" s="16">
        <f>E817*G817</f>
        <v>200000</v>
      </c>
      <c r="J817" s="16">
        <f>I817-H817</f>
        <v>100000</v>
      </c>
      <c r="K817" s="16" t="str">
        <f>VLOOKUP(C817,[1]master_data!$A$2:$E$495,5,FALSE)</f>
        <v>Ikan</v>
      </c>
      <c r="L817" s="1"/>
    </row>
    <row r="818" spans="1:12" ht="12" customHeight="1" x14ac:dyDescent="0.25">
      <c r="A818" s="15">
        <v>45179</v>
      </c>
      <c r="B818" s="16">
        <v>22301692</v>
      </c>
      <c r="C818" s="16" t="s">
        <v>428</v>
      </c>
      <c r="D818" s="16" t="str">
        <f>VLOOKUP(C818,[1]master_data!$A$2:$E$495,2,FALSE)</f>
        <v>MANFISH K</v>
      </c>
      <c r="E818" s="16">
        <v>25</v>
      </c>
      <c r="F818" s="16">
        <f>VLOOKUP(C818,[1]master_data!$A$2:$E$495,3,FALSE)</f>
        <v>2000</v>
      </c>
      <c r="G818" s="16">
        <f>VLOOKUP(C818,[1]master_data!$A$2:$E$495,4,FALSE)</f>
        <v>5000</v>
      </c>
      <c r="H818" s="16">
        <f>E818*F818</f>
        <v>50000</v>
      </c>
      <c r="I818" s="16">
        <f>E818*G818</f>
        <v>125000</v>
      </c>
      <c r="J818" s="16">
        <f>I818-H818</f>
        <v>75000</v>
      </c>
      <c r="K818" s="16" t="str">
        <f>VLOOKUP(C818,[1]master_data!$A$2:$E$495,5,FALSE)</f>
        <v>Ikan</v>
      </c>
      <c r="L818" s="1"/>
    </row>
    <row r="819" spans="1:12" ht="12" customHeight="1" x14ac:dyDescent="0.25">
      <c r="A819" s="15">
        <v>45179</v>
      </c>
      <c r="B819" s="16">
        <v>22301693</v>
      </c>
      <c r="C819" s="16" t="s">
        <v>454</v>
      </c>
      <c r="D819" s="16" t="str">
        <f>VLOOKUP(C819,[1]master_data!$A$2:$E$495,2,FALSE)</f>
        <v>TOMAN</v>
      </c>
      <c r="E819" s="16">
        <v>2</v>
      </c>
      <c r="F819" s="16">
        <f>VLOOKUP(C819,[1]master_data!$A$2:$E$495,3,FALSE)</f>
        <v>10000</v>
      </c>
      <c r="G819" s="16">
        <f>VLOOKUP(C819,[1]master_data!$A$2:$E$495,4,FALSE)</f>
        <v>25000</v>
      </c>
      <c r="H819" s="16">
        <f>E819*F819</f>
        <v>20000</v>
      </c>
      <c r="I819" s="16">
        <f>E819*G819</f>
        <v>50000</v>
      </c>
      <c r="J819" s="16">
        <f>I819-H819</f>
        <v>30000</v>
      </c>
      <c r="K819" s="16" t="str">
        <f>VLOOKUP(C819,[1]master_data!$A$2:$E$495,5,FALSE)</f>
        <v>Ikan</v>
      </c>
      <c r="L819" s="1"/>
    </row>
    <row r="820" spans="1:12" ht="12" customHeight="1" x14ac:dyDescent="0.25">
      <c r="A820" s="15">
        <v>45179</v>
      </c>
      <c r="B820" s="16">
        <v>22301694</v>
      </c>
      <c r="C820" s="16" t="s">
        <v>444</v>
      </c>
      <c r="D820" s="16" t="str">
        <f>VLOOKUP(C820,[1]master_data!$A$2:$E$495,2,FALSE)</f>
        <v>REDFIN HITAM</v>
      </c>
      <c r="E820" s="16">
        <v>1</v>
      </c>
      <c r="F820" s="16">
        <f>VLOOKUP(C820,[1]master_data!$A$2:$E$495,3,FALSE)</f>
        <v>1500</v>
      </c>
      <c r="G820" s="16">
        <f>VLOOKUP(C820,[1]master_data!$A$2:$E$495,4,FALSE)</f>
        <v>4000</v>
      </c>
      <c r="H820" s="16">
        <f>E820*F820</f>
        <v>1500</v>
      </c>
      <c r="I820" s="16">
        <f>E820*G820</f>
        <v>4000</v>
      </c>
      <c r="J820" s="16">
        <f>I820-H820</f>
        <v>2500</v>
      </c>
      <c r="K820" s="16" t="str">
        <f>VLOOKUP(C820,[1]master_data!$A$2:$E$495,5,FALSE)</f>
        <v>Ikan</v>
      </c>
      <c r="L820" s="1"/>
    </row>
    <row r="821" spans="1:12" ht="12" customHeight="1" x14ac:dyDescent="0.25">
      <c r="A821" s="15">
        <v>45178</v>
      </c>
      <c r="B821" s="16">
        <v>22301674</v>
      </c>
      <c r="C821" s="16" t="s">
        <v>203</v>
      </c>
      <c r="D821" s="16" t="str">
        <f>VLOOKUP(C821,[1]master_data!$A$2:$E$495,2,FALSE)</f>
        <v>HOKKY COLOUR MAX</v>
      </c>
      <c r="E821" s="16">
        <v>30</v>
      </c>
      <c r="F821" s="16">
        <f>VLOOKUP(C821,[1]master_data!$A$2:$E$495,3,FALSE)</f>
        <v>7600</v>
      </c>
      <c r="G821" s="16">
        <f>VLOOKUP(C821,[1]master_data!$A$2:$E$495,4,FALSE)</f>
        <v>10000</v>
      </c>
      <c r="H821" s="16">
        <f>E821*F821</f>
        <v>228000</v>
      </c>
      <c r="I821" s="16">
        <f>E821*G821</f>
        <v>300000</v>
      </c>
      <c r="J821" s="16">
        <f>I821-H821</f>
        <v>72000</v>
      </c>
      <c r="K821" s="16" t="str">
        <f>VLOOKUP(C821,[1]master_data!$A$2:$E$495,5,FALSE)</f>
        <v>Aksesoris</v>
      </c>
      <c r="L821" s="1"/>
    </row>
    <row r="822" spans="1:12" ht="12" customHeight="1" x14ac:dyDescent="0.25">
      <c r="A822" s="15">
        <v>45178</v>
      </c>
      <c r="B822" s="16">
        <v>22301675</v>
      </c>
      <c r="C822" s="16" t="s">
        <v>379</v>
      </c>
      <c r="D822" s="16" t="str">
        <f>VLOOKUP(C822,[1]master_data!$A$2:$E$495,2,FALSE)</f>
        <v>BATU WARNA BIASA</v>
      </c>
      <c r="E822" s="16">
        <v>15</v>
      </c>
      <c r="F822" s="16">
        <f>VLOOKUP(C822,[1]master_data!$A$2:$E$495,3,FALSE)</f>
        <v>3500</v>
      </c>
      <c r="G822" s="16">
        <f>VLOOKUP(C822,[1]master_data!$A$2:$E$495,4,FALSE)</f>
        <v>8000</v>
      </c>
      <c r="H822" s="16">
        <f>E822*F822</f>
        <v>52500</v>
      </c>
      <c r="I822" s="16">
        <f>E822*G822</f>
        <v>120000</v>
      </c>
      <c r="J822" s="16">
        <f>I822-H822</f>
        <v>67500</v>
      </c>
      <c r="K822" s="16" t="str">
        <f>VLOOKUP(C822,[1]master_data!$A$2:$E$495,5,FALSE)</f>
        <v>Aksesoris</v>
      </c>
      <c r="L822" s="1"/>
    </row>
    <row r="823" spans="1:12" ht="12" customHeight="1" x14ac:dyDescent="0.25">
      <c r="A823" s="15">
        <v>45178</v>
      </c>
      <c r="B823" s="16">
        <v>22301676</v>
      </c>
      <c r="C823" s="16" t="s">
        <v>219</v>
      </c>
      <c r="D823" s="16" t="str">
        <f>VLOOKUP(C823,[1]master_data!$A$2:$E$495,2,FALSE)</f>
        <v>CP KOI GROWTH</v>
      </c>
      <c r="E823" s="16">
        <v>10</v>
      </c>
      <c r="F823" s="16">
        <f>VLOOKUP(C823,[1]master_data!$A$2:$E$495,3,FALSE)</f>
        <v>38000</v>
      </c>
      <c r="G823" s="16">
        <f>VLOOKUP(C823,[1]master_data!$A$2:$E$495,4,FALSE)</f>
        <v>50000</v>
      </c>
      <c r="H823" s="16">
        <f>E823*F823</f>
        <v>380000</v>
      </c>
      <c r="I823" s="16">
        <f>E823*G823</f>
        <v>500000</v>
      </c>
      <c r="J823" s="16">
        <f>I823-H823</f>
        <v>120000</v>
      </c>
      <c r="K823" s="16" t="str">
        <f>VLOOKUP(C823,[1]master_data!$A$2:$E$495,5,FALSE)</f>
        <v>Aksesoris</v>
      </c>
      <c r="L823" s="1"/>
    </row>
    <row r="824" spans="1:12" ht="12" customHeight="1" x14ac:dyDescent="0.25">
      <c r="A824" s="15">
        <v>45178</v>
      </c>
      <c r="B824" s="16">
        <v>22301677</v>
      </c>
      <c r="C824" s="16" t="s">
        <v>395</v>
      </c>
      <c r="D824" s="16" t="str">
        <f>VLOOKUP(C824,[1]master_data!$A$2:$E$495,2,FALSE)</f>
        <v>ALIGATOR</v>
      </c>
      <c r="E824" s="16">
        <v>5</v>
      </c>
      <c r="F824" s="16">
        <f>VLOOKUP(C824,[1]master_data!$A$2:$E$495,3,FALSE)</f>
        <v>17000</v>
      </c>
      <c r="G824" s="16">
        <f>VLOOKUP(C824,[1]master_data!$A$2:$E$495,4,FALSE)</f>
        <v>35000</v>
      </c>
      <c r="H824" s="16">
        <f>E824*F824</f>
        <v>85000</v>
      </c>
      <c r="I824" s="16">
        <f>E824*G824</f>
        <v>175000</v>
      </c>
      <c r="J824" s="16">
        <f>I824-H824</f>
        <v>90000</v>
      </c>
      <c r="K824" s="16" t="str">
        <f>VLOOKUP(C824,[1]master_data!$A$2:$E$495,5,FALSE)</f>
        <v>Ikan</v>
      </c>
      <c r="L824" s="1"/>
    </row>
    <row r="825" spans="1:12" ht="12" customHeight="1" x14ac:dyDescent="0.25">
      <c r="A825" s="15">
        <v>45178</v>
      </c>
      <c r="B825" s="16">
        <v>22301678</v>
      </c>
      <c r="C825" s="16" t="s">
        <v>397</v>
      </c>
      <c r="D825" s="16" t="str">
        <f>VLOOKUP(C825,[1]master_data!$A$2:$E$495,2,FALSE)</f>
        <v>BUENOS AIRES TETRA</v>
      </c>
      <c r="E825" s="16">
        <v>20</v>
      </c>
      <c r="F825" s="16">
        <f>VLOOKUP(C825,[1]master_data!$A$2:$E$495,3,FALSE)</f>
        <v>800</v>
      </c>
      <c r="G825" s="16">
        <f>VLOOKUP(C825,[1]master_data!$A$2:$E$495,4,FALSE)</f>
        <v>2000</v>
      </c>
      <c r="H825" s="16">
        <f>E825*F825</f>
        <v>16000</v>
      </c>
      <c r="I825" s="16">
        <f>E825*G825</f>
        <v>40000</v>
      </c>
      <c r="J825" s="16">
        <f>I825-H825</f>
        <v>24000</v>
      </c>
      <c r="K825" s="16" t="str">
        <f>VLOOKUP(C825,[1]master_data!$A$2:$E$495,5,FALSE)</f>
        <v>Ikan</v>
      </c>
      <c r="L825" s="1"/>
    </row>
    <row r="826" spans="1:12" ht="12" customHeight="1" x14ac:dyDescent="0.25">
      <c r="A826" s="15">
        <v>45178</v>
      </c>
      <c r="B826" s="16">
        <v>22301679</v>
      </c>
      <c r="C826" s="16" t="s">
        <v>218</v>
      </c>
      <c r="D826" s="16" t="str">
        <f>VLOOKUP(C826,[1]master_data!$A$2:$E$495,2,FALSE)</f>
        <v>HIRO COLOUR</v>
      </c>
      <c r="E826" s="16">
        <v>10</v>
      </c>
      <c r="F826" s="16">
        <f>VLOOKUP(C826,[1]master_data!$A$2:$E$495,3,FALSE)</f>
        <v>72000</v>
      </c>
      <c r="G826" s="16">
        <f>VLOOKUP(C826,[1]master_data!$A$2:$E$495,4,FALSE)</f>
        <v>80000</v>
      </c>
      <c r="H826" s="16">
        <f>E826*F826</f>
        <v>720000</v>
      </c>
      <c r="I826" s="16">
        <f>E826*G826</f>
        <v>800000</v>
      </c>
      <c r="J826" s="16">
        <f>I826-H826</f>
        <v>80000</v>
      </c>
      <c r="K826" s="16" t="str">
        <f>VLOOKUP(C826,[1]master_data!$A$2:$E$495,5,FALSE)</f>
        <v>Aksesoris</v>
      </c>
      <c r="L826" s="1"/>
    </row>
    <row r="827" spans="1:12" ht="12" customHeight="1" x14ac:dyDescent="0.25">
      <c r="A827" s="15">
        <v>45178</v>
      </c>
      <c r="B827" s="16">
        <v>22301680</v>
      </c>
      <c r="C827" s="16" t="s">
        <v>314</v>
      </c>
      <c r="D827" s="16" t="str">
        <f>VLOOKUP(C827,[1]master_data!$A$2:$E$495,2,FALSE)</f>
        <v>T SELANG</v>
      </c>
      <c r="E827" s="16">
        <v>30</v>
      </c>
      <c r="F827" s="16">
        <f>VLOOKUP(C827,[1]master_data!$A$2:$E$495,3,FALSE)</f>
        <v>750</v>
      </c>
      <c r="G827" s="16">
        <f>VLOOKUP(C827,[1]master_data!$A$2:$E$495,4,FALSE)</f>
        <v>1500</v>
      </c>
      <c r="H827" s="16">
        <f>E827*F827</f>
        <v>22500</v>
      </c>
      <c r="I827" s="16">
        <f>E827*G827</f>
        <v>45000</v>
      </c>
      <c r="J827" s="16">
        <f>I827-H827</f>
        <v>22500</v>
      </c>
      <c r="K827" s="16" t="str">
        <f>VLOOKUP(C827,[1]master_data!$A$2:$E$495,5,FALSE)</f>
        <v>Aksesoris</v>
      </c>
      <c r="L827" s="1"/>
    </row>
    <row r="828" spans="1:12" ht="12" customHeight="1" x14ac:dyDescent="0.25">
      <c r="A828" s="15">
        <v>45178</v>
      </c>
      <c r="B828" s="16">
        <v>22301681</v>
      </c>
      <c r="C828" s="16" t="s">
        <v>422</v>
      </c>
      <c r="D828" s="16" t="str">
        <f>VLOOKUP(C828,[1]master_data!$A$2:$E$495,2,FALSE)</f>
        <v>KOI SLAYER B</v>
      </c>
      <c r="E828" s="16">
        <v>1</v>
      </c>
      <c r="F828" s="16">
        <f>VLOOKUP(C828,[1]master_data!$A$2:$E$495,3,FALSE)</f>
        <v>8000</v>
      </c>
      <c r="G828" s="16">
        <f>VLOOKUP(C828,[1]master_data!$A$2:$E$495,4,FALSE)</f>
        <v>20000</v>
      </c>
      <c r="H828" s="16">
        <f>E828*F828</f>
        <v>8000</v>
      </c>
      <c r="I828" s="16">
        <f>E828*G828</f>
        <v>20000</v>
      </c>
      <c r="J828" s="16">
        <f>I828-H828</f>
        <v>12000</v>
      </c>
      <c r="K828" s="16" t="str">
        <f>VLOOKUP(C828,[1]master_data!$A$2:$E$495,5,FALSE)</f>
        <v>Ikan</v>
      </c>
      <c r="L828" s="1"/>
    </row>
    <row r="829" spans="1:12" ht="12" customHeight="1" x14ac:dyDescent="0.25">
      <c r="A829" s="15">
        <v>45178</v>
      </c>
      <c r="B829" s="16">
        <v>22301682</v>
      </c>
      <c r="C829" s="16" t="s">
        <v>413</v>
      </c>
      <c r="D829" s="16" t="str">
        <f>VLOOKUP(C829,[1]master_data!$A$2:$E$495,2,FALSE)</f>
        <v>KOKI B</v>
      </c>
      <c r="E829" s="16">
        <v>3</v>
      </c>
      <c r="F829" s="16">
        <f>VLOOKUP(C829,[1]master_data!$A$2:$E$495,3,FALSE)</f>
        <v>20000</v>
      </c>
      <c r="G829" s="16">
        <f>VLOOKUP(C829,[1]master_data!$A$2:$E$495,4,FALSE)</f>
        <v>50000</v>
      </c>
      <c r="H829" s="16">
        <f>E829*F829</f>
        <v>60000</v>
      </c>
      <c r="I829" s="16">
        <f>E829*G829</f>
        <v>150000</v>
      </c>
      <c r="J829" s="16">
        <f>I829-H829</f>
        <v>90000</v>
      </c>
      <c r="K829" s="16" t="str">
        <f>VLOOKUP(C829,[1]master_data!$A$2:$E$495,5,FALSE)</f>
        <v>Ikan</v>
      </c>
      <c r="L829" s="1"/>
    </row>
    <row r="830" spans="1:12" ht="12" customHeight="1" x14ac:dyDescent="0.25">
      <c r="A830" s="15">
        <v>45178</v>
      </c>
      <c r="B830" s="16">
        <v>22301683</v>
      </c>
      <c r="C830" s="16" t="s">
        <v>442</v>
      </c>
      <c r="D830" s="16" t="str">
        <f>VLOOKUP(C830,[1]master_data!$A$2:$E$495,2,FALSE)</f>
        <v>PARROT</v>
      </c>
      <c r="E830" s="16">
        <v>1</v>
      </c>
      <c r="F830" s="16">
        <f>VLOOKUP(C830,[1]master_data!$A$2:$E$495,3,FALSE)</f>
        <v>27000</v>
      </c>
      <c r="G830" s="16">
        <f>VLOOKUP(C830,[1]master_data!$A$2:$E$495,4,FALSE)</f>
        <v>60000</v>
      </c>
      <c r="H830" s="16">
        <f>E830*F830</f>
        <v>27000</v>
      </c>
      <c r="I830" s="16">
        <f>E830*G830</f>
        <v>60000</v>
      </c>
      <c r="J830" s="16">
        <f>I830-H830</f>
        <v>33000</v>
      </c>
      <c r="K830" s="16" t="str">
        <f>VLOOKUP(C830,[1]master_data!$A$2:$E$495,5,FALSE)</f>
        <v>Ikan</v>
      </c>
      <c r="L830" s="1"/>
    </row>
    <row r="831" spans="1:12" ht="12" customHeight="1" x14ac:dyDescent="0.25">
      <c r="A831" s="15">
        <v>45177</v>
      </c>
      <c r="B831" s="16">
        <v>22301668</v>
      </c>
      <c r="C831" s="16" t="s">
        <v>150</v>
      </c>
      <c r="D831" s="16" t="str">
        <f>VLOOKUP(C831,[1]master_data!$A$2:$E$495,2,FALSE)</f>
        <v>LED VOSSO 50-60 CM</v>
      </c>
      <c r="E831" s="16">
        <v>2</v>
      </c>
      <c r="F831" s="16">
        <f>VLOOKUP(C831,[1]master_data!$A$2:$E$495,3,FALSE)</f>
        <v>50000</v>
      </c>
      <c r="G831" s="16">
        <f>VLOOKUP(C831,[1]master_data!$A$2:$E$495,4,FALSE)</f>
        <v>75000</v>
      </c>
      <c r="H831" s="16">
        <f>E831*F831</f>
        <v>100000</v>
      </c>
      <c r="I831" s="16">
        <f>E831*G831</f>
        <v>150000</v>
      </c>
      <c r="J831" s="16">
        <f>I831-H831</f>
        <v>50000</v>
      </c>
      <c r="K831" s="16" t="str">
        <f>VLOOKUP(C831,[1]master_data!$A$2:$E$495,5,FALSE)</f>
        <v>Aksesoris</v>
      </c>
      <c r="L831" s="1"/>
    </row>
    <row r="832" spans="1:12" ht="12" customHeight="1" x14ac:dyDescent="0.25">
      <c r="A832" s="15">
        <v>45177</v>
      </c>
      <c r="B832" s="16">
        <v>22301669</v>
      </c>
      <c r="C832" s="16" t="s">
        <v>175</v>
      </c>
      <c r="D832" s="16" t="str">
        <f>VLOOKUP(C832,[1]master_data!$A$2:$E$495,2,FALSE)</f>
        <v>LED ARMADA 3 BRS AP 600</v>
      </c>
      <c r="E832" s="16">
        <v>10</v>
      </c>
      <c r="F832" s="16">
        <f>VLOOKUP(C832,[1]master_data!$A$2:$E$495,3,FALSE)</f>
        <v>55000</v>
      </c>
      <c r="G832" s="16">
        <f>VLOOKUP(C832,[1]master_data!$A$2:$E$495,4,FALSE)</f>
        <v>80000</v>
      </c>
      <c r="H832" s="16">
        <f>E832*F832</f>
        <v>550000</v>
      </c>
      <c r="I832" s="16">
        <f>E832*G832</f>
        <v>800000</v>
      </c>
      <c r="J832" s="16">
        <f>I832-H832</f>
        <v>250000</v>
      </c>
      <c r="K832" s="16" t="str">
        <f>VLOOKUP(C832,[1]master_data!$A$2:$E$495,5,FALSE)</f>
        <v>Aksesoris</v>
      </c>
      <c r="L832" s="1"/>
    </row>
    <row r="833" spans="1:12" ht="12" customHeight="1" x14ac:dyDescent="0.25">
      <c r="A833" s="15">
        <v>45177</v>
      </c>
      <c r="B833" s="16">
        <v>22301670</v>
      </c>
      <c r="C833" s="16" t="s">
        <v>415</v>
      </c>
      <c r="D833" s="16" t="str">
        <f>VLOOKUP(C833,[1]master_data!$A$2:$E$495,2,FALSE)</f>
        <v>KOI T</v>
      </c>
      <c r="E833" s="16">
        <v>5</v>
      </c>
      <c r="F833" s="16">
        <f>VLOOKUP(C833,[1]master_data!$A$2:$E$495,3,FALSE)</f>
        <v>7000</v>
      </c>
      <c r="G833" s="16">
        <f>VLOOKUP(C833,[1]master_data!$A$2:$E$495,4,FALSE)</f>
        <v>20000</v>
      </c>
      <c r="H833" s="16">
        <f>E833*F833</f>
        <v>35000</v>
      </c>
      <c r="I833" s="16">
        <f>E833*G833</f>
        <v>100000</v>
      </c>
      <c r="J833" s="16">
        <f>I833-H833</f>
        <v>65000</v>
      </c>
      <c r="K833" s="16" t="str">
        <f>VLOOKUP(C833,[1]master_data!$A$2:$E$495,5,FALSE)</f>
        <v>Ikan</v>
      </c>
      <c r="L833" s="1"/>
    </row>
    <row r="834" spans="1:12" ht="12" customHeight="1" x14ac:dyDescent="0.25">
      <c r="A834" s="15">
        <v>45177</v>
      </c>
      <c r="B834" s="16">
        <v>22301671</v>
      </c>
      <c r="C834" s="16" t="s">
        <v>449</v>
      </c>
      <c r="D834" s="16" t="str">
        <f>VLOOKUP(C834,[1]master_data!$A$2:$E$495,2,FALSE)</f>
        <v>SUMATRA GOLD FISH</v>
      </c>
      <c r="E834" s="16">
        <v>50</v>
      </c>
      <c r="F834" s="16">
        <f>VLOOKUP(C834,[1]master_data!$A$2:$E$495,3,FALSE)</f>
        <v>2500</v>
      </c>
      <c r="G834" s="16">
        <f>VLOOKUP(C834,[1]master_data!$A$2:$E$495,4,FALSE)</f>
        <v>4000</v>
      </c>
      <c r="H834" s="16">
        <f>E834*F834</f>
        <v>125000</v>
      </c>
      <c r="I834" s="16">
        <f>E834*G834</f>
        <v>200000</v>
      </c>
      <c r="J834" s="16">
        <f>I834-H834</f>
        <v>75000</v>
      </c>
      <c r="K834" s="16" t="str">
        <f>VLOOKUP(C834,[1]master_data!$A$2:$E$495,5,FALSE)</f>
        <v>Ikan</v>
      </c>
      <c r="L834" s="1"/>
    </row>
    <row r="835" spans="1:12" ht="12" customHeight="1" x14ac:dyDescent="0.25">
      <c r="A835" s="15">
        <v>45177</v>
      </c>
      <c r="B835" s="16">
        <v>22301672</v>
      </c>
      <c r="C835" s="16" t="s">
        <v>398</v>
      </c>
      <c r="D835" s="16" t="str">
        <f>VLOOKUP(C835,[1]master_data!$A$2:$E$495,2,FALSE)</f>
        <v>BALA BALA K</v>
      </c>
      <c r="E835" s="16">
        <v>25</v>
      </c>
      <c r="F835" s="16">
        <f>VLOOKUP(C835,[1]master_data!$A$2:$E$495,3,FALSE)</f>
        <v>4000</v>
      </c>
      <c r="G835" s="16">
        <f>VLOOKUP(C835,[1]master_data!$A$2:$E$495,4,FALSE)</f>
        <v>8000</v>
      </c>
      <c r="H835" s="16">
        <f>E835*F835</f>
        <v>100000</v>
      </c>
      <c r="I835" s="16">
        <f>E835*G835</f>
        <v>200000</v>
      </c>
      <c r="J835" s="16">
        <f>I835-H835</f>
        <v>100000</v>
      </c>
      <c r="K835" s="16" t="str">
        <f>VLOOKUP(C835,[1]master_data!$A$2:$E$495,5,FALSE)</f>
        <v>Ikan</v>
      </c>
      <c r="L835" s="1"/>
    </row>
    <row r="836" spans="1:12" ht="12" customHeight="1" x14ac:dyDescent="0.25">
      <c r="A836" s="15">
        <v>45177</v>
      </c>
      <c r="B836" s="16">
        <v>22301673</v>
      </c>
      <c r="C836" s="16" t="s">
        <v>142</v>
      </c>
      <c r="D836" s="16" t="str">
        <f>VLOOKUP(C836,[1]master_data!$A$2:$E$495,2,FALSE)</f>
        <v>LED YANG HW 45 CM</v>
      </c>
      <c r="E836" s="16">
        <v>4</v>
      </c>
      <c r="F836" s="16">
        <f>VLOOKUP(C836,[1]master_data!$A$2:$E$495,3,FALSE)</f>
        <v>70000</v>
      </c>
      <c r="G836" s="16">
        <f>VLOOKUP(C836,[1]master_data!$A$2:$E$495,4,FALSE)</f>
        <v>90000</v>
      </c>
      <c r="H836" s="16">
        <f>E836*F836</f>
        <v>280000</v>
      </c>
      <c r="I836" s="16">
        <f>E836*G836</f>
        <v>360000</v>
      </c>
      <c r="J836" s="16">
        <f>I836-H836</f>
        <v>80000</v>
      </c>
      <c r="K836" s="16" t="str">
        <f>VLOOKUP(C836,[1]master_data!$A$2:$E$495,5,FALSE)</f>
        <v>Aksesoris</v>
      </c>
      <c r="L836" s="1"/>
    </row>
    <row r="837" spans="1:12" ht="12" customHeight="1" x14ac:dyDescent="0.25">
      <c r="A837" s="15">
        <v>45176</v>
      </c>
      <c r="B837" s="16">
        <v>22301657</v>
      </c>
      <c r="C837" s="16" t="s">
        <v>438</v>
      </c>
      <c r="D837" s="16" t="str">
        <f>VLOOKUP(C837,[1]master_data!$A$2:$E$495,2,FALSE)</f>
        <v>OSCAR</v>
      </c>
      <c r="E837" s="16">
        <v>1</v>
      </c>
      <c r="F837" s="16">
        <f>VLOOKUP(C837,[1]master_data!$A$2:$E$495,3,FALSE)</f>
        <v>25000</v>
      </c>
      <c r="G837" s="16">
        <f>VLOOKUP(C837,[1]master_data!$A$2:$E$495,4,FALSE)</f>
        <v>50000</v>
      </c>
      <c r="H837" s="16">
        <f>E837*F837</f>
        <v>25000</v>
      </c>
      <c r="I837" s="16">
        <f>E837*G837</f>
        <v>50000</v>
      </c>
      <c r="J837" s="16">
        <f>I837-H837</f>
        <v>25000</v>
      </c>
      <c r="K837" s="16" t="str">
        <f>VLOOKUP(C837,[1]master_data!$A$2:$E$495,5,FALSE)</f>
        <v>Ikan</v>
      </c>
      <c r="L837" s="1"/>
    </row>
    <row r="838" spans="1:12" ht="12" customHeight="1" x14ac:dyDescent="0.25">
      <c r="A838" s="15">
        <v>45176</v>
      </c>
      <c r="B838" s="16">
        <v>22301658</v>
      </c>
      <c r="C838" s="16" t="s">
        <v>398</v>
      </c>
      <c r="D838" s="16" t="str">
        <f>VLOOKUP(C838,[1]master_data!$A$2:$E$495,2,FALSE)</f>
        <v>BALA BALA K</v>
      </c>
      <c r="E838" s="16">
        <v>20</v>
      </c>
      <c r="F838" s="16">
        <f>VLOOKUP(C838,[1]master_data!$A$2:$E$495,3,FALSE)</f>
        <v>4000</v>
      </c>
      <c r="G838" s="16">
        <f>VLOOKUP(C838,[1]master_data!$A$2:$E$495,4,FALSE)</f>
        <v>8000</v>
      </c>
      <c r="H838" s="16">
        <f>E838*F838</f>
        <v>80000</v>
      </c>
      <c r="I838" s="16">
        <f>E838*G838</f>
        <v>160000</v>
      </c>
      <c r="J838" s="16">
        <f>I838-H838</f>
        <v>80000</v>
      </c>
      <c r="K838" s="16" t="str">
        <f>VLOOKUP(C838,[1]master_data!$A$2:$E$495,5,FALSE)</f>
        <v>Ikan</v>
      </c>
      <c r="L838" s="1"/>
    </row>
    <row r="839" spans="1:12" ht="12" customHeight="1" x14ac:dyDescent="0.25">
      <c r="A839" s="15">
        <v>45176</v>
      </c>
      <c r="B839" s="16">
        <v>22301659</v>
      </c>
      <c r="C839" s="16" t="s">
        <v>423</v>
      </c>
      <c r="D839" s="16" t="str">
        <f>VLOOKUP(C839,[1]master_data!$A$2:$E$495,2,FALSE)</f>
        <v>CAROLINE</v>
      </c>
      <c r="E839" s="16">
        <v>25</v>
      </c>
      <c r="F839" s="16">
        <f>VLOOKUP(C839,[1]master_data!$A$2:$E$495,3,FALSE)</f>
        <v>900</v>
      </c>
      <c r="G839" s="16">
        <f>VLOOKUP(C839,[1]master_data!$A$2:$E$495,4,FALSE)</f>
        <v>2000</v>
      </c>
      <c r="H839" s="16">
        <f>E839*F839</f>
        <v>22500</v>
      </c>
      <c r="I839" s="16">
        <f>E839*G839</f>
        <v>50000</v>
      </c>
      <c r="J839" s="16">
        <f>I839-H839</f>
        <v>27500</v>
      </c>
      <c r="K839" s="16" t="str">
        <f>VLOOKUP(C839,[1]master_data!$A$2:$E$495,5,FALSE)</f>
        <v>Ikan</v>
      </c>
      <c r="L839" s="1"/>
    </row>
    <row r="840" spans="1:12" ht="12" customHeight="1" x14ac:dyDescent="0.25">
      <c r="A840" s="15">
        <v>45176</v>
      </c>
      <c r="B840" s="16">
        <v>22301660</v>
      </c>
      <c r="C840" s="16" t="s">
        <v>348</v>
      </c>
      <c r="D840" s="16" t="str">
        <f>VLOOKUP(C840,[1]master_data!$A$2:$E$495,2,FALSE)</f>
        <v>AKUARIUM 80 ROBOT</v>
      </c>
      <c r="E840" s="16">
        <v>2</v>
      </c>
      <c r="F840" s="16">
        <f>VLOOKUP(C840,[1]master_data!$A$2:$E$495,3,FALSE)</f>
        <v>300000</v>
      </c>
      <c r="G840" s="16">
        <f>VLOOKUP(C840,[1]master_data!$A$2:$E$495,4,FALSE)</f>
        <v>370000</v>
      </c>
      <c r="H840" s="16">
        <f>E840*F840</f>
        <v>600000</v>
      </c>
      <c r="I840" s="16">
        <f>E840*G840</f>
        <v>740000</v>
      </c>
      <c r="J840" s="16">
        <f>I840-H840</f>
        <v>140000</v>
      </c>
      <c r="K840" s="16" t="str">
        <f>VLOOKUP(C840,[1]master_data!$A$2:$E$495,5,FALSE)</f>
        <v>Aksesoris</v>
      </c>
      <c r="L840" s="1"/>
    </row>
    <row r="841" spans="1:12" ht="12" customHeight="1" x14ac:dyDescent="0.25">
      <c r="A841" s="15">
        <v>45176</v>
      </c>
      <c r="B841" s="16">
        <v>22301661</v>
      </c>
      <c r="C841" s="16" t="s">
        <v>376</v>
      </c>
      <c r="D841" s="16" t="str">
        <f>VLOOKUP(C841,[1]master_data!$A$2:$E$495,2,FALSE)</f>
        <v>PASIR BALI</v>
      </c>
      <c r="E841" s="16">
        <v>20</v>
      </c>
      <c r="F841" s="16">
        <f>VLOOKUP(C841,[1]master_data!$A$2:$E$495,3,FALSE)</f>
        <v>5000</v>
      </c>
      <c r="G841" s="16">
        <f>VLOOKUP(C841,[1]master_data!$A$2:$E$495,4,FALSE)</f>
        <v>10000</v>
      </c>
      <c r="H841" s="16">
        <f>E841*F841</f>
        <v>100000</v>
      </c>
      <c r="I841" s="16">
        <f>E841*G841</f>
        <v>200000</v>
      </c>
      <c r="J841" s="16">
        <f>I841-H841</f>
        <v>100000</v>
      </c>
      <c r="K841" s="16" t="str">
        <f>VLOOKUP(C841,[1]master_data!$A$2:$E$495,5,FALSE)</f>
        <v>Aksesoris</v>
      </c>
      <c r="L841" s="1"/>
    </row>
    <row r="842" spans="1:12" ht="12" customHeight="1" x14ac:dyDescent="0.25">
      <c r="A842" s="15">
        <v>45176</v>
      </c>
      <c r="B842" s="16">
        <v>22301662</v>
      </c>
      <c r="C842" s="16" t="s">
        <v>60</v>
      </c>
      <c r="D842" s="16" t="str">
        <f>VLOOKUP(C842,[1]master_data!$A$2:$E$495,2,FALSE)</f>
        <v>MESIN MARVIN 1200</v>
      </c>
      <c r="E842" s="16">
        <v>5</v>
      </c>
      <c r="F842" s="16">
        <f>VLOOKUP(C842,[1]master_data!$A$2:$E$495,3,FALSE)</f>
        <v>23000</v>
      </c>
      <c r="G842" s="16">
        <f>VLOOKUP(C842,[1]master_data!$A$2:$E$495,4,FALSE)</f>
        <v>35000</v>
      </c>
      <c r="H842" s="16">
        <f>E842*F842</f>
        <v>115000</v>
      </c>
      <c r="I842" s="16">
        <f>E842*G842</f>
        <v>175000</v>
      </c>
      <c r="J842" s="16">
        <f>I842-H842</f>
        <v>60000</v>
      </c>
      <c r="K842" s="16" t="str">
        <f>VLOOKUP(C842,[1]master_data!$A$2:$E$495,5,FALSE)</f>
        <v>Aksesoris</v>
      </c>
      <c r="L842" s="1"/>
    </row>
    <row r="843" spans="1:12" ht="12" customHeight="1" x14ac:dyDescent="0.25">
      <c r="A843" s="15">
        <v>45176</v>
      </c>
      <c r="B843" s="16">
        <v>22301663</v>
      </c>
      <c r="C843" s="16" t="s">
        <v>406</v>
      </c>
      <c r="D843" s="16" t="str">
        <f>VLOOKUP(C843,[1]master_data!$A$2:$E$495,2,FALSE)</f>
        <v>CATFISH</v>
      </c>
      <c r="E843" s="16">
        <v>2</v>
      </c>
      <c r="F843" s="16">
        <f>VLOOKUP(C843,[1]master_data!$A$2:$E$495,3,FALSE)</f>
        <v>20000</v>
      </c>
      <c r="G843" s="16">
        <f>VLOOKUP(C843,[1]master_data!$A$2:$E$495,4,FALSE)</f>
        <v>50000</v>
      </c>
      <c r="H843" s="16">
        <f>E843*F843</f>
        <v>40000</v>
      </c>
      <c r="I843" s="16">
        <f>E843*G843</f>
        <v>100000</v>
      </c>
      <c r="J843" s="16">
        <f>I843-H843</f>
        <v>60000</v>
      </c>
      <c r="K843" s="16" t="str">
        <f>VLOOKUP(C843,[1]master_data!$A$2:$E$495,5,FALSE)</f>
        <v>Ikan</v>
      </c>
      <c r="L843" s="1"/>
    </row>
    <row r="844" spans="1:12" ht="12" customHeight="1" x14ac:dyDescent="0.25">
      <c r="A844" s="15">
        <v>45176</v>
      </c>
      <c r="B844" s="16">
        <v>22301664</v>
      </c>
      <c r="C844" s="16" t="s">
        <v>454</v>
      </c>
      <c r="D844" s="16" t="str">
        <f>VLOOKUP(C844,[1]master_data!$A$2:$E$495,2,FALSE)</f>
        <v>TOMAN</v>
      </c>
      <c r="E844" s="16">
        <v>5</v>
      </c>
      <c r="F844" s="16">
        <f>VLOOKUP(C844,[1]master_data!$A$2:$E$495,3,FALSE)</f>
        <v>10000</v>
      </c>
      <c r="G844" s="16">
        <f>VLOOKUP(C844,[1]master_data!$A$2:$E$495,4,FALSE)</f>
        <v>25000</v>
      </c>
      <c r="H844" s="16">
        <f>E844*F844</f>
        <v>50000</v>
      </c>
      <c r="I844" s="16">
        <f>E844*G844</f>
        <v>125000</v>
      </c>
      <c r="J844" s="16">
        <f>I844-H844</f>
        <v>75000</v>
      </c>
      <c r="K844" s="16" t="str">
        <f>VLOOKUP(C844,[1]master_data!$A$2:$E$495,5,FALSE)</f>
        <v>Ikan</v>
      </c>
      <c r="L844" s="1"/>
    </row>
    <row r="845" spans="1:12" ht="12" customHeight="1" x14ac:dyDescent="0.25">
      <c r="A845" s="15">
        <v>45176</v>
      </c>
      <c r="B845" s="16">
        <v>22301665</v>
      </c>
      <c r="C845" s="16" t="s">
        <v>441</v>
      </c>
      <c r="D845" s="16" t="str">
        <f>VLOOKUP(C845,[1]master_data!$A$2:$E$495,2,FALSE)</f>
        <v>PALMAS</v>
      </c>
      <c r="E845" s="16">
        <v>1</v>
      </c>
      <c r="F845" s="16">
        <f>VLOOKUP(C845,[1]master_data!$A$2:$E$495,3,FALSE)</f>
        <v>10000</v>
      </c>
      <c r="G845" s="16">
        <f>VLOOKUP(C845,[1]master_data!$A$2:$E$495,4,FALSE)</f>
        <v>25000</v>
      </c>
      <c r="H845" s="16">
        <f>E845*F845</f>
        <v>10000</v>
      </c>
      <c r="I845" s="16">
        <f>E845*G845</f>
        <v>25000</v>
      </c>
      <c r="J845" s="16">
        <f>I845-H845</f>
        <v>15000</v>
      </c>
      <c r="K845" s="16" t="str">
        <f>VLOOKUP(C845,[1]master_data!$A$2:$E$495,5,FALSE)</f>
        <v>Ikan</v>
      </c>
      <c r="L845" s="1"/>
    </row>
    <row r="846" spans="1:12" ht="12" customHeight="1" x14ac:dyDescent="0.25">
      <c r="A846" s="15">
        <v>45176</v>
      </c>
      <c r="B846" s="16">
        <v>22301666</v>
      </c>
      <c r="C846" s="16" t="s">
        <v>276</v>
      </c>
      <c r="D846" s="16" t="str">
        <f>VLOOKUP(C846,[1]master_data!$A$2:$E$495,2,FALSE)</f>
        <v>JARING 30</v>
      </c>
      <c r="E846" s="16">
        <v>2</v>
      </c>
      <c r="F846" s="16">
        <f>VLOOKUP(C846,[1]master_data!$A$2:$E$495,3,FALSE)</f>
        <v>7100</v>
      </c>
      <c r="G846" s="16">
        <f>VLOOKUP(C846,[1]master_data!$A$2:$E$495,4,FALSE)</f>
        <v>12000</v>
      </c>
      <c r="H846" s="16">
        <f>E846*F846</f>
        <v>14200</v>
      </c>
      <c r="I846" s="16">
        <f>E846*G846</f>
        <v>24000</v>
      </c>
      <c r="J846" s="16">
        <f>I846-H846</f>
        <v>9800</v>
      </c>
      <c r="K846" s="16" t="str">
        <f>VLOOKUP(C846,[1]master_data!$A$2:$E$495,5,FALSE)</f>
        <v>Aksesoris</v>
      </c>
      <c r="L846" s="1"/>
    </row>
    <row r="847" spans="1:12" ht="12" customHeight="1" x14ac:dyDescent="0.25">
      <c r="A847" s="15">
        <v>45176</v>
      </c>
      <c r="B847" s="16">
        <v>22301667</v>
      </c>
      <c r="C847" s="16" t="s">
        <v>303</v>
      </c>
      <c r="D847" s="16" t="str">
        <f>VLOOKUP(C847,[1]master_data!$A$2:$E$495,2,FALSE)</f>
        <v>PINSET KANDILA</v>
      </c>
      <c r="E847" s="16">
        <v>1</v>
      </c>
      <c r="F847" s="16">
        <f>VLOOKUP(C847,[1]master_data!$A$2:$E$495,3,FALSE)</f>
        <v>18000</v>
      </c>
      <c r="G847" s="16">
        <f>VLOOKUP(C847,[1]master_data!$A$2:$E$495,4,FALSE)</f>
        <v>35000</v>
      </c>
      <c r="H847" s="16">
        <f>E847*F847</f>
        <v>18000</v>
      </c>
      <c r="I847" s="16">
        <f>E847*G847</f>
        <v>35000</v>
      </c>
      <c r="J847" s="16">
        <f>I847-H847</f>
        <v>17000</v>
      </c>
      <c r="K847" s="16" t="str">
        <f>VLOOKUP(C847,[1]master_data!$A$2:$E$495,5,FALSE)</f>
        <v>Aksesoris</v>
      </c>
      <c r="L847" s="1"/>
    </row>
    <row r="848" spans="1:12" ht="12" customHeight="1" x14ac:dyDescent="0.25">
      <c r="A848" s="15">
        <v>45175</v>
      </c>
      <c r="B848" s="16">
        <v>22301647</v>
      </c>
      <c r="C848" s="16" t="s">
        <v>449</v>
      </c>
      <c r="D848" s="16" t="str">
        <f>VLOOKUP(C848,[1]master_data!$A$2:$E$495,2,FALSE)</f>
        <v>SUMATRA GOLD FISH</v>
      </c>
      <c r="E848" s="16">
        <v>40</v>
      </c>
      <c r="F848" s="16">
        <f>VLOOKUP(C848,[1]master_data!$A$2:$E$495,3,FALSE)</f>
        <v>2500</v>
      </c>
      <c r="G848" s="16">
        <f>VLOOKUP(C848,[1]master_data!$A$2:$E$495,4,FALSE)</f>
        <v>4000</v>
      </c>
      <c r="H848" s="16">
        <f>E848*F848</f>
        <v>100000</v>
      </c>
      <c r="I848" s="16">
        <f>E848*G848</f>
        <v>160000</v>
      </c>
      <c r="J848" s="16">
        <f>I848-H848</f>
        <v>60000</v>
      </c>
      <c r="K848" s="16" t="str">
        <f>VLOOKUP(C848,[1]master_data!$A$2:$E$495,5,FALSE)</f>
        <v>Ikan</v>
      </c>
      <c r="L848" s="1"/>
    </row>
    <row r="849" spans="1:12" ht="12" customHeight="1" x14ac:dyDescent="0.25">
      <c r="A849" s="15">
        <v>45175</v>
      </c>
      <c r="B849" s="16">
        <v>22301648</v>
      </c>
      <c r="C849" s="16" t="s">
        <v>436</v>
      </c>
      <c r="D849" s="16" t="str">
        <f>VLOOKUP(C849,[1]master_data!$A$2:$E$495,2,FALSE)</f>
        <v>NENTINEN</v>
      </c>
      <c r="E849" s="16">
        <v>30</v>
      </c>
      <c r="F849" s="16">
        <f>VLOOKUP(C849,[1]master_data!$A$2:$E$495,3,FALSE)</f>
        <v>1000</v>
      </c>
      <c r="G849" s="16">
        <f>VLOOKUP(C849,[1]master_data!$A$2:$E$495,4,FALSE)</f>
        <v>2500</v>
      </c>
      <c r="H849" s="16">
        <f>E849*F849</f>
        <v>30000</v>
      </c>
      <c r="I849" s="16">
        <f>E849*G849</f>
        <v>75000</v>
      </c>
      <c r="J849" s="16">
        <f>I849-H849</f>
        <v>45000</v>
      </c>
      <c r="K849" s="16" t="str">
        <f>VLOOKUP(C849,[1]master_data!$A$2:$E$495,5,FALSE)</f>
        <v>Ikan</v>
      </c>
      <c r="L849" s="1"/>
    </row>
    <row r="850" spans="1:12" ht="12" customHeight="1" x14ac:dyDescent="0.25">
      <c r="A850" s="15">
        <v>45175</v>
      </c>
      <c r="B850" s="16">
        <v>22301649</v>
      </c>
      <c r="C850" s="16" t="s">
        <v>406</v>
      </c>
      <c r="D850" s="16" t="str">
        <f>VLOOKUP(C850,[1]master_data!$A$2:$E$495,2,FALSE)</f>
        <v>CATFISH</v>
      </c>
      <c r="E850" s="16">
        <v>5</v>
      </c>
      <c r="F850" s="16">
        <f>VLOOKUP(C850,[1]master_data!$A$2:$E$495,3,FALSE)</f>
        <v>20000</v>
      </c>
      <c r="G850" s="16">
        <f>VLOOKUP(C850,[1]master_data!$A$2:$E$495,4,FALSE)</f>
        <v>50000</v>
      </c>
      <c r="H850" s="16">
        <f>E850*F850</f>
        <v>100000</v>
      </c>
      <c r="I850" s="16">
        <f>E850*G850</f>
        <v>250000</v>
      </c>
      <c r="J850" s="16">
        <f>I850-H850</f>
        <v>150000</v>
      </c>
      <c r="K850" s="16" t="str">
        <f>VLOOKUP(C850,[1]master_data!$A$2:$E$495,5,FALSE)</f>
        <v>Ikan</v>
      </c>
      <c r="L850" s="1"/>
    </row>
    <row r="851" spans="1:12" ht="12" customHeight="1" x14ac:dyDescent="0.25">
      <c r="A851" s="15">
        <v>45175</v>
      </c>
      <c r="B851" s="16">
        <v>22301650</v>
      </c>
      <c r="C851" s="16" t="s">
        <v>332</v>
      </c>
      <c r="D851" s="16" t="str">
        <f>VLOOKUP(C851,[1]master_data!$A$2:$E$495,2,FALSE)</f>
        <v>KAPAS 2 LAPIS</v>
      </c>
      <c r="E851" s="16">
        <v>10</v>
      </c>
      <c r="F851" s="16">
        <f>VLOOKUP(C851,[1]master_data!$A$2:$E$495,3,FALSE)</f>
        <v>2000</v>
      </c>
      <c r="G851" s="16">
        <f>VLOOKUP(C851,[1]master_data!$A$2:$E$495,4,FALSE)</f>
        <v>4000</v>
      </c>
      <c r="H851" s="16">
        <f>E851*F851</f>
        <v>20000</v>
      </c>
      <c r="I851" s="16">
        <f>E851*G851</f>
        <v>40000</v>
      </c>
      <c r="J851" s="16">
        <f>I851-H851</f>
        <v>20000</v>
      </c>
      <c r="K851" s="16" t="str">
        <f>VLOOKUP(C851,[1]master_data!$A$2:$E$495,5,FALSE)</f>
        <v>Aksesoris</v>
      </c>
      <c r="L851" s="1"/>
    </row>
    <row r="852" spans="1:12" ht="12" customHeight="1" x14ac:dyDescent="0.25">
      <c r="A852" s="15">
        <v>45175</v>
      </c>
      <c r="B852" s="16">
        <v>22301651</v>
      </c>
      <c r="C852" s="16" t="s">
        <v>412</v>
      </c>
      <c r="D852" s="16" t="str">
        <f>VLOOKUP(C852,[1]master_data!$A$2:$E$495,2,FALSE)</f>
        <v>KOKI T</v>
      </c>
      <c r="E852" s="16">
        <v>5</v>
      </c>
      <c r="F852" s="16">
        <f>VLOOKUP(C852,[1]master_data!$A$2:$E$495,3,FALSE)</f>
        <v>8000</v>
      </c>
      <c r="G852" s="16">
        <f>VLOOKUP(C852,[1]master_data!$A$2:$E$495,4,FALSE)</f>
        <v>15000</v>
      </c>
      <c r="H852" s="16">
        <f>E852*F852</f>
        <v>40000</v>
      </c>
      <c r="I852" s="16">
        <f>E852*G852</f>
        <v>75000</v>
      </c>
      <c r="J852" s="16">
        <f>I852-H852</f>
        <v>35000</v>
      </c>
      <c r="K852" s="16" t="str">
        <f>VLOOKUP(C852,[1]master_data!$A$2:$E$495,5,FALSE)</f>
        <v>Ikan</v>
      </c>
      <c r="L852" s="1"/>
    </row>
    <row r="853" spans="1:12" ht="12" customHeight="1" x14ac:dyDescent="0.25">
      <c r="A853" s="15">
        <v>45175</v>
      </c>
      <c r="B853" s="16">
        <v>22301652</v>
      </c>
      <c r="C853" s="16" t="s">
        <v>447</v>
      </c>
      <c r="D853" s="16" t="str">
        <f>VLOOKUP(C853,[1]master_data!$A$2:$E$495,2,FALSE)</f>
        <v>CHANNA RED BARITO B</v>
      </c>
      <c r="E853" s="16">
        <v>1</v>
      </c>
      <c r="F853" s="16">
        <f>VLOOKUP(C853,[1]master_data!$A$2:$E$495,3,FALSE)</f>
        <v>120000</v>
      </c>
      <c r="G853" s="16">
        <f>VLOOKUP(C853,[1]master_data!$A$2:$E$495,4,FALSE)</f>
        <v>200000</v>
      </c>
      <c r="H853" s="16">
        <f>E853*F853</f>
        <v>120000</v>
      </c>
      <c r="I853" s="16">
        <f>E853*G853</f>
        <v>200000</v>
      </c>
      <c r="J853" s="16">
        <f>I853-H853</f>
        <v>80000</v>
      </c>
      <c r="K853" s="16" t="str">
        <f>VLOOKUP(C853,[1]master_data!$A$2:$E$495,5,FALSE)</f>
        <v>Ikan</v>
      </c>
      <c r="L853" s="1"/>
    </row>
    <row r="854" spans="1:12" ht="12" customHeight="1" x14ac:dyDescent="0.25">
      <c r="A854" s="15">
        <v>45175</v>
      </c>
      <c r="B854" s="16">
        <v>22301653</v>
      </c>
      <c r="C854" s="16" t="s">
        <v>399</v>
      </c>
      <c r="D854" s="16" t="str">
        <f>VLOOKUP(C854,[1]master_data!$A$2:$E$495,2,FALSE)</f>
        <v>BALA BALA B</v>
      </c>
      <c r="E854" s="16">
        <v>10</v>
      </c>
      <c r="F854" s="16">
        <f>VLOOKUP(C854,[1]master_data!$A$2:$E$495,3,FALSE)</f>
        <v>7000</v>
      </c>
      <c r="G854" s="16">
        <f>VLOOKUP(C854,[1]master_data!$A$2:$E$495,4,FALSE)</f>
        <v>15000</v>
      </c>
      <c r="H854" s="16">
        <f>E854*F854</f>
        <v>70000</v>
      </c>
      <c r="I854" s="16">
        <f>E854*G854</f>
        <v>150000</v>
      </c>
      <c r="J854" s="16">
        <f>I854-H854</f>
        <v>80000</v>
      </c>
      <c r="K854" s="16" t="str">
        <f>VLOOKUP(C854,[1]master_data!$A$2:$E$495,5,FALSE)</f>
        <v>Ikan</v>
      </c>
      <c r="L854" s="1"/>
    </row>
    <row r="855" spans="1:12" ht="12" customHeight="1" x14ac:dyDescent="0.25">
      <c r="A855" s="15">
        <v>45175</v>
      </c>
      <c r="B855" s="16">
        <v>22301654</v>
      </c>
      <c r="C855" s="16" t="s">
        <v>125</v>
      </c>
      <c r="D855" s="16" t="str">
        <f>VLOOKUP(C855,[1]master_data!$A$2:$E$495,2,FALSE)</f>
        <v>LAMPU YAMANO UV 7W</v>
      </c>
      <c r="E855" s="16">
        <v>2</v>
      </c>
      <c r="F855" s="16">
        <f>VLOOKUP(C855,[1]master_data!$A$2:$E$495,3,FALSE)</f>
        <v>63000</v>
      </c>
      <c r="G855" s="16">
        <f>VLOOKUP(C855,[1]master_data!$A$2:$E$495,4,FALSE)</f>
        <v>80000</v>
      </c>
      <c r="H855" s="16">
        <f>E855*F855</f>
        <v>126000</v>
      </c>
      <c r="I855" s="16">
        <f>E855*G855</f>
        <v>160000</v>
      </c>
      <c r="J855" s="16">
        <f>I855-H855</f>
        <v>34000</v>
      </c>
      <c r="K855" s="16" t="str">
        <f>VLOOKUP(C855,[1]master_data!$A$2:$E$495,5,FALSE)</f>
        <v>Aksesoris</v>
      </c>
      <c r="L855" s="1"/>
    </row>
    <row r="856" spans="1:12" ht="12" customHeight="1" x14ac:dyDescent="0.25">
      <c r="A856" s="15">
        <v>45175</v>
      </c>
      <c r="B856" s="16">
        <v>22301655</v>
      </c>
      <c r="C856" s="16" t="s">
        <v>318</v>
      </c>
      <c r="D856" s="16" t="str">
        <f>VLOOKUP(C856,[1]master_data!$A$2:$E$495,2,FALSE)</f>
        <v>KAPAS HIJAU HITAM</v>
      </c>
      <c r="E856" s="16">
        <v>5</v>
      </c>
      <c r="F856" s="16">
        <f>VLOOKUP(C856,[1]master_data!$A$2:$E$495,3,FALSE)</f>
        <v>11000</v>
      </c>
      <c r="G856" s="16">
        <f>VLOOKUP(C856,[1]master_data!$A$2:$E$495,4,FALSE)</f>
        <v>15000</v>
      </c>
      <c r="H856" s="16">
        <f>E856*F856</f>
        <v>55000</v>
      </c>
      <c r="I856" s="16">
        <f>E856*G856</f>
        <v>75000</v>
      </c>
      <c r="J856" s="16">
        <f>I856-H856</f>
        <v>20000</v>
      </c>
      <c r="K856" s="16" t="str">
        <f>VLOOKUP(C856,[1]master_data!$A$2:$E$495,5,FALSE)</f>
        <v>Aksesoris</v>
      </c>
      <c r="L856" s="1"/>
    </row>
    <row r="857" spans="1:12" ht="12" customHeight="1" x14ac:dyDescent="0.25">
      <c r="A857" s="15">
        <v>45175</v>
      </c>
      <c r="B857" s="16">
        <v>22301656</v>
      </c>
      <c r="C857" s="16" t="s">
        <v>442</v>
      </c>
      <c r="D857" s="16" t="str">
        <f>VLOOKUP(C857,[1]master_data!$A$2:$E$495,2,FALSE)</f>
        <v>PARROT</v>
      </c>
      <c r="E857" s="16">
        <v>2</v>
      </c>
      <c r="F857" s="16">
        <f>VLOOKUP(C857,[1]master_data!$A$2:$E$495,3,FALSE)</f>
        <v>27000</v>
      </c>
      <c r="G857" s="16">
        <f>VLOOKUP(C857,[1]master_data!$A$2:$E$495,4,FALSE)</f>
        <v>60000</v>
      </c>
      <c r="H857" s="16">
        <f>E857*F857</f>
        <v>54000</v>
      </c>
      <c r="I857" s="16">
        <f>E857*G857</f>
        <v>120000</v>
      </c>
      <c r="J857" s="16">
        <f>I857-H857</f>
        <v>66000</v>
      </c>
      <c r="K857" s="16" t="str">
        <f>VLOOKUP(C857,[1]master_data!$A$2:$E$495,5,FALSE)</f>
        <v>Ikan</v>
      </c>
      <c r="L857" s="1"/>
    </row>
    <row r="858" spans="1:12" ht="12" customHeight="1" x14ac:dyDescent="0.25">
      <c r="A858" s="15">
        <v>45174</v>
      </c>
      <c r="B858" s="16">
        <v>22301637</v>
      </c>
      <c r="C858" s="16" t="s">
        <v>402</v>
      </c>
      <c r="D858" s="16" t="str">
        <f>VLOOKUP(C858,[1]master_data!$A$2:$E$495,2,FALSE)</f>
        <v>CHANNA BLUE PULCHRA B</v>
      </c>
      <c r="E858" s="16">
        <v>2</v>
      </c>
      <c r="F858" s="16">
        <f>VLOOKUP(C858,[1]master_data!$A$2:$E$495,3,FALSE)</f>
        <v>125000</v>
      </c>
      <c r="G858" s="16">
        <f>VLOOKUP(C858,[1]master_data!$A$2:$E$495,4,FALSE)</f>
        <v>200000</v>
      </c>
      <c r="H858" s="16">
        <f>E858*F858</f>
        <v>250000</v>
      </c>
      <c r="I858" s="16">
        <f>E858*G858</f>
        <v>400000</v>
      </c>
      <c r="J858" s="16">
        <f>I858-H858</f>
        <v>150000</v>
      </c>
      <c r="K858" s="16" t="str">
        <f>VLOOKUP(C858,[1]master_data!$A$2:$E$495,5,FALSE)</f>
        <v>Ikan</v>
      </c>
      <c r="L858" s="1"/>
    </row>
    <row r="859" spans="1:12" ht="12" customHeight="1" x14ac:dyDescent="0.25">
      <c r="A859" s="15">
        <v>45174</v>
      </c>
      <c r="B859" s="16">
        <v>22301638</v>
      </c>
      <c r="C859" s="16" t="s">
        <v>447</v>
      </c>
      <c r="D859" s="16" t="str">
        <f>VLOOKUP(C859,[1]master_data!$A$2:$E$495,2,FALSE)</f>
        <v>CHANNA RED BARITO B</v>
      </c>
      <c r="E859" s="16">
        <v>1</v>
      </c>
      <c r="F859" s="16">
        <f>VLOOKUP(C859,[1]master_data!$A$2:$E$495,3,FALSE)</f>
        <v>120000</v>
      </c>
      <c r="G859" s="16">
        <f>VLOOKUP(C859,[1]master_data!$A$2:$E$495,4,FALSE)</f>
        <v>200000</v>
      </c>
      <c r="H859" s="16">
        <f>E859*F859</f>
        <v>120000</v>
      </c>
      <c r="I859" s="16">
        <f>E859*G859</f>
        <v>200000</v>
      </c>
      <c r="J859" s="16">
        <f>I859-H859</f>
        <v>80000</v>
      </c>
      <c r="K859" s="16" t="str">
        <f>VLOOKUP(C859,[1]master_data!$A$2:$E$495,5,FALSE)</f>
        <v>Ikan</v>
      </c>
      <c r="L859" s="1"/>
    </row>
    <row r="860" spans="1:12" ht="12" customHeight="1" x14ac:dyDescent="0.25">
      <c r="A860" s="15">
        <v>45174</v>
      </c>
      <c r="B860" s="16">
        <v>22301639</v>
      </c>
      <c r="C860" s="16" t="s">
        <v>414</v>
      </c>
      <c r="D860" s="16" t="str">
        <f>VLOOKUP(C860,[1]master_data!$A$2:$E$495,2,FALSE)</f>
        <v>KOI K</v>
      </c>
      <c r="E860" s="16">
        <v>10</v>
      </c>
      <c r="F860" s="16">
        <f>VLOOKUP(C860,[1]master_data!$A$2:$E$495,3,FALSE)</f>
        <v>2500</v>
      </c>
      <c r="G860" s="16">
        <f>VLOOKUP(C860,[1]master_data!$A$2:$E$495,4,FALSE)</f>
        <v>10000</v>
      </c>
      <c r="H860" s="16">
        <f>E860*F860</f>
        <v>25000</v>
      </c>
      <c r="I860" s="16">
        <f>E860*G860</f>
        <v>100000</v>
      </c>
      <c r="J860" s="16">
        <f>I860-H860</f>
        <v>75000</v>
      </c>
      <c r="K860" s="16" t="str">
        <f>VLOOKUP(C860,[1]master_data!$A$2:$E$495,5,FALSE)</f>
        <v>Ikan</v>
      </c>
      <c r="L860" s="1"/>
    </row>
    <row r="861" spans="1:12" ht="12" customHeight="1" x14ac:dyDescent="0.25">
      <c r="A861" s="15">
        <v>45174</v>
      </c>
      <c r="B861" s="16">
        <v>22301640</v>
      </c>
      <c r="C861" s="16" t="s">
        <v>435</v>
      </c>
      <c r="D861" s="16" t="str">
        <f>VLOOKUP(C861,[1]master_data!$A$2:$E$495,2,FALSE)</f>
        <v>RED EYE TETRA</v>
      </c>
      <c r="E861" s="16">
        <v>10</v>
      </c>
      <c r="F861" s="16">
        <f>VLOOKUP(C861,[1]master_data!$A$2:$E$495,3,FALSE)</f>
        <v>900</v>
      </c>
      <c r="G861" s="16">
        <f>VLOOKUP(C861,[1]master_data!$A$2:$E$495,4,FALSE)</f>
        <v>2000</v>
      </c>
      <c r="H861" s="16">
        <f>E861*F861</f>
        <v>9000</v>
      </c>
      <c r="I861" s="16">
        <f>E861*G861</f>
        <v>20000</v>
      </c>
      <c r="J861" s="16">
        <f>I861-H861</f>
        <v>11000</v>
      </c>
      <c r="K861" s="16" t="str">
        <f>VLOOKUP(C861,[1]master_data!$A$2:$E$495,5,FALSE)</f>
        <v>Ikan</v>
      </c>
      <c r="L861" s="1"/>
    </row>
    <row r="862" spans="1:12" ht="12" customHeight="1" x14ac:dyDescent="0.25">
      <c r="A862" s="15">
        <v>45174</v>
      </c>
      <c r="B862" s="16">
        <v>22301641</v>
      </c>
      <c r="C862" s="16" t="s">
        <v>417</v>
      </c>
      <c r="D862" s="16" t="str">
        <f>VLOOKUP(C862,[1]master_data!$A$2:$E$495,2,FALSE)</f>
        <v>KURA - KURA</v>
      </c>
      <c r="E862" s="16">
        <v>1</v>
      </c>
      <c r="F862" s="16">
        <f>VLOOKUP(C862,[1]master_data!$A$2:$E$495,3,FALSE)</f>
        <v>25000</v>
      </c>
      <c r="G862" s="16">
        <f>VLOOKUP(C862,[1]master_data!$A$2:$E$495,4,FALSE)</f>
        <v>35000</v>
      </c>
      <c r="H862" s="16">
        <f>E862*F862</f>
        <v>25000</v>
      </c>
      <c r="I862" s="16">
        <f>E862*G862</f>
        <v>35000</v>
      </c>
      <c r="J862" s="16">
        <f>I862-H862</f>
        <v>10000</v>
      </c>
      <c r="K862" s="16" t="str">
        <f>VLOOKUP(C862,[1]master_data!$A$2:$E$495,5,FALSE)</f>
        <v>Ikan</v>
      </c>
      <c r="L862" s="1"/>
    </row>
    <row r="863" spans="1:12" ht="12" customHeight="1" x14ac:dyDescent="0.25">
      <c r="A863" s="15">
        <v>45174</v>
      </c>
      <c r="B863" s="16">
        <v>22301642</v>
      </c>
      <c r="C863" s="16" t="s">
        <v>30</v>
      </c>
      <c r="D863" s="16" t="str">
        <f>VLOOKUP(C863,[1]master_data!$A$2:$E$495,2,FALSE)</f>
        <v>TOP FILTER ROSTON 650 K</v>
      </c>
      <c r="E863" s="16">
        <v>5</v>
      </c>
      <c r="F863" s="16">
        <f>VLOOKUP(C863,[1]master_data!$A$2:$E$495,3,FALSE)</f>
        <v>35000</v>
      </c>
      <c r="G863" s="16">
        <f>VLOOKUP(C863,[1]master_data!$A$2:$E$495,4,FALSE)</f>
        <v>50000</v>
      </c>
      <c r="H863" s="16">
        <f>E863*F863</f>
        <v>175000</v>
      </c>
      <c r="I863" s="16">
        <f>E863*G863</f>
        <v>250000</v>
      </c>
      <c r="J863" s="16">
        <f>I863-H863</f>
        <v>75000</v>
      </c>
      <c r="K863" s="16" t="str">
        <f>VLOOKUP(C863,[1]master_data!$A$2:$E$495,5,FALSE)</f>
        <v>Aksesoris</v>
      </c>
      <c r="L863" s="1"/>
    </row>
    <row r="864" spans="1:12" ht="12" customHeight="1" x14ac:dyDescent="0.25">
      <c r="A864" s="15">
        <v>45174</v>
      </c>
      <c r="B864" s="16">
        <v>22301643</v>
      </c>
      <c r="C864" s="16" t="s">
        <v>422</v>
      </c>
      <c r="D864" s="16" t="str">
        <f>VLOOKUP(C864,[1]master_data!$A$2:$E$495,2,FALSE)</f>
        <v>KOI SLAYER B</v>
      </c>
      <c r="E864" s="16">
        <v>2</v>
      </c>
      <c r="F864" s="16">
        <f>VLOOKUP(C864,[1]master_data!$A$2:$E$495,3,FALSE)</f>
        <v>8000</v>
      </c>
      <c r="G864" s="16">
        <f>VLOOKUP(C864,[1]master_data!$A$2:$E$495,4,FALSE)</f>
        <v>20000</v>
      </c>
      <c r="H864" s="16">
        <f>E864*F864</f>
        <v>16000</v>
      </c>
      <c r="I864" s="16">
        <f>E864*G864</f>
        <v>40000</v>
      </c>
      <c r="J864" s="16">
        <f>I864-H864</f>
        <v>24000</v>
      </c>
      <c r="K864" s="16" t="str">
        <f>VLOOKUP(C864,[1]master_data!$A$2:$E$495,5,FALSE)</f>
        <v>Ikan</v>
      </c>
      <c r="L864" s="1"/>
    </row>
    <row r="865" spans="1:12" ht="12" customHeight="1" x14ac:dyDescent="0.25">
      <c r="A865" s="15">
        <v>45174</v>
      </c>
      <c r="B865" s="16">
        <v>22301644</v>
      </c>
      <c r="C865" s="16" t="s">
        <v>173</v>
      </c>
      <c r="D865" s="16" t="str">
        <f>VLOOKUP(C865,[1]master_data!$A$2:$E$495,2,FALSE)</f>
        <v>LED AQURA 40 CM</v>
      </c>
      <c r="E865" s="16">
        <v>7</v>
      </c>
      <c r="F865" s="16">
        <f>VLOOKUP(C865,[1]master_data!$A$2:$E$495,3,FALSE)</f>
        <v>21000</v>
      </c>
      <c r="G865" s="16">
        <f>VLOOKUP(C865,[1]master_data!$A$2:$E$495,4,FALSE)</f>
        <v>40000</v>
      </c>
      <c r="H865" s="16">
        <f>E865*F865</f>
        <v>147000</v>
      </c>
      <c r="I865" s="16">
        <f>E865*G865</f>
        <v>280000</v>
      </c>
      <c r="J865" s="16">
        <f>I865-H865</f>
        <v>133000</v>
      </c>
      <c r="K865" s="16" t="str">
        <f>VLOOKUP(C865,[1]master_data!$A$2:$E$495,5,FALSE)</f>
        <v>Aksesoris</v>
      </c>
      <c r="L865" s="1"/>
    </row>
    <row r="866" spans="1:12" ht="12" customHeight="1" x14ac:dyDescent="0.25">
      <c r="A866" s="15">
        <v>45174</v>
      </c>
      <c r="B866" s="16">
        <v>22301645</v>
      </c>
      <c r="C866" s="16" t="s">
        <v>415</v>
      </c>
      <c r="D866" s="16" t="str">
        <f>VLOOKUP(C866,[1]master_data!$A$2:$E$495,2,FALSE)</f>
        <v>KOI T</v>
      </c>
      <c r="E866" s="16">
        <v>1</v>
      </c>
      <c r="F866" s="16">
        <f>VLOOKUP(C866,[1]master_data!$A$2:$E$495,3,FALSE)</f>
        <v>7000</v>
      </c>
      <c r="G866" s="16">
        <f>VLOOKUP(C866,[1]master_data!$A$2:$E$495,4,FALSE)</f>
        <v>20000</v>
      </c>
      <c r="H866" s="16">
        <f>E866*F866</f>
        <v>7000</v>
      </c>
      <c r="I866" s="16">
        <f>E866*G866</f>
        <v>20000</v>
      </c>
      <c r="J866" s="16">
        <f>I866-H866</f>
        <v>13000</v>
      </c>
      <c r="K866" s="16" t="str">
        <f>VLOOKUP(C866,[1]master_data!$A$2:$E$495,5,FALSE)</f>
        <v>Ikan</v>
      </c>
      <c r="L866" s="1"/>
    </row>
    <row r="867" spans="1:12" ht="12" customHeight="1" x14ac:dyDescent="0.25">
      <c r="A867" s="15">
        <v>45174</v>
      </c>
      <c r="B867" s="16">
        <v>22301646</v>
      </c>
      <c r="C867" s="16" t="s">
        <v>214</v>
      </c>
      <c r="D867" s="16" t="str">
        <f>VLOOKUP(C867,[1]master_data!$A$2:$E$495,2,FALSE)</f>
        <v>HOKKY LOUHAN COLOUR</v>
      </c>
      <c r="E867" s="16">
        <v>1</v>
      </c>
      <c r="F867" s="16">
        <f>VLOOKUP(C867,[1]master_data!$A$2:$E$495,3,FALSE)</f>
        <v>18000</v>
      </c>
      <c r="G867" s="16">
        <f>VLOOKUP(C867,[1]master_data!$A$2:$E$495,4,FALSE)</f>
        <v>25000</v>
      </c>
      <c r="H867" s="16">
        <f>E867*F867</f>
        <v>18000</v>
      </c>
      <c r="I867" s="16">
        <f>E867*G867</f>
        <v>25000</v>
      </c>
      <c r="J867" s="16">
        <f>I867-H867</f>
        <v>7000</v>
      </c>
      <c r="K867" s="16" t="str">
        <f>VLOOKUP(C867,[1]master_data!$A$2:$E$495,5,FALSE)</f>
        <v>Aksesoris</v>
      </c>
      <c r="L867" s="1"/>
    </row>
    <row r="868" spans="1:12" ht="12" customHeight="1" x14ac:dyDescent="0.25">
      <c r="A868" s="15">
        <v>45173</v>
      </c>
      <c r="B868" s="16">
        <v>22301628</v>
      </c>
      <c r="C868" s="16" t="s">
        <v>392</v>
      </c>
      <c r="D868" s="16" t="str">
        <f>VLOOKUP(C868,[1]master_data!$A$2:$E$495,2,FALSE)</f>
        <v>ARWANA SILVER K</v>
      </c>
      <c r="E868" s="16">
        <v>1</v>
      </c>
      <c r="F868" s="16">
        <f>VLOOKUP(C868,[1]master_data!$A$2:$E$495,3,FALSE)</f>
        <v>100000</v>
      </c>
      <c r="G868" s="16">
        <f>VLOOKUP(C868,[1]master_data!$A$2:$E$495,4,FALSE)</f>
        <v>200000</v>
      </c>
      <c r="H868" s="16">
        <f>E868*F868</f>
        <v>100000</v>
      </c>
      <c r="I868" s="16">
        <f>E868*G868</f>
        <v>200000</v>
      </c>
      <c r="J868" s="16">
        <f>I868-H868</f>
        <v>100000</v>
      </c>
      <c r="K868" s="16" t="str">
        <f>VLOOKUP(C868,[1]master_data!$A$2:$E$495,5,FALSE)</f>
        <v>Ikan</v>
      </c>
      <c r="L868" s="1"/>
    </row>
    <row r="869" spans="1:12" ht="12" customHeight="1" x14ac:dyDescent="0.25">
      <c r="A869" s="15">
        <v>45173</v>
      </c>
      <c r="B869" s="16">
        <v>22301629</v>
      </c>
      <c r="C869" s="16" t="s">
        <v>429</v>
      </c>
      <c r="D869" s="16" t="str">
        <f>VLOOKUP(C869,[1]master_data!$A$2:$E$495,2,FALSE)</f>
        <v>MANFISH B</v>
      </c>
      <c r="E869" s="16">
        <v>25</v>
      </c>
      <c r="F869" s="16">
        <f>VLOOKUP(C869,[1]master_data!$A$2:$E$495,3,FALSE)</f>
        <v>4000</v>
      </c>
      <c r="G869" s="16">
        <f>VLOOKUP(C869,[1]master_data!$A$2:$E$495,4,FALSE)</f>
        <v>10000</v>
      </c>
      <c r="H869" s="16">
        <f>E869*F869</f>
        <v>100000</v>
      </c>
      <c r="I869" s="16">
        <f>E869*G869</f>
        <v>250000</v>
      </c>
      <c r="J869" s="16">
        <f>I869-H869</f>
        <v>150000</v>
      </c>
      <c r="K869" s="16" t="str">
        <f>VLOOKUP(C869,[1]master_data!$A$2:$E$495,5,FALSE)</f>
        <v>Ikan</v>
      </c>
      <c r="L869" s="1"/>
    </row>
    <row r="870" spans="1:12" ht="12" customHeight="1" x14ac:dyDescent="0.25">
      <c r="A870" s="15">
        <v>45173</v>
      </c>
      <c r="B870" s="16">
        <v>22301630</v>
      </c>
      <c r="C870" s="16" t="s">
        <v>234</v>
      </c>
      <c r="D870" s="16" t="str">
        <f>VLOOKUP(C870,[1]master_data!$A$2:$E$495,2,FALSE)</f>
        <v>QUICK RED BG</v>
      </c>
      <c r="E870" s="16">
        <v>1</v>
      </c>
      <c r="F870" s="16">
        <f>VLOOKUP(C870,[1]master_data!$A$2:$E$495,3,FALSE)</f>
        <v>19200</v>
      </c>
      <c r="G870" s="16">
        <f>VLOOKUP(C870,[1]master_data!$A$2:$E$495,4,FALSE)</f>
        <v>35000</v>
      </c>
      <c r="H870" s="16">
        <f>E870*F870</f>
        <v>19200</v>
      </c>
      <c r="I870" s="16">
        <f>E870*G870</f>
        <v>35000</v>
      </c>
      <c r="J870" s="16">
        <f>I870-H870</f>
        <v>15800</v>
      </c>
      <c r="K870" s="16" t="str">
        <f>VLOOKUP(C870,[1]master_data!$A$2:$E$495,5,FALSE)</f>
        <v>Aksesoris</v>
      </c>
      <c r="L870" s="1"/>
    </row>
    <row r="871" spans="1:12" ht="12" customHeight="1" x14ac:dyDescent="0.25">
      <c r="A871" s="15">
        <v>45173</v>
      </c>
      <c r="B871" s="16">
        <v>22301631</v>
      </c>
      <c r="C871" s="16" t="s">
        <v>411</v>
      </c>
      <c r="D871" s="16" t="str">
        <f>VLOOKUP(C871,[1]master_data!$A$2:$E$495,2,FALSE)</f>
        <v>KOKI K</v>
      </c>
      <c r="E871" s="16">
        <v>10</v>
      </c>
      <c r="F871" s="16">
        <f>VLOOKUP(C871,[1]master_data!$A$2:$E$495,3,FALSE)</f>
        <v>3500</v>
      </c>
      <c r="G871" s="16">
        <f>VLOOKUP(C871,[1]master_data!$A$2:$E$495,4,FALSE)</f>
        <v>10000</v>
      </c>
      <c r="H871" s="16">
        <f>E871*F871</f>
        <v>35000</v>
      </c>
      <c r="I871" s="16">
        <f>E871*G871</f>
        <v>100000</v>
      </c>
      <c r="J871" s="16">
        <f>I871-H871</f>
        <v>65000</v>
      </c>
      <c r="K871" s="16" t="str">
        <f>VLOOKUP(C871,[1]master_data!$A$2:$E$495,5,FALSE)</f>
        <v>Ikan</v>
      </c>
      <c r="L871" s="1"/>
    </row>
    <row r="872" spans="1:12" ht="12" customHeight="1" x14ac:dyDescent="0.25">
      <c r="A872" s="15">
        <v>45173</v>
      </c>
      <c r="B872" s="16">
        <v>22301632</v>
      </c>
      <c r="C872" s="16" t="s">
        <v>217</v>
      </c>
      <c r="D872" s="16" t="str">
        <f>VLOOKUP(C872,[1]master_data!$A$2:$E$495,2,FALSE)</f>
        <v>HIRO GROWTH</v>
      </c>
      <c r="E872" s="16">
        <v>5</v>
      </c>
      <c r="F872" s="16">
        <f>VLOOKUP(C872,[1]master_data!$A$2:$E$495,3,FALSE)</f>
        <v>72000</v>
      </c>
      <c r="G872" s="16">
        <f>VLOOKUP(C872,[1]master_data!$A$2:$E$495,4,FALSE)</f>
        <v>80000</v>
      </c>
      <c r="H872" s="16">
        <f>E872*F872</f>
        <v>360000</v>
      </c>
      <c r="I872" s="16">
        <f>E872*G872</f>
        <v>400000</v>
      </c>
      <c r="J872" s="16">
        <f>I872-H872</f>
        <v>40000</v>
      </c>
      <c r="K872" s="16" t="str">
        <f>VLOOKUP(C872,[1]master_data!$A$2:$E$495,5,FALSE)</f>
        <v>Aksesoris</v>
      </c>
      <c r="L872" s="1"/>
    </row>
    <row r="873" spans="1:12" ht="12" customHeight="1" x14ac:dyDescent="0.25">
      <c r="A873" s="15">
        <v>45173</v>
      </c>
      <c r="B873" s="16">
        <v>22301633</v>
      </c>
      <c r="C873" s="16" t="s">
        <v>77</v>
      </c>
      <c r="D873" s="16" t="str">
        <f>VLOOKUP(C873,[1]master_data!$A$2:$E$495,2,FALSE)</f>
        <v>MESIN IP MAN 1200</v>
      </c>
      <c r="E873" s="16">
        <v>10</v>
      </c>
      <c r="F873" s="16">
        <f>VLOOKUP(C873,[1]master_data!$A$2:$E$495,3,FALSE)</f>
        <v>17000</v>
      </c>
      <c r="G873" s="16">
        <f>VLOOKUP(C873,[1]master_data!$A$2:$E$495,4,FALSE)</f>
        <v>30000</v>
      </c>
      <c r="H873" s="16">
        <f>E873*F873</f>
        <v>170000</v>
      </c>
      <c r="I873" s="16">
        <f>E873*G873</f>
        <v>300000</v>
      </c>
      <c r="J873" s="16">
        <f>I873-H873</f>
        <v>130000</v>
      </c>
      <c r="K873" s="16" t="str">
        <f>VLOOKUP(C873,[1]master_data!$A$2:$E$495,5,FALSE)</f>
        <v>Aksesoris</v>
      </c>
      <c r="L873" s="1"/>
    </row>
    <row r="874" spans="1:12" ht="12" customHeight="1" x14ac:dyDescent="0.25">
      <c r="A874" s="15">
        <v>45173</v>
      </c>
      <c r="B874" s="16">
        <v>22301634</v>
      </c>
      <c r="C874" s="16" t="s">
        <v>443</v>
      </c>
      <c r="D874" s="16" t="str">
        <f>VLOOKUP(C874,[1]master_data!$A$2:$E$495,2,FALSE)</f>
        <v>PESO</v>
      </c>
      <c r="E874" s="16">
        <v>2</v>
      </c>
      <c r="F874" s="16">
        <f>VLOOKUP(C874,[1]master_data!$A$2:$E$495,3,FALSE)</f>
        <v>19000</v>
      </c>
      <c r="G874" s="16">
        <f>VLOOKUP(C874,[1]master_data!$A$2:$E$495,4,FALSE)</f>
        <v>40000</v>
      </c>
      <c r="H874" s="16">
        <f>E874*F874</f>
        <v>38000</v>
      </c>
      <c r="I874" s="16">
        <f>E874*G874</f>
        <v>80000</v>
      </c>
      <c r="J874" s="16">
        <f>I874-H874</f>
        <v>42000</v>
      </c>
      <c r="K874" s="16" t="str">
        <f>VLOOKUP(C874,[1]master_data!$A$2:$E$495,5,FALSE)</f>
        <v>Ikan</v>
      </c>
      <c r="L874" s="1"/>
    </row>
    <row r="875" spans="1:12" ht="12" customHeight="1" x14ac:dyDescent="0.25">
      <c r="A875" s="15">
        <v>45173</v>
      </c>
      <c r="B875" s="16">
        <v>22301635</v>
      </c>
      <c r="C875" s="16" t="s">
        <v>385</v>
      </c>
      <c r="D875" s="16" t="str">
        <f>VLOOKUP(C875,[1]master_data!$A$2:$E$495,2,FALSE)</f>
        <v>BATU KARANG JAHE</v>
      </c>
      <c r="E875" s="16">
        <v>1</v>
      </c>
      <c r="F875" s="16">
        <f>VLOOKUP(C875,[1]master_data!$A$2:$E$495,3,FALSE)</f>
        <v>15000</v>
      </c>
      <c r="G875" s="16">
        <f>VLOOKUP(C875,[1]master_data!$A$2:$E$495,4,FALSE)</f>
        <v>25000</v>
      </c>
      <c r="H875" s="16">
        <f>E875*F875</f>
        <v>15000</v>
      </c>
      <c r="I875" s="16">
        <f>E875*G875</f>
        <v>25000</v>
      </c>
      <c r="J875" s="16">
        <f>I875-H875</f>
        <v>10000</v>
      </c>
      <c r="K875" s="16" t="str">
        <f>VLOOKUP(C875,[1]master_data!$A$2:$E$495,5,FALSE)</f>
        <v>Aksesoris</v>
      </c>
      <c r="L875" s="1"/>
    </row>
    <row r="876" spans="1:12" ht="12" customHeight="1" x14ac:dyDescent="0.25">
      <c r="A876" s="15">
        <v>45173</v>
      </c>
      <c r="B876" s="16">
        <v>22301636</v>
      </c>
      <c r="C876" s="16" t="s">
        <v>147</v>
      </c>
      <c r="D876" s="16" t="str">
        <f>VLOOKUP(C876,[1]master_data!$A$2:$E$495,2,FALSE)</f>
        <v>LED KANDILA 2 BRS 20 CM</v>
      </c>
      <c r="E876" s="16">
        <v>1</v>
      </c>
      <c r="F876" s="16">
        <f>VLOOKUP(C876,[1]master_data!$A$2:$E$495,3,FALSE)</f>
        <v>21000</v>
      </c>
      <c r="G876" s="16">
        <f>VLOOKUP(C876,[1]master_data!$A$2:$E$495,4,FALSE)</f>
        <v>35000</v>
      </c>
      <c r="H876" s="16">
        <f>E876*F876</f>
        <v>21000</v>
      </c>
      <c r="I876" s="16">
        <f>E876*G876</f>
        <v>35000</v>
      </c>
      <c r="J876" s="16">
        <f>I876-H876</f>
        <v>14000</v>
      </c>
      <c r="K876" s="16" t="str">
        <f>VLOOKUP(C876,[1]master_data!$A$2:$E$495,5,FALSE)</f>
        <v>Aksesoris</v>
      </c>
      <c r="L876" s="1"/>
    </row>
    <row r="877" spans="1:12" ht="12" customHeight="1" x14ac:dyDescent="0.25">
      <c r="A877" s="15">
        <v>45172</v>
      </c>
      <c r="B877" s="16">
        <v>22301618</v>
      </c>
      <c r="C877" s="16" t="s">
        <v>83</v>
      </c>
      <c r="D877" s="16" t="str">
        <f>VLOOKUP(C877,[1]master_data!$A$2:$E$495,2,FALSE)</f>
        <v>MESIN AQURA 1000L</v>
      </c>
      <c r="E877" s="16">
        <v>2</v>
      </c>
      <c r="F877" s="16">
        <f>VLOOKUP(C877,[1]master_data!$A$2:$E$495,3,FALSE)</f>
        <v>38000</v>
      </c>
      <c r="G877" s="16">
        <f>VLOOKUP(C877,[1]master_data!$A$2:$E$495,4,FALSE)</f>
        <v>50000</v>
      </c>
      <c r="H877" s="16">
        <f>E877*F877</f>
        <v>76000</v>
      </c>
      <c r="I877" s="16">
        <f>E877*G877</f>
        <v>100000</v>
      </c>
      <c r="J877" s="16">
        <f>I877-H877</f>
        <v>24000</v>
      </c>
      <c r="K877" s="16" t="str">
        <f>VLOOKUP(C877,[1]master_data!$A$2:$E$495,5,FALSE)</f>
        <v>Aksesoris</v>
      </c>
      <c r="L877" s="1"/>
    </row>
    <row r="878" spans="1:12" ht="12" customHeight="1" x14ac:dyDescent="0.25">
      <c r="A878" s="15">
        <v>45172</v>
      </c>
      <c r="B878" s="16">
        <v>22301619</v>
      </c>
      <c r="C878" s="16" t="s">
        <v>88</v>
      </c>
      <c r="D878" s="16" t="str">
        <f>VLOOKUP(C878,[1]master_data!$A$2:$E$495,2,FALSE)</f>
        <v>MESIN ARMADA 1150L</v>
      </c>
      <c r="E878" s="16">
        <v>2</v>
      </c>
      <c r="F878" s="16">
        <f>VLOOKUP(C878,[1]master_data!$A$2:$E$495,3,FALSE)</f>
        <v>42000</v>
      </c>
      <c r="G878" s="16">
        <f>VLOOKUP(C878,[1]master_data!$A$2:$E$495,4,FALSE)</f>
        <v>55000</v>
      </c>
      <c r="H878" s="16">
        <f>E878*F878</f>
        <v>84000</v>
      </c>
      <c r="I878" s="16">
        <f>E878*G878</f>
        <v>110000</v>
      </c>
      <c r="J878" s="16">
        <f>I878-H878</f>
        <v>26000</v>
      </c>
      <c r="K878" s="16" t="str">
        <f>VLOOKUP(C878,[1]master_data!$A$2:$E$495,5,FALSE)</f>
        <v>Aksesoris</v>
      </c>
      <c r="L878" s="1"/>
    </row>
    <row r="879" spans="1:12" ht="12" customHeight="1" x14ac:dyDescent="0.25">
      <c r="A879" s="15">
        <v>45172</v>
      </c>
      <c r="B879" s="16">
        <v>22301620</v>
      </c>
      <c r="C879" s="16" t="s">
        <v>427</v>
      </c>
      <c r="D879" s="16" t="str">
        <f>VLOOKUP(C879,[1]master_data!$A$2:$E$495,2,FALSE)</f>
        <v>LOUHAN SUPER</v>
      </c>
      <c r="E879" s="16">
        <v>1</v>
      </c>
      <c r="F879" s="16">
        <f>VLOOKUP(C879,[1]master_data!$A$2:$E$495,3,FALSE)</f>
        <v>300000</v>
      </c>
      <c r="G879" s="16">
        <f>VLOOKUP(C879,[1]master_data!$A$2:$E$495,4,FALSE)</f>
        <v>500000</v>
      </c>
      <c r="H879" s="16">
        <f>E879*F879</f>
        <v>300000</v>
      </c>
      <c r="I879" s="16">
        <f>E879*G879</f>
        <v>500000</v>
      </c>
      <c r="J879" s="16">
        <f>I879-H879</f>
        <v>200000</v>
      </c>
      <c r="K879" s="16" t="str">
        <f>VLOOKUP(C879,[1]master_data!$A$2:$E$495,5,FALSE)</f>
        <v>Ikan</v>
      </c>
      <c r="L879" s="1"/>
    </row>
    <row r="880" spans="1:12" ht="12" customHeight="1" x14ac:dyDescent="0.25">
      <c r="A880" s="15">
        <v>45172</v>
      </c>
      <c r="B880" s="16">
        <v>22301621</v>
      </c>
      <c r="C880" s="16" t="s">
        <v>312</v>
      </c>
      <c r="D880" s="16" t="str">
        <f>VLOOKUP(C880,[1]master_data!$A$2:$E$495,2,FALSE)</f>
        <v>LURUS PIPA</v>
      </c>
      <c r="E880" s="16">
        <v>10</v>
      </c>
      <c r="F880" s="16">
        <f>VLOOKUP(C880,[1]master_data!$A$2:$E$495,3,FALSE)</f>
        <v>800</v>
      </c>
      <c r="G880" s="16">
        <f>VLOOKUP(C880,[1]master_data!$A$2:$E$495,4,FALSE)</f>
        <v>2000</v>
      </c>
      <c r="H880" s="16">
        <f>E880*F880</f>
        <v>8000</v>
      </c>
      <c r="I880" s="16">
        <f>E880*G880</f>
        <v>20000</v>
      </c>
      <c r="J880" s="16">
        <f>I880-H880</f>
        <v>12000</v>
      </c>
      <c r="K880" s="16" t="str">
        <f>VLOOKUP(C880,[1]master_data!$A$2:$E$495,5,FALSE)</f>
        <v>Aksesoris</v>
      </c>
      <c r="L880" s="1"/>
    </row>
    <row r="881" spans="1:12" ht="12" customHeight="1" x14ac:dyDescent="0.25">
      <c r="A881" s="15">
        <v>45172</v>
      </c>
      <c r="B881" s="16">
        <v>22301622</v>
      </c>
      <c r="C881" s="16" t="s">
        <v>422</v>
      </c>
      <c r="D881" s="16" t="str">
        <f>VLOOKUP(C881,[1]master_data!$A$2:$E$495,2,FALSE)</f>
        <v>KOI SLAYER B</v>
      </c>
      <c r="E881" s="16">
        <v>1</v>
      </c>
      <c r="F881" s="16">
        <f>VLOOKUP(C881,[1]master_data!$A$2:$E$495,3,FALSE)</f>
        <v>8000</v>
      </c>
      <c r="G881" s="16">
        <f>VLOOKUP(C881,[1]master_data!$A$2:$E$495,4,FALSE)</f>
        <v>20000</v>
      </c>
      <c r="H881" s="16">
        <f>E881*F881</f>
        <v>8000</v>
      </c>
      <c r="I881" s="16">
        <f>E881*G881</f>
        <v>20000</v>
      </c>
      <c r="J881" s="16">
        <f>I881-H881</f>
        <v>12000</v>
      </c>
      <c r="K881" s="16" t="str">
        <f>VLOOKUP(C881,[1]master_data!$A$2:$E$495,5,FALSE)</f>
        <v>Ikan</v>
      </c>
      <c r="L881" s="1"/>
    </row>
    <row r="882" spans="1:12" ht="12" customHeight="1" x14ac:dyDescent="0.25">
      <c r="A882" s="15">
        <v>45172</v>
      </c>
      <c r="B882" s="16">
        <v>22301623</v>
      </c>
      <c r="C882" s="16" t="s">
        <v>330</v>
      </c>
      <c r="D882" s="16" t="str">
        <f>VLOOKUP(C882,[1]master_data!$A$2:$E$495,2,FALSE)</f>
        <v>AIRSTONE D2L3</v>
      </c>
      <c r="E882" s="16">
        <v>30</v>
      </c>
      <c r="F882" s="16">
        <f>VLOOKUP(C882,[1]master_data!$A$2:$E$495,3,FALSE)</f>
        <v>1100</v>
      </c>
      <c r="G882" s="16">
        <f>VLOOKUP(C882,[1]master_data!$A$2:$E$495,4,FALSE)</f>
        <v>4000</v>
      </c>
      <c r="H882" s="16">
        <f>E882*F882</f>
        <v>33000</v>
      </c>
      <c r="I882" s="16">
        <f>E882*G882</f>
        <v>120000</v>
      </c>
      <c r="J882" s="16">
        <f>I882-H882</f>
        <v>87000</v>
      </c>
      <c r="K882" s="16" t="str">
        <f>VLOOKUP(C882,[1]master_data!$A$2:$E$495,5,FALSE)</f>
        <v>Aksesoris</v>
      </c>
      <c r="L882" s="1"/>
    </row>
    <row r="883" spans="1:12" ht="12" customHeight="1" x14ac:dyDescent="0.25">
      <c r="A883" s="15">
        <v>45172</v>
      </c>
      <c r="B883" s="16">
        <v>22301624</v>
      </c>
      <c r="C883" s="16" t="s">
        <v>452</v>
      </c>
      <c r="D883" s="16" t="str">
        <f>VLOOKUP(C883,[1]master_data!$A$2:$E$495,2,FALSE)</f>
        <v>SYNODONTI B</v>
      </c>
      <c r="E883" s="16">
        <v>25</v>
      </c>
      <c r="F883" s="16">
        <f>VLOOKUP(C883,[1]master_data!$A$2:$E$495,3,FALSE)</f>
        <v>4000</v>
      </c>
      <c r="G883" s="16">
        <f>VLOOKUP(C883,[1]master_data!$A$2:$E$495,4,FALSE)</f>
        <v>10000</v>
      </c>
      <c r="H883" s="16">
        <f>E883*F883</f>
        <v>100000</v>
      </c>
      <c r="I883" s="16">
        <f>E883*G883</f>
        <v>250000</v>
      </c>
      <c r="J883" s="16">
        <f>I883-H883</f>
        <v>150000</v>
      </c>
      <c r="K883" s="16" t="str">
        <f>VLOOKUP(C883,[1]master_data!$A$2:$E$495,5,FALSE)</f>
        <v>Ikan</v>
      </c>
      <c r="L883" s="1"/>
    </row>
    <row r="884" spans="1:12" ht="12" customHeight="1" x14ac:dyDescent="0.25">
      <c r="A884" s="15">
        <v>45172</v>
      </c>
      <c r="B884" s="16">
        <v>22301625</v>
      </c>
      <c r="C884" s="16" t="s">
        <v>282</v>
      </c>
      <c r="D884" s="16" t="str">
        <f>VLOOKUP(C884,[1]master_data!$A$2:$E$495,2,FALSE)</f>
        <v>HIASAN KELAPA</v>
      </c>
      <c r="E884" s="16">
        <v>2</v>
      </c>
      <c r="F884" s="16">
        <f>VLOOKUP(C884,[1]master_data!$A$2:$E$495,3,FALSE)</f>
        <v>8000</v>
      </c>
      <c r="G884" s="16">
        <f>VLOOKUP(C884,[1]master_data!$A$2:$E$495,4,FALSE)</f>
        <v>15000</v>
      </c>
      <c r="H884" s="16">
        <f>E884*F884</f>
        <v>16000</v>
      </c>
      <c r="I884" s="16">
        <f>E884*G884</f>
        <v>30000</v>
      </c>
      <c r="J884" s="16">
        <f>I884-H884</f>
        <v>14000</v>
      </c>
      <c r="K884" s="16" t="str">
        <f>VLOOKUP(C884,[1]master_data!$A$2:$E$495,5,FALSE)</f>
        <v>Aksesoris</v>
      </c>
      <c r="L884" s="1"/>
    </row>
    <row r="885" spans="1:12" ht="12" customHeight="1" x14ac:dyDescent="0.25">
      <c r="A885" s="15">
        <v>45172</v>
      </c>
      <c r="B885" s="16">
        <v>22301626</v>
      </c>
      <c r="C885" s="16" t="s">
        <v>448</v>
      </c>
      <c r="D885" s="16" t="str">
        <f>VLOOKUP(C885,[1]master_data!$A$2:$E$495,2,FALSE)</f>
        <v>SUMATRA BIASA</v>
      </c>
      <c r="E885" s="16">
        <v>10</v>
      </c>
      <c r="F885" s="16">
        <f>VLOOKUP(C885,[1]master_data!$A$2:$E$495,3,FALSE)</f>
        <v>800</v>
      </c>
      <c r="G885" s="16">
        <f>VLOOKUP(C885,[1]master_data!$A$2:$E$495,4,FALSE)</f>
        <v>2000</v>
      </c>
      <c r="H885" s="16">
        <f>E885*F885</f>
        <v>8000</v>
      </c>
      <c r="I885" s="16">
        <f>E885*G885</f>
        <v>20000</v>
      </c>
      <c r="J885" s="16">
        <f>I885-H885</f>
        <v>12000</v>
      </c>
      <c r="K885" s="16" t="str">
        <f>VLOOKUP(C885,[1]master_data!$A$2:$E$495,5,FALSE)</f>
        <v>Ikan</v>
      </c>
      <c r="L885" s="1"/>
    </row>
    <row r="886" spans="1:12" ht="12" customHeight="1" x14ac:dyDescent="0.25">
      <c r="A886" s="15">
        <v>45172</v>
      </c>
      <c r="B886" s="16">
        <v>22301627</v>
      </c>
      <c r="C886" s="16" t="s">
        <v>301</v>
      </c>
      <c r="D886" s="16" t="str">
        <f>VLOOKUP(C886,[1]master_data!$A$2:$E$495,2,FALSE)</f>
        <v>OBAT QUARANTINI MED</v>
      </c>
      <c r="E886" s="16">
        <v>1</v>
      </c>
      <c r="F886" s="16">
        <f>VLOOKUP(C886,[1]master_data!$A$2:$E$495,3,FALSE)</f>
        <v>37000</v>
      </c>
      <c r="G886" s="16">
        <f>VLOOKUP(C886,[1]master_data!$A$2:$E$495,4,FALSE)</f>
        <v>60000</v>
      </c>
      <c r="H886" s="16">
        <f>E886*F886</f>
        <v>37000</v>
      </c>
      <c r="I886" s="16">
        <f>E886*G886</f>
        <v>60000</v>
      </c>
      <c r="J886" s="16">
        <f>I886-H886</f>
        <v>23000</v>
      </c>
      <c r="K886" s="16" t="str">
        <f>VLOOKUP(C886,[1]master_data!$A$2:$E$495,5,FALSE)</f>
        <v>Aksesoris</v>
      </c>
      <c r="L886" s="1"/>
    </row>
    <row r="887" spans="1:12" ht="12" customHeight="1" x14ac:dyDescent="0.25">
      <c r="A887" s="15">
        <v>45171</v>
      </c>
      <c r="B887" s="16">
        <v>22301613</v>
      </c>
      <c r="C887" s="16" t="s">
        <v>78</v>
      </c>
      <c r="D887" s="16" t="str">
        <f>VLOOKUP(C887,[1]master_data!$A$2:$E$495,2,FALSE)</f>
        <v>MESIN KIYOSAKI 1200</v>
      </c>
      <c r="E887" s="16">
        <v>5</v>
      </c>
      <c r="F887" s="16">
        <f>VLOOKUP(C887,[1]master_data!$A$2:$E$495,3,FALSE)</f>
        <v>21500</v>
      </c>
      <c r="G887" s="16">
        <f>VLOOKUP(C887,[1]master_data!$A$2:$E$495,4,FALSE)</f>
        <v>35000</v>
      </c>
      <c r="H887" s="16">
        <f>E887*F887</f>
        <v>107500</v>
      </c>
      <c r="I887" s="16">
        <f>E887*G887</f>
        <v>175000</v>
      </c>
      <c r="J887" s="16">
        <f>I887-H887</f>
        <v>67500</v>
      </c>
      <c r="K887" s="16" t="str">
        <f>VLOOKUP(C887,[1]master_data!$A$2:$E$495,5,FALSE)</f>
        <v>Aksesoris</v>
      </c>
      <c r="L887" s="1"/>
    </row>
    <row r="888" spans="1:12" ht="12" customHeight="1" x14ac:dyDescent="0.25">
      <c r="A888" s="15">
        <v>45171</v>
      </c>
      <c r="B888" s="16">
        <v>22301614</v>
      </c>
      <c r="C888" s="16" t="s">
        <v>392</v>
      </c>
      <c r="D888" s="16" t="str">
        <f>VLOOKUP(C888,[1]master_data!$A$2:$E$495,2,FALSE)</f>
        <v>ARWANA SILVER K</v>
      </c>
      <c r="E888" s="16">
        <v>2</v>
      </c>
      <c r="F888" s="16">
        <f>VLOOKUP(C888,[1]master_data!$A$2:$E$495,3,FALSE)</f>
        <v>100000</v>
      </c>
      <c r="G888" s="16">
        <f>VLOOKUP(C888,[1]master_data!$A$2:$E$495,4,FALSE)</f>
        <v>200000</v>
      </c>
      <c r="H888" s="16">
        <f>E888*F888</f>
        <v>200000</v>
      </c>
      <c r="I888" s="16">
        <f>E888*G888</f>
        <v>400000</v>
      </c>
      <c r="J888" s="16">
        <f>I888-H888</f>
        <v>200000</v>
      </c>
      <c r="K888" s="16" t="str">
        <f>VLOOKUP(C888,[1]master_data!$A$2:$E$495,5,FALSE)</f>
        <v>Ikan</v>
      </c>
      <c r="L888" s="1"/>
    </row>
    <row r="889" spans="1:12" ht="12" customHeight="1" x14ac:dyDescent="0.25">
      <c r="A889" s="15">
        <v>45171</v>
      </c>
      <c r="B889" s="16">
        <v>22301615</v>
      </c>
      <c r="C889" s="16" t="s">
        <v>157</v>
      </c>
      <c r="D889" s="16" t="str">
        <f>VLOOKUP(C889,[1]master_data!$A$2:$E$495,2,FALSE)</f>
        <v>LED KANDILA 2 BRS 80 CM</v>
      </c>
      <c r="E889" s="16">
        <v>6</v>
      </c>
      <c r="F889" s="16">
        <f>VLOOKUP(C889,[1]master_data!$A$2:$E$495,3,FALSE)</f>
        <v>45000</v>
      </c>
      <c r="G889" s="16">
        <f>VLOOKUP(C889,[1]master_data!$A$2:$E$495,4,FALSE)</f>
        <v>85000</v>
      </c>
      <c r="H889" s="16">
        <f>E889*F889</f>
        <v>270000</v>
      </c>
      <c r="I889" s="16">
        <f>E889*G889</f>
        <v>510000</v>
      </c>
      <c r="J889" s="16">
        <f>I889-H889</f>
        <v>240000</v>
      </c>
      <c r="K889" s="16" t="str">
        <f>VLOOKUP(C889,[1]master_data!$A$2:$E$495,5,FALSE)</f>
        <v>Aksesoris</v>
      </c>
      <c r="L889" s="1"/>
    </row>
    <row r="890" spans="1:12" ht="12" customHeight="1" x14ac:dyDescent="0.25">
      <c r="A890" s="15">
        <v>45171</v>
      </c>
      <c r="B890" s="16">
        <v>22301616</v>
      </c>
      <c r="C890" s="16" t="s">
        <v>458</v>
      </c>
      <c r="D890" s="16" t="str">
        <f>VLOOKUP(C890,[1]master_data!$A$2:$E$495,2,FALSE)</f>
        <v>ZEBRA KUNING</v>
      </c>
      <c r="E890" s="16">
        <v>11</v>
      </c>
      <c r="F890" s="16">
        <f>VLOOKUP(C890,[1]master_data!$A$2:$E$495,3,FALSE)</f>
        <v>800</v>
      </c>
      <c r="G890" s="16">
        <f>VLOOKUP(C890,[1]master_data!$A$2:$E$495,4,FALSE)</f>
        <v>2000</v>
      </c>
      <c r="H890" s="16">
        <f>E890*F890</f>
        <v>8800</v>
      </c>
      <c r="I890" s="16">
        <f>E890*G890</f>
        <v>22000</v>
      </c>
      <c r="J890" s="16">
        <f>I890-H890</f>
        <v>13200</v>
      </c>
      <c r="K890" s="16" t="str">
        <f>VLOOKUP(C890,[1]master_data!$A$2:$E$495,5,FALSE)</f>
        <v>Ikan</v>
      </c>
      <c r="L890" s="1"/>
    </row>
    <row r="891" spans="1:12" ht="12" customHeight="1" x14ac:dyDescent="0.25">
      <c r="A891" s="15">
        <v>45171</v>
      </c>
      <c r="B891" s="16">
        <v>22301617</v>
      </c>
      <c r="C891" s="16" t="s">
        <v>168</v>
      </c>
      <c r="D891" s="16" t="str">
        <f>VLOOKUP(C891,[1]master_data!$A$2:$E$495,2,FALSE)</f>
        <v>LED KANDILA DnN 80 CM</v>
      </c>
      <c r="E891" s="16">
        <v>1</v>
      </c>
      <c r="F891" s="16">
        <f>VLOOKUP(C891,[1]master_data!$A$2:$E$495,3,FALSE)</f>
        <v>50000</v>
      </c>
      <c r="G891" s="16">
        <f>VLOOKUP(C891,[1]master_data!$A$2:$E$495,4,FALSE)</f>
        <v>90000</v>
      </c>
      <c r="H891" s="16">
        <f>E891*F891</f>
        <v>50000</v>
      </c>
      <c r="I891" s="16">
        <f>E891*G891</f>
        <v>90000</v>
      </c>
      <c r="J891" s="16">
        <f>I891-H891</f>
        <v>40000</v>
      </c>
      <c r="K891" s="16" t="str">
        <f>VLOOKUP(C891,[1]master_data!$A$2:$E$495,5,FALSE)</f>
        <v>Aksesoris</v>
      </c>
      <c r="L891" s="1"/>
    </row>
    <row r="892" spans="1:12" ht="12" customHeight="1" x14ac:dyDescent="0.25">
      <c r="A892" s="15">
        <v>45170</v>
      </c>
      <c r="B892" s="16">
        <v>22301604</v>
      </c>
      <c r="C892" s="16" t="s">
        <v>441</v>
      </c>
      <c r="D892" s="16" t="str">
        <f>VLOOKUP(C892,[1]master_data!$A$2:$E$495,2,FALSE)</f>
        <v>PALMAS</v>
      </c>
      <c r="E892" s="16">
        <v>1</v>
      </c>
      <c r="F892" s="16">
        <f>VLOOKUP(C892,[1]master_data!$A$2:$E$495,3,FALSE)</f>
        <v>10000</v>
      </c>
      <c r="G892" s="16">
        <f>VLOOKUP(C892,[1]master_data!$A$2:$E$495,4,FALSE)</f>
        <v>25000</v>
      </c>
      <c r="H892" s="16">
        <f>E892*F892</f>
        <v>10000</v>
      </c>
      <c r="I892" s="16">
        <f>E892*G892</f>
        <v>25000</v>
      </c>
      <c r="J892" s="16">
        <f>I892-H892</f>
        <v>15000</v>
      </c>
      <c r="K892" s="16" t="str">
        <f>VLOOKUP(C892,[1]master_data!$A$2:$E$495,5,FALSE)</f>
        <v>Ikan</v>
      </c>
      <c r="L892" s="1"/>
    </row>
    <row r="893" spans="1:12" ht="12" customHeight="1" x14ac:dyDescent="0.25">
      <c r="A893" s="15">
        <v>45170</v>
      </c>
      <c r="B893" s="16">
        <v>22301605</v>
      </c>
      <c r="C893" s="16" t="s">
        <v>394</v>
      </c>
      <c r="D893" s="16" t="str">
        <f>VLOOKUP(C893,[1]master_data!$A$2:$E$495,2,FALSE)</f>
        <v>ALGA EATER</v>
      </c>
      <c r="E893" s="16">
        <v>30</v>
      </c>
      <c r="F893" s="16">
        <f>VLOOKUP(C893,[1]master_data!$A$2:$E$495,3,FALSE)</f>
        <v>1750</v>
      </c>
      <c r="G893" s="16">
        <f>VLOOKUP(C893,[1]master_data!$A$2:$E$495,4,FALSE)</f>
        <v>5000</v>
      </c>
      <c r="H893" s="16">
        <f>E893*F893</f>
        <v>52500</v>
      </c>
      <c r="I893" s="16">
        <f>E893*G893</f>
        <v>150000</v>
      </c>
      <c r="J893" s="16">
        <f>I893-H893</f>
        <v>97500</v>
      </c>
      <c r="K893" s="16" t="str">
        <f>VLOOKUP(C893,[1]master_data!$A$2:$E$495,5,FALSE)</f>
        <v>Ikan</v>
      </c>
      <c r="L893" s="1"/>
    </row>
    <row r="894" spans="1:12" ht="12" customHeight="1" x14ac:dyDescent="0.25">
      <c r="A894" s="15">
        <v>45170</v>
      </c>
      <c r="B894" s="16">
        <v>22301606</v>
      </c>
      <c r="C894" s="16" t="s">
        <v>97</v>
      </c>
      <c r="D894" s="16" t="str">
        <f>VLOOKUP(C894,[1]master_data!$A$2:$E$495,2,FALSE)</f>
        <v>MESIN AMARA 1000 L</v>
      </c>
      <c r="E894" s="16">
        <v>10</v>
      </c>
      <c r="F894" s="16">
        <f>VLOOKUP(C894,[1]master_data!$A$2:$E$495,3,FALSE)</f>
        <v>34500</v>
      </c>
      <c r="G894" s="16">
        <f>VLOOKUP(C894,[1]master_data!$A$2:$E$495,4,FALSE)</f>
        <v>50000</v>
      </c>
      <c r="H894" s="16">
        <f>E894*F894</f>
        <v>345000</v>
      </c>
      <c r="I894" s="16">
        <f>E894*G894</f>
        <v>500000</v>
      </c>
      <c r="J894" s="16">
        <f>I894-H894</f>
        <v>155000</v>
      </c>
      <c r="K894" s="16" t="str">
        <f>VLOOKUP(C894,[1]master_data!$A$2:$E$495,5,FALSE)</f>
        <v>Aksesoris</v>
      </c>
      <c r="L894" s="1"/>
    </row>
    <row r="895" spans="1:12" ht="12" customHeight="1" x14ac:dyDescent="0.25">
      <c r="A895" s="15">
        <v>45170</v>
      </c>
      <c r="B895" s="16">
        <v>22301607</v>
      </c>
      <c r="C895" s="16" t="s">
        <v>442</v>
      </c>
      <c r="D895" s="16" t="str">
        <f>VLOOKUP(C895,[1]master_data!$A$2:$E$495,2,FALSE)</f>
        <v>PARROT</v>
      </c>
      <c r="E895" s="16">
        <v>1</v>
      </c>
      <c r="F895" s="16">
        <f>VLOOKUP(C895,[1]master_data!$A$2:$E$495,3,FALSE)</f>
        <v>27000</v>
      </c>
      <c r="G895" s="16">
        <f>VLOOKUP(C895,[1]master_data!$A$2:$E$495,4,FALSE)</f>
        <v>60000</v>
      </c>
      <c r="H895" s="16">
        <f>E895*F895</f>
        <v>27000</v>
      </c>
      <c r="I895" s="16">
        <f>E895*G895</f>
        <v>60000</v>
      </c>
      <c r="J895" s="16">
        <f>I895-H895</f>
        <v>33000</v>
      </c>
      <c r="K895" s="16" t="str">
        <f>VLOOKUP(C895,[1]master_data!$A$2:$E$495,5,FALSE)</f>
        <v>Ikan</v>
      </c>
      <c r="L895" s="1"/>
    </row>
    <row r="896" spans="1:12" ht="12" customHeight="1" x14ac:dyDescent="0.25">
      <c r="A896" s="15">
        <v>45170</v>
      </c>
      <c r="B896" s="16">
        <v>22301608</v>
      </c>
      <c r="C896" s="16" t="s">
        <v>406</v>
      </c>
      <c r="D896" s="16" t="str">
        <f>VLOOKUP(C896,[1]master_data!$A$2:$E$495,2,FALSE)</f>
        <v>CATFISH</v>
      </c>
      <c r="E896" s="16">
        <v>5</v>
      </c>
      <c r="F896" s="16">
        <f>VLOOKUP(C896,[1]master_data!$A$2:$E$495,3,FALSE)</f>
        <v>20000</v>
      </c>
      <c r="G896" s="16">
        <f>VLOOKUP(C896,[1]master_data!$A$2:$E$495,4,FALSE)</f>
        <v>50000</v>
      </c>
      <c r="H896" s="16">
        <f>E896*F896</f>
        <v>100000</v>
      </c>
      <c r="I896" s="16">
        <f>E896*G896</f>
        <v>250000</v>
      </c>
      <c r="J896" s="16">
        <f>I896-H896</f>
        <v>150000</v>
      </c>
      <c r="K896" s="16" t="str">
        <f>VLOOKUP(C896,[1]master_data!$A$2:$E$495,5,FALSE)</f>
        <v>Ikan</v>
      </c>
      <c r="L896" s="1"/>
    </row>
    <row r="897" spans="1:12" ht="12" customHeight="1" x14ac:dyDescent="0.25">
      <c r="A897" s="15">
        <v>45170</v>
      </c>
      <c r="B897" s="16">
        <v>22301609</v>
      </c>
      <c r="C897" s="16" t="s">
        <v>432</v>
      </c>
      <c r="D897" s="16" t="str">
        <f>VLOOKUP(C897,[1]master_data!$A$2:$E$495,2,FALSE)</f>
        <v>MOLI PAKAN</v>
      </c>
      <c r="E897" s="16">
        <v>15</v>
      </c>
      <c r="F897" s="16">
        <f>VLOOKUP(C897,[1]master_data!$A$2:$E$495,3,FALSE)</f>
        <v>100</v>
      </c>
      <c r="G897" s="16">
        <f>VLOOKUP(C897,[1]master_data!$A$2:$E$495,4,FALSE)</f>
        <v>200</v>
      </c>
      <c r="H897" s="16">
        <f>E897*F897</f>
        <v>1500</v>
      </c>
      <c r="I897" s="16">
        <f>E897*G897</f>
        <v>3000</v>
      </c>
      <c r="J897" s="16">
        <f>I897-H897</f>
        <v>1500</v>
      </c>
      <c r="K897" s="16" t="str">
        <f>VLOOKUP(C897,[1]master_data!$A$2:$E$495,5,FALSE)</f>
        <v>Ikan</v>
      </c>
      <c r="L897" s="1"/>
    </row>
    <row r="898" spans="1:12" ht="12" customHeight="1" x14ac:dyDescent="0.25">
      <c r="A898" s="15">
        <v>45170</v>
      </c>
      <c r="B898" s="16">
        <v>22301610</v>
      </c>
      <c r="C898" s="16" t="s">
        <v>220</v>
      </c>
      <c r="D898" s="16" t="str">
        <f>VLOOKUP(C898,[1]master_data!$A$2:$E$495,2,FALSE)</f>
        <v>HIKARI FRIEND 75 GR</v>
      </c>
      <c r="E898" s="16">
        <v>1</v>
      </c>
      <c r="F898" s="16">
        <f>VLOOKUP(C898,[1]master_data!$A$2:$E$495,3,FALSE)</f>
        <v>50000</v>
      </c>
      <c r="G898" s="16">
        <f>VLOOKUP(C898,[1]master_data!$A$2:$E$495,4,FALSE)</f>
        <v>65000</v>
      </c>
      <c r="H898" s="16">
        <f>E898*F898</f>
        <v>50000</v>
      </c>
      <c r="I898" s="16">
        <f>E898*G898</f>
        <v>65000</v>
      </c>
      <c r="J898" s="16">
        <f>I898-H898</f>
        <v>15000</v>
      </c>
      <c r="K898" s="16" t="str">
        <f>VLOOKUP(C898,[1]master_data!$A$2:$E$495,5,FALSE)</f>
        <v>Aksesoris</v>
      </c>
      <c r="L898" s="1"/>
    </row>
    <row r="899" spans="1:12" ht="12" customHeight="1" x14ac:dyDescent="0.25">
      <c r="A899" s="15">
        <v>45170</v>
      </c>
      <c r="B899" s="16">
        <v>22301611</v>
      </c>
      <c r="C899" s="16" t="s">
        <v>394</v>
      </c>
      <c r="D899" s="16" t="str">
        <f>VLOOKUP(C899,[1]master_data!$A$2:$E$495,2,FALSE)</f>
        <v>ALGA EATER</v>
      </c>
      <c r="E899" s="16">
        <v>10</v>
      </c>
      <c r="F899" s="16">
        <f>VLOOKUP(C899,[1]master_data!$A$2:$E$495,3,FALSE)</f>
        <v>1750</v>
      </c>
      <c r="G899" s="16">
        <f>VLOOKUP(C899,[1]master_data!$A$2:$E$495,4,FALSE)</f>
        <v>5000</v>
      </c>
      <c r="H899" s="16">
        <f>E899*F899</f>
        <v>17500</v>
      </c>
      <c r="I899" s="16">
        <f>E899*G899</f>
        <v>50000</v>
      </c>
      <c r="J899" s="16">
        <f>I899-H899</f>
        <v>32500</v>
      </c>
      <c r="K899" s="16" t="str">
        <f>VLOOKUP(C899,[1]master_data!$A$2:$E$495,5,FALSE)</f>
        <v>Ikan</v>
      </c>
      <c r="L899" s="1"/>
    </row>
    <row r="900" spans="1:12" ht="12" customHeight="1" x14ac:dyDescent="0.25">
      <c r="A900" s="15">
        <v>45170</v>
      </c>
      <c r="B900" s="16">
        <v>22301612</v>
      </c>
      <c r="C900" s="16" t="s">
        <v>420</v>
      </c>
      <c r="D900" s="16" t="str">
        <f>VLOOKUP(C900,[1]master_data!$A$2:$E$495,2,FALSE)</f>
        <v>KOMET SLAYER</v>
      </c>
      <c r="E900" s="16">
        <v>1</v>
      </c>
      <c r="F900" s="16">
        <f>VLOOKUP(C900,[1]master_data!$A$2:$E$495,3,FALSE)</f>
        <v>2000</v>
      </c>
      <c r="G900" s="16">
        <f>VLOOKUP(C900,[1]master_data!$A$2:$E$495,4,FALSE)</f>
        <v>5000</v>
      </c>
      <c r="H900" s="16">
        <f>E900*F900</f>
        <v>2000</v>
      </c>
      <c r="I900" s="16">
        <f>E900*G900</f>
        <v>5000</v>
      </c>
      <c r="J900" s="16">
        <f>I900-H900</f>
        <v>3000</v>
      </c>
      <c r="K900" s="16" t="str">
        <f>VLOOKUP(C900,[1]master_data!$A$2:$E$495,5,FALSE)</f>
        <v>Ikan</v>
      </c>
      <c r="L900" s="1"/>
    </row>
    <row r="901" spans="1:12" ht="12" customHeight="1" x14ac:dyDescent="0.25">
      <c r="A901" s="15">
        <v>45169</v>
      </c>
      <c r="B901" s="16">
        <v>22301598</v>
      </c>
      <c r="C901" s="16" t="s">
        <v>413</v>
      </c>
      <c r="D901" s="16" t="str">
        <f>VLOOKUP(C901,[1]master_data!$A$2:$E$495,2,FALSE)</f>
        <v>KOKI B</v>
      </c>
      <c r="E901" s="16">
        <v>2</v>
      </c>
      <c r="F901" s="16">
        <f>VLOOKUP(C901,[1]master_data!$A$2:$E$495,3,FALSE)</f>
        <v>20000</v>
      </c>
      <c r="G901" s="16">
        <f>VLOOKUP(C901,[1]master_data!$A$2:$E$495,4,FALSE)</f>
        <v>50000</v>
      </c>
      <c r="H901" s="16">
        <f>E901*F901</f>
        <v>40000</v>
      </c>
      <c r="I901" s="16">
        <f>E901*G901</f>
        <v>100000</v>
      </c>
      <c r="J901" s="16">
        <f>I901-H901</f>
        <v>60000</v>
      </c>
      <c r="K901" s="16" t="str">
        <f>VLOOKUP(C901,[1]master_data!$A$2:$E$495,5,FALSE)</f>
        <v>Ikan</v>
      </c>
      <c r="L901" s="1"/>
    </row>
    <row r="902" spans="1:12" ht="12" customHeight="1" x14ac:dyDescent="0.25">
      <c r="A902" s="15">
        <v>45169</v>
      </c>
      <c r="B902" s="16">
        <v>22301599</v>
      </c>
      <c r="C902" s="16" t="s">
        <v>400</v>
      </c>
      <c r="D902" s="16" t="str">
        <f>VLOOKUP(C902,[1]master_data!$A$2:$E$495,2,FALSE)</f>
        <v>BLACK GHOST</v>
      </c>
      <c r="E902" s="16">
        <v>25</v>
      </c>
      <c r="F902" s="16">
        <f>VLOOKUP(C902,[1]master_data!$A$2:$E$495,3,FALSE)</f>
        <v>4000</v>
      </c>
      <c r="G902" s="16">
        <f>VLOOKUP(C902,[1]master_data!$A$2:$E$495,4,FALSE)</f>
        <v>10000</v>
      </c>
      <c r="H902" s="16">
        <f>E902*F902</f>
        <v>100000</v>
      </c>
      <c r="I902" s="16">
        <f>E902*G902</f>
        <v>250000</v>
      </c>
      <c r="J902" s="16">
        <f>I902-H902</f>
        <v>150000</v>
      </c>
      <c r="K902" s="16" t="str">
        <f>VLOOKUP(C902,[1]master_data!$A$2:$E$495,5,FALSE)</f>
        <v>Ikan</v>
      </c>
      <c r="L902" s="1"/>
    </row>
    <row r="903" spans="1:12" ht="12" customHeight="1" x14ac:dyDescent="0.25">
      <c r="A903" s="15">
        <v>45169</v>
      </c>
      <c r="B903" s="16">
        <v>22301600</v>
      </c>
      <c r="C903" s="16" t="s">
        <v>392</v>
      </c>
      <c r="D903" s="16" t="str">
        <f>VLOOKUP(C903,[1]master_data!$A$2:$E$495,2,FALSE)</f>
        <v>ARWANA SILVER K</v>
      </c>
      <c r="E903" s="16">
        <v>2</v>
      </c>
      <c r="F903" s="16">
        <f>VLOOKUP(C903,[1]master_data!$A$2:$E$495,3,FALSE)</f>
        <v>100000</v>
      </c>
      <c r="G903" s="16">
        <f>VLOOKUP(C903,[1]master_data!$A$2:$E$495,4,FALSE)</f>
        <v>200000</v>
      </c>
      <c r="H903" s="16">
        <f>E903*F903</f>
        <v>200000</v>
      </c>
      <c r="I903" s="16">
        <f>E903*G903</f>
        <v>400000</v>
      </c>
      <c r="J903" s="16">
        <f>I903-H903</f>
        <v>200000</v>
      </c>
      <c r="K903" s="16" t="str">
        <f>VLOOKUP(C903,[1]master_data!$A$2:$E$495,5,FALSE)</f>
        <v>Ikan</v>
      </c>
      <c r="L903" s="1"/>
    </row>
    <row r="904" spans="1:12" ht="12" customHeight="1" x14ac:dyDescent="0.25">
      <c r="A904" s="15">
        <v>45169</v>
      </c>
      <c r="B904" s="16">
        <v>22301601</v>
      </c>
      <c r="C904" s="16" t="s">
        <v>457</v>
      </c>
      <c r="D904" s="16" t="str">
        <f>VLOOKUP(C904,[1]master_data!$A$2:$E$495,2,FALSE)</f>
        <v>ZEBRA UNGU</v>
      </c>
      <c r="E904" s="16">
        <v>10</v>
      </c>
      <c r="F904" s="16">
        <f>VLOOKUP(C904,[1]master_data!$A$2:$E$495,3,FALSE)</f>
        <v>800</v>
      </c>
      <c r="G904" s="16">
        <f>VLOOKUP(C904,[1]master_data!$A$2:$E$495,4,FALSE)</f>
        <v>2000</v>
      </c>
      <c r="H904" s="16">
        <f>E904*F904</f>
        <v>8000</v>
      </c>
      <c r="I904" s="16">
        <f>E904*G904</f>
        <v>20000</v>
      </c>
      <c r="J904" s="16">
        <f>I904-H904</f>
        <v>12000</v>
      </c>
      <c r="K904" s="16" t="str">
        <f>VLOOKUP(C904,[1]master_data!$A$2:$E$495,5,FALSE)</f>
        <v>Ikan</v>
      </c>
      <c r="L904" s="1"/>
    </row>
    <row r="905" spans="1:12" ht="12" customHeight="1" x14ac:dyDescent="0.25">
      <c r="A905" s="15">
        <v>45169</v>
      </c>
      <c r="B905" s="16">
        <v>22301602</v>
      </c>
      <c r="C905" s="16" t="s">
        <v>406</v>
      </c>
      <c r="D905" s="16" t="str">
        <f>VLOOKUP(C905,[1]master_data!$A$2:$E$495,2,FALSE)</f>
        <v>CATFISH</v>
      </c>
      <c r="E905" s="16">
        <v>3</v>
      </c>
      <c r="F905" s="16">
        <f>VLOOKUP(C905,[1]master_data!$A$2:$E$495,3,FALSE)</f>
        <v>20000</v>
      </c>
      <c r="G905" s="16">
        <f>VLOOKUP(C905,[1]master_data!$A$2:$E$495,4,FALSE)</f>
        <v>50000</v>
      </c>
      <c r="H905" s="16">
        <f>E905*F905</f>
        <v>60000</v>
      </c>
      <c r="I905" s="16">
        <f>E905*G905</f>
        <v>150000</v>
      </c>
      <c r="J905" s="16">
        <f>I905-H905</f>
        <v>90000</v>
      </c>
      <c r="K905" s="16" t="str">
        <f>VLOOKUP(C905,[1]master_data!$A$2:$E$495,5,FALSE)</f>
        <v>Ikan</v>
      </c>
      <c r="L905" s="1"/>
    </row>
    <row r="906" spans="1:12" ht="12" customHeight="1" x14ac:dyDescent="0.25">
      <c r="A906" s="15">
        <v>45169</v>
      </c>
      <c r="B906" s="16">
        <v>22301603</v>
      </c>
      <c r="C906" s="16" t="s">
        <v>406</v>
      </c>
      <c r="D906" s="16" t="str">
        <f>VLOOKUP(C906,[1]master_data!$A$2:$E$495,2,FALSE)</f>
        <v>CATFISH</v>
      </c>
      <c r="E906" s="16">
        <v>1</v>
      </c>
      <c r="F906" s="16">
        <f>VLOOKUP(C906,[1]master_data!$A$2:$E$495,3,FALSE)</f>
        <v>20000</v>
      </c>
      <c r="G906" s="16">
        <f>VLOOKUP(C906,[1]master_data!$A$2:$E$495,4,FALSE)</f>
        <v>50000</v>
      </c>
      <c r="H906" s="16">
        <f>E906*F906</f>
        <v>20000</v>
      </c>
      <c r="I906" s="16">
        <f>E906*G906</f>
        <v>50000</v>
      </c>
      <c r="J906" s="16">
        <f>I906-H906</f>
        <v>30000</v>
      </c>
      <c r="K906" s="16" t="str">
        <f>VLOOKUP(C906,[1]master_data!$A$2:$E$495,5,FALSE)</f>
        <v>Ikan</v>
      </c>
      <c r="L906" s="1"/>
    </row>
    <row r="907" spans="1:12" ht="12" customHeight="1" x14ac:dyDescent="0.25">
      <c r="A907" s="15">
        <v>45168</v>
      </c>
      <c r="B907" s="16">
        <v>22301588</v>
      </c>
      <c r="C907" s="16" t="s">
        <v>401</v>
      </c>
      <c r="D907" s="16" t="str">
        <f>VLOOKUP(C907,[1]master_data!$A$2:$E$495,2,FALSE)</f>
        <v>CHANNA BLUE PULCHRA K</v>
      </c>
      <c r="E907" s="16">
        <v>1</v>
      </c>
      <c r="F907" s="16">
        <f>VLOOKUP(C907,[1]master_data!$A$2:$E$495,3,FALSE)</f>
        <v>25000</v>
      </c>
      <c r="G907" s="16">
        <f>VLOOKUP(C907,[1]master_data!$A$2:$E$495,4,FALSE)</f>
        <v>50000</v>
      </c>
      <c r="H907" s="16">
        <f>E907*F907</f>
        <v>25000</v>
      </c>
      <c r="I907" s="16">
        <f>E907*G907</f>
        <v>50000</v>
      </c>
      <c r="J907" s="16">
        <f>I907-H907</f>
        <v>25000</v>
      </c>
      <c r="K907" s="16" t="str">
        <f>VLOOKUP(C907,[1]master_data!$A$2:$E$495,5,FALSE)</f>
        <v>Ikan</v>
      </c>
      <c r="L907" s="1"/>
    </row>
    <row r="908" spans="1:12" ht="12" customHeight="1" x14ac:dyDescent="0.25">
      <c r="A908" s="15">
        <v>45168</v>
      </c>
      <c r="B908" s="16">
        <v>22301589</v>
      </c>
      <c r="C908" s="16" t="s">
        <v>102</v>
      </c>
      <c r="D908" s="16" t="str">
        <f>VLOOKUP(C908,[1]master_data!$A$2:$E$495,2,FALSE)</f>
        <v>MEIN AMARA 1100</v>
      </c>
      <c r="E908" s="16">
        <v>1</v>
      </c>
      <c r="F908" s="16">
        <f>VLOOKUP(C908,[1]master_data!$A$2:$E$495,3,FALSE)</f>
        <v>47000</v>
      </c>
      <c r="G908" s="16">
        <f>VLOOKUP(C908,[1]master_data!$A$2:$E$495,4,FALSE)</f>
        <v>60000</v>
      </c>
      <c r="H908" s="16">
        <f>E908*F908</f>
        <v>47000</v>
      </c>
      <c r="I908" s="16">
        <f>E908*G908</f>
        <v>60000</v>
      </c>
      <c r="J908" s="16">
        <f>I908-H908</f>
        <v>13000</v>
      </c>
      <c r="K908" s="16" t="str">
        <f>VLOOKUP(C908,[1]master_data!$A$2:$E$495,5,FALSE)</f>
        <v>Aksesoris</v>
      </c>
      <c r="L908" s="1"/>
    </row>
    <row r="909" spans="1:12" ht="12" customHeight="1" x14ac:dyDescent="0.25">
      <c r="A909" s="15">
        <v>45168</v>
      </c>
      <c r="B909" s="16">
        <v>22301590</v>
      </c>
      <c r="C909" s="16" t="s">
        <v>304</v>
      </c>
      <c r="D909" s="16" t="str">
        <f>VLOOKUP(C909,[1]master_data!$A$2:$E$495,2,FALSE)</f>
        <v>POMATE</v>
      </c>
      <c r="E909" s="16">
        <v>1</v>
      </c>
      <c r="F909" s="16">
        <f>VLOOKUP(C909,[1]master_data!$A$2:$E$495,3,FALSE)</f>
        <v>25000</v>
      </c>
      <c r="G909" s="16">
        <f>VLOOKUP(C909,[1]master_data!$A$2:$E$495,4,FALSE)</f>
        <v>40000</v>
      </c>
      <c r="H909" s="16">
        <f>E909*F909</f>
        <v>25000</v>
      </c>
      <c r="I909" s="16">
        <f>E909*G909</f>
        <v>40000</v>
      </c>
      <c r="J909" s="16">
        <f>I909-H909</f>
        <v>15000</v>
      </c>
      <c r="K909" s="16" t="str">
        <f>VLOOKUP(C909,[1]master_data!$A$2:$E$495,5,FALSE)</f>
        <v>Aksesoris</v>
      </c>
      <c r="L909" s="1"/>
    </row>
    <row r="910" spans="1:12" ht="12" customHeight="1" x14ac:dyDescent="0.25">
      <c r="A910" s="15">
        <v>45168</v>
      </c>
      <c r="B910" s="16">
        <v>22301591</v>
      </c>
      <c r="C910" s="16" t="s">
        <v>154</v>
      </c>
      <c r="D910" s="16" t="str">
        <f>VLOOKUP(C910,[1]master_data!$A$2:$E$495,2,FALSE)</f>
        <v>LED KANDILA 2 BRS 40 CM</v>
      </c>
      <c r="E910" s="16">
        <v>1</v>
      </c>
      <c r="F910" s="16">
        <f>VLOOKUP(C910,[1]master_data!$A$2:$E$495,3,FALSE)</f>
        <v>25000</v>
      </c>
      <c r="G910" s="16">
        <f>VLOOKUP(C910,[1]master_data!$A$2:$E$495,4,FALSE)</f>
        <v>45000</v>
      </c>
      <c r="H910" s="16">
        <f>E910*F910</f>
        <v>25000</v>
      </c>
      <c r="I910" s="16">
        <f>E910*G910</f>
        <v>45000</v>
      </c>
      <c r="J910" s="16">
        <f>I910-H910</f>
        <v>20000</v>
      </c>
      <c r="K910" s="16" t="str">
        <f>VLOOKUP(C910,[1]master_data!$A$2:$E$495,5,FALSE)</f>
        <v>Aksesoris</v>
      </c>
      <c r="L910" s="1"/>
    </row>
    <row r="911" spans="1:12" ht="12" customHeight="1" x14ac:dyDescent="0.25">
      <c r="A911" s="15">
        <v>45168</v>
      </c>
      <c r="B911" s="16">
        <v>22301592</v>
      </c>
      <c r="C911" s="16" t="s">
        <v>71</v>
      </c>
      <c r="D911" s="16" t="str">
        <f>VLOOKUP(C911,[1]master_data!$A$2:$E$495,2,FALSE)</f>
        <v>BOX KOSONG K</v>
      </c>
      <c r="E911" s="16">
        <v>1</v>
      </c>
      <c r="F911" s="16">
        <f>VLOOKUP(C911,[1]master_data!$A$2:$E$495,3,FALSE)</f>
        <v>10000</v>
      </c>
      <c r="G911" s="16">
        <f>VLOOKUP(C911,[1]master_data!$A$2:$E$495,4,FALSE)</f>
        <v>20000</v>
      </c>
      <c r="H911" s="16">
        <f>E911*F911</f>
        <v>10000</v>
      </c>
      <c r="I911" s="16">
        <f>E911*G911</f>
        <v>20000</v>
      </c>
      <c r="J911" s="16">
        <f>I911-H911</f>
        <v>10000</v>
      </c>
      <c r="K911" s="16" t="str">
        <f>VLOOKUP(C911,[1]master_data!$A$2:$E$495,5,FALSE)</f>
        <v>Aksesoris</v>
      </c>
      <c r="L911" s="1"/>
    </row>
    <row r="912" spans="1:12" ht="12" customHeight="1" x14ac:dyDescent="0.25">
      <c r="A912" s="15">
        <v>45168</v>
      </c>
      <c r="B912" s="16">
        <v>22301593</v>
      </c>
      <c r="C912" s="16" t="s">
        <v>431</v>
      </c>
      <c r="D912" s="16" t="str">
        <f>VLOOKUP(C912,[1]master_data!$A$2:$E$495,2,FALSE)</f>
        <v>MARU B</v>
      </c>
      <c r="E912" s="16">
        <v>2</v>
      </c>
      <c r="F912" s="16">
        <f>VLOOKUP(C912,[1]master_data!$A$2:$E$495,3,FALSE)</f>
        <v>90000</v>
      </c>
      <c r="G912" s="16">
        <f>VLOOKUP(C912,[1]master_data!$A$2:$E$495,4,FALSE)</f>
        <v>150000</v>
      </c>
      <c r="H912" s="16">
        <f>E912*F912</f>
        <v>180000</v>
      </c>
      <c r="I912" s="16">
        <f>E912*G912</f>
        <v>300000</v>
      </c>
      <c r="J912" s="16">
        <f>I912-H912</f>
        <v>120000</v>
      </c>
      <c r="K912" s="16" t="str">
        <f>VLOOKUP(C912,[1]master_data!$A$2:$E$495,5,FALSE)</f>
        <v>Ikan</v>
      </c>
      <c r="L912" s="1"/>
    </row>
    <row r="913" spans="1:12" ht="12" customHeight="1" x14ac:dyDescent="0.25">
      <c r="A913" s="15">
        <v>45168</v>
      </c>
      <c r="B913" s="16">
        <v>22301594</v>
      </c>
      <c r="C913" s="16" t="s">
        <v>400</v>
      </c>
      <c r="D913" s="16" t="str">
        <f>VLOOKUP(C913,[1]master_data!$A$2:$E$495,2,FALSE)</f>
        <v>BLACK GHOST</v>
      </c>
      <c r="E913" s="16">
        <v>25</v>
      </c>
      <c r="F913" s="16">
        <f>VLOOKUP(C913,[1]master_data!$A$2:$E$495,3,FALSE)</f>
        <v>4000</v>
      </c>
      <c r="G913" s="16">
        <f>VLOOKUP(C913,[1]master_data!$A$2:$E$495,4,FALSE)</f>
        <v>10000</v>
      </c>
      <c r="H913" s="16">
        <f>E913*F913</f>
        <v>100000</v>
      </c>
      <c r="I913" s="16">
        <f>E913*G913</f>
        <v>250000</v>
      </c>
      <c r="J913" s="16">
        <f>I913-H913</f>
        <v>150000</v>
      </c>
      <c r="K913" s="16" t="str">
        <f>VLOOKUP(C913,[1]master_data!$A$2:$E$495,5,FALSE)</f>
        <v>Ikan</v>
      </c>
      <c r="L913" s="1"/>
    </row>
    <row r="914" spans="1:12" ht="12" customHeight="1" x14ac:dyDescent="0.25">
      <c r="A914" s="15">
        <v>45168</v>
      </c>
      <c r="B914" s="16">
        <v>22301595</v>
      </c>
      <c r="C914" s="16" t="s">
        <v>231</v>
      </c>
      <c r="D914" s="16" t="str">
        <f>VLOOKUP(C914,[1]master_data!$A$2:$E$495,2,FALSE)</f>
        <v>FISH LOVE PAKAN BURAYAK</v>
      </c>
      <c r="E914" s="16">
        <v>20</v>
      </c>
      <c r="F914" s="16">
        <f>VLOOKUP(C914,[1]master_data!$A$2:$E$495,3,FALSE)</f>
        <v>2500</v>
      </c>
      <c r="G914" s="16">
        <f>VLOOKUP(C914,[1]master_data!$A$2:$E$495,4,FALSE)</f>
        <v>5000</v>
      </c>
      <c r="H914" s="16">
        <f>E914*F914</f>
        <v>50000</v>
      </c>
      <c r="I914" s="16">
        <f>E914*G914</f>
        <v>100000</v>
      </c>
      <c r="J914" s="16">
        <f>I914-H914</f>
        <v>50000</v>
      </c>
      <c r="K914" s="16" t="str">
        <f>VLOOKUP(C914,[1]master_data!$A$2:$E$495,5,FALSE)</f>
        <v>Aksesoris</v>
      </c>
      <c r="L914" s="1"/>
    </row>
    <row r="915" spans="1:12" ht="12" customHeight="1" x14ac:dyDescent="0.25">
      <c r="A915" s="15">
        <v>45168</v>
      </c>
      <c r="B915" s="16">
        <v>22301596</v>
      </c>
      <c r="C915" s="16" t="s">
        <v>331</v>
      </c>
      <c r="D915" s="16" t="str">
        <f>VLOOKUP(C915,[1]master_data!$A$2:$E$495,2,FALSE)</f>
        <v>TERMOMETER</v>
      </c>
      <c r="E915" s="16">
        <v>18</v>
      </c>
      <c r="F915" s="16">
        <f>VLOOKUP(C915,[1]master_data!$A$2:$E$495,3,FALSE)</f>
        <v>5250</v>
      </c>
      <c r="G915" s="16">
        <f>VLOOKUP(C915,[1]master_data!$A$2:$E$495,4,FALSE)</f>
        <v>10000</v>
      </c>
      <c r="H915" s="16">
        <f>E915*F915</f>
        <v>94500</v>
      </c>
      <c r="I915" s="16">
        <f>E915*G915</f>
        <v>180000</v>
      </c>
      <c r="J915" s="16">
        <f>I915-H915</f>
        <v>85500</v>
      </c>
      <c r="K915" s="16" t="str">
        <f>VLOOKUP(C915,[1]master_data!$A$2:$E$495,5,FALSE)</f>
        <v>Aksesoris</v>
      </c>
      <c r="L915" s="1"/>
    </row>
    <row r="916" spans="1:12" ht="12" customHeight="1" x14ac:dyDescent="0.25">
      <c r="A916" s="15">
        <v>45168</v>
      </c>
      <c r="B916" s="16">
        <v>22301597</v>
      </c>
      <c r="C916" s="16" t="s">
        <v>394</v>
      </c>
      <c r="D916" s="16" t="str">
        <f>VLOOKUP(C916,[1]master_data!$A$2:$E$495,2,FALSE)</f>
        <v>ALGA EATER</v>
      </c>
      <c r="E916" s="16">
        <v>1</v>
      </c>
      <c r="F916" s="16">
        <f>VLOOKUP(C916,[1]master_data!$A$2:$E$495,3,FALSE)</f>
        <v>1750</v>
      </c>
      <c r="G916" s="16">
        <f>VLOOKUP(C916,[1]master_data!$A$2:$E$495,4,FALSE)</f>
        <v>5000</v>
      </c>
      <c r="H916" s="16">
        <f>E916*F916</f>
        <v>1750</v>
      </c>
      <c r="I916" s="16">
        <f>E916*G916</f>
        <v>5000</v>
      </c>
      <c r="J916" s="16">
        <f>I916-H916</f>
        <v>3250</v>
      </c>
      <c r="K916" s="16" t="str">
        <f>VLOOKUP(C916,[1]master_data!$A$2:$E$495,5,FALSE)</f>
        <v>Ikan</v>
      </c>
      <c r="L916" s="1"/>
    </row>
    <row r="917" spans="1:12" ht="12" customHeight="1" x14ac:dyDescent="0.25">
      <c r="A917" s="15">
        <v>45167</v>
      </c>
      <c r="B917" s="16">
        <v>22301578</v>
      </c>
      <c r="C917" s="16" t="s">
        <v>458</v>
      </c>
      <c r="D917" s="16" t="str">
        <f>VLOOKUP(C917,[1]master_data!$A$2:$E$495,2,FALSE)</f>
        <v>ZEBRA KUNING</v>
      </c>
      <c r="E917" s="16">
        <v>20</v>
      </c>
      <c r="F917" s="16">
        <f>VLOOKUP(C917,[1]master_data!$A$2:$E$495,3,FALSE)</f>
        <v>800</v>
      </c>
      <c r="G917" s="16">
        <f>VLOOKUP(C917,[1]master_data!$A$2:$E$495,4,FALSE)</f>
        <v>2000</v>
      </c>
      <c r="H917" s="16">
        <f>E917*F917</f>
        <v>16000</v>
      </c>
      <c r="I917" s="16">
        <f>E917*G917</f>
        <v>40000</v>
      </c>
      <c r="J917" s="16">
        <f>I917-H917</f>
        <v>24000</v>
      </c>
      <c r="K917" s="16" t="str">
        <f>VLOOKUP(C917,[1]master_data!$A$2:$E$495,5,FALSE)</f>
        <v>Ikan</v>
      </c>
      <c r="L917" s="1"/>
    </row>
    <row r="918" spans="1:12" ht="12" customHeight="1" x14ac:dyDescent="0.25">
      <c r="A918" s="15">
        <v>45167</v>
      </c>
      <c r="B918" s="16">
        <v>22301579</v>
      </c>
      <c r="C918" s="16" t="s">
        <v>258</v>
      </c>
      <c r="D918" s="16" t="str">
        <f>VLOOKUP(C918,[1]master_data!$A$2:$E$495,2,FALSE)</f>
        <v>BUNGA K</v>
      </c>
      <c r="E918" s="16">
        <v>15</v>
      </c>
      <c r="F918" s="16">
        <f>VLOOKUP(C918,[1]master_data!$A$2:$E$495,3,FALSE)</f>
        <v>2500</v>
      </c>
      <c r="G918" s="16">
        <f>VLOOKUP(C918,[1]master_data!$A$2:$E$495,4,FALSE)</f>
        <v>5000</v>
      </c>
      <c r="H918" s="16">
        <f>E918*F918</f>
        <v>37500</v>
      </c>
      <c r="I918" s="16">
        <f>E918*G918</f>
        <v>75000</v>
      </c>
      <c r="J918" s="16">
        <f>I918-H918</f>
        <v>37500</v>
      </c>
      <c r="K918" s="16" t="str">
        <f>VLOOKUP(C918,[1]master_data!$A$2:$E$495,5,FALSE)</f>
        <v>Aksesoris</v>
      </c>
      <c r="L918" s="1"/>
    </row>
    <row r="919" spans="1:12" ht="12" customHeight="1" x14ac:dyDescent="0.25">
      <c r="A919" s="15">
        <v>45167</v>
      </c>
      <c r="B919" s="16">
        <v>22301580</v>
      </c>
      <c r="C919" s="16" t="s">
        <v>451</v>
      </c>
      <c r="D919" s="16" t="str">
        <f>VLOOKUP(C919,[1]master_data!$A$2:$E$495,2,FALSE)</f>
        <v>SYNODONTIS K</v>
      </c>
      <c r="E919" s="16">
        <v>20</v>
      </c>
      <c r="F919" s="16">
        <f>VLOOKUP(C919,[1]master_data!$A$2:$E$495,3,FALSE)</f>
        <v>1500</v>
      </c>
      <c r="G919" s="16">
        <f>VLOOKUP(C919,[1]master_data!$A$2:$E$495,4,FALSE)</f>
        <v>5000</v>
      </c>
      <c r="H919" s="16">
        <f>E919*F919</f>
        <v>30000</v>
      </c>
      <c r="I919" s="16">
        <f>E919*G919</f>
        <v>100000</v>
      </c>
      <c r="J919" s="16">
        <f>I919-H919</f>
        <v>70000</v>
      </c>
      <c r="K919" s="16" t="str">
        <f>VLOOKUP(C919,[1]master_data!$A$2:$E$495,5,FALSE)</f>
        <v>Ikan</v>
      </c>
      <c r="L919" s="1"/>
    </row>
    <row r="920" spans="1:12" ht="12" customHeight="1" x14ac:dyDescent="0.25">
      <c r="A920" s="15">
        <v>45167</v>
      </c>
      <c r="B920" s="16">
        <v>22301581</v>
      </c>
      <c r="C920" s="16" t="s">
        <v>85</v>
      </c>
      <c r="D920" s="16" t="str">
        <f>VLOOKUP(C920,[1]master_data!$A$2:$E$495,2,FALSE)</f>
        <v>MESIN KIYOSAKI 107A</v>
      </c>
      <c r="E920" s="16">
        <v>1</v>
      </c>
      <c r="F920" s="16">
        <f>VLOOKUP(C920,[1]master_data!$A$2:$E$495,3,FALSE)</f>
        <v>250000</v>
      </c>
      <c r="G920" s="16">
        <f>VLOOKUP(C920,[1]master_data!$A$2:$E$495,4,FALSE)</f>
        <v>300000</v>
      </c>
      <c r="H920" s="16">
        <f>E920*F920</f>
        <v>250000</v>
      </c>
      <c r="I920" s="16">
        <f>E920*G920</f>
        <v>300000</v>
      </c>
      <c r="J920" s="16">
        <f>I920-H920</f>
        <v>50000</v>
      </c>
      <c r="K920" s="16" t="str">
        <f>VLOOKUP(C920,[1]master_data!$A$2:$E$495,5,FALSE)</f>
        <v>Aksesoris</v>
      </c>
      <c r="L920" s="1"/>
    </row>
    <row r="921" spans="1:12" ht="12" customHeight="1" x14ac:dyDescent="0.25">
      <c r="A921" s="15">
        <v>45167</v>
      </c>
      <c r="B921" s="16">
        <v>22301582</v>
      </c>
      <c r="C921" s="16" t="s">
        <v>422</v>
      </c>
      <c r="D921" s="16" t="str">
        <f>VLOOKUP(C921,[1]master_data!$A$2:$E$495,2,FALSE)</f>
        <v>KOI SLAYER B</v>
      </c>
      <c r="E921" s="16">
        <v>10</v>
      </c>
      <c r="F921" s="16">
        <f>VLOOKUP(C921,[1]master_data!$A$2:$E$495,3,FALSE)</f>
        <v>8000</v>
      </c>
      <c r="G921" s="16">
        <f>VLOOKUP(C921,[1]master_data!$A$2:$E$495,4,FALSE)</f>
        <v>20000</v>
      </c>
      <c r="H921" s="16">
        <f>E921*F921</f>
        <v>80000</v>
      </c>
      <c r="I921" s="16">
        <f>E921*G921</f>
        <v>200000</v>
      </c>
      <c r="J921" s="16">
        <f>I921-H921</f>
        <v>120000</v>
      </c>
      <c r="K921" s="16" t="str">
        <f>VLOOKUP(C921,[1]master_data!$A$2:$E$495,5,FALSE)</f>
        <v>Ikan</v>
      </c>
      <c r="L921" s="1"/>
    </row>
    <row r="922" spans="1:12" ht="12" customHeight="1" x14ac:dyDescent="0.25">
      <c r="A922" s="15">
        <v>45167</v>
      </c>
      <c r="B922" s="16">
        <v>22301583</v>
      </c>
      <c r="C922" s="16" t="s">
        <v>323</v>
      </c>
      <c r="D922" s="16" t="str">
        <f>VLOOKUP(C922,[1]master_data!$A$2:$E$495,2,FALSE)</f>
        <v>AIRSTONE PANJANG 6</v>
      </c>
      <c r="E922" s="16">
        <v>1</v>
      </c>
      <c r="F922" s="16">
        <f>VLOOKUP(C922,[1]master_data!$A$2:$E$495,3,FALSE)</f>
        <v>8000</v>
      </c>
      <c r="G922" s="16">
        <f>VLOOKUP(C922,[1]master_data!$A$2:$E$495,4,FALSE)</f>
        <v>12000</v>
      </c>
      <c r="H922" s="16">
        <f>E922*F922</f>
        <v>8000</v>
      </c>
      <c r="I922" s="16">
        <f>E922*G922</f>
        <v>12000</v>
      </c>
      <c r="J922" s="16">
        <f>I922-H922</f>
        <v>4000</v>
      </c>
      <c r="K922" s="16" t="str">
        <f>VLOOKUP(C922,[1]master_data!$A$2:$E$495,5,FALSE)</f>
        <v>Aksesoris</v>
      </c>
      <c r="L922" s="1"/>
    </row>
    <row r="923" spans="1:12" ht="12" customHeight="1" x14ac:dyDescent="0.25">
      <c r="A923" s="15">
        <v>45167</v>
      </c>
      <c r="B923" s="16">
        <v>22301584</v>
      </c>
      <c r="C923" s="16" t="s">
        <v>262</v>
      </c>
      <c r="D923" s="16" t="str">
        <f>VLOOKUP(C923,[1]master_data!$A$2:$E$495,2,FALSE)</f>
        <v>CORNER FILTER MULTI NAVIGATOR</v>
      </c>
      <c r="E923" s="16">
        <v>2</v>
      </c>
      <c r="F923" s="16">
        <f>VLOOKUP(C923,[1]master_data!$A$2:$E$495,3,FALSE)</f>
        <v>21000</v>
      </c>
      <c r="G923" s="16">
        <f>VLOOKUP(C923,[1]master_data!$A$2:$E$495,4,FALSE)</f>
        <v>30000</v>
      </c>
      <c r="H923" s="16">
        <f>E923*F923</f>
        <v>42000</v>
      </c>
      <c r="I923" s="16">
        <f>E923*G923</f>
        <v>60000</v>
      </c>
      <c r="J923" s="16">
        <f>I923-H923</f>
        <v>18000</v>
      </c>
      <c r="K923" s="16" t="str">
        <f>VLOOKUP(C923,[1]master_data!$A$2:$E$495,5,FALSE)</f>
        <v>Aksesoris</v>
      </c>
      <c r="L923" s="1"/>
    </row>
    <row r="924" spans="1:12" ht="12" customHeight="1" x14ac:dyDescent="0.25">
      <c r="A924" s="15">
        <v>45167</v>
      </c>
      <c r="B924" s="16">
        <v>22301585</v>
      </c>
      <c r="C924" s="16" t="s">
        <v>420</v>
      </c>
      <c r="D924" s="16" t="str">
        <f>VLOOKUP(C924,[1]master_data!$A$2:$E$495,2,FALSE)</f>
        <v>KOMET SLAYER</v>
      </c>
      <c r="E924" s="16">
        <v>30</v>
      </c>
      <c r="F924" s="16">
        <f>VLOOKUP(C924,[1]master_data!$A$2:$E$495,3,FALSE)</f>
        <v>2000</v>
      </c>
      <c r="G924" s="16">
        <f>VLOOKUP(C924,[1]master_data!$A$2:$E$495,4,FALSE)</f>
        <v>5000</v>
      </c>
      <c r="H924" s="16">
        <f>E924*F924</f>
        <v>60000</v>
      </c>
      <c r="I924" s="16">
        <f>E924*G924</f>
        <v>150000</v>
      </c>
      <c r="J924" s="16">
        <f>I924-H924</f>
        <v>90000</v>
      </c>
      <c r="K924" s="16" t="str">
        <f>VLOOKUP(C924,[1]master_data!$A$2:$E$495,5,FALSE)</f>
        <v>Ikan</v>
      </c>
      <c r="L924" s="1"/>
    </row>
    <row r="925" spans="1:12" ht="12" customHeight="1" x14ac:dyDescent="0.25">
      <c r="A925" s="15">
        <v>45167</v>
      </c>
      <c r="B925" s="16">
        <v>22301586</v>
      </c>
      <c r="C925" s="16" t="s">
        <v>410</v>
      </c>
      <c r="D925" s="16" t="str">
        <f>VLOOKUP(C925,[1]master_data!$A$2:$E$495,2,FALSE)</f>
        <v>HIU TAWAR</v>
      </c>
      <c r="E925" s="16">
        <v>4</v>
      </c>
      <c r="F925" s="16">
        <f>VLOOKUP(C925,[1]master_data!$A$2:$E$495,3,FALSE)</f>
        <v>600</v>
      </c>
      <c r="G925" s="16">
        <f>VLOOKUP(C925,[1]master_data!$A$2:$E$495,4,FALSE)</f>
        <v>2000</v>
      </c>
      <c r="H925" s="16">
        <f>E925*F925</f>
        <v>2400</v>
      </c>
      <c r="I925" s="16">
        <f>E925*G925</f>
        <v>8000</v>
      </c>
      <c r="J925" s="16">
        <f>I925-H925</f>
        <v>5600</v>
      </c>
      <c r="K925" s="16" t="str">
        <f>VLOOKUP(C925,[1]master_data!$A$2:$E$495,5,FALSE)</f>
        <v>Ikan</v>
      </c>
      <c r="L925" s="1"/>
    </row>
    <row r="926" spans="1:12" ht="12" customHeight="1" x14ac:dyDescent="0.25">
      <c r="A926" s="15">
        <v>45167</v>
      </c>
      <c r="B926" s="16">
        <v>22301587</v>
      </c>
      <c r="C926" s="16" t="s">
        <v>429</v>
      </c>
      <c r="D926" s="16" t="str">
        <f>VLOOKUP(C926,[1]master_data!$A$2:$E$495,2,FALSE)</f>
        <v>MANFISH B</v>
      </c>
      <c r="E926" s="16">
        <v>1</v>
      </c>
      <c r="F926" s="16">
        <f>VLOOKUP(C926,[1]master_data!$A$2:$E$495,3,FALSE)</f>
        <v>4000</v>
      </c>
      <c r="G926" s="16">
        <f>VLOOKUP(C926,[1]master_data!$A$2:$E$495,4,FALSE)</f>
        <v>10000</v>
      </c>
      <c r="H926" s="16">
        <f>E926*F926</f>
        <v>4000</v>
      </c>
      <c r="I926" s="16">
        <f>E926*G926</f>
        <v>10000</v>
      </c>
      <c r="J926" s="16">
        <f>I926-H926</f>
        <v>6000</v>
      </c>
      <c r="K926" s="16" t="str">
        <f>VLOOKUP(C926,[1]master_data!$A$2:$E$495,5,FALSE)</f>
        <v>Ikan</v>
      </c>
      <c r="L926" s="1"/>
    </row>
    <row r="927" spans="1:12" ht="12" customHeight="1" x14ac:dyDescent="0.25">
      <c r="A927" s="15">
        <v>45166</v>
      </c>
      <c r="B927" s="16">
        <v>22301573</v>
      </c>
      <c r="C927" s="16" t="s">
        <v>388</v>
      </c>
      <c r="D927" s="16" t="str">
        <f>VLOOKUP(C927,[1]master_data!$A$2:$E$495,2,FALSE)</f>
        <v>CHANNA ASIATICA K</v>
      </c>
      <c r="E927" s="16">
        <v>1</v>
      </c>
      <c r="F927" s="16">
        <f>VLOOKUP(C927,[1]master_data!$A$2:$E$495,3,FALSE)</f>
        <v>10000</v>
      </c>
      <c r="G927" s="16">
        <f>VLOOKUP(C927,[1]master_data!$A$2:$E$495,4,FALSE)</f>
        <v>40000</v>
      </c>
      <c r="H927" s="16">
        <f>E927*F927</f>
        <v>10000</v>
      </c>
      <c r="I927" s="16">
        <f>E927*G927</f>
        <v>40000</v>
      </c>
      <c r="J927" s="16">
        <f>I927-H927</f>
        <v>30000</v>
      </c>
      <c r="K927" s="16" t="str">
        <f>VLOOKUP(C927,[1]master_data!$A$2:$E$495,5,FALSE)</f>
        <v>Ikan</v>
      </c>
      <c r="L927" s="1"/>
    </row>
    <row r="928" spans="1:12" ht="12" customHeight="1" x14ac:dyDescent="0.25">
      <c r="A928" s="15">
        <v>45166</v>
      </c>
      <c r="B928" s="16">
        <v>22301574</v>
      </c>
      <c r="C928" s="16" t="s">
        <v>388</v>
      </c>
      <c r="D928" s="16" t="str">
        <f>VLOOKUP(C928,[1]master_data!$A$2:$E$495,2,FALSE)</f>
        <v>CHANNA ASIATICA K</v>
      </c>
      <c r="E928" s="16">
        <v>1</v>
      </c>
      <c r="F928" s="16">
        <f>VLOOKUP(C928,[1]master_data!$A$2:$E$495,3,FALSE)</f>
        <v>10000</v>
      </c>
      <c r="G928" s="16">
        <f>VLOOKUP(C928,[1]master_data!$A$2:$E$495,4,FALSE)</f>
        <v>40000</v>
      </c>
      <c r="H928" s="16">
        <f>E928*F928</f>
        <v>10000</v>
      </c>
      <c r="I928" s="16">
        <f>E928*G928</f>
        <v>40000</v>
      </c>
      <c r="J928" s="16">
        <f>I928-H928</f>
        <v>30000</v>
      </c>
      <c r="K928" s="16" t="str">
        <f>VLOOKUP(C928,[1]master_data!$A$2:$E$495,5,FALSE)</f>
        <v>Ikan</v>
      </c>
      <c r="L928" s="1"/>
    </row>
    <row r="929" spans="1:12" ht="12" customHeight="1" x14ac:dyDescent="0.25">
      <c r="A929" s="15">
        <v>45166</v>
      </c>
      <c r="B929" s="16">
        <v>22301575</v>
      </c>
      <c r="C929" s="16" t="s">
        <v>400</v>
      </c>
      <c r="D929" s="16" t="str">
        <f>VLOOKUP(C929,[1]master_data!$A$2:$E$495,2,FALSE)</f>
        <v>BLACK GHOST</v>
      </c>
      <c r="E929" s="16">
        <v>25</v>
      </c>
      <c r="F929" s="16">
        <f>VLOOKUP(C929,[1]master_data!$A$2:$E$495,3,FALSE)</f>
        <v>4000</v>
      </c>
      <c r="G929" s="16">
        <f>VLOOKUP(C929,[1]master_data!$A$2:$E$495,4,FALSE)</f>
        <v>10000</v>
      </c>
      <c r="H929" s="16">
        <f>E929*F929</f>
        <v>100000</v>
      </c>
      <c r="I929" s="16">
        <f>E929*G929</f>
        <v>250000</v>
      </c>
      <c r="J929" s="16">
        <f>I929-H929</f>
        <v>150000</v>
      </c>
      <c r="K929" s="16" t="str">
        <f>VLOOKUP(C929,[1]master_data!$A$2:$E$495,5,FALSE)</f>
        <v>Ikan</v>
      </c>
      <c r="L929" s="1"/>
    </row>
    <row r="930" spans="1:12" ht="12" customHeight="1" x14ac:dyDescent="0.25">
      <c r="A930" s="15">
        <v>45166</v>
      </c>
      <c r="B930" s="16">
        <v>22301576</v>
      </c>
      <c r="C930" s="16" t="s">
        <v>249</v>
      </c>
      <c r="D930" s="16" t="str">
        <f>VLOOKUP(C930,[1]master_data!$A$2:$E$495,2,FALSE)</f>
        <v>AIRSTONE 100</v>
      </c>
      <c r="E930" s="16">
        <v>10</v>
      </c>
      <c r="F930" s="16">
        <f>VLOOKUP(C930,[1]master_data!$A$2:$E$495,3,FALSE)</f>
        <v>15000</v>
      </c>
      <c r="G930" s="16">
        <f>VLOOKUP(C930,[1]master_data!$A$2:$E$495,4,FALSE)</f>
        <v>35000</v>
      </c>
      <c r="H930" s="16">
        <f>E930*F930</f>
        <v>150000</v>
      </c>
      <c r="I930" s="16">
        <f>E930*G930</f>
        <v>350000</v>
      </c>
      <c r="J930" s="16">
        <f>I930-H930</f>
        <v>200000</v>
      </c>
      <c r="K930" s="16" t="str">
        <f>VLOOKUP(C930,[1]master_data!$A$2:$E$495,5,FALSE)</f>
        <v>Aksesoris</v>
      </c>
      <c r="L930" s="1"/>
    </row>
    <row r="931" spans="1:12" ht="12" customHeight="1" x14ac:dyDescent="0.25">
      <c r="A931" s="15">
        <v>45166</v>
      </c>
      <c r="B931" s="16">
        <v>22301577</v>
      </c>
      <c r="C931" s="16" t="s">
        <v>447</v>
      </c>
      <c r="D931" s="16" t="str">
        <f>VLOOKUP(C931,[1]master_data!$A$2:$E$495,2,FALSE)</f>
        <v>CHANNA RED BARITO B</v>
      </c>
      <c r="E931" s="16">
        <v>1</v>
      </c>
      <c r="F931" s="16">
        <f>VLOOKUP(C931,[1]master_data!$A$2:$E$495,3,FALSE)</f>
        <v>120000</v>
      </c>
      <c r="G931" s="16">
        <f>VLOOKUP(C931,[1]master_data!$A$2:$E$495,4,FALSE)</f>
        <v>200000</v>
      </c>
      <c r="H931" s="16">
        <f>E931*F931</f>
        <v>120000</v>
      </c>
      <c r="I931" s="16">
        <f>E931*G931</f>
        <v>200000</v>
      </c>
      <c r="J931" s="16">
        <f>I931-H931</f>
        <v>80000</v>
      </c>
      <c r="K931" s="16" t="str">
        <f>VLOOKUP(C931,[1]master_data!$A$2:$E$495,5,FALSE)</f>
        <v>Ikan</v>
      </c>
      <c r="L931" s="1"/>
    </row>
    <row r="932" spans="1:12" ht="12" customHeight="1" x14ac:dyDescent="0.25">
      <c r="A932" s="15">
        <v>45165</v>
      </c>
      <c r="B932" s="16">
        <v>22301567</v>
      </c>
      <c r="C932" s="16" t="s">
        <v>435</v>
      </c>
      <c r="D932" s="16" t="str">
        <f>VLOOKUP(C932,[1]master_data!$A$2:$E$495,2,FALSE)</f>
        <v>RED EYE TETRA</v>
      </c>
      <c r="E932" s="16">
        <v>15</v>
      </c>
      <c r="F932" s="16">
        <f>VLOOKUP(C932,[1]master_data!$A$2:$E$495,3,FALSE)</f>
        <v>900</v>
      </c>
      <c r="G932" s="16">
        <f>VLOOKUP(C932,[1]master_data!$A$2:$E$495,4,FALSE)</f>
        <v>2000</v>
      </c>
      <c r="H932" s="16">
        <f>E932*F932</f>
        <v>13500</v>
      </c>
      <c r="I932" s="16">
        <f>E932*G932</f>
        <v>30000</v>
      </c>
      <c r="J932" s="16">
        <f>I932-H932</f>
        <v>16500</v>
      </c>
      <c r="K932" s="16" t="str">
        <f>VLOOKUP(C932,[1]master_data!$A$2:$E$495,5,FALSE)</f>
        <v>Ikan</v>
      </c>
      <c r="L932" s="1"/>
    </row>
    <row r="933" spans="1:12" ht="12" customHeight="1" x14ac:dyDescent="0.25">
      <c r="A933" s="15">
        <v>45165</v>
      </c>
      <c r="B933" s="16">
        <v>22301568</v>
      </c>
      <c r="C933" s="16" t="s">
        <v>129</v>
      </c>
      <c r="D933" s="16" t="str">
        <f>VLOOKUP(C933,[1]master_data!$A$2:$E$495,2,FALSE)</f>
        <v>LED YAMANO S400</v>
      </c>
      <c r="E933" s="16">
        <v>10</v>
      </c>
      <c r="F933" s="16">
        <f>VLOOKUP(C933,[1]master_data!$A$2:$E$495,3,FALSE)</f>
        <v>50000</v>
      </c>
      <c r="G933" s="16">
        <f>VLOOKUP(C933,[1]master_data!$A$2:$E$495,4,FALSE)</f>
        <v>75000</v>
      </c>
      <c r="H933" s="16">
        <f>E933*F933</f>
        <v>500000</v>
      </c>
      <c r="I933" s="16">
        <f>E933*G933</f>
        <v>750000</v>
      </c>
      <c r="J933" s="16">
        <f>I933-H933</f>
        <v>250000</v>
      </c>
      <c r="K933" s="16" t="str">
        <f>VLOOKUP(C933,[1]master_data!$A$2:$E$495,5,FALSE)</f>
        <v>Aksesoris</v>
      </c>
      <c r="L933" s="1"/>
    </row>
    <row r="934" spans="1:12" ht="12" customHeight="1" x14ac:dyDescent="0.25">
      <c r="A934" s="15">
        <v>45165</v>
      </c>
      <c r="B934" s="16">
        <v>22301569</v>
      </c>
      <c r="C934" s="16" t="s">
        <v>422</v>
      </c>
      <c r="D934" s="16" t="str">
        <f>VLOOKUP(C934,[1]master_data!$A$2:$E$495,2,FALSE)</f>
        <v>KOI SLAYER B</v>
      </c>
      <c r="E934" s="16">
        <v>1</v>
      </c>
      <c r="F934" s="16">
        <f>VLOOKUP(C934,[1]master_data!$A$2:$E$495,3,FALSE)</f>
        <v>8000</v>
      </c>
      <c r="G934" s="16">
        <f>VLOOKUP(C934,[1]master_data!$A$2:$E$495,4,FALSE)</f>
        <v>20000</v>
      </c>
      <c r="H934" s="16">
        <f>E934*F934</f>
        <v>8000</v>
      </c>
      <c r="I934" s="16">
        <f>E934*G934</f>
        <v>20000</v>
      </c>
      <c r="J934" s="16">
        <f>I934-H934</f>
        <v>12000</v>
      </c>
      <c r="K934" s="16" t="str">
        <f>VLOOKUP(C934,[1]master_data!$A$2:$E$495,5,FALSE)</f>
        <v>Ikan</v>
      </c>
      <c r="L934" s="1"/>
    </row>
    <row r="935" spans="1:12" ht="12" customHeight="1" x14ac:dyDescent="0.25">
      <c r="A935" s="15">
        <v>45165</v>
      </c>
      <c r="B935" s="16">
        <v>22301570</v>
      </c>
      <c r="C935" s="16" t="s">
        <v>194</v>
      </c>
      <c r="D935" s="16" t="str">
        <f>VLOOKUP(C935,[1]master_data!$A$2:$E$495,2,FALSE)</f>
        <v>LED KANDILA DnN ECO 30 CM</v>
      </c>
      <c r="E935" s="16">
        <v>1</v>
      </c>
      <c r="F935" s="16">
        <f>VLOOKUP(C935,[1]master_data!$A$2:$E$495,3,FALSE)</f>
        <v>48000</v>
      </c>
      <c r="G935" s="16">
        <f>VLOOKUP(C935,[1]master_data!$A$2:$E$495,4,FALSE)</f>
        <v>70000</v>
      </c>
      <c r="H935" s="16">
        <f>E935*F935</f>
        <v>48000</v>
      </c>
      <c r="I935" s="16">
        <f>E935*G935</f>
        <v>70000</v>
      </c>
      <c r="J935" s="16">
        <f>I935-H935</f>
        <v>22000</v>
      </c>
      <c r="K935" s="16" t="str">
        <f>VLOOKUP(C935,[1]master_data!$A$2:$E$495,5,FALSE)</f>
        <v>Aksesoris</v>
      </c>
      <c r="L935" s="1"/>
    </row>
    <row r="936" spans="1:12" ht="12" customHeight="1" x14ac:dyDescent="0.25">
      <c r="A936" s="15">
        <v>45165</v>
      </c>
      <c r="B936" s="16">
        <v>22301571</v>
      </c>
      <c r="C936" s="16" t="s">
        <v>131</v>
      </c>
      <c r="D936" s="16" t="str">
        <f>VLOOKUP(C936,[1]master_data!$A$2:$E$495,2,FALSE)</f>
        <v>LED YAMANO S800</v>
      </c>
      <c r="E936" s="16">
        <v>2</v>
      </c>
      <c r="F936" s="16">
        <f>VLOOKUP(C936,[1]master_data!$A$2:$E$495,3,FALSE)</f>
        <v>70000</v>
      </c>
      <c r="G936" s="16">
        <f>VLOOKUP(C936,[1]master_data!$A$2:$E$495,4,FALSE)</f>
        <v>115000</v>
      </c>
      <c r="H936" s="16">
        <f>E936*F936</f>
        <v>140000</v>
      </c>
      <c r="I936" s="16">
        <f>E936*G936</f>
        <v>230000</v>
      </c>
      <c r="J936" s="16">
        <f>I936-H936</f>
        <v>90000</v>
      </c>
      <c r="K936" s="16" t="str">
        <f>VLOOKUP(C936,[1]master_data!$A$2:$E$495,5,FALSE)</f>
        <v>Aksesoris</v>
      </c>
      <c r="L936" s="1"/>
    </row>
    <row r="937" spans="1:12" ht="12" customHeight="1" x14ac:dyDescent="0.25">
      <c r="A937" s="15">
        <v>45165</v>
      </c>
      <c r="B937" s="16">
        <v>22301572</v>
      </c>
      <c r="C937" s="16" t="s">
        <v>145</v>
      </c>
      <c r="D937" s="16" t="str">
        <f>VLOOKUP(C937,[1]master_data!$A$2:$E$495,2,FALSE)</f>
        <v>LED KIYOSAKI 3 MODE 20 CM</v>
      </c>
      <c r="E937" s="16">
        <v>1</v>
      </c>
      <c r="F937" s="16">
        <f>VLOOKUP(C937,[1]master_data!$A$2:$E$495,3,FALSE)</f>
        <v>35000</v>
      </c>
      <c r="G937" s="16">
        <f>VLOOKUP(C937,[1]master_data!$A$2:$E$495,4,FALSE)</f>
        <v>50000</v>
      </c>
      <c r="H937" s="16">
        <f>E937*F937</f>
        <v>35000</v>
      </c>
      <c r="I937" s="16">
        <f>E937*G937</f>
        <v>50000</v>
      </c>
      <c r="J937" s="16">
        <f>I937-H937</f>
        <v>15000</v>
      </c>
      <c r="K937" s="16" t="str">
        <f>VLOOKUP(C937,[1]master_data!$A$2:$E$495,5,FALSE)</f>
        <v>Aksesoris</v>
      </c>
      <c r="L937" s="1"/>
    </row>
    <row r="938" spans="1:12" ht="12" customHeight="1" x14ac:dyDescent="0.25">
      <c r="A938" s="15">
        <v>45164</v>
      </c>
      <c r="B938" s="16">
        <v>22301559</v>
      </c>
      <c r="C938" s="16" t="s">
        <v>417</v>
      </c>
      <c r="D938" s="16" t="str">
        <f>VLOOKUP(C938,[1]master_data!$A$2:$E$495,2,FALSE)</f>
        <v>KURA - KURA</v>
      </c>
      <c r="E938" s="16">
        <v>5</v>
      </c>
      <c r="F938" s="16">
        <f>VLOOKUP(C938,[1]master_data!$A$2:$E$495,3,FALSE)</f>
        <v>25000</v>
      </c>
      <c r="G938" s="16">
        <f>VLOOKUP(C938,[1]master_data!$A$2:$E$495,4,FALSE)</f>
        <v>35000</v>
      </c>
      <c r="H938" s="16">
        <f>E938*F938</f>
        <v>125000</v>
      </c>
      <c r="I938" s="16">
        <f>E938*G938</f>
        <v>175000</v>
      </c>
      <c r="J938" s="16">
        <f>I938-H938</f>
        <v>50000</v>
      </c>
      <c r="K938" s="16" t="str">
        <f>VLOOKUP(C938,[1]master_data!$A$2:$E$495,5,FALSE)</f>
        <v>Ikan</v>
      </c>
      <c r="L938" s="1"/>
    </row>
    <row r="939" spans="1:12" ht="12" customHeight="1" x14ac:dyDescent="0.25">
      <c r="A939" s="15">
        <v>45164</v>
      </c>
      <c r="B939" s="16">
        <v>22301560</v>
      </c>
      <c r="C939" s="16" t="s">
        <v>164</v>
      </c>
      <c r="D939" s="16" t="str">
        <f>VLOOKUP(C939,[1]master_data!$A$2:$E$495,2,FALSE)</f>
        <v>LED KANDILA DnN 20 CM</v>
      </c>
      <c r="E939" s="16">
        <v>10</v>
      </c>
      <c r="F939" s="16">
        <f>VLOOKUP(C939,[1]master_data!$A$2:$E$495,3,FALSE)</f>
        <v>26000</v>
      </c>
      <c r="G939" s="16">
        <f>VLOOKUP(C939,[1]master_data!$A$2:$E$495,4,FALSE)</f>
        <v>40000</v>
      </c>
      <c r="H939" s="16">
        <f>E939*F939</f>
        <v>260000</v>
      </c>
      <c r="I939" s="16">
        <f>E939*G939</f>
        <v>400000</v>
      </c>
      <c r="J939" s="16">
        <f>I939-H939</f>
        <v>140000</v>
      </c>
      <c r="K939" s="16" t="str">
        <f>VLOOKUP(C939,[1]master_data!$A$2:$E$495,5,FALSE)</f>
        <v>Aksesoris</v>
      </c>
      <c r="L939" s="1"/>
    </row>
    <row r="940" spans="1:12" ht="12" customHeight="1" x14ac:dyDescent="0.25">
      <c r="A940" s="15">
        <v>45164</v>
      </c>
      <c r="B940" s="16">
        <v>22301561</v>
      </c>
      <c r="C940" s="16" t="s">
        <v>265</v>
      </c>
      <c r="D940" s="16" t="str">
        <f>VLOOKUP(C940,[1]master_data!$A$2:$E$495,2,FALSE)</f>
        <v>HEATER STENLEES 25 W</v>
      </c>
      <c r="E940" s="16">
        <v>1</v>
      </c>
      <c r="F940" s="16">
        <f>VLOOKUP(C940,[1]master_data!$A$2:$E$495,3,FALSE)</f>
        <v>56500</v>
      </c>
      <c r="G940" s="16">
        <f>VLOOKUP(C940,[1]master_data!$A$2:$E$495,4,FALSE)</f>
        <v>85000</v>
      </c>
      <c r="H940" s="16">
        <f>E940*F940</f>
        <v>56500</v>
      </c>
      <c r="I940" s="16">
        <f>E940*G940</f>
        <v>85000</v>
      </c>
      <c r="J940" s="16">
        <f>I940-H940</f>
        <v>28500</v>
      </c>
      <c r="K940" s="16" t="str">
        <f>VLOOKUP(C940,[1]master_data!$A$2:$E$495,5,FALSE)</f>
        <v>Aksesoris</v>
      </c>
      <c r="L940" s="1"/>
    </row>
    <row r="941" spans="1:12" ht="12" customHeight="1" x14ac:dyDescent="0.25">
      <c r="A941" s="15">
        <v>45164</v>
      </c>
      <c r="B941" s="16">
        <v>22301562</v>
      </c>
      <c r="C941" s="16" t="s">
        <v>397</v>
      </c>
      <c r="D941" s="16" t="str">
        <f>VLOOKUP(C941,[1]master_data!$A$2:$E$495,2,FALSE)</f>
        <v>BUENOS AIRES TETRA</v>
      </c>
      <c r="E941" s="16">
        <v>20</v>
      </c>
      <c r="F941" s="16">
        <f>VLOOKUP(C941,[1]master_data!$A$2:$E$495,3,FALSE)</f>
        <v>800</v>
      </c>
      <c r="G941" s="16">
        <f>VLOOKUP(C941,[1]master_data!$A$2:$E$495,4,FALSE)</f>
        <v>2000</v>
      </c>
      <c r="H941" s="16">
        <f>E941*F941</f>
        <v>16000</v>
      </c>
      <c r="I941" s="16">
        <f>E941*G941</f>
        <v>40000</v>
      </c>
      <c r="J941" s="16">
        <f>I941-H941</f>
        <v>24000</v>
      </c>
      <c r="K941" s="16" t="str">
        <f>VLOOKUP(C941,[1]master_data!$A$2:$E$495,5,FALSE)</f>
        <v>Ikan</v>
      </c>
      <c r="L941" s="1"/>
    </row>
    <row r="942" spans="1:12" ht="12" customHeight="1" x14ac:dyDescent="0.25">
      <c r="A942" s="15">
        <v>45164</v>
      </c>
      <c r="B942" s="16">
        <v>22301563</v>
      </c>
      <c r="C942" s="16" t="s">
        <v>74</v>
      </c>
      <c r="D942" s="16" t="str">
        <f>VLOOKUP(C942,[1]master_data!$A$2:$E$495,2,FALSE)</f>
        <v>MESIN HAILONG 1600</v>
      </c>
      <c r="E942" s="16">
        <v>2</v>
      </c>
      <c r="F942" s="16">
        <f>VLOOKUP(C942,[1]master_data!$A$2:$E$495,3,FALSE)</f>
        <v>58000</v>
      </c>
      <c r="G942" s="16">
        <f>VLOOKUP(C942,[1]master_data!$A$2:$E$495,4,FALSE)</f>
        <v>100000</v>
      </c>
      <c r="H942" s="16">
        <f>E942*F942</f>
        <v>116000</v>
      </c>
      <c r="I942" s="16">
        <f>E942*G942</f>
        <v>200000</v>
      </c>
      <c r="J942" s="16">
        <f>I942-H942</f>
        <v>84000</v>
      </c>
      <c r="K942" s="16" t="str">
        <f>VLOOKUP(C942,[1]master_data!$A$2:$E$495,5,FALSE)</f>
        <v>Aksesoris</v>
      </c>
      <c r="L942" s="1"/>
    </row>
    <row r="943" spans="1:12" ht="12" customHeight="1" x14ac:dyDescent="0.25">
      <c r="A943" s="15">
        <v>45164</v>
      </c>
      <c r="B943" s="16">
        <v>22301564</v>
      </c>
      <c r="C943" s="16" t="s">
        <v>433</v>
      </c>
      <c r="D943" s="16" t="str">
        <f>VLOOKUP(C943,[1]master_data!$A$2:$E$495,2,FALSE)</f>
        <v>MOLI BALON</v>
      </c>
      <c r="E943" s="16">
        <v>15</v>
      </c>
      <c r="F943" s="16">
        <f>VLOOKUP(C943,[1]master_data!$A$2:$E$495,3,FALSE)</f>
        <v>800</v>
      </c>
      <c r="G943" s="16">
        <f>VLOOKUP(C943,[1]master_data!$A$2:$E$495,4,FALSE)</f>
        <v>2000</v>
      </c>
      <c r="H943" s="16">
        <f>E943*F943</f>
        <v>12000</v>
      </c>
      <c r="I943" s="16">
        <f>E943*G943</f>
        <v>30000</v>
      </c>
      <c r="J943" s="16">
        <f>I943-H943</f>
        <v>18000</v>
      </c>
      <c r="K943" s="16" t="str">
        <f>VLOOKUP(C943,[1]master_data!$A$2:$E$495,5,FALSE)</f>
        <v>Ikan</v>
      </c>
      <c r="L943" s="1"/>
    </row>
    <row r="944" spans="1:12" ht="12" customHeight="1" x14ac:dyDescent="0.25">
      <c r="A944" s="15">
        <v>45164</v>
      </c>
      <c r="B944" s="16">
        <v>22301565</v>
      </c>
      <c r="C944" s="16" t="s">
        <v>399</v>
      </c>
      <c r="D944" s="16" t="str">
        <f>VLOOKUP(C944,[1]master_data!$A$2:$E$495,2,FALSE)</f>
        <v>BALA BALA B</v>
      </c>
      <c r="E944" s="16">
        <v>6</v>
      </c>
      <c r="F944" s="16">
        <f>VLOOKUP(C944,[1]master_data!$A$2:$E$495,3,FALSE)</f>
        <v>7000</v>
      </c>
      <c r="G944" s="16">
        <f>VLOOKUP(C944,[1]master_data!$A$2:$E$495,4,FALSE)</f>
        <v>15000</v>
      </c>
      <c r="H944" s="16">
        <f>E944*F944</f>
        <v>42000</v>
      </c>
      <c r="I944" s="16">
        <f>E944*G944</f>
        <v>90000</v>
      </c>
      <c r="J944" s="16">
        <f>I944-H944</f>
        <v>48000</v>
      </c>
      <c r="K944" s="16" t="str">
        <f>VLOOKUP(C944,[1]master_data!$A$2:$E$495,5,FALSE)</f>
        <v>Ikan</v>
      </c>
      <c r="L944" s="1"/>
    </row>
    <row r="945" spans="1:12" ht="12" customHeight="1" x14ac:dyDescent="0.25">
      <c r="A945" s="15">
        <v>45164</v>
      </c>
      <c r="B945" s="16">
        <v>22301566</v>
      </c>
      <c r="C945" s="16" t="s">
        <v>424</v>
      </c>
      <c r="D945" s="16" t="str">
        <f>VLOOKUP(C945,[1]master_data!$A$2:$E$495,2,FALSE)</f>
        <v>DISCUS</v>
      </c>
      <c r="E945" s="16">
        <v>2</v>
      </c>
      <c r="F945" s="16">
        <f>VLOOKUP(C945,[1]master_data!$A$2:$E$495,3,FALSE)</f>
        <v>50000</v>
      </c>
      <c r="G945" s="16">
        <f>VLOOKUP(C945,[1]master_data!$A$2:$E$495,4,FALSE)</f>
        <v>150000</v>
      </c>
      <c r="H945" s="16">
        <f>E945*F945</f>
        <v>100000</v>
      </c>
      <c r="I945" s="16">
        <f>E945*G945</f>
        <v>300000</v>
      </c>
      <c r="J945" s="16">
        <f>I945-H945</f>
        <v>200000</v>
      </c>
      <c r="K945" s="16" t="str">
        <f>VLOOKUP(C945,[1]master_data!$A$2:$E$495,5,FALSE)</f>
        <v>Ikan</v>
      </c>
      <c r="L945" s="1"/>
    </row>
    <row r="946" spans="1:12" ht="12" customHeight="1" x14ac:dyDescent="0.25">
      <c r="A946" s="15">
        <v>45163</v>
      </c>
      <c r="B946" s="16">
        <v>22301553</v>
      </c>
      <c r="C946" s="16" t="s">
        <v>235</v>
      </c>
      <c r="D946" s="16" t="str">
        <f>VLOOKUP(C946,[1]master_data!$A$2:$E$495,2,FALSE)</f>
        <v>MAXI BG</v>
      </c>
      <c r="E946" s="16">
        <v>2</v>
      </c>
      <c r="F946" s="16">
        <f>VLOOKUP(C946,[1]master_data!$A$2:$E$495,3,FALSE)</f>
        <v>12500</v>
      </c>
      <c r="G946" s="16">
        <f>VLOOKUP(C946,[1]master_data!$A$2:$E$495,4,FALSE)</f>
        <v>25000</v>
      </c>
      <c r="H946" s="16">
        <f>E946*F946</f>
        <v>25000</v>
      </c>
      <c r="I946" s="16">
        <f>E946*G946</f>
        <v>50000</v>
      </c>
      <c r="J946" s="16">
        <f>I946-H946</f>
        <v>25000</v>
      </c>
      <c r="K946" s="16" t="str">
        <f>VLOOKUP(C946,[1]master_data!$A$2:$E$495,5,FALSE)</f>
        <v>Aksesoris</v>
      </c>
      <c r="L946" s="1"/>
    </row>
    <row r="947" spans="1:12" ht="12" customHeight="1" x14ac:dyDescent="0.25">
      <c r="A947" s="15">
        <v>45163</v>
      </c>
      <c r="B947" s="16">
        <v>22301554</v>
      </c>
      <c r="C947" s="16" t="s">
        <v>373</v>
      </c>
      <c r="D947" s="16" t="str">
        <f>VLOOKUP(C947,[1]master_data!$A$2:$E$495,2,FALSE)</f>
        <v>PASIR HITAM B</v>
      </c>
      <c r="E947" s="16">
        <v>10</v>
      </c>
      <c r="F947" s="16">
        <f>VLOOKUP(C947,[1]master_data!$A$2:$E$495,3,FALSE)</f>
        <v>8000</v>
      </c>
      <c r="G947" s="16">
        <f>VLOOKUP(C947,[1]master_data!$A$2:$E$495,4,FALSE)</f>
        <v>15000</v>
      </c>
      <c r="H947" s="16">
        <f>E947*F947</f>
        <v>80000</v>
      </c>
      <c r="I947" s="16">
        <f>E947*G947</f>
        <v>150000</v>
      </c>
      <c r="J947" s="16">
        <f>I947-H947</f>
        <v>70000</v>
      </c>
      <c r="K947" s="16" t="str">
        <f>VLOOKUP(C947,[1]master_data!$A$2:$E$495,5,FALSE)</f>
        <v>Aksesoris</v>
      </c>
      <c r="L947" s="1"/>
    </row>
    <row r="948" spans="1:12" ht="12" customHeight="1" x14ac:dyDescent="0.25">
      <c r="A948" s="15">
        <v>45163</v>
      </c>
      <c r="B948" s="16">
        <v>22301555</v>
      </c>
      <c r="C948" s="16" t="s">
        <v>141</v>
      </c>
      <c r="D948" s="16" t="str">
        <f>VLOOKUP(C948,[1]master_data!$A$2:$E$495,2,FALSE)</f>
        <v>LED YANG HW 30 CM</v>
      </c>
      <c r="E948" s="16">
        <v>10</v>
      </c>
      <c r="F948" s="16">
        <f>VLOOKUP(C948,[1]master_data!$A$2:$E$495,3,FALSE)</f>
        <v>56000</v>
      </c>
      <c r="G948" s="16">
        <f>VLOOKUP(C948,[1]master_data!$A$2:$E$495,4,FALSE)</f>
        <v>75000</v>
      </c>
      <c r="H948" s="16">
        <f>E948*F948</f>
        <v>560000</v>
      </c>
      <c r="I948" s="16">
        <f>E948*G948</f>
        <v>750000</v>
      </c>
      <c r="J948" s="16">
        <f>I948-H948</f>
        <v>190000</v>
      </c>
      <c r="K948" s="16" t="str">
        <f>VLOOKUP(C948,[1]master_data!$A$2:$E$495,5,FALSE)</f>
        <v>Aksesoris</v>
      </c>
      <c r="L948" s="1"/>
    </row>
    <row r="949" spans="1:12" ht="12" customHeight="1" x14ac:dyDescent="0.25">
      <c r="A949" s="15">
        <v>45163</v>
      </c>
      <c r="B949" s="16">
        <v>22301556</v>
      </c>
      <c r="C949" s="16" t="s">
        <v>182</v>
      </c>
      <c r="D949" s="16" t="str">
        <f>VLOOKUP(C949,[1]master_data!$A$2:$E$495,2,FALSE)</f>
        <v>LED ARMADA 3 MODE M60</v>
      </c>
      <c r="E949" s="16">
        <v>2</v>
      </c>
      <c r="F949" s="16">
        <f>VLOOKUP(C949,[1]master_data!$A$2:$E$495,3,FALSE)</f>
        <v>29000</v>
      </c>
      <c r="G949" s="16">
        <f>VLOOKUP(C949,[1]master_data!$A$2:$E$495,4,FALSE)</f>
        <v>60000</v>
      </c>
      <c r="H949" s="16">
        <f>E949*F949</f>
        <v>58000</v>
      </c>
      <c r="I949" s="16">
        <f>E949*G949</f>
        <v>120000</v>
      </c>
      <c r="J949" s="16">
        <f>I949-H949</f>
        <v>62000</v>
      </c>
      <c r="K949" s="16" t="str">
        <f>VLOOKUP(C949,[1]master_data!$A$2:$E$495,5,FALSE)</f>
        <v>Aksesoris</v>
      </c>
      <c r="L949" s="1"/>
    </row>
    <row r="950" spans="1:12" ht="12" customHeight="1" x14ac:dyDescent="0.25">
      <c r="A950" s="15">
        <v>45163</v>
      </c>
      <c r="B950" s="16">
        <v>22301557</v>
      </c>
      <c r="C950" s="16" t="s">
        <v>377</v>
      </c>
      <c r="D950" s="16" t="str">
        <f>VLOOKUP(C950,[1]master_data!$A$2:$E$495,2,FALSE)</f>
        <v>PASIR PANTAI</v>
      </c>
      <c r="E950" s="16">
        <v>7</v>
      </c>
      <c r="F950" s="16">
        <f>VLOOKUP(C950,[1]master_data!$A$2:$E$495,3,FALSE)</f>
        <v>5000</v>
      </c>
      <c r="G950" s="16">
        <f>VLOOKUP(C950,[1]master_data!$A$2:$E$495,4,FALSE)</f>
        <v>10000</v>
      </c>
      <c r="H950" s="16">
        <f>E950*F950</f>
        <v>35000</v>
      </c>
      <c r="I950" s="16">
        <f>E950*G950</f>
        <v>70000</v>
      </c>
      <c r="J950" s="16">
        <f>I950-H950</f>
        <v>35000</v>
      </c>
      <c r="K950" s="16" t="str">
        <f>VLOOKUP(C950,[1]master_data!$A$2:$E$495,5,FALSE)</f>
        <v>Aksesoris</v>
      </c>
      <c r="L950" s="1"/>
    </row>
    <row r="951" spans="1:12" ht="12" customHeight="1" x14ac:dyDescent="0.25">
      <c r="A951" s="15">
        <v>45163</v>
      </c>
      <c r="B951" s="16">
        <v>22301558</v>
      </c>
      <c r="C951" s="16" t="s">
        <v>322</v>
      </c>
      <c r="D951" s="16" t="str">
        <f>VLOOKUP(C951,[1]master_data!$A$2:$E$495,2,FALSE)</f>
        <v>AIRSTONE PANJANG 4</v>
      </c>
      <c r="E951" s="16">
        <v>1</v>
      </c>
      <c r="F951" s="16">
        <f>VLOOKUP(C951,[1]master_data!$A$2:$E$495,3,FALSE)</f>
        <v>6000</v>
      </c>
      <c r="G951" s="16">
        <f>VLOOKUP(C951,[1]master_data!$A$2:$E$495,4,FALSE)</f>
        <v>10000</v>
      </c>
      <c r="H951" s="16">
        <f>E951*F951</f>
        <v>6000</v>
      </c>
      <c r="I951" s="16">
        <f>E951*G951</f>
        <v>10000</v>
      </c>
      <c r="J951" s="16">
        <f>I951-H951</f>
        <v>4000</v>
      </c>
      <c r="K951" s="16" t="str">
        <f>VLOOKUP(C951,[1]master_data!$A$2:$E$495,5,FALSE)</f>
        <v>Aksesoris</v>
      </c>
      <c r="L951" s="1"/>
    </row>
    <row r="952" spans="1:12" ht="12" customHeight="1" x14ac:dyDescent="0.25">
      <c r="A952" s="15">
        <v>45162</v>
      </c>
      <c r="B952" s="16">
        <v>22301541</v>
      </c>
      <c r="C952" s="16" t="s">
        <v>422</v>
      </c>
      <c r="D952" s="16" t="str">
        <f>VLOOKUP(C952,[1]master_data!$A$2:$E$495,2,FALSE)</f>
        <v>KOI SLAYER B</v>
      </c>
      <c r="E952" s="16">
        <v>5</v>
      </c>
      <c r="F952" s="16">
        <f>VLOOKUP(C952,[1]master_data!$A$2:$E$495,3,FALSE)</f>
        <v>8000</v>
      </c>
      <c r="G952" s="16">
        <f>VLOOKUP(C952,[1]master_data!$A$2:$E$495,4,FALSE)</f>
        <v>20000</v>
      </c>
      <c r="H952" s="16">
        <f>E952*F952</f>
        <v>40000</v>
      </c>
      <c r="I952" s="16">
        <f>E952*G952</f>
        <v>100000</v>
      </c>
      <c r="J952" s="16">
        <f>I952-H952</f>
        <v>60000</v>
      </c>
      <c r="K952" s="16" t="str">
        <f>VLOOKUP(C952,[1]master_data!$A$2:$E$495,5,FALSE)</f>
        <v>Ikan</v>
      </c>
      <c r="L952" s="1"/>
    </row>
    <row r="953" spans="1:12" ht="12" customHeight="1" x14ac:dyDescent="0.25">
      <c r="A953" s="15">
        <v>45162</v>
      </c>
      <c r="B953" s="16">
        <v>22301542</v>
      </c>
      <c r="C953" s="16" t="s">
        <v>451</v>
      </c>
      <c r="D953" s="16" t="str">
        <f>VLOOKUP(C953,[1]master_data!$A$2:$E$495,2,FALSE)</f>
        <v>SYNODONTIS K</v>
      </c>
      <c r="E953" s="16">
        <v>10</v>
      </c>
      <c r="F953" s="16">
        <f>VLOOKUP(C953,[1]master_data!$A$2:$E$495,3,FALSE)</f>
        <v>1500</v>
      </c>
      <c r="G953" s="16">
        <f>VLOOKUP(C953,[1]master_data!$A$2:$E$495,4,FALSE)</f>
        <v>5000</v>
      </c>
      <c r="H953" s="16">
        <f>E953*F953</f>
        <v>15000</v>
      </c>
      <c r="I953" s="16">
        <f>E953*G953</f>
        <v>50000</v>
      </c>
      <c r="J953" s="16">
        <f>I953-H953</f>
        <v>35000</v>
      </c>
      <c r="K953" s="16" t="str">
        <f>VLOOKUP(C953,[1]master_data!$A$2:$E$495,5,FALSE)</f>
        <v>Ikan</v>
      </c>
      <c r="L953" s="1"/>
    </row>
    <row r="954" spans="1:12" ht="12" customHeight="1" x14ac:dyDescent="0.25">
      <c r="A954" s="15">
        <v>45162</v>
      </c>
      <c r="B954" s="16">
        <v>22301543</v>
      </c>
      <c r="C954" s="16" t="s">
        <v>440</v>
      </c>
      <c r="D954" s="16" t="str">
        <f>VLOOKUP(C954,[1]master_data!$A$2:$E$495,2,FALSE)</f>
        <v>PEMBERSIH KACA ALBINO</v>
      </c>
      <c r="E954" s="16">
        <v>40</v>
      </c>
      <c r="F954" s="16">
        <f>VLOOKUP(C954,[1]master_data!$A$2:$E$495,3,FALSE)</f>
        <v>2500</v>
      </c>
      <c r="G954" s="16">
        <f>VLOOKUP(C954,[1]master_data!$A$2:$E$495,4,FALSE)</f>
        <v>5000</v>
      </c>
      <c r="H954" s="16">
        <f>E954*F954</f>
        <v>100000</v>
      </c>
      <c r="I954" s="16">
        <f>E954*G954</f>
        <v>200000</v>
      </c>
      <c r="J954" s="16">
        <f>I954-H954</f>
        <v>100000</v>
      </c>
      <c r="K954" s="16" t="str">
        <f>VLOOKUP(C954,[1]master_data!$A$2:$E$495,5,FALSE)</f>
        <v>Ikan</v>
      </c>
      <c r="L954" s="1"/>
    </row>
    <row r="955" spans="1:12" ht="12" customHeight="1" x14ac:dyDescent="0.25">
      <c r="A955" s="15">
        <v>45162</v>
      </c>
      <c r="B955" s="16">
        <v>22301544</v>
      </c>
      <c r="C955" s="16" t="s">
        <v>298</v>
      </c>
      <c r="D955" s="16" t="str">
        <f>VLOOKUP(C955,[1]master_data!$A$2:$E$495,2,FALSE)</f>
        <v>MAINAN ARCA</v>
      </c>
      <c r="E955" s="16">
        <v>2</v>
      </c>
      <c r="F955" s="16">
        <f>VLOOKUP(C955,[1]master_data!$A$2:$E$495,3,FALSE)</f>
        <v>16500</v>
      </c>
      <c r="G955" s="16">
        <f>VLOOKUP(C955,[1]master_data!$A$2:$E$495,4,FALSE)</f>
        <v>30000</v>
      </c>
      <c r="H955" s="16">
        <f>E955*F955</f>
        <v>33000</v>
      </c>
      <c r="I955" s="16">
        <f>E955*G955</f>
        <v>60000</v>
      </c>
      <c r="J955" s="16">
        <f>I955-H955</f>
        <v>27000</v>
      </c>
      <c r="K955" s="16" t="str">
        <f>VLOOKUP(C955,[1]master_data!$A$2:$E$495,5,FALSE)</f>
        <v>Aksesoris</v>
      </c>
      <c r="L955" s="1"/>
    </row>
    <row r="956" spans="1:12" ht="12" customHeight="1" x14ac:dyDescent="0.25">
      <c r="A956" s="15">
        <v>45162</v>
      </c>
      <c r="B956" s="16">
        <v>22301545</v>
      </c>
      <c r="C956" s="16" t="s">
        <v>439</v>
      </c>
      <c r="D956" s="16" t="str">
        <f>VLOOKUP(C956,[1]master_data!$A$2:$E$495,2,FALSE)</f>
        <v>PEMBERSIH KACA BIASA</v>
      </c>
      <c r="E956" s="16">
        <v>15</v>
      </c>
      <c r="F956" s="16">
        <f>VLOOKUP(C956,[1]master_data!$A$2:$E$495,3,FALSE)</f>
        <v>2000</v>
      </c>
      <c r="G956" s="16">
        <f>VLOOKUP(C956,[1]master_data!$A$2:$E$495,4,FALSE)</f>
        <v>5000</v>
      </c>
      <c r="H956" s="16">
        <f>E956*F956</f>
        <v>30000</v>
      </c>
      <c r="I956" s="16">
        <f>E956*G956</f>
        <v>75000</v>
      </c>
      <c r="J956" s="16">
        <f>I956-H956</f>
        <v>45000</v>
      </c>
      <c r="K956" s="16" t="str">
        <f>VLOOKUP(C956,[1]master_data!$A$2:$E$495,5,FALSE)</f>
        <v>Ikan</v>
      </c>
      <c r="L956" s="1"/>
    </row>
    <row r="957" spans="1:12" ht="12" customHeight="1" x14ac:dyDescent="0.25">
      <c r="A957" s="15">
        <v>45162</v>
      </c>
      <c r="B957" s="16">
        <v>22301546</v>
      </c>
      <c r="C957" s="16" t="s">
        <v>422</v>
      </c>
      <c r="D957" s="16" t="str">
        <f>VLOOKUP(C957,[1]master_data!$A$2:$E$495,2,FALSE)</f>
        <v>KOI SLAYER B</v>
      </c>
      <c r="E957" s="16">
        <v>1</v>
      </c>
      <c r="F957" s="16">
        <f>VLOOKUP(C957,[1]master_data!$A$2:$E$495,3,FALSE)</f>
        <v>8000</v>
      </c>
      <c r="G957" s="16">
        <f>VLOOKUP(C957,[1]master_data!$A$2:$E$495,4,FALSE)</f>
        <v>20000</v>
      </c>
      <c r="H957" s="16">
        <f>E957*F957</f>
        <v>8000</v>
      </c>
      <c r="I957" s="16">
        <f>E957*G957</f>
        <v>20000</v>
      </c>
      <c r="J957" s="16">
        <f>I957-H957</f>
        <v>12000</v>
      </c>
      <c r="K957" s="16" t="str">
        <f>VLOOKUP(C957,[1]master_data!$A$2:$E$495,5,FALSE)</f>
        <v>Ikan</v>
      </c>
      <c r="L957" s="1"/>
    </row>
    <row r="958" spans="1:12" ht="12" customHeight="1" x14ac:dyDescent="0.25">
      <c r="A958" s="15">
        <v>45162</v>
      </c>
      <c r="B958" s="16">
        <v>22301547</v>
      </c>
      <c r="C958" s="16" t="s">
        <v>396</v>
      </c>
      <c r="D958" s="16" t="str">
        <f>VLOOKUP(C958,[1]master_data!$A$2:$E$495,2,FALSE)</f>
        <v>BIPOLAR</v>
      </c>
      <c r="E958" s="16">
        <v>30</v>
      </c>
      <c r="F958" s="16">
        <f>VLOOKUP(C958,[1]master_data!$A$2:$E$495,3,FALSE)</f>
        <v>1000</v>
      </c>
      <c r="G958" s="16">
        <f>VLOOKUP(C958,[1]master_data!$A$2:$E$495,4,FALSE)</f>
        <v>2500</v>
      </c>
      <c r="H958" s="16">
        <f>E958*F958</f>
        <v>30000</v>
      </c>
      <c r="I958" s="16">
        <f>E958*G958</f>
        <v>75000</v>
      </c>
      <c r="J958" s="16">
        <f>I958-H958</f>
        <v>45000</v>
      </c>
      <c r="K958" s="16" t="str">
        <f>VLOOKUP(C958,[1]master_data!$A$2:$E$495,5,FALSE)</f>
        <v>Ikan</v>
      </c>
      <c r="L958" s="1"/>
    </row>
    <row r="959" spans="1:12" ht="12" customHeight="1" x14ac:dyDescent="0.25">
      <c r="A959" s="15">
        <v>45162</v>
      </c>
      <c r="B959" s="16">
        <v>22301548</v>
      </c>
      <c r="C959" s="16" t="s">
        <v>299</v>
      </c>
      <c r="D959" s="16" t="str">
        <f>VLOOKUP(C959,[1]master_data!$A$2:$E$495,2,FALSE)</f>
        <v>MAINAN ANGEL SIMON</v>
      </c>
      <c r="E959" s="16">
        <v>1</v>
      </c>
      <c r="F959" s="16">
        <f>VLOOKUP(C959,[1]master_data!$A$2:$E$495,3,FALSE)</f>
        <v>9000</v>
      </c>
      <c r="G959" s="16">
        <f>VLOOKUP(C959,[1]master_data!$A$2:$E$495,4,FALSE)</f>
        <v>18000</v>
      </c>
      <c r="H959" s="16">
        <f>E959*F959</f>
        <v>9000</v>
      </c>
      <c r="I959" s="16">
        <f>E959*G959</f>
        <v>18000</v>
      </c>
      <c r="J959" s="16">
        <f>I959-H959</f>
        <v>9000</v>
      </c>
      <c r="K959" s="16" t="str">
        <f>VLOOKUP(C959,[1]master_data!$A$2:$E$495,5,FALSE)</f>
        <v>Aksesoris</v>
      </c>
      <c r="L959" s="1"/>
    </row>
    <row r="960" spans="1:12" ht="12" customHeight="1" x14ac:dyDescent="0.25">
      <c r="A960" s="15">
        <v>45162</v>
      </c>
      <c r="B960" s="16">
        <v>22301549</v>
      </c>
      <c r="C960" s="16" t="s">
        <v>389</v>
      </c>
      <c r="D960" s="16" t="str">
        <f>VLOOKUP(C960,[1]master_data!$A$2:$E$495,2,FALSE)</f>
        <v>CHANNA ANDRAO K</v>
      </c>
      <c r="E960" s="16">
        <v>2</v>
      </c>
      <c r="F960" s="16">
        <f>VLOOKUP(C960,[1]master_data!$A$2:$E$495,3,FALSE)</f>
        <v>20000</v>
      </c>
      <c r="G960" s="16">
        <f>VLOOKUP(C960,[1]master_data!$A$2:$E$495,4,FALSE)</f>
        <v>50000</v>
      </c>
      <c r="H960" s="16">
        <f>E960*F960</f>
        <v>40000</v>
      </c>
      <c r="I960" s="16">
        <f>E960*G960</f>
        <v>100000</v>
      </c>
      <c r="J960" s="16">
        <f>I960-H960</f>
        <v>60000</v>
      </c>
      <c r="K960" s="16" t="str">
        <f>VLOOKUP(C960,[1]master_data!$A$2:$E$495,5,FALSE)</f>
        <v>Ikan</v>
      </c>
      <c r="L960" s="1"/>
    </row>
    <row r="961" spans="1:12" ht="12" customHeight="1" x14ac:dyDescent="0.25">
      <c r="A961" s="15">
        <v>45162</v>
      </c>
      <c r="B961" s="16">
        <v>22301550</v>
      </c>
      <c r="C961" s="16" t="s">
        <v>457</v>
      </c>
      <c r="D961" s="16" t="str">
        <f>VLOOKUP(C961,[1]master_data!$A$2:$E$495,2,FALSE)</f>
        <v>ZEBRA UNGU</v>
      </c>
      <c r="E961" s="16">
        <v>25</v>
      </c>
      <c r="F961" s="16">
        <f>VLOOKUP(C961,[1]master_data!$A$2:$E$495,3,FALSE)</f>
        <v>800</v>
      </c>
      <c r="G961" s="16">
        <f>VLOOKUP(C961,[1]master_data!$A$2:$E$495,4,FALSE)</f>
        <v>2000</v>
      </c>
      <c r="H961" s="16">
        <f>E961*F961</f>
        <v>20000</v>
      </c>
      <c r="I961" s="16">
        <f>E961*G961</f>
        <v>50000</v>
      </c>
      <c r="J961" s="16">
        <f>I961-H961</f>
        <v>30000</v>
      </c>
      <c r="K961" s="16" t="str">
        <f>VLOOKUP(C961,[1]master_data!$A$2:$E$495,5,FALSE)</f>
        <v>Ikan</v>
      </c>
      <c r="L961" s="1"/>
    </row>
    <row r="962" spans="1:12" ht="12" customHeight="1" x14ac:dyDescent="0.25">
      <c r="A962" s="15">
        <v>45162</v>
      </c>
      <c r="B962" s="16">
        <v>22301551</v>
      </c>
      <c r="C962" s="16" t="s">
        <v>74</v>
      </c>
      <c r="D962" s="16" t="str">
        <f>VLOOKUP(C962,[1]master_data!$A$2:$E$495,2,FALSE)</f>
        <v>MESIN HAILONG 1600</v>
      </c>
      <c r="E962" s="16">
        <v>1</v>
      </c>
      <c r="F962" s="16">
        <f>VLOOKUP(C962,[1]master_data!$A$2:$E$495,3,FALSE)</f>
        <v>58000</v>
      </c>
      <c r="G962" s="16">
        <f>VLOOKUP(C962,[1]master_data!$A$2:$E$495,4,FALSE)</f>
        <v>100000</v>
      </c>
      <c r="H962" s="16">
        <f>E962*F962</f>
        <v>58000</v>
      </c>
      <c r="I962" s="16">
        <f>E962*G962</f>
        <v>100000</v>
      </c>
      <c r="J962" s="16">
        <f>I962-H962</f>
        <v>42000</v>
      </c>
      <c r="K962" s="16" t="str">
        <f>VLOOKUP(C962,[1]master_data!$A$2:$E$495,5,FALSE)</f>
        <v>Aksesoris</v>
      </c>
      <c r="L962" s="1"/>
    </row>
    <row r="963" spans="1:12" ht="12" customHeight="1" x14ac:dyDescent="0.25">
      <c r="A963" s="15">
        <v>45162</v>
      </c>
      <c r="B963" s="16">
        <v>22301552</v>
      </c>
      <c r="C963" s="16" t="s">
        <v>419</v>
      </c>
      <c r="D963" s="16" t="str">
        <f>VLOOKUP(C963,[1]master_data!$A$2:$E$495,2,FALSE)</f>
        <v>KOMET PAKAN</v>
      </c>
      <c r="E963" s="16">
        <v>300</v>
      </c>
      <c r="F963" s="16">
        <f>VLOOKUP(C963,[1]master_data!$A$2:$E$495,3,FALSE)</f>
        <v>300</v>
      </c>
      <c r="G963" s="16">
        <f>VLOOKUP(C963,[1]master_data!$A$2:$E$495,4,FALSE)</f>
        <v>1000</v>
      </c>
      <c r="H963" s="16">
        <f>E963*F963</f>
        <v>90000</v>
      </c>
      <c r="I963" s="16">
        <f>E963*G963</f>
        <v>300000</v>
      </c>
      <c r="J963" s="16">
        <f>I963-H963</f>
        <v>210000</v>
      </c>
      <c r="K963" s="16" t="str">
        <f>VLOOKUP(C963,[1]master_data!$A$2:$E$495,5,FALSE)</f>
        <v>Ikan</v>
      </c>
      <c r="L963" s="1"/>
    </row>
    <row r="964" spans="1:12" ht="12" customHeight="1" x14ac:dyDescent="0.25">
      <c r="A964" s="15">
        <v>45161</v>
      </c>
      <c r="B964" s="16">
        <v>22301533</v>
      </c>
      <c r="C964" s="16" t="s">
        <v>445</v>
      </c>
      <c r="D964" s="16" t="str">
        <f>VLOOKUP(C964,[1]master_data!$A$2:$E$495,2,FALSE)</f>
        <v>REDFIN ALBINO</v>
      </c>
      <c r="E964" s="16">
        <v>10</v>
      </c>
      <c r="F964" s="16">
        <f>VLOOKUP(C964,[1]master_data!$A$2:$E$495,3,FALSE)</f>
        <v>1500</v>
      </c>
      <c r="G964" s="16">
        <f>VLOOKUP(C964,[1]master_data!$A$2:$E$495,4,FALSE)</f>
        <v>4000</v>
      </c>
      <c r="H964" s="16">
        <f>E964*F964</f>
        <v>15000</v>
      </c>
      <c r="I964" s="16">
        <f>E964*G964</f>
        <v>40000</v>
      </c>
      <c r="J964" s="16">
        <f>I964-H964</f>
        <v>25000</v>
      </c>
      <c r="K964" s="16" t="str">
        <f>VLOOKUP(C964,[1]master_data!$A$2:$E$495,5,FALSE)</f>
        <v>Ikan</v>
      </c>
      <c r="L964" s="1"/>
    </row>
    <row r="965" spans="1:12" ht="12" customHeight="1" x14ac:dyDescent="0.25">
      <c r="A965" s="15">
        <v>45161</v>
      </c>
      <c r="B965" s="16">
        <v>22301534</v>
      </c>
      <c r="C965" s="16" t="s">
        <v>433</v>
      </c>
      <c r="D965" s="16" t="str">
        <f>VLOOKUP(C965,[1]master_data!$A$2:$E$495,2,FALSE)</f>
        <v>MOLI BALON</v>
      </c>
      <c r="E965" s="16">
        <v>30</v>
      </c>
      <c r="F965" s="16">
        <f>VLOOKUP(C965,[1]master_data!$A$2:$E$495,3,FALSE)</f>
        <v>800</v>
      </c>
      <c r="G965" s="16">
        <f>VLOOKUP(C965,[1]master_data!$A$2:$E$495,4,FALSE)</f>
        <v>2000</v>
      </c>
      <c r="H965" s="16">
        <f>E965*F965</f>
        <v>24000</v>
      </c>
      <c r="I965" s="16">
        <f>E965*G965</f>
        <v>60000</v>
      </c>
      <c r="J965" s="16">
        <f>I965-H965</f>
        <v>36000</v>
      </c>
      <c r="K965" s="16" t="str">
        <f>VLOOKUP(C965,[1]master_data!$A$2:$E$495,5,FALSE)</f>
        <v>Ikan</v>
      </c>
      <c r="L965" s="1"/>
    </row>
    <row r="966" spans="1:12" ht="12" customHeight="1" x14ac:dyDescent="0.25">
      <c r="A966" s="15">
        <v>45161</v>
      </c>
      <c r="B966" s="16">
        <v>22301535</v>
      </c>
      <c r="C966" s="16" t="s">
        <v>458</v>
      </c>
      <c r="D966" s="16" t="str">
        <f>VLOOKUP(C966,[1]master_data!$A$2:$E$495,2,FALSE)</f>
        <v>ZEBRA KUNING</v>
      </c>
      <c r="E966" s="16">
        <v>15</v>
      </c>
      <c r="F966" s="16">
        <f>VLOOKUP(C966,[1]master_data!$A$2:$E$495,3,FALSE)</f>
        <v>800</v>
      </c>
      <c r="G966" s="16">
        <f>VLOOKUP(C966,[1]master_data!$A$2:$E$495,4,FALSE)</f>
        <v>2000</v>
      </c>
      <c r="H966" s="16">
        <f>E966*F966</f>
        <v>12000</v>
      </c>
      <c r="I966" s="16">
        <f>E966*G966</f>
        <v>30000</v>
      </c>
      <c r="J966" s="16">
        <f>I966-H966</f>
        <v>18000</v>
      </c>
      <c r="K966" s="16" t="str">
        <f>VLOOKUP(C966,[1]master_data!$A$2:$E$495,5,FALSE)</f>
        <v>Ikan</v>
      </c>
      <c r="L966" s="1"/>
    </row>
    <row r="967" spans="1:12" ht="12" customHeight="1" x14ac:dyDescent="0.25">
      <c r="A967" s="15">
        <v>45161</v>
      </c>
      <c r="B967" s="16">
        <v>22301536</v>
      </c>
      <c r="C967" s="16" t="s">
        <v>270</v>
      </c>
      <c r="D967" s="16" t="str">
        <f>VLOOKUP(C967,[1]master_data!$A$2:$E$495,2,FALSE)</f>
        <v>HEATER KACA 75 W</v>
      </c>
      <c r="E967" s="16">
        <v>5</v>
      </c>
      <c r="F967" s="16">
        <f>VLOOKUP(C967,[1]master_data!$A$2:$E$495,3,FALSE)</f>
        <v>33000</v>
      </c>
      <c r="G967" s="16">
        <f>VLOOKUP(C967,[1]master_data!$A$2:$E$495,4,FALSE)</f>
        <v>50000</v>
      </c>
      <c r="H967" s="16">
        <f>E967*F967</f>
        <v>165000</v>
      </c>
      <c r="I967" s="16">
        <f>E967*G967</f>
        <v>250000</v>
      </c>
      <c r="J967" s="16">
        <f>I967-H967</f>
        <v>85000</v>
      </c>
      <c r="K967" s="16" t="str">
        <f>VLOOKUP(C967,[1]master_data!$A$2:$E$495,5,FALSE)</f>
        <v>Aksesoris</v>
      </c>
      <c r="L967" s="1"/>
    </row>
    <row r="968" spans="1:12" ht="12" customHeight="1" x14ac:dyDescent="0.25">
      <c r="A968" s="15">
        <v>45161</v>
      </c>
      <c r="B968" s="16">
        <v>22301537</v>
      </c>
      <c r="C968" s="16" t="s">
        <v>460</v>
      </c>
      <c r="D968" s="16" t="str">
        <f>VLOOKUP(C968,[1]master_data!$A$2:$E$495,2,FALSE)</f>
        <v>SEPAT ALBINO</v>
      </c>
      <c r="E968" s="16">
        <v>30</v>
      </c>
      <c r="F968" s="16">
        <f>VLOOKUP(C968,[1]master_data!$A$2:$E$495,3,FALSE)</f>
        <v>2000</v>
      </c>
      <c r="G968" s="16">
        <f>VLOOKUP(C968,[1]master_data!$A$2:$E$495,4,FALSE)</f>
        <v>5000</v>
      </c>
      <c r="H968" s="16">
        <f>E968*F968</f>
        <v>60000</v>
      </c>
      <c r="I968" s="16">
        <f>E968*G968</f>
        <v>150000</v>
      </c>
      <c r="J968" s="16">
        <f>I968-H968</f>
        <v>90000</v>
      </c>
      <c r="K968" s="16" t="str">
        <f>VLOOKUP(C968,[1]master_data!$A$2:$E$495,5,FALSE)</f>
        <v>Ikan</v>
      </c>
      <c r="L968" s="1"/>
    </row>
    <row r="969" spans="1:12" ht="12" customHeight="1" x14ac:dyDescent="0.25">
      <c r="A969" s="15">
        <v>45161</v>
      </c>
      <c r="B969" s="16">
        <v>22301538</v>
      </c>
      <c r="C969" s="16" t="s">
        <v>402</v>
      </c>
      <c r="D969" s="16" t="str">
        <f>VLOOKUP(C969,[1]master_data!$A$2:$E$495,2,FALSE)</f>
        <v>CHANNA BLUE PULCHRA B</v>
      </c>
      <c r="E969" s="16">
        <v>2</v>
      </c>
      <c r="F969" s="16">
        <f>VLOOKUP(C969,[1]master_data!$A$2:$E$495,3,FALSE)</f>
        <v>125000</v>
      </c>
      <c r="G969" s="16">
        <f>VLOOKUP(C969,[1]master_data!$A$2:$E$495,4,FALSE)</f>
        <v>200000</v>
      </c>
      <c r="H969" s="16">
        <f>E969*F969</f>
        <v>250000</v>
      </c>
      <c r="I969" s="16">
        <f>E969*G969</f>
        <v>400000</v>
      </c>
      <c r="J969" s="16">
        <f>I969-H969</f>
        <v>150000</v>
      </c>
      <c r="K969" s="16" t="str">
        <f>VLOOKUP(C969,[1]master_data!$A$2:$E$495,5,FALSE)</f>
        <v>Ikan</v>
      </c>
      <c r="L969" s="1"/>
    </row>
    <row r="970" spans="1:12" ht="12" customHeight="1" x14ac:dyDescent="0.25">
      <c r="A970" s="15">
        <v>45161</v>
      </c>
      <c r="B970" s="16">
        <v>22301539</v>
      </c>
      <c r="C970" s="16" t="s">
        <v>440</v>
      </c>
      <c r="D970" s="16" t="str">
        <f>VLOOKUP(C970,[1]master_data!$A$2:$E$495,2,FALSE)</f>
        <v>PEMBERSIH KACA ALBINO</v>
      </c>
      <c r="E970" s="16">
        <v>30</v>
      </c>
      <c r="F970" s="16">
        <f>VLOOKUP(C970,[1]master_data!$A$2:$E$495,3,FALSE)</f>
        <v>2500</v>
      </c>
      <c r="G970" s="16">
        <f>VLOOKUP(C970,[1]master_data!$A$2:$E$495,4,FALSE)</f>
        <v>5000</v>
      </c>
      <c r="H970" s="16">
        <f>E970*F970</f>
        <v>75000</v>
      </c>
      <c r="I970" s="16">
        <f>E970*G970</f>
        <v>150000</v>
      </c>
      <c r="J970" s="16">
        <f>I970-H970</f>
        <v>75000</v>
      </c>
      <c r="K970" s="16" t="str">
        <f>VLOOKUP(C970,[1]master_data!$A$2:$E$495,5,FALSE)</f>
        <v>Ikan</v>
      </c>
      <c r="L970" s="1"/>
    </row>
    <row r="971" spans="1:12" ht="12" customHeight="1" x14ac:dyDescent="0.25">
      <c r="A971" s="15">
        <v>45161</v>
      </c>
      <c r="B971" s="16">
        <v>22301540</v>
      </c>
      <c r="C971" s="16" t="s">
        <v>226</v>
      </c>
      <c r="D971" s="16" t="str">
        <f>VLOOKUP(C971,[1]master_data!$A$2:$E$495,2,FALSE)</f>
        <v>OK IKO LOUHAN HIJAU</v>
      </c>
      <c r="E971" s="16">
        <v>1</v>
      </c>
      <c r="F971" s="16">
        <f>VLOOKUP(C971,[1]master_data!$A$2:$E$495,3,FALSE)</f>
        <v>31500</v>
      </c>
      <c r="G971" s="16">
        <f>VLOOKUP(C971,[1]master_data!$A$2:$E$495,4,FALSE)</f>
        <v>50000</v>
      </c>
      <c r="H971" s="16">
        <f>E971*F971</f>
        <v>31500</v>
      </c>
      <c r="I971" s="16">
        <f>E971*G971</f>
        <v>50000</v>
      </c>
      <c r="J971" s="16">
        <f>I971-H971</f>
        <v>18500</v>
      </c>
      <c r="K971" s="16" t="str">
        <f>VLOOKUP(C971,[1]master_data!$A$2:$E$495,5,FALSE)</f>
        <v>Aksesoris</v>
      </c>
      <c r="L971" s="1"/>
    </row>
    <row r="972" spans="1:12" ht="12" customHeight="1" x14ac:dyDescent="0.25">
      <c r="A972" s="15">
        <v>45160</v>
      </c>
      <c r="B972" s="16">
        <v>22301525</v>
      </c>
      <c r="C972" s="16" t="s">
        <v>434</v>
      </c>
      <c r="D972" s="16" t="str">
        <f>VLOOKUP(C972,[1]master_data!$A$2:$E$495,2,FALSE)</f>
        <v>NIASA</v>
      </c>
      <c r="E972" s="16">
        <v>30</v>
      </c>
      <c r="F972" s="16">
        <f>VLOOKUP(C972,[1]master_data!$A$2:$E$495,3,FALSE)</f>
        <v>900</v>
      </c>
      <c r="G972" s="16">
        <f>VLOOKUP(C972,[1]master_data!$A$2:$E$495,4,FALSE)</f>
        <v>2000</v>
      </c>
      <c r="H972" s="16">
        <f>E972*F972</f>
        <v>27000</v>
      </c>
      <c r="I972" s="16">
        <f>E972*G972</f>
        <v>60000</v>
      </c>
      <c r="J972" s="16">
        <f>I972-H972</f>
        <v>33000</v>
      </c>
      <c r="K972" s="16" t="str">
        <f>VLOOKUP(C972,[1]master_data!$A$2:$E$495,5,FALSE)</f>
        <v>Ikan</v>
      </c>
      <c r="L972" s="1"/>
    </row>
    <row r="973" spans="1:12" ht="12" customHeight="1" x14ac:dyDescent="0.25">
      <c r="A973" s="15">
        <v>45160</v>
      </c>
      <c r="B973" s="16">
        <v>22301526</v>
      </c>
      <c r="C973" s="16" t="s">
        <v>291</v>
      </c>
      <c r="D973" s="16" t="str">
        <f>VLOOKUP(C973,[1]master_data!$A$2:$E$495,2,FALSE)</f>
        <v>MAINAN KODOK</v>
      </c>
      <c r="E973" s="16">
        <v>5</v>
      </c>
      <c r="F973" s="16">
        <f>VLOOKUP(C973,[1]master_data!$A$2:$E$495,3,FALSE)</f>
        <v>11000</v>
      </c>
      <c r="G973" s="16">
        <f>VLOOKUP(C973,[1]master_data!$A$2:$E$495,4,FALSE)</f>
        <v>20000</v>
      </c>
      <c r="H973" s="16">
        <f>E973*F973</f>
        <v>55000</v>
      </c>
      <c r="I973" s="16">
        <f>E973*G973</f>
        <v>100000</v>
      </c>
      <c r="J973" s="16">
        <f>I973-H973</f>
        <v>45000</v>
      </c>
      <c r="K973" s="16" t="str">
        <f>VLOOKUP(C973,[1]master_data!$A$2:$E$495,5,FALSE)</f>
        <v>Aksesoris</v>
      </c>
      <c r="L973" s="1"/>
    </row>
    <row r="974" spans="1:12" ht="12" customHeight="1" x14ac:dyDescent="0.25">
      <c r="A974" s="15">
        <v>45160</v>
      </c>
      <c r="B974" s="16">
        <v>22301527</v>
      </c>
      <c r="C974" s="16" t="s">
        <v>394</v>
      </c>
      <c r="D974" s="16" t="str">
        <f>VLOOKUP(C974,[1]master_data!$A$2:$E$495,2,FALSE)</f>
        <v>ALGA EATER</v>
      </c>
      <c r="E974" s="16">
        <v>10</v>
      </c>
      <c r="F974" s="16">
        <f>VLOOKUP(C974,[1]master_data!$A$2:$E$495,3,FALSE)</f>
        <v>1750</v>
      </c>
      <c r="G974" s="16">
        <f>VLOOKUP(C974,[1]master_data!$A$2:$E$495,4,FALSE)</f>
        <v>5000</v>
      </c>
      <c r="H974" s="16">
        <f>E974*F974</f>
        <v>17500</v>
      </c>
      <c r="I974" s="16">
        <f>E974*G974</f>
        <v>50000</v>
      </c>
      <c r="J974" s="16">
        <f>I974-H974</f>
        <v>32500</v>
      </c>
      <c r="K974" s="16" t="str">
        <f>VLOOKUP(C974,[1]master_data!$A$2:$E$495,5,FALSE)</f>
        <v>Ikan</v>
      </c>
      <c r="L974" s="1"/>
    </row>
    <row r="975" spans="1:12" ht="12" customHeight="1" x14ac:dyDescent="0.25">
      <c r="A975" s="15">
        <v>45160</v>
      </c>
      <c r="B975" s="16">
        <v>22301528</v>
      </c>
      <c r="C975" s="16" t="s">
        <v>449</v>
      </c>
      <c r="D975" s="16" t="str">
        <f>VLOOKUP(C975,[1]master_data!$A$2:$E$495,2,FALSE)</f>
        <v>SUMATRA GOLD FISH</v>
      </c>
      <c r="E975" s="16">
        <v>50</v>
      </c>
      <c r="F975" s="16">
        <f>VLOOKUP(C975,[1]master_data!$A$2:$E$495,3,FALSE)</f>
        <v>2500</v>
      </c>
      <c r="G975" s="16">
        <f>VLOOKUP(C975,[1]master_data!$A$2:$E$495,4,FALSE)</f>
        <v>4000</v>
      </c>
      <c r="H975" s="16">
        <f>E975*F975</f>
        <v>125000</v>
      </c>
      <c r="I975" s="16">
        <f>E975*G975</f>
        <v>200000</v>
      </c>
      <c r="J975" s="16">
        <f>I975-H975</f>
        <v>75000</v>
      </c>
      <c r="K975" s="16" t="str">
        <f>VLOOKUP(C975,[1]master_data!$A$2:$E$495,5,FALSE)</f>
        <v>Ikan</v>
      </c>
      <c r="L975" s="1"/>
    </row>
    <row r="976" spans="1:12" ht="12" customHeight="1" x14ac:dyDescent="0.25">
      <c r="A976" s="15">
        <v>45160</v>
      </c>
      <c r="B976" s="16">
        <v>22301529</v>
      </c>
      <c r="C976" s="16" t="s">
        <v>391</v>
      </c>
      <c r="D976" s="16" t="str">
        <f>VLOOKUP(C976,[1]master_data!$A$2:$E$495,2,FALSE)</f>
        <v>CHANNA ANDRAO B</v>
      </c>
      <c r="E976" s="16">
        <v>2</v>
      </c>
      <c r="F976" s="16">
        <f>VLOOKUP(C976,[1]master_data!$A$2:$E$495,3,FALSE)</f>
        <v>100000</v>
      </c>
      <c r="G976" s="16">
        <f>VLOOKUP(C976,[1]master_data!$A$2:$E$495,4,FALSE)</f>
        <v>200000</v>
      </c>
      <c r="H976" s="16">
        <f>E976*F976</f>
        <v>200000</v>
      </c>
      <c r="I976" s="16">
        <f>E976*G976</f>
        <v>400000</v>
      </c>
      <c r="J976" s="16">
        <f>I976-H976</f>
        <v>200000</v>
      </c>
      <c r="K976" s="16" t="str">
        <f>VLOOKUP(C976,[1]master_data!$A$2:$E$495,5,FALSE)</f>
        <v>Ikan</v>
      </c>
      <c r="L976" s="1"/>
    </row>
    <row r="977" spans="1:12" ht="12" customHeight="1" x14ac:dyDescent="0.25">
      <c r="A977" s="15">
        <v>45160</v>
      </c>
      <c r="B977" s="16">
        <v>22301530</v>
      </c>
      <c r="C977" s="16" t="s">
        <v>388</v>
      </c>
      <c r="D977" s="16" t="str">
        <f>VLOOKUP(C977,[1]master_data!$A$2:$E$495,2,FALSE)</f>
        <v>CHANNA ASIATICA K</v>
      </c>
      <c r="E977" s="16">
        <v>3</v>
      </c>
      <c r="F977" s="16">
        <f>VLOOKUP(C977,[1]master_data!$A$2:$E$495,3,FALSE)</f>
        <v>10000</v>
      </c>
      <c r="G977" s="16">
        <f>VLOOKUP(C977,[1]master_data!$A$2:$E$495,4,FALSE)</f>
        <v>40000</v>
      </c>
      <c r="H977" s="16">
        <f>E977*F977</f>
        <v>30000</v>
      </c>
      <c r="I977" s="16">
        <f>E977*G977</f>
        <v>120000</v>
      </c>
      <c r="J977" s="16">
        <f>I977-H977</f>
        <v>90000</v>
      </c>
      <c r="K977" s="16" t="str">
        <f>VLOOKUP(C977,[1]master_data!$A$2:$E$495,5,FALSE)</f>
        <v>Ikan</v>
      </c>
      <c r="L977" s="1"/>
    </row>
    <row r="978" spans="1:12" ht="12" customHeight="1" x14ac:dyDescent="0.25">
      <c r="A978" s="15">
        <v>45160</v>
      </c>
      <c r="B978" s="16">
        <v>22301531</v>
      </c>
      <c r="C978" s="16" t="s">
        <v>442</v>
      </c>
      <c r="D978" s="16" t="str">
        <f>VLOOKUP(C978,[1]master_data!$A$2:$E$495,2,FALSE)</f>
        <v>PARROT</v>
      </c>
      <c r="E978" s="16">
        <v>1</v>
      </c>
      <c r="F978" s="16">
        <f>VLOOKUP(C978,[1]master_data!$A$2:$E$495,3,FALSE)</f>
        <v>27000</v>
      </c>
      <c r="G978" s="16">
        <f>VLOOKUP(C978,[1]master_data!$A$2:$E$495,4,FALSE)</f>
        <v>60000</v>
      </c>
      <c r="H978" s="16">
        <f>E978*F978</f>
        <v>27000</v>
      </c>
      <c r="I978" s="16">
        <f>E978*G978</f>
        <v>60000</v>
      </c>
      <c r="J978" s="16">
        <f>I978-H978</f>
        <v>33000</v>
      </c>
      <c r="K978" s="16" t="str">
        <f>VLOOKUP(C978,[1]master_data!$A$2:$E$495,5,FALSE)</f>
        <v>Ikan</v>
      </c>
      <c r="L978" s="1"/>
    </row>
    <row r="979" spans="1:12" ht="12" customHeight="1" x14ac:dyDescent="0.25">
      <c r="A979" s="15">
        <v>45160</v>
      </c>
      <c r="B979" s="16">
        <v>22301532</v>
      </c>
      <c r="C979" s="16" t="s">
        <v>415</v>
      </c>
      <c r="D979" s="16" t="str">
        <f>VLOOKUP(C979,[1]master_data!$A$2:$E$495,2,FALSE)</f>
        <v>KOI T</v>
      </c>
      <c r="E979" s="16">
        <v>10</v>
      </c>
      <c r="F979" s="16">
        <f>VLOOKUP(C979,[1]master_data!$A$2:$E$495,3,FALSE)</f>
        <v>7000</v>
      </c>
      <c r="G979" s="16">
        <f>VLOOKUP(C979,[1]master_data!$A$2:$E$495,4,FALSE)</f>
        <v>20000</v>
      </c>
      <c r="H979" s="16">
        <f>E979*F979</f>
        <v>70000</v>
      </c>
      <c r="I979" s="16">
        <f>E979*G979</f>
        <v>200000</v>
      </c>
      <c r="J979" s="16">
        <f>I979-H979</f>
        <v>130000</v>
      </c>
      <c r="K979" s="16" t="str">
        <f>VLOOKUP(C979,[1]master_data!$A$2:$E$495,5,FALSE)</f>
        <v>Ikan</v>
      </c>
      <c r="L979" s="1"/>
    </row>
    <row r="980" spans="1:12" ht="12" customHeight="1" x14ac:dyDescent="0.25">
      <c r="A980" s="15">
        <v>45159</v>
      </c>
      <c r="B980" s="16">
        <v>22301519</v>
      </c>
      <c r="C980" s="16" t="s">
        <v>135</v>
      </c>
      <c r="D980" s="16" t="str">
        <f>VLOOKUP(C980,[1]master_data!$A$2:$E$495,2,FALSE)</f>
        <v>LED NIKITA NS 400</v>
      </c>
      <c r="E980" s="16">
        <v>5</v>
      </c>
      <c r="F980" s="16">
        <f>VLOOKUP(C980,[1]master_data!$A$2:$E$495,3,FALSE)</f>
        <v>41000</v>
      </c>
      <c r="G980" s="16">
        <f>VLOOKUP(C980,[1]master_data!$A$2:$E$495,4,FALSE)</f>
        <v>65000</v>
      </c>
      <c r="H980" s="16">
        <f>E980*F980</f>
        <v>205000</v>
      </c>
      <c r="I980" s="16">
        <f>E980*G980</f>
        <v>325000</v>
      </c>
      <c r="J980" s="16">
        <f>I980-H980</f>
        <v>120000</v>
      </c>
      <c r="K980" s="16" t="str">
        <f>VLOOKUP(C980,[1]master_data!$A$2:$E$495,5,FALSE)</f>
        <v>Aksesoris</v>
      </c>
      <c r="L980" s="1"/>
    </row>
    <row r="981" spans="1:12" ht="12" customHeight="1" x14ac:dyDescent="0.25">
      <c r="A981" s="15">
        <v>45159</v>
      </c>
      <c r="B981" s="16">
        <v>22301520</v>
      </c>
      <c r="C981" s="16" t="s">
        <v>438</v>
      </c>
      <c r="D981" s="16" t="str">
        <f>VLOOKUP(C981,[1]master_data!$A$2:$E$495,2,FALSE)</f>
        <v>OSCAR</v>
      </c>
      <c r="E981" s="16">
        <v>1</v>
      </c>
      <c r="F981" s="16">
        <f>VLOOKUP(C981,[1]master_data!$A$2:$E$495,3,FALSE)</f>
        <v>25000</v>
      </c>
      <c r="G981" s="16">
        <f>VLOOKUP(C981,[1]master_data!$A$2:$E$495,4,FALSE)</f>
        <v>50000</v>
      </c>
      <c r="H981" s="16">
        <f>E981*F981</f>
        <v>25000</v>
      </c>
      <c r="I981" s="16">
        <f>E981*G981</f>
        <v>50000</v>
      </c>
      <c r="J981" s="16">
        <f>I981-H981</f>
        <v>25000</v>
      </c>
      <c r="K981" s="16" t="str">
        <f>VLOOKUP(C981,[1]master_data!$A$2:$E$495,5,FALSE)</f>
        <v>Ikan</v>
      </c>
      <c r="L981" s="1"/>
    </row>
    <row r="982" spans="1:12" ht="12" customHeight="1" x14ac:dyDescent="0.25">
      <c r="A982" s="15">
        <v>45159</v>
      </c>
      <c r="B982" s="16">
        <v>22301521</v>
      </c>
      <c r="C982" s="16" t="s">
        <v>104</v>
      </c>
      <c r="D982" s="16" t="str">
        <f>VLOOKUP(C982,[1]master_data!$A$2:$E$495,2,FALSE)</f>
        <v>AIRATOR ROSTON LUB 2</v>
      </c>
      <c r="E982" s="16">
        <v>2</v>
      </c>
      <c r="F982" s="16">
        <f>VLOOKUP(C982,[1]master_data!$A$2:$E$495,3,FALSE)</f>
        <v>31000</v>
      </c>
      <c r="G982" s="16">
        <f>VLOOKUP(C982,[1]master_data!$A$2:$E$495,4,FALSE)</f>
        <v>50000</v>
      </c>
      <c r="H982" s="16">
        <f>E982*F982</f>
        <v>62000</v>
      </c>
      <c r="I982" s="16">
        <f>E982*G982</f>
        <v>100000</v>
      </c>
      <c r="J982" s="16">
        <f>I982-H982</f>
        <v>38000</v>
      </c>
      <c r="K982" s="16" t="str">
        <f>VLOOKUP(C982,[1]master_data!$A$2:$E$495,5,FALSE)</f>
        <v>Aksesoris</v>
      </c>
      <c r="L982" s="1"/>
    </row>
    <row r="983" spans="1:12" ht="12" customHeight="1" x14ac:dyDescent="0.25">
      <c r="A983" s="15">
        <v>45159</v>
      </c>
      <c r="B983" s="16">
        <v>22301522</v>
      </c>
      <c r="C983" s="16" t="s">
        <v>450</v>
      </c>
      <c r="D983" s="16" t="str">
        <f>VLOOKUP(C983,[1]master_data!$A$2:$E$495,2,FALSE)</f>
        <v>SNOW WHITE</v>
      </c>
      <c r="E983" s="16">
        <v>15</v>
      </c>
      <c r="F983" s="16">
        <f>VLOOKUP(C983,[1]master_data!$A$2:$E$495,3,FALSE)</f>
        <v>1500</v>
      </c>
      <c r="G983" s="16">
        <f>VLOOKUP(C983,[1]master_data!$A$2:$E$495,4,FALSE)</f>
        <v>3000</v>
      </c>
      <c r="H983" s="16">
        <f>E983*F983</f>
        <v>22500</v>
      </c>
      <c r="I983" s="16">
        <f>E983*G983</f>
        <v>45000</v>
      </c>
      <c r="J983" s="16">
        <f>I983-H983</f>
        <v>22500</v>
      </c>
      <c r="K983" s="16" t="str">
        <f>VLOOKUP(C983,[1]master_data!$A$2:$E$495,5,FALSE)</f>
        <v>Ikan</v>
      </c>
      <c r="L983" s="1"/>
    </row>
    <row r="984" spans="1:12" ht="12" customHeight="1" x14ac:dyDescent="0.25">
      <c r="A984" s="15">
        <v>45159</v>
      </c>
      <c r="B984" s="16">
        <v>22301523</v>
      </c>
      <c r="C984" s="16" t="s">
        <v>227</v>
      </c>
      <c r="D984" s="16" t="str">
        <f>VLOOKUP(C984,[1]master_data!$A$2:$E$495,2,FALSE)</f>
        <v>OK IKO LOUHAN HITAM</v>
      </c>
      <c r="E984" s="16">
        <v>2</v>
      </c>
      <c r="F984" s="16">
        <f>VLOOKUP(C984,[1]master_data!$A$2:$E$495,3,FALSE)</f>
        <v>31500</v>
      </c>
      <c r="G984" s="16">
        <f>VLOOKUP(C984,[1]master_data!$A$2:$E$495,4,FALSE)</f>
        <v>50000</v>
      </c>
      <c r="H984" s="16">
        <f>E984*F984</f>
        <v>63000</v>
      </c>
      <c r="I984" s="16">
        <f>E984*G984</f>
        <v>100000</v>
      </c>
      <c r="J984" s="16">
        <f>I984-H984</f>
        <v>37000</v>
      </c>
      <c r="K984" s="16" t="str">
        <f>VLOOKUP(C984,[1]master_data!$A$2:$E$495,5,FALSE)</f>
        <v>Aksesoris</v>
      </c>
      <c r="L984" s="1"/>
    </row>
    <row r="985" spans="1:12" ht="12" customHeight="1" x14ac:dyDescent="0.25">
      <c r="A985" s="15">
        <v>45159</v>
      </c>
      <c r="B985" s="16">
        <v>22301524</v>
      </c>
      <c r="C985" s="16" t="s">
        <v>393</v>
      </c>
      <c r="D985" s="16" t="str">
        <f>VLOOKUP(C985,[1]master_data!$A$2:$E$495,2,FALSE)</f>
        <v>ARWANA SILVER B</v>
      </c>
      <c r="E985" s="16">
        <v>1</v>
      </c>
      <c r="F985" s="16">
        <f>VLOOKUP(C985,[1]master_data!$A$2:$E$495,3,FALSE)</f>
        <v>300000</v>
      </c>
      <c r="G985" s="16">
        <f>VLOOKUP(C985,[1]master_data!$A$2:$E$495,4,FALSE)</f>
        <v>500000</v>
      </c>
      <c r="H985" s="16">
        <f>E985*F985</f>
        <v>300000</v>
      </c>
      <c r="I985" s="16">
        <f>E985*G985</f>
        <v>500000</v>
      </c>
      <c r="J985" s="16">
        <f>I985-H985</f>
        <v>200000</v>
      </c>
      <c r="K985" s="16" t="str">
        <f>VLOOKUP(C985,[1]master_data!$A$2:$E$495,5,FALSE)</f>
        <v>Ikan</v>
      </c>
      <c r="L985" s="1"/>
    </row>
    <row r="986" spans="1:12" ht="12" customHeight="1" x14ac:dyDescent="0.25">
      <c r="A986" s="15">
        <v>45158</v>
      </c>
      <c r="B986" s="16">
        <v>22301512</v>
      </c>
      <c r="C986" s="16" t="s">
        <v>151</v>
      </c>
      <c r="D986" s="16" t="str">
        <f>VLOOKUP(C986,[1]master_data!$A$2:$E$495,2,FALSE)</f>
        <v>LED KANDILA 2 BRS 100 CM</v>
      </c>
      <c r="E986" s="16">
        <v>1</v>
      </c>
      <c r="F986" s="16">
        <f>VLOOKUP(C986,[1]master_data!$A$2:$E$495,3,FALSE)</f>
        <v>50000</v>
      </c>
      <c r="G986" s="16">
        <f>VLOOKUP(C986,[1]master_data!$A$2:$E$495,4,FALSE)</f>
        <v>100000</v>
      </c>
      <c r="H986" s="16">
        <f>E986*F986</f>
        <v>50000</v>
      </c>
      <c r="I986" s="16">
        <f>E986*G986</f>
        <v>100000</v>
      </c>
      <c r="J986" s="16">
        <f>I986-H986</f>
        <v>50000</v>
      </c>
      <c r="K986" s="16" t="str">
        <f>VLOOKUP(C986,[1]master_data!$A$2:$E$495,5,FALSE)</f>
        <v>Aksesoris</v>
      </c>
      <c r="L986" s="1"/>
    </row>
    <row r="987" spans="1:12" ht="12" customHeight="1" x14ac:dyDescent="0.25">
      <c r="A987" s="15">
        <v>45158</v>
      </c>
      <c r="B987" s="16">
        <v>22301513</v>
      </c>
      <c r="C987" s="16" t="s">
        <v>396</v>
      </c>
      <c r="D987" s="16" t="str">
        <f>VLOOKUP(C987,[1]master_data!$A$2:$E$495,2,FALSE)</f>
        <v>BIPOLAR</v>
      </c>
      <c r="E987" s="16">
        <v>25</v>
      </c>
      <c r="F987" s="16">
        <f>VLOOKUP(C987,[1]master_data!$A$2:$E$495,3,FALSE)</f>
        <v>1000</v>
      </c>
      <c r="G987" s="16">
        <f>VLOOKUP(C987,[1]master_data!$A$2:$E$495,4,FALSE)</f>
        <v>2500</v>
      </c>
      <c r="H987" s="16">
        <f>E987*F987</f>
        <v>25000</v>
      </c>
      <c r="I987" s="16">
        <f>E987*G987</f>
        <v>62500</v>
      </c>
      <c r="J987" s="16">
        <f>I987-H987</f>
        <v>37500</v>
      </c>
      <c r="K987" s="16" t="str">
        <f>VLOOKUP(C987,[1]master_data!$A$2:$E$495,5,FALSE)</f>
        <v>Ikan</v>
      </c>
      <c r="L987" s="1"/>
    </row>
    <row r="988" spans="1:12" ht="12" customHeight="1" x14ac:dyDescent="0.25">
      <c r="A988" s="15">
        <v>45158</v>
      </c>
      <c r="B988" s="16">
        <v>22301514</v>
      </c>
      <c r="C988" s="16" t="s">
        <v>163</v>
      </c>
      <c r="D988" s="16" t="str">
        <f>VLOOKUP(C988,[1]master_data!$A$2:$E$495,2,FALSE)</f>
        <v>LED KANDILA VIBRANT 60 CM</v>
      </c>
      <c r="E988" s="16">
        <v>1</v>
      </c>
      <c r="F988" s="16">
        <f>VLOOKUP(C988,[1]master_data!$A$2:$E$495,3,FALSE)</f>
        <v>109000</v>
      </c>
      <c r="G988" s="16">
        <f>VLOOKUP(C988,[1]master_data!$A$2:$E$495,4,FALSE)</f>
        <v>150000</v>
      </c>
      <c r="H988" s="16">
        <f>E988*F988</f>
        <v>109000</v>
      </c>
      <c r="I988" s="16">
        <f>E988*G988</f>
        <v>150000</v>
      </c>
      <c r="J988" s="16">
        <f>I988-H988</f>
        <v>41000</v>
      </c>
      <c r="K988" s="16" t="str">
        <f>VLOOKUP(C988,[1]master_data!$A$2:$E$495,5,FALSE)</f>
        <v>Aksesoris</v>
      </c>
      <c r="L988" s="1"/>
    </row>
    <row r="989" spans="1:12" ht="12" customHeight="1" x14ac:dyDescent="0.25">
      <c r="A989" s="15">
        <v>45158</v>
      </c>
      <c r="B989" s="16">
        <v>22301515</v>
      </c>
      <c r="C989" s="16" t="s">
        <v>191</v>
      </c>
      <c r="D989" s="16" t="str">
        <f>VLOOKUP(C989,[1]master_data!$A$2:$E$495,2,FALSE)</f>
        <v>LED KANDILA PRO RED ECO 60 CM</v>
      </c>
      <c r="E989" s="16">
        <v>5</v>
      </c>
      <c r="F989" s="16">
        <f>VLOOKUP(C989,[1]master_data!$A$2:$E$495,3,FALSE)</f>
        <v>60000</v>
      </c>
      <c r="G989" s="16">
        <f>VLOOKUP(C989,[1]master_data!$A$2:$E$495,4,FALSE)</f>
        <v>80000</v>
      </c>
      <c r="H989" s="16">
        <f>E989*F989</f>
        <v>300000</v>
      </c>
      <c r="I989" s="16">
        <f>E989*G989</f>
        <v>400000</v>
      </c>
      <c r="J989" s="16">
        <f>I989-H989</f>
        <v>100000</v>
      </c>
      <c r="K989" s="16" t="str">
        <f>VLOOKUP(C989,[1]master_data!$A$2:$E$495,5,FALSE)</f>
        <v>Aksesoris</v>
      </c>
      <c r="L989" s="1"/>
    </row>
    <row r="990" spans="1:12" ht="12" customHeight="1" x14ac:dyDescent="0.25">
      <c r="A990" s="15">
        <v>45158</v>
      </c>
      <c r="B990" s="16">
        <v>22301516</v>
      </c>
      <c r="C990" s="16" t="s">
        <v>395</v>
      </c>
      <c r="D990" s="16" t="str">
        <f>VLOOKUP(C990,[1]master_data!$A$2:$E$495,2,FALSE)</f>
        <v>ALIGATOR</v>
      </c>
      <c r="E990" s="16">
        <v>1</v>
      </c>
      <c r="F990" s="16">
        <f>VLOOKUP(C990,[1]master_data!$A$2:$E$495,3,FALSE)</f>
        <v>17000</v>
      </c>
      <c r="G990" s="16">
        <f>VLOOKUP(C990,[1]master_data!$A$2:$E$495,4,FALSE)</f>
        <v>35000</v>
      </c>
      <c r="H990" s="16">
        <f>E990*F990</f>
        <v>17000</v>
      </c>
      <c r="I990" s="16">
        <f>E990*G990</f>
        <v>35000</v>
      </c>
      <c r="J990" s="16">
        <f>I990-H990</f>
        <v>18000</v>
      </c>
      <c r="K990" s="16" t="str">
        <f>VLOOKUP(C990,[1]master_data!$A$2:$E$495,5,FALSE)</f>
        <v>Ikan</v>
      </c>
      <c r="L990" s="1"/>
    </row>
    <row r="991" spans="1:12" ht="12" customHeight="1" x14ac:dyDescent="0.25">
      <c r="A991" s="15">
        <v>45158</v>
      </c>
      <c r="B991" s="16">
        <v>22301517</v>
      </c>
      <c r="C991" s="16" t="s">
        <v>400</v>
      </c>
      <c r="D991" s="16" t="str">
        <f>VLOOKUP(C991,[1]master_data!$A$2:$E$495,2,FALSE)</f>
        <v>BLACK GHOST</v>
      </c>
      <c r="E991" s="16">
        <v>18</v>
      </c>
      <c r="F991" s="16">
        <f>VLOOKUP(C991,[1]master_data!$A$2:$E$495,3,FALSE)</f>
        <v>4000</v>
      </c>
      <c r="G991" s="16">
        <f>VLOOKUP(C991,[1]master_data!$A$2:$E$495,4,FALSE)</f>
        <v>10000</v>
      </c>
      <c r="H991" s="16">
        <f>E991*F991</f>
        <v>72000</v>
      </c>
      <c r="I991" s="16">
        <f>E991*G991</f>
        <v>180000</v>
      </c>
      <c r="J991" s="16">
        <f>I991-H991</f>
        <v>108000</v>
      </c>
      <c r="K991" s="16" t="str">
        <f>VLOOKUP(C991,[1]master_data!$A$2:$E$495,5,FALSE)</f>
        <v>Ikan</v>
      </c>
      <c r="L991" s="1"/>
    </row>
    <row r="992" spans="1:12" ht="12" customHeight="1" x14ac:dyDescent="0.25">
      <c r="A992" s="15">
        <v>45158</v>
      </c>
      <c r="B992" s="16">
        <v>22301518</v>
      </c>
      <c r="C992" s="16" t="s">
        <v>53</v>
      </c>
      <c r="D992" s="16" t="str">
        <f>VLOOKUP(C992,[1]master_data!$A$2:$E$495,2,FALSE)</f>
        <v>MESIN  SWI 1200</v>
      </c>
      <c r="E992" s="16">
        <v>1</v>
      </c>
      <c r="F992" s="16">
        <f>VLOOKUP(C992,[1]master_data!$A$2:$E$495,3,FALSE)</f>
        <v>22500</v>
      </c>
      <c r="G992" s="16">
        <f>VLOOKUP(C992,[1]master_data!$A$2:$E$495,4,FALSE)</f>
        <v>30000</v>
      </c>
      <c r="H992" s="16">
        <f>E992*F992</f>
        <v>22500</v>
      </c>
      <c r="I992" s="16">
        <f>E992*G992</f>
        <v>30000</v>
      </c>
      <c r="J992" s="16">
        <f>I992-H992</f>
        <v>7500</v>
      </c>
      <c r="K992" s="16" t="str">
        <f>VLOOKUP(C992,[1]master_data!$A$2:$E$495,5,FALSE)</f>
        <v>Aksesoris</v>
      </c>
      <c r="L992" s="1"/>
    </row>
    <row r="993" spans="1:12" ht="12" customHeight="1" x14ac:dyDescent="0.25">
      <c r="A993" s="15">
        <v>45157</v>
      </c>
      <c r="B993" s="16">
        <v>22301505</v>
      </c>
      <c r="C993" s="16" t="s">
        <v>394</v>
      </c>
      <c r="D993" s="16" t="str">
        <f>VLOOKUP(C993,[1]master_data!$A$2:$E$495,2,FALSE)</f>
        <v>ALGA EATER</v>
      </c>
      <c r="E993" s="16">
        <v>10</v>
      </c>
      <c r="F993" s="16">
        <f>VLOOKUP(C993,[1]master_data!$A$2:$E$495,3,FALSE)</f>
        <v>1750</v>
      </c>
      <c r="G993" s="16">
        <f>VLOOKUP(C993,[1]master_data!$A$2:$E$495,4,FALSE)</f>
        <v>5000</v>
      </c>
      <c r="H993" s="16">
        <f>E993*F993</f>
        <v>17500</v>
      </c>
      <c r="I993" s="16">
        <f>E993*G993</f>
        <v>50000</v>
      </c>
      <c r="J993" s="16">
        <f>I993-H993</f>
        <v>32500</v>
      </c>
      <c r="K993" s="16" t="str">
        <f>VLOOKUP(C993,[1]master_data!$A$2:$E$495,5,FALSE)</f>
        <v>Ikan</v>
      </c>
      <c r="L993" s="1"/>
    </row>
    <row r="994" spans="1:12" ht="12" customHeight="1" x14ac:dyDescent="0.25">
      <c r="A994" s="15">
        <v>45157</v>
      </c>
      <c r="B994" s="16">
        <v>22301506</v>
      </c>
      <c r="C994" s="16" t="s">
        <v>161</v>
      </c>
      <c r="D994" s="16" t="str">
        <f>VLOOKUP(C994,[1]master_data!$A$2:$E$495,2,FALSE)</f>
        <v>LED KANDILA PRO RED 100 CM</v>
      </c>
      <c r="E994" s="16">
        <v>2</v>
      </c>
      <c r="F994" s="16">
        <f>VLOOKUP(C994,[1]master_data!$A$2:$E$495,3,FALSE)</f>
        <v>225000</v>
      </c>
      <c r="G994" s="16">
        <f>VLOOKUP(C994,[1]master_data!$A$2:$E$495,4,FALSE)</f>
        <v>270000</v>
      </c>
      <c r="H994" s="16">
        <f>E994*F994</f>
        <v>450000</v>
      </c>
      <c r="I994" s="16">
        <f>E994*G994</f>
        <v>540000</v>
      </c>
      <c r="J994" s="16">
        <f>I994-H994</f>
        <v>90000</v>
      </c>
      <c r="K994" s="16" t="str">
        <f>VLOOKUP(C994,[1]master_data!$A$2:$E$495,5,FALSE)</f>
        <v>Aksesoris</v>
      </c>
      <c r="L994" s="1"/>
    </row>
    <row r="995" spans="1:12" ht="12" customHeight="1" x14ac:dyDescent="0.25">
      <c r="A995" s="15">
        <v>45157</v>
      </c>
      <c r="B995" s="16">
        <v>22301507</v>
      </c>
      <c r="C995" s="16" t="s">
        <v>437</v>
      </c>
      <c r="D995" s="16" t="str">
        <f>VLOOKUP(C995,[1]master_data!$A$2:$E$495,2,FALSE)</f>
        <v>NEON</v>
      </c>
      <c r="E995" s="16">
        <v>10</v>
      </c>
      <c r="F995" s="16">
        <f>VLOOKUP(C995,[1]master_data!$A$2:$E$495,3,FALSE)</f>
        <v>1250</v>
      </c>
      <c r="G995" s="16">
        <f>VLOOKUP(C995,[1]master_data!$A$2:$E$495,4,FALSE)</f>
        <v>5000</v>
      </c>
      <c r="H995" s="16">
        <f>E995*F995</f>
        <v>12500</v>
      </c>
      <c r="I995" s="16">
        <f>E995*G995</f>
        <v>50000</v>
      </c>
      <c r="J995" s="16">
        <f>I995-H995</f>
        <v>37500</v>
      </c>
      <c r="K995" s="16" t="str">
        <f>VLOOKUP(C995,[1]master_data!$A$2:$E$495,5,FALSE)</f>
        <v>Ikan</v>
      </c>
      <c r="L995" s="1"/>
    </row>
    <row r="996" spans="1:12" ht="12" customHeight="1" x14ac:dyDescent="0.25">
      <c r="A996" s="15">
        <v>45157</v>
      </c>
      <c r="B996" s="16">
        <v>22301508</v>
      </c>
      <c r="C996" s="16" t="s">
        <v>458</v>
      </c>
      <c r="D996" s="16" t="str">
        <f>VLOOKUP(C996,[1]master_data!$A$2:$E$495,2,FALSE)</f>
        <v>ZEBRA KUNING</v>
      </c>
      <c r="E996" s="16">
        <v>15</v>
      </c>
      <c r="F996" s="16">
        <f>VLOOKUP(C996,[1]master_data!$A$2:$E$495,3,FALSE)</f>
        <v>800</v>
      </c>
      <c r="G996" s="16">
        <f>VLOOKUP(C996,[1]master_data!$A$2:$E$495,4,FALSE)</f>
        <v>2000</v>
      </c>
      <c r="H996" s="16">
        <f>E996*F996</f>
        <v>12000</v>
      </c>
      <c r="I996" s="16">
        <f>E996*G996</f>
        <v>30000</v>
      </c>
      <c r="J996" s="16">
        <f>I996-H996</f>
        <v>18000</v>
      </c>
      <c r="K996" s="16" t="str">
        <f>VLOOKUP(C996,[1]master_data!$A$2:$E$495,5,FALSE)</f>
        <v>Ikan</v>
      </c>
      <c r="L996" s="1"/>
    </row>
    <row r="997" spans="1:12" ht="12" customHeight="1" x14ac:dyDescent="0.25">
      <c r="A997" s="15">
        <v>45157</v>
      </c>
      <c r="B997" s="16">
        <v>22301509</v>
      </c>
      <c r="C997" s="16" t="s">
        <v>149</v>
      </c>
      <c r="D997" s="16" t="str">
        <f>VLOOKUP(C997,[1]master_data!$A$2:$E$495,2,FALSE)</f>
        <v>LED HIKARI 3 MODE 80 CM</v>
      </c>
      <c r="E997" s="16">
        <v>1</v>
      </c>
      <c r="F997" s="16">
        <f>VLOOKUP(C997,[1]master_data!$A$2:$E$495,3,FALSE)</f>
        <v>89000</v>
      </c>
      <c r="G997" s="16">
        <f>VLOOKUP(C997,[1]master_data!$A$2:$E$495,4,FALSE)</f>
        <v>140000</v>
      </c>
      <c r="H997" s="16">
        <f>E997*F997</f>
        <v>89000</v>
      </c>
      <c r="I997" s="16">
        <f>E997*G997</f>
        <v>140000</v>
      </c>
      <c r="J997" s="16">
        <f>I997-H997</f>
        <v>51000</v>
      </c>
      <c r="K997" s="16" t="str">
        <f>VLOOKUP(C997,[1]master_data!$A$2:$E$495,5,FALSE)</f>
        <v>Aksesoris</v>
      </c>
      <c r="L997" s="1"/>
    </row>
    <row r="998" spans="1:12" ht="12" customHeight="1" x14ac:dyDescent="0.25">
      <c r="A998" s="15">
        <v>45157</v>
      </c>
      <c r="B998" s="16">
        <v>22301510</v>
      </c>
      <c r="C998" s="16" t="s">
        <v>224</v>
      </c>
      <c r="D998" s="16" t="str">
        <f>VLOOKUP(C998,[1]master_data!$A$2:$E$495,2,FALSE)</f>
        <v>HOKKY KOI WHITE</v>
      </c>
      <c r="E998" s="16">
        <v>2</v>
      </c>
      <c r="F998" s="16">
        <f>VLOOKUP(C998,[1]master_data!$A$2:$E$495,3,FALSE)</f>
        <v>48000</v>
      </c>
      <c r="G998" s="16">
        <f>VLOOKUP(C998,[1]master_data!$A$2:$E$495,4,FALSE)</f>
        <v>60000</v>
      </c>
      <c r="H998" s="16">
        <f>E998*F998</f>
        <v>96000</v>
      </c>
      <c r="I998" s="16">
        <f>E998*G998</f>
        <v>120000</v>
      </c>
      <c r="J998" s="16">
        <f>I998-H998</f>
        <v>24000</v>
      </c>
      <c r="K998" s="16" t="str">
        <f>VLOOKUP(C998,[1]master_data!$A$2:$E$495,5,FALSE)</f>
        <v>Aksesoris</v>
      </c>
      <c r="L998" s="1"/>
    </row>
    <row r="999" spans="1:12" ht="12" customHeight="1" x14ac:dyDescent="0.25">
      <c r="A999" s="15">
        <v>45157</v>
      </c>
      <c r="B999" s="16">
        <v>22301511</v>
      </c>
      <c r="C999" s="16" t="s">
        <v>427</v>
      </c>
      <c r="D999" s="16" t="str">
        <f>VLOOKUP(C999,[1]master_data!$A$2:$E$495,2,FALSE)</f>
        <v>LOUHAN SUPER</v>
      </c>
      <c r="E999" s="16">
        <v>1</v>
      </c>
      <c r="F999" s="16">
        <f>VLOOKUP(C999,[1]master_data!$A$2:$E$495,3,FALSE)</f>
        <v>300000</v>
      </c>
      <c r="G999" s="16">
        <f>VLOOKUP(C999,[1]master_data!$A$2:$E$495,4,FALSE)</f>
        <v>500000</v>
      </c>
      <c r="H999" s="16">
        <f>E999*F999</f>
        <v>300000</v>
      </c>
      <c r="I999" s="16">
        <f>E999*G999</f>
        <v>500000</v>
      </c>
      <c r="J999" s="16">
        <f>I999-H999</f>
        <v>200000</v>
      </c>
      <c r="K999" s="16" t="str">
        <f>VLOOKUP(C999,[1]master_data!$A$2:$E$495,5,FALSE)</f>
        <v>Ikan</v>
      </c>
      <c r="L999" s="1"/>
    </row>
    <row r="1000" spans="1:12" ht="12" customHeight="1" x14ac:dyDescent="0.25">
      <c r="A1000" s="15">
        <v>45156</v>
      </c>
      <c r="B1000" s="16">
        <v>22301499</v>
      </c>
      <c r="C1000" s="16" t="s">
        <v>424</v>
      </c>
      <c r="D1000" s="16" t="str">
        <f>VLOOKUP(C1000,[1]master_data!$A$2:$E$495,2,FALSE)</f>
        <v>DISCUS</v>
      </c>
      <c r="E1000" s="16">
        <v>2</v>
      </c>
      <c r="F1000" s="16">
        <f>VLOOKUP(C1000,[1]master_data!$A$2:$E$495,3,FALSE)</f>
        <v>50000</v>
      </c>
      <c r="G1000" s="16">
        <f>VLOOKUP(C1000,[1]master_data!$A$2:$E$495,4,FALSE)</f>
        <v>150000</v>
      </c>
      <c r="H1000" s="16">
        <f>E1000*F1000</f>
        <v>100000</v>
      </c>
      <c r="I1000" s="16">
        <f>E1000*G1000</f>
        <v>300000</v>
      </c>
      <c r="J1000" s="16">
        <f>I1000-H1000</f>
        <v>200000</v>
      </c>
      <c r="K1000" s="16" t="str">
        <f>VLOOKUP(C1000,[1]master_data!$A$2:$E$495,5,FALSE)</f>
        <v>Ikan</v>
      </c>
      <c r="L1000" s="1"/>
    </row>
    <row r="1001" spans="1:12" ht="12" customHeight="1" x14ac:dyDescent="0.25">
      <c r="A1001" s="15">
        <v>45156</v>
      </c>
      <c r="B1001" s="16">
        <v>22301500</v>
      </c>
      <c r="C1001" s="16" t="s">
        <v>159</v>
      </c>
      <c r="D1001" s="16" t="str">
        <f>VLOOKUP(C1001,[1]master_data!$A$2:$E$495,2,FALSE)</f>
        <v>LED KANDILA PRO RED 60 CM</v>
      </c>
      <c r="E1001" s="16">
        <v>2</v>
      </c>
      <c r="F1001" s="16">
        <f>VLOOKUP(C1001,[1]master_data!$A$2:$E$495,3,FALSE)</f>
        <v>170000</v>
      </c>
      <c r="G1001" s="16">
        <f>VLOOKUP(C1001,[1]master_data!$A$2:$E$495,4,FALSE)</f>
        <v>215000</v>
      </c>
      <c r="H1001" s="16">
        <f>E1001*F1001</f>
        <v>340000</v>
      </c>
      <c r="I1001" s="16">
        <f>E1001*G1001</f>
        <v>430000</v>
      </c>
      <c r="J1001" s="16">
        <f>I1001-H1001</f>
        <v>90000</v>
      </c>
      <c r="K1001" s="16" t="str">
        <f>VLOOKUP(C1001,[1]master_data!$A$2:$E$495,5,FALSE)</f>
        <v>Aksesoris</v>
      </c>
      <c r="L1001" s="1"/>
    </row>
    <row r="1002" spans="1:12" ht="12" customHeight="1" x14ac:dyDescent="0.25">
      <c r="A1002" s="15">
        <v>45156</v>
      </c>
      <c r="B1002" s="16">
        <v>22301501</v>
      </c>
      <c r="C1002" s="16" t="s">
        <v>394</v>
      </c>
      <c r="D1002" s="16" t="str">
        <f>VLOOKUP(C1002,[1]master_data!$A$2:$E$495,2,FALSE)</f>
        <v>ALGA EATER</v>
      </c>
      <c r="E1002" s="16">
        <v>30</v>
      </c>
      <c r="F1002" s="16">
        <f>VLOOKUP(C1002,[1]master_data!$A$2:$E$495,3,FALSE)</f>
        <v>1750</v>
      </c>
      <c r="G1002" s="16">
        <f>VLOOKUP(C1002,[1]master_data!$A$2:$E$495,4,FALSE)</f>
        <v>5000</v>
      </c>
      <c r="H1002" s="16">
        <f>E1002*F1002</f>
        <v>52500</v>
      </c>
      <c r="I1002" s="16">
        <f>E1002*G1002</f>
        <v>150000</v>
      </c>
      <c r="J1002" s="16">
        <f>I1002-H1002</f>
        <v>97500</v>
      </c>
      <c r="K1002" s="16" t="str">
        <f>VLOOKUP(C1002,[1]master_data!$A$2:$E$495,5,FALSE)</f>
        <v>Ikan</v>
      </c>
      <c r="L1002" s="1"/>
    </row>
    <row r="1003" spans="1:12" ht="12" customHeight="1" x14ac:dyDescent="0.25">
      <c r="A1003" s="15">
        <v>45156</v>
      </c>
      <c r="B1003" s="16">
        <v>22301502</v>
      </c>
      <c r="C1003" s="16" t="s">
        <v>130</v>
      </c>
      <c r="D1003" s="16" t="str">
        <f>VLOOKUP(C1003,[1]master_data!$A$2:$E$495,2,FALSE)</f>
        <v>LED YAMANO S600</v>
      </c>
      <c r="E1003" s="16">
        <v>2</v>
      </c>
      <c r="F1003" s="16">
        <f>VLOOKUP(C1003,[1]master_data!$A$2:$E$495,3,FALSE)</f>
        <v>60000</v>
      </c>
      <c r="G1003" s="16">
        <f>VLOOKUP(C1003,[1]master_data!$A$2:$E$495,4,FALSE)</f>
        <v>85000</v>
      </c>
      <c r="H1003" s="16">
        <f>E1003*F1003</f>
        <v>120000</v>
      </c>
      <c r="I1003" s="16">
        <f>E1003*G1003</f>
        <v>170000</v>
      </c>
      <c r="J1003" s="16">
        <f>I1003-H1003</f>
        <v>50000</v>
      </c>
      <c r="K1003" s="16" t="str">
        <f>VLOOKUP(C1003,[1]master_data!$A$2:$E$495,5,FALSE)</f>
        <v>Aksesoris</v>
      </c>
      <c r="L1003" s="1"/>
    </row>
    <row r="1004" spans="1:12" ht="12" customHeight="1" x14ac:dyDescent="0.25">
      <c r="A1004" s="15">
        <v>45156</v>
      </c>
      <c r="B1004" s="16">
        <v>22301503</v>
      </c>
      <c r="C1004" s="16" t="s">
        <v>410</v>
      </c>
      <c r="D1004" s="16" t="str">
        <f>VLOOKUP(C1004,[1]master_data!$A$2:$E$495,2,FALSE)</f>
        <v>HIU TAWAR</v>
      </c>
      <c r="E1004" s="16">
        <v>9</v>
      </c>
      <c r="F1004" s="16">
        <f>VLOOKUP(C1004,[1]master_data!$A$2:$E$495,3,FALSE)</f>
        <v>600</v>
      </c>
      <c r="G1004" s="16">
        <f>VLOOKUP(C1004,[1]master_data!$A$2:$E$495,4,FALSE)</f>
        <v>2000</v>
      </c>
      <c r="H1004" s="16">
        <f>E1004*F1004</f>
        <v>5400</v>
      </c>
      <c r="I1004" s="16">
        <f>E1004*G1004</f>
        <v>18000</v>
      </c>
      <c r="J1004" s="16">
        <f>I1004-H1004</f>
        <v>12600</v>
      </c>
      <c r="K1004" s="16" t="str">
        <f>VLOOKUP(C1004,[1]master_data!$A$2:$E$495,5,FALSE)</f>
        <v>Ikan</v>
      </c>
      <c r="L1004" s="1"/>
    </row>
    <row r="1005" spans="1:12" ht="12" customHeight="1" x14ac:dyDescent="0.25">
      <c r="A1005" s="15">
        <v>45156</v>
      </c>
      <c r="B1005" s="16">
        <v>22301504</v>
      </c>
      <c r="C1005" s="16" t="s">
        <v>406</v>
      </c>
      <c r="D1005" s="16" t="str">
        <f>VLOOKUP(C1005,[1]master_data!$A$2:$E$495,2,FALSE)</f>
        <v>CATFISH</v>
      </c>
      <c r="E1005" s="16">
        <v>1</v>
      </c>
      <c r="F1005" s="16">
        <f>VLOOKUP(C1005,[1]master_data!$A$2:$E$495,3,FALSE)</f>
        <v>20000</v>
      </c>
      <c r="G1005" s="16">
        <f>VLOOKUP(C1005,[1]master_data!$A$2:$E$495,4,FALSE)</f>
        <v>50000</v>
      </c>
      <c r="H1005" s="16">
        <f>E1005*F1005</f>
        <v>20000</v>
      </c>
      <c r="I1005" s="16">
        <f>E1005*G1005</f>
        <v>50000</v>
      </c>
      <c r="J1005" s="16">
        <f>I1005-H1005</f>
        <v>30000</v>
      </c>
      <c r="K1005" s="16" t="str">
        <f>VLOOKUP(C1005,[1]master_data!$A$2:$E$495,5,FALSE)</f>
        <v>Ikan</v>
      </c>
      <c r="L1005" s="1"/>
    </row>
    <row r="1006" spans="1:12" ht="12" customHeight="1" x14ac:dyDescent="0.25">
      <c r="A1006" s="15">
        <v>45155</v>
      </c>
      <c r="B1006" s="16">
        <v>22301491</v>
      </c>
      <c r="C1006" s="16" t="s">
        <v>443</v>
      </c>
      <c r="D1006" s="16" t="str">
        <f>VLOOKUP(C1006,[1]master_data!$A$2:$E$495,2,FALSE)</f>
        <v>PESO</v>
      </c>
      <c r="E1006" s="16">
        <v>1</v>
      </c>
      <c r="F1006" s="16">
        <f>VLOOKUP(C1006,[1]master_data!$A$2:$E$495,3,FALSE)</f>
        <v>19000</v>
      </c>
      <c r="G1006" s="16">
        <f>VLOOKUP(C1006,[1]master_data!$A$2:$E$495,4,FALSE)</f>
        <v>40000</v>
      </c>
      <c r="H1006" s="16">
        <f>E1006*F1006</f>
        <v>19000</v>
      </c>
      <c r="I1006" s="16">
        <f>E1006*G1006</f>
        <v>40000</v>
      </c>
      <c r="J1006" s="16">
        <f>I1006-H1006</f>
        <v>21000</v>
      </c>
      <c r="K1006" s="16" t="str">
        <f>VLOOKUP(C1006,[1]master_data!$A$2:$E$495,5,FALSE)</f>
        <v>Ikan</v>
      </c>
      <c r="L1006" s="1"/>
    </row>
    <row r="1007" spans="1:12" ht="12" customHeight="1" x14ac:dyDescent="0.25">
      <c r="A1007" s="15">
        <v>45155</v>
      </c>
      <c r="B1007" s="16">
        <v>22301492</v>
      </c>
      <c r="C1007" s="16" t="s">
        <v>79</v>
      </c>
      <c r="D1007" s="16" t="str">
        <f>VLOOKUP(C1007,[1]master_data!$A$2:$E$495,2,FALSE)</f>
        <v>MESIN KIYOSAKI 1600</v>
      </c>
      <c r="E1007" s="16">
        <v>5</v>
      </c>
      <c r="F1007" s="16">
        <f>VLOOKUP(C1007,[1]master_data!$A$2:$E$495,3,FALSE)</f>
        <v>35000</v>
      </c>
      <c r="G1007" s="16">
        <f>VLOOKUP(C1007,[1]master_data!$A$2:$E$495,4,FALSE)</f>
        <v>65000</v>
      </c>
      <c r="H1007" s="16">
        <f>E1007*F1007</f>
        <v>175000</v>
      </c>
      <c r="I1007" s="16">
        <f>E1007*G1007</f>
        <v>325000</v>
      </c>
      <c r="J1007" s="16">
        <f>I1007-H1007</f>
        <v>150000</v>
      </c>
      <c r="K1007" s="16" t="str">
        <f>VLOOKUP(C1007,[1]master_data!$A$2:$E$495,5,FALSE)</f>
        <v>Aksesoris</v>
      </c>
      <c r="L1007" s="1"/>
    </row>
    <row r="1008" spans="1:12" ht="12" customHeight="1" x14ac:dyDescent="0.25">
      <c r="A1008" s="15">
        <v>45155</v>
      </c>
      <c r="B1008" s="16">
        <v>22301493</v>
      </c>
      <c r="C1008" s="16" t="s">
        <v>409</v>
      </c>
      <c r="D1008" s="16" t="str">
        <f>VLOOKUP(C1008,[1]master_data!$A$2:$E$495,2,FALSE)</f>
        <v>GOLDEN BLACK</v>
      </c>
      <c r="E1008" s="16">
        <v>15</v>
      </c>
      <c r="F1008" s="16">
        <f>VLOOKUP(C1008,[1]master_data!$A$2:$E$495,3,FALSE)</f>
        <v>800</v>
      </c>
      <c r="G1008" s="16">
        <f>VLOOKUP(C1008,[1]master_data!$A$2:$E$495,4,FALSE)</f>
        <v>2000</v>
      </c>
      <c r="H1008" s="16">
        <f>E1008*F1008</f>
        <v>12000</v>
      </c>
      <c r="I1008" s="16">
        <f>E1008*G1008</f>
        <v>30000</v>
      </c>
      <c r="J1008" s="16">
        <f>I1008-H1008</f>
        <v>18000</v>
      </c>
      <c r="K1008" s="16" t="str">
        <f>VLOOKUP(C1008,[1]master_data!$A$2:$E$495,5,FALSE)</f>
        <v>Ikan</v>
      </c>
      <c r="L1008" s="1"/>
    </row>
    <row r="1009" spans="1:12" ht="12" customHeight="1" x14ac:dyDescent="0.25">
      <c r="A1009" s="15">
        <v>45155</v>
      </c>
      <c r="B1009" s="16">
        <v>22301494</v>
      </c>
      <c r="C1009" s="16" t="s">
        <v>435</v>
      </c>
      <c r="D1009" s="16" t="str">
        <f>VLOOKUP(C1009,[1]master_data!$A$2:$E$495,2,FALSE)</f>
        <v>RED EYE TETRA</v>
      </c>
      <c r="E1009" s="16">
        <v>10</v>
      </c>
      <c r="F1009" s="16">
        <f>VLOOKUP(C1009,[1]master_data!$A$2:$E$495,3,FALSE)</f>
        <v>900</v>
      </c>
      <c r="G1009" s="16">
        <f>VLOOKUP(C1009,[1]master_data!$A$2:$E$495,4,FALSE)</f>
        <v>2000</v>
      </c>
      <c r="H1009" s="16">
        <f>E1009*F1009</f>
        <v>9000</v>
      </c>
      <c r="I1009" s="16">
        <f>E1009*G1009</f>
        <v>20000</v>
      </c>
      <c r="J1009" s="16">
        <f>I1009-H1009</f>
        <v>11000</v>
      </c>
      <c r="K1009" s="16" t="str">
        <f>VLOOKUP(C1009,[1]master_data!$A$2:$E$495,5,FALSE)</f>
        <v>Ikan</v>
      </c>
      <c r="L1009" s="1"/>
    </row>
    <row r="1010" spans="1:12" ht="12" customHeight="1" x14ac:dyDescent="0.25">
      <c r="A1010" s="15">
        <v>45155</v>
      </c>
      <c r="B1010" s="16">
        <v>22301495</v>
      </c>
      <c r="C1010" s="16" t="s">
        <v>416</v>
      </c>
      <c r="D1010" s="16" t="str">
        <f>VLOOKUP(C1010,[1]master_data!$A$2:$E$495,2,FALSE)</f>
        <v>KOI B</v>
      </c>
      <c r="E1010" s="16">
        <v>5</v>
      </c>
      <c r="F1010" s="16">
        <f>VLOOKUP(C1010,[1]master_data!$A$2:$E$495,3,FALSE)</f>
        <v>9000</v>
      </c>
      <c r="G1010" s="16">
        <f>VLOOKUP(C1010,[1]master_data!$A$2:$E$495,4,FALSE)</f>
        <v>30000</v>
      </c>
      <c r="H1010" s="16">
        <f>E1010*F1010</f>
        <v>45000</v>
      </c>
      <c r="I1010" s="16">
        <f>E1010*G1010</f>
        <v>150000</v>
      </c>
      <c r="J1010" s="16">
        <f>I1010-H1010</f>
        <v>105000</v>
      </c>
      <c r="K1010" s="16" t="str">
        <f>VLOOKUP(C1010,[1]master_data!$A$2:$E$495,5,FALSE)</f>
        <v>Ikan</v>
      </c>
      <c r="L1010" s="1"/>
    </row>
    <row r="1011" spans="1:12" ht="12" customHeight="1" x14ac:dyDescent="0.25">
      <c r="A1011" s="15">
        <v>45155</v>
      </c>
      <c r="B1011" s="16">
        <v>22301496</v>
      </c>
      <c r="C1011" s="16" t="s">
        <v>375</v>
      </c>
      <c r="D1011" s="16" t="str">
        <f>VLOOKUP(C1011,[1]master_data!$A$2:$E$495,2,FALSE)</f>
        <v>PASIR MEARAH B</v>
      </c>
      <c r="E1011" s="16">
        <v>2</v>
      </c>
      <c r="F1011" s="16">
        <f>VLOOKUP(C1011,[1]master_data!$A$2:$E$495,3,FALSE)</f>
        <v>8000</v>
      </c>
      <c r="G1011" s="16">
        <f>VLOOKUP(C1011,[1]master_data!$A$2:$E$495,4,FALSE)</f>
        <v>25000</v>
      </c>
      <c r="H1011" s="16">
        <f>E1011*F1011</f>
        <v>16000</v>
      </c>
      <c r="I1011" s="16">
        <f>E1011*G1011</f>
        <v>50000</v>
      </c>
      <c r="J1011" s="16">
        <f>I1011-H1011</f>
        <v>34000</v>
      </c>
      <c r="K1011" s="16" t="str">
        <f>VLOOKUP(C1011,[1]master_data!$A$2:$E$495,5,FALSE)</f>
        <v>Aksesoris</v>
      </c>
      <c r="L1011" s="1"/>
    </row>
    <row r="1012" spans="1:12" ht="12" customHeight="1" x14ac:dyDescent="0.25">
      <c r="A1012" s="15">
        <v>45155</v>
      </c>
      <c r="B1012" s="16">
        <v>22301497</v>
      </c>
      <c r="C1012" s="16" t="s">
        <v>426</v>
      </c>
      <c r="D1012" s="16" t="str">
        <f>VLOOKUP(C1012,[1]master_data!$A$2:$E$495,2,FALSE)</f>
        <v>LOUHAN</v>
      </c>
      <c r="E1012" s="16">
        <v>2</v>
      </c>
      <c r="F1012" s="16">
        <f>VLOOKUP(C1012,[1]master_data!$A$2:$E$495,3,FALSE)</f>
        <v>85000</v>
      </c>
      <c r="G1012" s="16">
        <f>VLOOKUP(C1012,[1]master_data!$A$2:$E$495,4,FALSE)</f>
        <v>200000</v>
      </c>
      <c r="H1012" s="16">
        <f>E1012*F1012</f>
        <v>170000</v>
      </c>
      <c r="I1012" s="16">
        <f>E1012*G1012</f>
        <v>400000</v>
      </c>
      <c r="J1012" s="16">
        <f>I1012-H1012</f>
        <v>230000</v>
      </c>
      <c r="K1012" s="16" t="str">
        <f>VLOOKUP(C1012,[1]master_data!$A$2:$E$495,5,FALSE)</f>
        <v>Ikan</v>
      </c>
      <c r="L1012" s="1"/>
    </row>
    <row r="1013" spans="1:12" ht="12" customHeight="1" x14ac:dyDescent="0.25">
      <c r="A1013" s="15">
        <v>45155</v>
      </c>
      <c r="B1013" s="16">
        <v>22301498</v>
      </c>
      <c r="C1013" s="16" t="s">
        <v>415</v>
      </c>
      <c r="D1013" s="16" t="str">
        <f>VLOOKUP(C1013,[1]master_data!$A$2:$E$495,2,FALSE)</f>
        <v>KOI T</v>
      </c>
      <c r="E1013" s="16">
        <v>10</v>
      </c>
      <c r="F1013" s="16">
        <f>VLOOKUP(C1013,[1]master_data!$A$2:$E$495,3,FALSE)</f>
        <v>7000</v>
      </c>
      <c r="G1013" s="16">
        <f>VLOOKUP(C1013,[1]master_data!$A$2:$E$495,4,FALSE)</f>
        <v>20000</v>
      </c>
      <c r="H1013" s="16">
        <f>E1013*F1013</f>
        <v>70000</v>
      </c>
      <c r="I1013" s="16">
        <f>E1013*G1013</f>
        <v>200000</v>
      </c>
      <c r="J1013" s="16">
        <f>I1013-H1013</f>
        <v>130000</v>
      </c>
      <c r="K1013" s="16" t="str">
        <f>VLOOKUP(C1013,[1]master_data!$A$2:$E$495,5,FALSE)</f>
        <v>Ikan</v>
      </c>
      <c r="L1013" s="1"/>
    </row>
    <row r="1014" spans="1:12" ht="12" customHeight="1" x14ac:dyDescent="0.25">
      <c r="A1014" s="15">
        <v>45154</v>
      </c>
      <c r="B1014" s="16">
        <v>22301479</v>
      </c>
      <c r="C1014" s="16" t="s">
        <v>406</v>
      </c>
      <c r="D1014" s="16" t="str">
        <f>VLOOKUP(C1014,[1]master_data!$A$2:$E$495,2,FALSE)</f>
        <v>CATFISH</v>
      </c>
      <c r="E1014" s="16">
        <v>1</v>
      </c>
      <c r="F1014" s="16">
        <f>VLOOKUP(C1014,[1]master_data!$A$2:$E$495,3,FALSE)</f>
        <v>20000</v>
      </c>
      <c r="G1014" s="16">
        <f>VLOOKUP(C1014,[1]master_data!$A$2:$E$495,4,FALSE)</f>
        <v>50000</v>
      </c>
      <c r="H1014" s="16">
        <f>E1014*F1014</f>
        <v>20000</v>
      </c>
      <c r="I1014" s="16">
        <f>E1014*G1014</f>
        <v>50000</v>
      </c>
      <c r="J1014" s="16">
        <f>I1014-H1014</f>
        <v>30000</v>
      </c>
      <c r="K1014" s="16" t="str">
        <f>VLOOKUP(C1014,[1]master_data!$A$2:$E$495,5,FALSE)</f>
        <v>Ikan</v>
      </c>
      <c r="L1014" s="1"/>
    </row>
    <row r="1015" spans="1:12" ht="12" customHeight="1" x14ac:dyDescent="0.25">
      <c r="A1015" s="15">
        <v>45154</v>
      </c>
      <c r="B1015" s="16">
        <v>22301480</v>
      </c>
      <c r="C1015" s="16" t="s">
        <v>424</v>
      </c>
      <c r="D1015" s="16" t="str">
        <f>VLOOKUP(C1015,[1]master_data!$A$2:$E$495,2,FALSE)</f>
        <v>DISCUS</v>
      </c>
      <c r="E1015" s="16">
        <v>2</v>
      </c>
      <c r="F1015" s="16">
        <f>VLOOKUP(C1015,[1]master_data!$A$2:$E$495,3,FALSE)</f>
        <v>50000</v>
      </c>
      <c r="G1015" s="16">
        <f>VLOOKUP(C1015,[1]master_data!$A$2:$E$495,4,FALSE)</f>
        <v>150000</v>
      </c>
      <c r="H1015" s="16">
        <f>E1015*F1015</f>
        <v>100000</v>
      </c>
      <c r="I1015" s="16">
        <f>E1015*G1015</f>
        <v>300000</v>
      </c>
      <c r="J1015" s="16">
        <f>I1015-H1015</f>
        <v>200000</v>
      </c>
      <c r="K1015" s="16" t="str">
        <f>VLOOKUP(C1015,[1]master_data!$A$2:$E$495,5,FALSE)</f>
        <v>Ikan</v>
      </c>
      <c r="L1015" s="1"/>
    </row>
    <row r="1016" spans="1:12" ht="12" customHeight="1" x14ac:dyDescent="0.25">
      <c r="A1016" s="15">
        <v>45154</v>
      </c>
      <c r="B1016" s="16">
        <v>22301481</v>
      </c>
      <c r="C1016" s="16" t="s">
        <v>73</v>
      </c>
      <c r="D1016" s="16" t="str">
        <f>VLOOKUP(C1016,[1]master_data!$A$2:$E$495,2,FALSE)</f>
        <v>TOP FILTER HAILONG 650</v>
      </c>
      <c r="E1016" s="16">
        <v>1</v>
      </c>
      <c r="F1016" s="16">
        <f>VLOOKUP(C1016,[1]master_data!$A$2:$E$495,3,FALSE)</f>
        <v>41000</v>
      </c>
      <c r="G1016" s="16">
        <f>VLOOKUP(C1016,[1]master_data!$A$2:$E$495,4,FALSE)</f>
        <v>60000</v>
      </c>
      <c r="H1016" s="16">
        <f>E1016*F1016</f>
        <v>41000</v>
      </c>
      <c r="I1016" s="16">
        <f>E1016*G1016</f>
        <v>60000</v>
      </c>
      <c r="J1016" s="16">
        <f>I1016-H1016</f>
        <v>19000</v>
      </c>
      <c r="K1016" s="16" t="str">
        <f>VLOOKUP(C1016,[1]master_data!$A$2:$E$495,5,FALSE)</f>
        <v>Aksesoris</v>
      </c>
      <c r="L1016" s="1"/>
    </row>
    <row r="1017" spans="1:12" ht="12" customHeight="1" x14ac:dyDescent="0.25">
      <c r="A1017" s="15">
        <v>45154</v>
      </c>
      <c r="B1017" s="16">
        <v>22301482</v>
      </c>
      <c r="C1017" s="16" t="s">
        <v>310</v>
      </c>
      <c r="D1017" s="16" t="str">
        <f>VLOOKUP(C1017,[1]master_data!$A$2:$E$495,2,FALSE)</f>
        <v>L PIPA</v>
      </c>
      <c r="E1017" s="16">
        <v>25</v>
      </c>
      <c r="F1017" s="16">
        <f>VLOOKUP(C1017,[1]master_data!$A$2:$E$495,3,FALSE)</f>
        <v>800</v>
      </c>
      <c r="G1017" s="16">
        <f>VLOOKUP(C1017,[1]master_data!$A$2:$E$495,4,FALSE)</f>
        <v>2000</v>
      </c>
      <c r="H1017" s="16">
        <f>E1017*F1017</f>
        <v>20000</v>
      </c>
      <c r="I1017" s="16">
        <f>E1017*G1017</f>
        <v>50000</v>
      </c>
      <c r="J1017" s="16">
        <f>I1017-H1017</f>
        <v>30000</v>
      </c>
      <c r="K1017" s="16" t="str">
        <f>VLOOKUP(C1017,[1]master_data!$A$2:$E$495,5,FALSE)</f>
        <v>Aksesoris</v>
      </c>
      <c r="L1017" s="1"/>
    </row>
    <row r="1018" spans="1:12" ht="12" customHeight="1" x14ac:dyDescent="0.25">
      <c r="A1018" s="15">
        <v>45154</v>
      </c>
      <c r="B1018" s="16">
        <v>22301483</v>
      </c>
      <c r="C1018" s="16" t="s">
        <v>396</v>
      </c>
      <c r="D1018" s="16" t="str">
        <f>VLOOKUP(C1018,[1]master_data!$A$2:$E$495,2,FALSE)</f>
        <v>BIPOLAR</v>
      </c>
      <c r="E1018" s="16">
        <v>10</v>
      </c>
      <c r="F1018" s="16">
        <f>VLOOKUP(C1018,[1]master_data!$A$2:$E$495,3,FALSE)</f>
        <v>1000</v>
      </c>
      <c r="G1018" s="16">
        <f>VLOOKUP(C1018,[1]master_data!$A$2:$E$495,4,FALSE)</f>
        <v>2500</v>
      </c>
      <c r="H1018" s="16">
        <f>E1018*F1018</f>
        <v>10000</v>
      </c>
      <c r="I1018" s="16">
        <f>E1018*G1018</f>
        <v>25000</v>
      </c>
      <c r="J1018" s="16">
        <f>I1018-H1018</f>
        <v>15000</v>
      </c>
      <c r="K1018" s="16" t="str">
        <f>VLOOKUP(C1018,[1]master_data!$A$2:$E$495,5,FALSE)</f>
        <v>Ikan</v>
      </c>
      <c r="L1018" s="1"/>
    </row>
    <row r="1019" spans="1:12" ht="12" customHeight="1" x14ac:dyDescent="0.25">
      <c r="A1019" s="15">
        <v>45154</v>
      </c>
      <c r="B1019" s="16">
        <v>22301484</v>
      </c>
      <c r="C1019" s="16" t="s">
        <v>432</v>
      </c>
      <c r="D1019" s="16" t="str">
        <f>VLOOKUP(C1019,[1]master_data!$A$2:$E$495,2,FALSE)</f>
        <v>MOLI PAKAN</v>
      </c>
      <c r="E1019" s="16">
        <v>30</v>
      </c>
      <c r="F1019" s="16">
        <f>VLOOKUP(C1019,[1]master_data!$A$2:$E$495,3,FALSE)</f>
        <v>100</v>
      </c>
      <c r="G1019" s="16">
        <f>VLOOKUP(C1019,[1]master_data!$A$2:$E$495,4,FALSE)</f>
        <v>200</v>
      </c>
      <c r="H1019" s="16">
        <f>E1019*F1019</f>
        <v>3000</v>
      </c>
      <c r="I1019" s="16">
        <f>E1019*G1019</f>
        <v>6000</v>
      </c>
      <c r="J1019" s="16">
        <f>I1019-H1019</f>
        <v>3000</v>
      </c>
      <c r="K1019" s="16" t="str">
        <f>VLOOKUP(C1019,[1]master_data!$A$2:$E$495,5,FALSE)</f>
        <v>Ikan</v>
      </c>
      <c r="L1019" s="1"/>
    </row>
    <row r="1020" spans="1:12" ht="12" customHeight="1" x14ac:dyDescent="0.25">
      <c r="A1020" s="15">
        <v>45154</v>
      </c>
      <c r="B1020" s="16">
        <v>22301485</v>
      </c>
      <c r="C1020" s="16" t="s">
        <v>434</v>
      </c>
      <c r="D1020" s="16" t="str">
        <f>VLOOKUP(C1020,[1]master_data!$A$2:$E$495,2,FALSE)</f>
        <v>NIASA</v>
      </c>
      <c r="E1020" s="16">
        <v>20</v>
      </c>
      <c r="F1020" s="16">
        <f>VLOOKUP(C1020,[1]master_data!$A$2:$E$495,3,FALSE)</f>
        <v>900</v>
      </c>
      <c r="G1020" s="16">
        <f>VLOOKUP(C1020,[1]master_data!$A$2:$E$495,4,FALSE)</f>
        <v>2000</v>
      </c>
      <c r="H1020" s="16">
        <f>E1020*F1020</f>
        <v>18000</v>
      </c>
      <c r="I1020" s="16">
        <f>E1020*G1020</f>
        <v>40000</v>
      </c>
      <c r="J1020" s="16">
        <f>I1020-H1020</f>
        <v>22000</v>
      </c>
      <c r="K1020" s="16" t="str">
        <f>VLOOKUP(C1020,[1]master_data!$A$2:$E$495,5,FALSE)</f>
        <v>Ikan</v>
      </c>
      <c r="L1020" s="1"/>
    </row>
    <row r="1021" spans="1:12" ht="12" customHeight="1" x14ac:dyDescent="0.25">
      <c r="A1021" s="15">
        <v>45154</v>
      </c>
      <c r="B1021" s="16">
        <v>22301486</v>
      </c>
      <c r="C1021" s="16" t="s">
        <v>143</v>
      </c>
      <c r="D1021" s="16" t="str">
        <f>VLOOKUP(C1021,[1]master_data!$A$2:$E$495,2,FALSE)</f>
        <v>LED COSMO 100 CM</v>
      </c>
      <c r="E1021" s="16">
        <v>1</v>
      </c>
      <c r="F1021" s="16">
        <f>VLOOKUP(C1021,[1]master_data!$A$2:$E$495,3,FALSE)</f>
        <v>65000</v>
      </c>
      <c r="G1021" s="16">
        <f>VLOOKUP(C1021,[1]master_data!$A$2:$E$495,4,FALSE)</f>
        <v>90000</v>
      </c>
      <c r="H1021" s="16">
        <f>E1021*F1021</f>
        <v>65000</v>
      </c>
      <c r="I1021" s="16">
        <f>E1021*G1021</f>
        <v>90000</v>
      </c>
      <c r="J1021" s="16">
        <f>I1021-H1021</f>
        <v>25000</v>
      </c>
      <c r="K1021" s="16" t="str">
        <f>VLOOKUP(C1021,[1]master_data!$A$2:$E$495,5,FALSE)</f>
        <v>Aksesoris</v>
      </c>
      <c r="L1021" s="1"/>
    </row>
    <row r="1022" spans="1:12" ht="12" customHeight="1" x14ac:dyDescent="0.25">
      <c r="A1022" s="15">
        <v>45154</v>
      </c>
      <c r="B1022" s="16">
        <v>22301487</v>
      </c>
      <c r="C1022" s="16" t="s">
        <v>111</v>
      </c>
      <c r="D1022" s="16" t="str">
        <f>VLOOKUP(C1022,[1]master_data!$A$2:$E$495,2,FALSE)</f>
        <v>AIRATOR KIYOSAKI LUB 2</v>
      </c>
      <c r="E1022" s="16">
        <v>1</v>
      </c>
      <c r="F1022" s="16">
        <f>VLOOKUP(C1022,[1]master_data!$A$2:$E$495,3,FALSE)</f>
        <v>29000</v>
      </c>
      <c r="G1022" s="16">
        <f>VLOOKUP(C1022,[1]master_data!$A$2:$E$495,4,FALSE)</f>
        <v>50000</v>
      </c>
      <c r="H1022" s="16">
        <f>E1022*F1022</f>
        <v>29000</v>
      </c>
      <c r="I1022" s="16">
        <f>E1022*G1022</f>
        <v>50000</v>
      </c>
      <c r="J1022" s="16">
        <f>I1022-H1022</f>
        <v>21000</v>
      </c>
      <c r="K1022" s="16" t="str">
        <f>VLOOKUP(C1022,[1]master_data!$A$2:$E$495,5,FALSE)</f>
        <v>Aksesoris</v>
      </c>
      <c r="L1022" s="1"/>
    </row>
    <row r="1023" spans="1:12" ht="12" customHeight="1" x14ac:dyDescent="0.25">
      <c r="A1023" s="15">
        <v>45154</v>
      </c>
      <c r="B1023" s="16">
        <v>22301488</v>
      </c>
      <c r="C1023" s="16" t="s">
        <v>44</v>
      </c>
      <c r="D1023" s="16" t="str">
        <f>VLOOKUP(C1023,[1]master_data!$A$2:$E$495,2,FALSE)</f>
        <v>MESIN YAMANO ACO 004</v>
      </c>
      <c r="E1023" s="16">
        <v>1</v>
      </c>
      <c r="F1023" s="16">
        <f>VLOOKUP(C1023,[1]master_data!$A$2:$E$495,3,FALSE)</f>
        <v>505000</v>
      </c>
      <c r="G1023" s="16">
        <f>VLOOKUP(C1023,[1]master_data!$A$2:$E$495,4,FALSE)</f>
        <v>550000</v>
      </c>
      <c r="H1023" s="16">
        <f>E1023*F1023</f>
        <v>505000</v>
      </c>
      <c r="I1023" s="16">
        <f>E1023*G1023</f>
        <v>550000</v>
      </c>
      <c r="J1023" s="16">
        <f>I1023-H1023</f>
        <v>45000</v>
      </c>
      <c r="K1023" s="16" t="str">
        <f>VLOOKUP(C1023,[1]master_data!$A$2:$E$495,5,FALSE)</f>
        <v>Aksesoris</v>
      </c>
      <c r="L1023" s="1"/>
    </row>
    <row r="1024" spans="1:12" ht="12" customHeight="1" x14ac:dyDescent="0.25">
      <c r="A1024" s="15">
        <v>45154</v>
      </c>
      <c r="B1024" s="16">
        <v>22301489</v>
      </c>
      <c r="C1024" s="16" t="s">
        <v>459</v>
      </c>
      <c r="D1024" s="16" t="str">
        <f>VLOOKUP(C1024,[1]master_data!$A$2:$E$495,2,FALSE)</f>
        <v>SEPAT</v>
      </c>
      <c r="E1024" s="16">
        <v>10</v>
      </c>
      <c r="F1024" s="16">
        <f>VLOOKUP(C1024,[1]master_data!$A$2:$E$495,3,FALSE)</f>
        <v>600</v>
      </c>
      <c r="G1024" s="16">
        <f>VLOOKUP(C1024,[1]master_data!$A$2:$E$495,4,FALSE)</f>
        <v>2000</v>
      </c>
      <c r="H1024" s="16">
        <f>E1024*F1024</f>
        <v>6000</v>
      </c>
      <c r="I1024" s="16">
        <f>E1024*G1024</f>
        <v>20000</v>
      </c>
      <c r="J1024" s="16">
        <f>I1024-H1024</f>
        <v>14000</v>
      </c>
      <c r="K1024" s="16" t="str">
        <f>VLOOKUP(C1024,[1]master_data!$A$2:$E$495,5,FALSE)</f>
        <v>Ikan</v>
      </c>
      <c r="L1024" s="1"/>
    </row>
    <row r="1025" spans="1:12" ht="12" customHeight="1" x14ac:dyDescent="0.25">
      <c r="A1025" s="15">
        <v>45154</v>
      </c>
      <c r="B1025" s="16">
        <v>22301490</v>
      </c>
      <c r="C1025" s="16" t="s">
        <v>413</v>
      </c>
      <c r="D1025" s="16" t="str">
        <f>VLOOKUP(C1025,[1]master_data!$A$2:$E$495,2,FALSE)</f>
        <v>KOKI B</v>
      </c>
      <c r="E1025" s="16">
        <v>1</v>
      </c>
      <c r="F1025" s="16">
        <f>VLOOKUP(C1025,[1]master_data!$A$2:$E$495,3,FALSE)</f>
        <v>20000</v>
      </c>
      <c r="G1025" s="16">
        <f>VLOOKUP(C1025,[1]master_data!$A$2:$E$495,4,FALSE)</f>
        <v>50000</v>
      </c>
      <c r="H1025" s="16">
        <f>E1025*F1025</f>
        <v>20000</v>
      </c>
      <c r="I1025" s="16">
        <f>E1025*G1025</f>
        <v>50000</v>
      </c>
      <c r="J1025" s="16">
        <f>I1025-H1025</f>
        <v>30000</v>
      </c>
      <c r="K1025" s="16" t="str">
        <f>VLOOKUP(C1025,[1]master_data!$A$2:$E$495,5,FALSE)</f>
        <v>Ikan</v>
      </c>
      <c r="L1025" s="1"/>
    </row>
    <row r="1026" spans="1:12" ht="12" customHeight="1" x14ac:dyDescent="0.25">
      <c r="A1026" s="15">
        <v>45153</v>
      </c>
      <c r="B1026" s="16">
        <v>22301469</v>
      </c>
      <c r="C1026" s="16" t="s">
        <v>461</v>
      </c>
      <c r="D1026" s="16" t="str">
        <f>VLOOKUP(C1026,[1]master_data!$A$2:$E$495,2,FALSE)</f>
        <v>CHANNA STEWARTI</v>
      </c>
      <c r="E1026" s="16">
        <v>2</v>
      </c>
      <c r="F1026" s="16">
        <f>VLOOKUP(C1026,[1]master_data!$A$2:$E$495,3,FALSE)</f>
        <v>15000</v>
      </c>
      <c r="G1026" s="16">
        <f>VLOOKUP(C1026,[1]master_data!$A$2:$E$495,4,FALSE)</f>
        <v>40000</v>
      </c>
      <c r="H1026" s="16">
        <f>E1026*F1026</f>
        <v>30000</v>
      </c>
      <c r="I1026" s="16">
        <f>E1026*G1026</f>
        <v>80000</v>
      </c>
      <c r="J1026" s="16">
        <f>I1026-H1026</f>
        <v>50000</v>
      </c>
      <c r="K1026" s="16" t="str">
        <f>VLOOKUP(C1026,[1]master_data!$A$2:$E$495,5,FALSE)</f>
        <v>Ikan</v>
      </c>
      <c r="L1026" s="1"/>
    </row>
    <row r="1027" spans="1:12" ht="12" customHeight="1" x14ac:dyDescent="0.25">
      <c r="A1027" s="15">
        <v>45153</v>
      </c>
      <c r="B1027" s="16">
        <v>22301470</v>
      </c>
      <c r="C1027" s="16" t="s">
        <v>71</v>
      </c>
      <c r="D1027" s="16" t="str">
        <f>VLOOKUP(C1027,[1]master_data!$A$2:$E$495,2,FALSE)</f>
        <v>BOX KOSONG K</v>
      </c>
      <c r="E1027" s="16">
        <v>1</v>
      </c>
      <c r="F1027" s="16">
        <f>VLOOKUP(C1027,[1]master_data!$A$2:$E$495,3,FALSE)</f>
        <v>10000</v>
      </c>
      <c r="G1027" s="16">
        <f>VLOOKUP(C1027,[1]master_data!$A$2:$E$495,4,FALSE)</f>
        <v>20000</v>
      </c>
      <c r="H1027" s="16">
        <f>E1027*F1027</f>
        <v>10000</v>
      </c>
      <c r="I1027" s="16">
        <f>E1027*G1027</f>
        <v>20000</v>
      </c>
      <c r="J1027" s="16">
        <f>I1027-H1027</f>
        <v>10000</v>
      </c>
      <c r="K1027" s="16" t="str">
        <f>VLOOKUP(C1027,[1]master_data!$A$2:$E$495,5,FALSE)</f>
        <v>Aksesoris</v>
      </c>
      <c r="L1027" s="1"/>
    </row>
    <row r="1028" spans="1:12" ht="12" customHeight="1" x14ac:dyDescent="0.25">
      <c r="A1028" s="15">
        <v>45153</v>
      </c>
      <c r="B1028" s="16">
        <v>22301471</v>
      </c>
      <c r="C1028" s="16" t="s">
        <v>412</v>
      </c>
      <c r="D1028" s="16" t="str">
        <f>VLOOKUP(C1028,[1]master_data!$A$2:$E$495,2,FALSE)</f>
        <v>KOKI T</v>
      </c>
      <c r="E1028" s="16">
        <v>10</v>
      </c>
      <c r="F1028" s="16">
        <f>VLOOKUP(C1028,[1]master_data!$A$2:$E$495,3,FALSE)</f>
        <v>8000</v>
      </c>
      <c r="G1028" s="16">
        <f>VLOOKUP(C1028,[1]master_data!$A$2:$E$495,4,FALSE)</f>
        <v>15000</v>
      </c>
      <c r="H1028" s="16">
        <f>E1028*F1028</f>
        <v>80000</v>
      </c>
      <c r="I1028" s="16">
        <f>E1028*G1028</f>
        <v>150000</v>
      </c>
      <c r="J1028" s="16">
        <f>I1028-H1028</f>
        <v>70000</v>
      </c>
      <c r="K1028" s="16" t="str">
        <f>VLOOKUP(C1028,[1]master_data!$A$2:$E$495,5,FALSE)</f>
        <v>Ikan</v>
      </c>
      <c r="L1028" s="1"/>
    </row>
    <row r="1029" spans="1:12" ht="12" customHeight="1" x14ac:dyDescent="0.25">
      <c r="A1029" s="15">
        <v>45153</v>
      </c>
      <c r="B1029" s="16">
        <v>22301472</v>
      </c>
      <c r="C1029" s="16" t="s">
        <v>177</v>
      </c>
      <c r="D1029" s="16" t="str">
        <f>VLOOKUP(C1029,[1]master_data!$A$2:$E$495,2,FALSE)</f>
        <v>LED KANDILA PRO RED 180 CM</v>
      </c>
      <c r="E1029" s="16">
        <v>1</v>
      </c>
      <c r="F1029" s="16">
        <f>VLOOKUP(C1029,[1]master_data!$A$2:$E$495,3,FALSE)</f>
        <v>317000</v>
      </c>
      <c r="G1029" s="16">
        <f>VLOOKUP(C1029,[1]master_data!$A$2:$E$495,4,FALSE)</f>
        <v>425000</v>
      </c>
      <c r="H1029" s="16">
        <f>E1029*F1029</f>
        <v>317000</v>
      </c>
      <c r="I1029" s="16">
        <f>E1029*G1029</f>
        <v>425000</v>
      </c>
      <c r="J1029" s="16">
        <f>I1029-H1029</f>
        <v>108000</v>
      </c>
      <c r="K1029" s="16" t="str">
        <f>VLOOKUP(C1029,[1]master_data!$A$2:$E$495,5,FALSE)</f>
        <v>Aksesoris</v>
      </c>
      <c r="L1029" s="1"/>
    </row>
    <row r="1030" spans="1:12" ht="12" customHeight="1" x14ac:dyDescent="0.25">
      <c r="A1030" s="15">
        <v>45153</v>
      </c>
      <c r="B1030" s="16">
        <v>22301473</v>
      </c>
      <c r="C1030" s="16" t="s">
        <v>428</v>
      </c>
      <c r="D1030" s="16" t="str">
        <f>VLOOKUP(C1030,[1]master_data!$A$2:$E$495,2,FALSE)</f>
        <v>MANFISH K</v>
      </c>
      <c r="E1030" s="16">
        <v>20</v>
      </c>
      <c r="F1030" s="16">
        <f>VLOOKUP(C1030,[1]master_data!$A$2:$E$495,3,FALSE)</f>
        <v>2000</v>
      </c>
      <c r="G1030" s="16">
        <f>VLOOKUP(C1030,[1]master_data!$A$2:$E$495,4,FALSE)</f>
        <v>5000</v>
      </c>
      <c r="H1030" s="16">
        <f>E1030*F1030</f>
        <v>40000</v>
      </c>
      <c r="I1030" s="16">
        <f>E1030*G1030</f>
        <v>100000</v>
      </c>
      <c r="J1030" s="16">
        <f>I1030-H1030</f>
        <v>60000</v>
      </c>
      <c r="K1030" s="16" t="str">
        <f>VLOOKUP(C1030,[1]master_data!$A$2:$E$495,5,FALSE)</f>
        <v>Ikan</v>
      </c>
      <c r="L1030" s="1"/>
    </row>
    <row r="1031" spans="1:12" ht="12" customHeight="1" x14ac:dyDescent="0.25">
      <c r="A1031" s="15">
        <v>45153</v>
      </c>
      <c r="B1031" s="16">
        <v>22301474</v>
      </c>
      <c r="C1031" s="16" t="s">
        <v>403</v>
      </c>
      <c r="D1031" s="16" t="str">
        <f>VLOOKUP(C1031,[1]master_data!$A$2:$E$495,2,FALSE)</f>
        <v>KOMET BOKIM</v>
      </c>
      <c r="E1031" s="16">
        <v>22</v>
      </c>
      <c r="F1031" s="16">
        <f>VLOOKUP(C1031,[1]master_data!$A$2:$E$495,3,FALSE)</f>
        <v>1500</v>
      </c>
      <c r="G1031" s="16">
        <f>VLOOKUP(C1031,[1]master_data!$A$2:$E$495,4,FALSE)</f>
        <v>5000</v>
      </c>
      <c r="H1031" s="16">
        <f>E1031*F1031</f>
        <v>33000</v>
      </c>
      <c r="I1031" s="16">
        <f>E1031*G1031</f>
        <v>110000</v>
      </c>
      <c r="J1031" s="16">
        <f>I1031-H1031</f>
        <v>77000</v>
      </c>
      <c r="K1031" s="16" t="str">
        <f>VLOOKUP(C1031,[1]master_data!$A$2:$E$495,5,FALSE)</f>
        <v>Ikan</v>
      </c>
      <c r="L1031" s="1"/>
    </row>
    <row r="1032" spans="1:12" ht="12" customHeight="1" x14ac:dyDescent="0.25">
      <c r="A1032" s="15">
        <v>45153</v>
      </c>
      <c r="B1032" s="16">
        <v>22301475</v>
      </c>
      <c r="C1032" s="16" t="s">
        <v>441</v>
      </c>
      <c r="D1032" s="16" t="str">
        <f>VLOOKUP(C1032,[1]master_data!$A$2:$E$495,2,FALSE)</f>
        <v>PALMAS</v>
      </c>
      <c r="E1032" s="16">
        <v>1</v>
      </c>
      <c r="F1032" s="16">
        <f>VLOOKUP(C1032,[1]master_data!$A$2:$E$495,3,FALSE)</f>
        <v>10000</v>
      </c>
      <c r="G1032" s="16">
        <f>VLOOKUP(C1032,[1]master_data!$A$2:$E$495,4,FALSE)</f>
        <v>25000</v>
      </c>
      <c r="H1032" s="16">
        <f>E1032*F1032</f>
        <v>10000</v>
      </c>
      <c r="I1032" s="16">
        <f>E1032*G1032</f>
        <v>25000</v>
      </c>
      <c r="J1032" s="16">
        <f>I1032-H1032</f>
        <v>15000</v>
      </c>
      <c r="K1032" s="16" t="str">
        <f>VLOOKUP(C1032,[1]master_data!$A$2:$E$495,5,FALSE)</f>
        <v>Ikan</v>
      </c>
      <c r="L1032" s="1"/>
    </row>
    <row r="1033" spans="1:12" ht="12" customHeight="1" x14ac:dyDescent="0.25">
      <c r="A1033" s="15">
        <v>45153</v>
      </c>
      <c r="B1033" s="16">
        <v>22301476</v>
      </c>
      <c r="C1033" s="16" t="s">
        <v>460</v>
      </c>
      <c r="D1033" s="16" t="str">
        <f>VLOOKUP(C1033,[1]master_data!$A$2:$E$495,2,FALSE)</f>
        <v>SEPAT ALBINO</v>
      </c>
      <c r="E1033" s="16">
        <v>3</v>
      </c>
      <c r="F1033" s="16">
        <f>VLOOKUP(C1033,[1]master_data!$A$2:$E$495,3,FALSE)</f>
        <v>2000</v>
      </c>
      <c r="G1033" s="16">
        <f>VLOOKUP(C1033,[1]master_data!$A$2:$E$495,4,FALSE)</f>
        <v>5000</v>
      </c>
      <c r="H1033" s="16">
        <f>E1033*F1033</f>
        <v>6000</v>
      </c>
      <c r="I1033" s="16">
        <f>E1033*G1033</f>
        <v>15000</v>
      </c>
      <c r="J1033" s="16">
        <f>I1033-H1033</f>
        <v>9000</v>
      </c>
      <c r="K1033" s="16" t="str">
        <f>VLOOKUP(C1033,[1]master_data!$A$2:$E$495,5,FALSE)</f>
        <v>Ikan</v>
      </c>
      <c r="L1033" s="1"/>
    </row>
    <row r="1034" spans="1:12" ht="12" customHeight="1" x14ac:dyDescent="0.25">
      <c r="A1034" s="15">
        <v>45153</v>
      </c>
      <c r="B1034" s="16">
        <v>22301477</v>
      </c>
      <c r="C1034" s="16" t="s">
        <v>449</v>
      </c>
      <c r="D1034" s="16" t="str">
        <f>VLOOKUP(C1034,[1]master_data!$A$2:$E$495,2,FALSE)</f>
        <v>SUMATRA GOLD FISH</v>
      </c>
      <c r="E1034" s="16">
        <v>10</v>
      </c>
      <c r="F1034" s="16">
        <f>VLOOKUP(C1034,[1]master_data!$A$2:$E$495,3,FALSE)</f>
        <v>2500</v>
      </c>
      <c r="G1034" s="16">
        <f>VLOOKUP(C1034,[1]master_data!$A$2:$E$495,4,FALSE)</f>
        <v>4000</v>
      </c>
      <c r="H1034" s="16">
        <f>E1034*F1034</f>
        <v>25000</v>
      </c>
      <c r="I1034" s="16">
        <f>E1034*G1034</f>
        <v>40000</v>
      </c>
      <c r="J1034" s="16">
        <f>I1034-H1034</f>
        <v>15000</v>
      </c>
      <c r="K1034" s="16" t="str">
        <f>VLOOKUP(C1034,[1]master_data!$A$2:$E$495,5,FALSE)</f>
        <v>Ikan</v>
      </c>
      <c r="L1034" s="1"/>
    </row>
    <row r="1035" spans="1:12" ht="12" customHeight="1" x14ac:dyDescent="0.25">
      <c r="A1035" s="15">
        <v>45153</v>
      </c>
      <c r="B1035" s="16">
        <v>22301478</v>
      </c>
      <c r="C1035" s="16" t="s">
        <v>130</v>
      </c>
      <c r="D1035" s="16" t="str">
        <f>VLOOKUP(C1035,[1]master_data!$A$2:$E$495,2,FALSE)</f>
        <v>LED YAMANO S600</v>
      </c>
      <c r="E1035" s="16">
        <v>1</v>
      </c>
      <c r="F1035" s="16">
        <f>VLOOKUP(C1035,[1]master_data!$A$2:$E$495,3,FALSE)</f>
        <v>60000</v>
      </c>
      <c r="G1035" s="16">
        <f>VLOOKUP(C1035,[1]master_data!$A$2:$E$495,4,FALSE)</f>
        <v>85000</v>
      </c>
      <c r="H1035" s="16">
        <f>E1035*F1035</f>
        <v>60000</v>
      </c>
      <c r="I1035" s="16">
        <f>E1035*G1035</f>
        <v>85000</v>
      </c>
      <c r="J1035" s="16">
        <f>I1035-H1035</f>
        <v>25000</v>
      </c>
      <c r="K1035" s="16" t="str">
        <f>VLOOKUP(C1035,[1]master_data!$A$2:$E$495,5,FALSE)</f>
        <v>Aksesoris</v>
      </c>
      <c r="L1035" s="1"/>
    </row>
    <row r="1036" spans="1:12" ht="12" customHeight="1" x14ac:dyDescent="0.25">
      <c r="A1036" s="15">
        <v>45152</v>
      </c>
      <c r="B1036" s="16">
        <v>22301462</v>
      </c>
      <c r="C1036" s="16" t="s">
        <v>184</v>
      </c>
      <c r="D1036" s="16" t="str">
        <f>VLOOKUP(C1036,[1]master_data!$A$2:$E$495,2,FALSE)</f>
        <v>LED KANDILA PRO RED 150 CM</v>
      </c>
      <c r="E1036" s="16">
        <v>1</v>
      </c>
      <c r="F1036" s="16">
        <f>VLOOKUP(C1036,[1]master_data!$A$2:$E$495,3,FALSE)</f>
        <v>265000</v>
      </c>
      <c r="G1036" s="16">
        <f>VLOOKUP(C1036,[1]master_data!$A$2:$E$495,4,FALSE)</f>
        <v>365000</v>
      </c>
      <c r="H1036" s="16">
        <f>E1036*F1036</f>
        <v>265000</v>
      </c>
      <c r="I1036" s="16">
        <f>E1036*G1036</f>
        <v>365000</v>
      </c>
      <c r="J1036" s="16">
        <f>I1036-H1036</f>
        <v>100000</v>
      </c>
      <c r="K1036" s="16" t="str">
        <f>VLOOKUP(C1036,[1]master_data!$A$2:$E$495,5,FALSE)</f>
        <v>Aksesoris</v>
      </c>
      <c r="L1036" s="1"/>
    </row>
    <row r="1037" spans="1:12" ht="12" customHeight="1" x14ac:dyDescent="0.25">
      <c r="A1037" s="15">
        <v>45152</v>
      </c>
      <c r="B1037" s="16">
        <v>22301463</v>
      </c>
      <c r="C1037" s="16" t="s">
        <v>70</v>
      </c>
      <c r="D1037" s="16" t="str">
        <f>VLOOKUP(C1037,[1]master_data!$A$2:$E$495,2,FALSE)</f>
        <v>MESIN LUKINES K</v>
      </c>
      <c r="E1037" s="16">
        <v>2</v>
      </c>
      <c r="F1037" s="16">
        <f>VLOOKUP(C1037,[1]master_data!$A$2:$E$495,3,FALSE)</f>
        <v>35000</v>
      </c>
      <c r="G1037" s="16">
        <f>VLOOKUP(C1037,[1]master_data!$A$2:$E$495,4,FALSE)</f>
        <v>55000</v>
      </c>
      <c r="H1037" s="16">
        <f>E1037*F1037</f>
        <v>70000</v>
      </c>
      <c r="I1037" s="16">
        <f>E1037*G1037</f>
        <v>110000</v>
      </c>
      <c r="J1037" s="16">
        <f>I1037-H1037</f>
        <v>40000</v>
      </c>
      <c r="K1037" s="16" t="str">
        <f>VLOOKUP(C1037,[1]master_data!$A$2:$E$495,5,FALSE)</f>
        <v>Aksesoris</v>
      </c>
      <c r="L1037" s="1"/>
    </row>
    <row r="1038" spans="1:12" ht="12" customHeight="1" x14ac:dyDescent="0.25">
      <c r="A1038" s="15">
        <v>45152</v>
      </c>
      <c r="B1038" s="16">
        <v>22301464</v>
      </c>
      <c r="C1038" s="16" t="s">
        <v>434</v>
      </c>
      <c r="D1038" s="16" t="str">
        <f>VLOOKUP(C1038,[1]master_data!$A$2:$E$495,2,FALSE)</f>
        <v>NIASA</v>
      </c>
      <c r="E1038" s="16">
        <v>10</v>
      </c>
      <c r="F1038" s="16">
        <f>VLOOKUP(C1038,[1]master_data!$A$2:$E$495,3,FALSE)</f>
        <v>900</v>
      </c>
      <c r="G1038" s="16">
        <f>VLOOKUP(C1038,[1]master_data!$A$2:$E$495,4,FALSE)</f>
        <v>2000</v>
      </c>
      <c r="H1038" s="16">
        <f>E1038*F1038</f>
        <v>9000</v>
      </c>
      <c r="I1038" s="16">
        <f>E1038*G1038</f>
        <v>20000</v>
      </c>
      <c r="J1038" s="16">
        <f>I1038-H1038</f>
        <v>11000</v>
      </c>
      <c r="K1038" s="16" t="str">
        <f>VLOOKUP(C1038,[1]master_data!$A$2:$E$495,5,FALSE)</f>
        <v>Ikan</v>
      </c>
      <c r="L1038" s="1"/>
    </row>
    <row r="1039" spans="1:12" ht="12" customHeight="1" x14ac:dyDescent="0.25">
      <c r="A1039" s="15">
        <v>45152</v>
      </c>
      <c r="B1039" s="16">
        <v>22301465</v>
      </c>
      <c r="C1039" s="16" t="s">
        <v>253</v>
      </c>
      <c r="D1039" s="16" t="str">
        <f>VLOOKUP(C1039,[1]master_data!$A$2:$E$495,2,FALSE)</f>
        <v>ACRIPLAVIN</v>
      </c>
      <c r="E1039" s="16">
        <v>30</v>
      </c>
      <c r="F1039" s="16">
        <f>VLOOKUP(C1039,[1]master_data!$A$2:$E$495,3,FALSE)</f>
        <v>3000</v>
      </c>
      <c r="G1039" s="16">
        <f>VLOOKUP(C1039,[1]master_data!$A$2:$E$495,4,FALSE)</f>
        <v>8000</v>
      </c>
      <c r="H1039" s="16">
        <f>E1039*F1039</f>
        <v>90000</v>
      </c>
      <c r="I1039" s="16">
        <f>E1039*G1039</f>
        <v>240000</v>
      </c>
      <c r="J1039" s="16">
        <f>I1039-H1039</f>
        <v>150000</v>
      </c>
      <c r="K1039" s="16" t="str">
        <f>VLOOKUP(C1039,[1]master_data!$A$2:$E$495,5,FALSE)</f>
        <v>Aksesoris</v>
      </c>
      <c r="L1039" s="1"/>
    </row>
    <row r="1040" spans="1:12" ht="12" customHeight="1" x14ac:dyDescent="0.25">
      <c r="A1040" s="15">
        <v>45152</v>
      </c>
      <c r="B1040" s="16">
        <v>22301466</v>
      </c>
      <c r="C1040" s="16" t="s">
        <v>433</v>
      </c>
      <c r="D1040" s="16" t="str">
        <f>VLOOKUP(C1040,[1]master_data!$A$2:$E$495,2,FALSE)</f>
        <v>MOLI BALON</v>
      </c>
      <c r="E1040" s="16">
        <v>10</v>
      </c>
      <c r="F1040" s="16">
        <f>VLOOKUP(C1040,[1]master_data!$A$2:$E$495,3,FALSE)</f>
        <v>800</v>
      </c>
      <c r="G1040" s="16">
        <f>VLOOKUP(C1040,[1]master_data!$A$2:$E$495,4,FALSE)</f>
        <v>2000</v>
      </c>
      <c r="H1040" s="16">
        <f>E1040*F1040</f>
        <v>8000</v>
      </c>
      <c r="I1040" s="16">
        <f>E1040*G1040</f>
        <v>20000</v>
      </c>
      <c r="J1040" s="16">
        <f>I1040-H1040</f>
        <v>12000</v>
      </c>
      <c r="K1040" s="16" t="str">
        <f>VLOOKUP(C1040,[1]master_data!$A$2:$E$495,5,FALSE)</f>
        <v>Ikan</v>
      </c>
      <c r="L1040" s="1"/>
    </row>
    <row r="1041" spans="1:12" ht="12" customHeight="1" x14ac:dyDescent="0.25">
      <c r="A1041" s="15">
        <v>45152</v>
      </c>
      <c r="B1041" s="16">
        <v>22301467</v>
      </c>
      <c r="C1041" s="16" t="s">
        <v>270</v>
      </c>
      <c r="D1041" s="16" t="str">
        <f>VLOOKUP(C1041,[1]master_data!$A$2:$E$495,2,FALSE)</f>
        <v>HEATER KACA 75 W</v>
      </c>
      <c r="E1041" s="16">
        <v>2</v>
      </c>
      <c r="F1041" s="16">
        <f>VLOOKUP(C1041,[1]master_data!$A$2:$E$495,3,FALSE)</f>
        <v>33000</v>
      </c>
      <c r="G1041" s="16">
        <f>VLOOKUP(C1041,[1]master_data!$A$2:$E$495,4,FALSE)</f>
        <v>50000</v>
      </c>
      <c r="H1041" s="16">
        <f>E1041*F1041</f>
        <v>66000</v>
      </c>
      <c r="I1041" s="16">
        <f>E1041*G1041</f>
        <v>100000</v>
      </c>
      <c r="J1041" s="16">
        <f>I1041-H1041</f>
        <v>34000</v>
      </c>
      <c r="K1041" s="16" t="str">
        <f>VLOOKUP(C1041,[1]master_data!$A$2:$E$495,5,FALSE)</f>
        <v>Aksesoris</v>
      </c>
      <c r="L1041" s="1"/>
    </row>
    <row r="1042" spans="1:12" ht="12" customHeight="1" x14ac:dyDescent="0.25">
      <c r="A1042" s="15">
        <v>45152</v>
      </c>
      <c r="B1042" s="16">
        <v>22301468</v>
      </c>
      <c r="C1042" s="16" t="s">
        <v>446</v>
      </c>
      <c r="D1042" s="16" t="str">
        <f>VLOOKUP(C1042,[1]master_data!$A$2:$E$495,2,FALSE)</f>
        <v xml:space="preserve"> CHANNA RED BARITO K</v>
      </c>
      <c r="E1042" s="16">
        <v>1</v>
      </c>
      <c r="F1042" s="16">
        <f>VLOOKUP(C1042,[1]master_data!$A$2:$E$495,3,FALSE)</f>
        <v>45000</v>
      </c>
      <c r="G1042" s="16">
        <f>VLOOKUP(C1042,[1]master_data!$A$2:$E$495,4,FALSE)</f>
        <v>100000</v>
      </c>
      <c r="H1042" s="16">
        <f>E1042*F1042</f>
        <v>45000</v>
      </c>
      <c r="I1042" s="16">
        <f>E1042*G1042</f>
        <v>100000</v>
      </c>
      <c r="J1042" s="16">
        <f>I1042-H1042</f>
        <v>55000</v>
      </c>
      <c r="K1042" s="16" t="str">
        <f>VLOOKUP(C1042,[1]master_data!$A$2:$E$495,5,FALSE)</f>
        <v>Ikan</v>
      </c>
      <c r="L1042" s="1"/>
    </row>
    <row r="1043" spans="1:12" ht="12" customHeight="1" x14ac:dyDescent="0.25">
      <c r="A1043" s="15">
        <v>45151</v>
      </c>
      <c r="B1043" s="16">
        <v>22301456</v>
      </c>
      <c r="C1043" s="16" t="s">
        <v>419</v>
      </c>
      <c r="D1043" s="16" t="str">
        <f>VLOOKUP(C1043,[1]master_data!$A$2:$E$495,2,FALSE)</f>
        <v>KOMET PAKAN</v>
      </c>
      <c r="E1043" s="16">
        <v>75</v>
      </c>
      <c r="F1043" s="16">
        <f>VLOOKUP(C1043,[1]master_data!$A$2:$E$495,3,FALSE)</f>
        <v>300</v>
      </c>
      <c r="G1043" s="16">
        <f>VLOOKUP(C1043,[1]master_data!$A$2:$E$495,4,FALSE)</f>
        <v>1000</v>
      </c>
      <c r="H1043" s="16">
        <f>E1043*F1043</f>
        <v>22500</v>
      </c>
      <c r="I1043" s="16">
        <f>E1043*G1043</f>
        <v>75000</v>
      </c>
      <c r="J1043" s="16">
        <f>I1043-H1043</f>
        <v>52500</v>
      </c>
      <c r="K1043" s="16" t="str">
        <f>VLOOKUP(C1043,[1]master_data!$A$2:$E$495,5,FALSE)</f>
        <v>Ikan</v>
      </c>
      <c r="L1043" s="1"/>
    </row>
    <row r="1044" spans="1:12" ht="12" customHeight="1" x14ac:dyDescent="0.25">
      <c r="A1044" s="15">
        <v>45151</v>
      </c>
      <c r="B1044" s="16">
        <v>22301457</v>
      </c>
      <c r="C1044" s="16" t="s">
        <v>266</v>
      </c>
      <c r="D1044" s="16" t="str">
        <f>VLOOKUP(C1044,[1]master_data!$A$2:$E$495,2,FALSE)</f>
        <v>CAROPHIL YELLOW</v>
      </c>
      <c r="E1044" s="16">
        <v>1</v>
      </c>
      <c r="F1044" s="16">
        <f>VLOOKUP(C1044,[1]master_data!$A$2:$E$495,3,FALSE)</f>
        <v>20000</v>
      </c>
      <c r="G1044" s="16">
        <f>VLOOKUP(C1044,[1]master_data!$A$2:$E$495,4,FALSE)</f>
        <v>30000</v>
      </c>
      <c r="H1044" s="16">
        <f>E1044*F1044</f>
        <v>20000</v>
      </c>
      <c r="I1044" s="16">
        <f>E1044*G1044</f>
        <v>30000</v>
      </c>
      <c r="J1044" s="16">
        <f>I1044-H1044</f>
        <v>10000</v>
      </c>
      <c r="K1044" s="16" t="str">
        <f>VLOOKUP(C1044,[1]master_data!$A$2:$E$495,5,FALSE)</f>
        <v>Aksesoris</v>
      </c>
      <c r="L1044" s="1"/>
    </row>
    <row r="1045" spans="1:12" ht="12" customHeight="1" x14ac:dyDescent="0.25">
      <c r="A1045" s="15">
        <v>45151</v>
      </c>
      <c r="B1045" s="16">
        <v>22301458</v>
      </c>
      <c r="C1045" s="16" t="s">
        <v>392</v>
      </c>
      <c r="D1045" s="16" t="str">
        <f>VLOOKUP(C1045,[1]master_data!$A$2:$E$495,2,FALSE)</f>
        <v>ARWANA SILVER K</v>
      </c>
      <c r="E1045" s="16">
        <v>1</v>
      </c>
      <c r="F1045" s="16">
        <f>VLOOKUP(C1045,[1]master_data!$A$2:$E$495,3,FALSE)</f>
        <v>100000</v>
      </c>
      <c r="G1045" s="16">
        <f>VLOOKUP(C1045,[1]master_data!$A$2:$E$495,4,FALSE)</f>
        <v>200000</v>
      </c>
      <c r="H1045" s="16">
        <f>E1045*F1045</f>
        <v>100000</v>
      </c>
      <c r="I1045" s="16">
        <f>E1045*G1045</f>
        <v>200000</v>
      </c>
      <c r="J1045" s="16">
        <f>I1045-H1045</f>
        <v>100000</v>
      </c>
      <c r="K1045" s="16" t="str">
        <f>VLOOKUP(C1045,[1]master_data!$A$2:$E$495,5,FALSE)</f>
        <v>Ikan</v>
      </c>
      <c r="L1045" s="1"/>
    </row>
    <row r="1046" spans="1:12" ht="12" customHeight="1" x14ac:dyDescent="0.25">
      <c r="A1046" s="15">
        <v>45151</v>
      </c>
      <c r="B1046" s="16">
        <v>22301459</v>
      </c>
      <c r="C1046" s="16" t="s">
        <v>427</v>
      </c>
      <c r="D1046" s="16" t="str">
        <f>VLOOKUP(C1046,[1]master_data!$A$2:$E$495,2,FALSE)</f>
        <v>LOUHAN SUPER</v>
      </c>
      <c r="E1046" s="16">
        <v>1</v>
      </c>
      <c r="F1046" s="16">
        <f>VLOOKUP(C1046,[1]master_data!$A$2:$E$495,3,FALSE)</f>
        <v>300000</v>
      </c>
      <c r="G1046" s="16">
        <f>VLOOKUP(C1046,[1]master_data!$A$2:$E$495,4,FALSE)</f>
        <v>500000</v>
      </c>
      <c r="H1046" s="16">
        <f>E1046*F1046</f>
        <v>300000</v>
      </c>
      <c r="I1046" s="16">
        <f>E1046*G1046</f>
        <v>500000</v>
      </c>
      <c r="J1046" s="16">
        <f>I1046-H1046</f>
        <v>200000</v>
      </c>
      <c r="K1046" s="16" t="str">
        <f>VLOOKUP(C1046,[1]master_data!$A$2:$E$495,5,FALSE)</f>
        <v>Ikan</v>
      </c>
      <c r="L1046" s="1"/>
    </row>
    <row r="1047" spans="1:12" ht="12" customHeight="1" x14ac:dyDescent="0.25">
      <c r="A1047" s="15">
        <v>45151</v>
      </c>
      <c r="B1047" s="16">
        <v>22301460</v>
      </c>
      <c r="C1047" s="16" t="s">
        <v>434</v>
      </c>
      <c r="D1047" s="16" t="str">
        <f>VLOOKUP(C1047,[1]master_data!$A$2:$E$495,2,FALSE)</f>
        <v>NIASA</v>
      </c>
      <c r="E1047" s="16">
        <v>26</v>
      </c>
      <c r="F1047" s="16">
        <f>VLOOKUP(C1047,[1]master_data!$A$2:$E$495,3,FALSE)</f>
        <v>900</v>
      </c>
      <c r="G1047" s="16">
        <f>VLOOKUP(C1047,[1]master_data!$A$2:$E$495,4,FALSE)</f>
        <v>2000</v>
      </c>
      <c r="H1047" s="16">
        <f>E1047*F1047</f>
        <v>23400</v>
      </c>
      <c r="I1047" s="16">
        <f>E1047*G1047</f>
        <v>52000</v>
      </c>
      <c r="J1047" s="16">
        <f>I1047-H1047</f>
        <v>28600</v>
      </c>
      <c r="K1047" s="16" t="str">
        <f>VLOOKUP(C1047,[1]master_data!$A$2:$E$495,5,FALSE)</f>
        <v>Ikan</v>
      </c>
      <c r="L1047" s="1"/>
    </row>
    <row r="1048" spans="1:12" ht="12" customHeight="1" x14ac:dyDescent="0.25">
      <c r="A1048" s="15">
        <v>45151</v>
      </c>
      <c r="B1048" s="16">
        <v>22301461</v>
      </c>
      <c r="C1048" s="16" t="s">
        <v>460</v>
      </c>
      <c r="D1048" s="16" t="str">
        <f>VLOOKUP(C1048,[1]master_data!$A$2:$E$495,2,FALSE)</f>
        <v>SEPAT ALBINO</v>
      </c>
      <c r="E1048" s="16">
        <v>1</v>
      </c>
      <c r="F1048" s="16">
        <f>VLOOKUP(C1048,[1]master_data!$A$2:$E$495,3,FALSE)</f>
        <v>2000</v>
      </c>
      <c r="G1048" s="16">
        <f>VLOOKUP(C1048,[1]master_data!$A$2:$E$495,4,FALSE)</f>
        <v>5000</v>
      </c>
      <c r="H1048" s="16">
        <f>E1048*F1048</f>
        <v>2000</v>
      </c>
      <c r="I1048" s="16">
        <f>E1048*G1048</f>
        <v>5000</v>
      </c>
      <c r="J1048" s="16">
        <f>I1048-H1048</f>
        <v>3000</v>
      </c>
      <c r="K1048" s="16" t="str">
        <f>VLOOKUP(C1048,[1]master_data!$A$2:$E$495,5,FALSE)</f>
        <v>Ikan</v>
      </c>
      <c r="L1048" s="1"/>
    </row>
    <row r="1049" spans="1:12" ht="12" customHeight="1" x14ac:dyDescent="0.25">
      <c r="A1049" s="15">
        <v>45150</v>
      </c>
      <c r="B1049" s="16">
        <v>22301451</v>
      </c>
      <c r="C1049" s="16" t="s">
        <v>347</v>
      </c>
      <c r="D1049" s="16" t="str">
        <f>VLOOKUP(C1049,[1]master_data!$A$2:$E$495,2,FALSE)</f>
        <v>AKUARIUM NIKITA M60</v>
      </c>
      <c r="E1049" s="16">
        <v>1</v>
      </c>
      <c r="F1049" s="16">
        <f>VLOOKUP(C1049,[1]master_data!$A$2:$E$495,3,FALSE)</f>
        <v>60000</v>
      </c>
      <c r="G1049" s="16">
        <f>VLOOKUP(C1049,[1]master_data!$A$2:$E$495,4,FALSE)</f>
        <v>230000</v>
      </c>
      <c r="H1049" s="16">
        <f>E1049*F1049</f>
        <v>60000</v>
      </c>
      <c r="I1049" s="16">
        <f>E1049*G1049</f>
        <v>230000</v>
      </c>
      <c r="J1049" s="16">
        <f>I1049-H1049</f>
        <v>170000</v>
      </c>
      <c r="K1049" s="16" t="str">
        <f>VLOOKUP(C1049,[1]master_data!$A$2:$E$495,5,FALSE)</f>
        <v>Aksesoris</v>
      </c>
      <c r="L1049" s="1"/>
    </row>
    <row r="1050" spans="1:12" ht="12" customHeight="1" x14ac:dyDescent="0.25">
      <c r="A1050" s="15">
        <v>45150</v>
      </c>
      <c r="B1050" s="16">
        <v>22301452</v>
      </c>
      <c r="C1050" s="16" t="s">
        <v>457</v>
      </c>
      <c r="D1050" s="16" t="str">
        <f>VLOOKUP(C1050,[1]master_data!$A$2:$E$495,2,FALSE)</f>
        <v>ZEBRA UNGU</v>
      </c>
      <c r="E1050" s="16">
        <v>30</v>
      </c>
      <c r="F1050" s="16">
        <f>VLOOKUP(C1050,[1]master_data!$A$2:$E$495,3,FALSE)</f>
        <v>800</v>
      </c>
      <c r="G1050" s="16">
        <f>VLOOKUP(C1050,[1]master_data!$A$2:$E$495,4,FALSE)</f>
        <v>2000</v>
      </c>
      <c r="H1050" s="16">
        <f>E1050*F1050</f>
        <v>24000</v>
      </c>
      <c r="I1050" s="16">
        <f>E1050*G1050</f>
        <v>60000</v>
      </c>
      <c r="J1050" s="16">
        <f>I1050-H1050</f>
        <v>36000</v>
      </c>
      <c r="K1050" s="16" t="str">
        <f>VLOOKUP(C1050,[1]master_data!$A$2:$E$495,5,FALSE)</f>
        <v>Ikan</v>
      </c>
      <c r="L1050" s="1"/>
    </row>
    <row r="1051" spans="1:12" ht="12" customHeight="1" x14ac:dyDescent="0.25">
      <c r="A1051" s="15">
        <v>45150</v>
      </c>
      <c r="B1051" s="16">
        <v>22301453</v>
      </c>
      <c r="C1051" s="16" t="s">
        <v>365</v>
      </c>
      <c r="D1051" s="16" t="str">
        <f>VLOOKUP(C1051,[1]master_data!$A$2:$E$495,2,FALSE)</f>
        <v>AKUARIUM 40 ROBOT</v>
      </c>
      <c r="E1051" s="16">
        <v>1</v>
      </c>
      <c r="F1051" s="16">
        <f>VLOOKUP(C1051,[1]master_data!$A$2:$E$495,3,FALSE)</f>
        <v>9000</v>
      </c>
      <c r="G1051" s="16">
        <f>VLOOKUP(C1051,[1]master_data!$A$2:$E$495,4,FALSE)</f>
        <v>135000</v>
      </c>
      <c r="H1051" s="16">
        <f>E1051*F1051</f>
        <v>9000</v>
      </c>
      <c r="I1051" s="16">
        <f>E1051*G1051</f>
        <v>135000</v>
      </c>
      <c r="J1051" s="16">
        <f>I1051-H1051</f>
        <v>126000</v>
      </c>
      <c r="K1051" s="16" t="str">
        <f>VLOOKUP(C1051,[1]master_data!$A$2:$E$495,5,FALSE)</f>
        <v>Aksesoris</v>
      </c>
      <c r="L1051" s="1"/>
    </row>
    <row r="1052" spans="1:12" ht="12" customHeight="1" x14ac:dyDescent="0.25">
      <c r="A1052" s="15">
        <v>45150</v>
      </c>
      <c r="B1052" s="16">
        <v>22301454</v>
      </c>
      <c r="C1052" s="16" t="s">
        <v>281</v>
      </c>
      <c r="D1052" s="16" t="str">
        <f>VLOOKUP(C1052,[1]master_data!$A$2:$E$495,2,FALSE)</f>
        <v>KRAN 3 W</v>
      </c>
      <c r="E1052" s="16">
        <v>11</v>
      </c>
      <c r="F1052" s="16">
        <f>VLOOKUP(C1052,[1]master_data!$A$2:$E$495,3,FALSE)</f>
        <v>5500</v>
      </c>
      <c r="G1052" s="16">
        <f>VLOOKUP(C1052,[1]master_data!$A$2:$E$495,4,FALSE)</f>
        <v>8000</v>
      </c>
      <c r="H1052" s="16">
        <f>E1052*F1052</f>
        <v>60500</v>
      </c>
      <c r="I1052" s="16">
        <f>E1052*G1052</f>
        <v>88000</v>
      </c>
      <c r="J1052" s="16">
        <f>I1052-H1052</f>
        <v>27500</v>
      </c>
      <c r="K1052" s="16" t="str">
        <f>VLOOKUP(C1052,[1]master_data!$A$2:$E$495,5,FALSE)</f>
        <v>Aksesoris</v>
      </c>
      <c r="L1052" s="1"/>
    </row>
    <row r="1053" spans="1:12" ht="12" customHeight="1" x14ac:dyDescent="0.25">
      <c r="A1053" s="15">
        <v>45150</v>
      </c>
      <c r="B1053" s="16">
        <v>22301455</v>
      </c>
      <c r="C1053" s="16" t="s">
        <v>289</v>
      </c>
      <c r="D1053" s="16" t="str">
        <f>VLOOKUP(C1053,[1]master_data!$A$2:$E$495,2,FALSE)</f>
        <v>JARING 30</v>
      </c>
      <c r="E1053" s="16">
        <v>1</v>
      </c>
      <c r="F1053" s="16">
        <f>VLOOKUP(C1053,[1]master_data!$A$2:$E$495,3,FALSE)</f>
        <v>7900</v>
      </c>
      <c r="G1053" s="16">
        <f>VLOOKUP(C1053,[1]master_data!$A$2:$E$495,4,FALSE)</f>
        <v>15000</v>
      </c>
      <c r="H1053" s="16">
        <f>E1053*F1053</f>
        <v>7900</v>
      </c>
      <c r="I1053" s="16">
        <f>E1053*G1053</f>
        <v>15000</v>
      </c>
      <c r="J1053" s="16">
        <f>I1053-H1053</f>
        <v>7100</v>
      </c>
      <c r="K1053" s="16" t="str">
        <f>VLOOKUP(C1053,[1]master_data!$A$2:$E$495,5,FALSE)</f>
        <v>Aksesoris</v>
      </c>
      <c r="L1053" s="1"/>
    </row>
    <row r="1054" spans="1:12" ht="12" customHeight="1" x14ac:dyDescent="0.25">
      <c r="A1054" s="15">
        <v>45149</v>
      </c>
      <c r="B1054" s="16">
        <v>22301446</v>
      </c>
      <c r="C1054" s="16" t="s">
        <v>203</v>
      </c>
      <c r="D1054" s="16" t="str">
        <f>VLOOKUP(C1054,[1]master_data!$A$2:$E$495,2,FALSE)</f>
        <v>HOKKY COLOUR MAX</v>
      </c>
      <c r="E1054" s="16">
        <v>20</v>
      </c>
      <c r="F1054" s="16">
        <f>VLOOKUP(C1054,[1]master_data!$A$2:$E$495,3,FALSE)</f>
        <v>7600</v>
      </c>
      <c r="G1054" s="16">
        <f>VLOOKUP(C1054,[1]master_data!$A$2:$E$495,4,FALSE)</f>
        <v>10000</v>
      </c>
      <c r="H1054" s="16">
        <f>E1054*F1054</f>
        <v>152000</v>
      </c>
      <c r="I1054" s="16">
        <f>E1054*G1054</f>
        <v>200000</v>
      </c>
      <c r="J1054" s="16">
        <f>I1054-H1054</f>
        <v>48000</v>
      </c>
      <c r="K1054" s="16" t="str">
        <f>VLOOKUP(C1054,[1]master_data!$A$2:$E$495,5,FALSE)</f>
        <v>Aksesoris</v>
      </c>
      <c r="L1054" s="1"/>
    </row>
    <row r="1055" spans="1:12" ht="12" customHeight="1" x14ac:dyDescent="0.25">
      <c r="A1055" s="15">
        <v>45149</v>
      </c>
      <c r="B1055" s="16">
        <v>22301447</v>
      </c>
      <c r="C1055" s="16" t="s">
        <v>9</v>
      </c>
      <c r="D1055" s="16" t="str">
        <f>VLOOKUP(C1055,[1]master_data!$A$2:$E$495,2,FALSE)</f>
        <v>TOP FILTER YANG 910</v>
      </c>
      <c r="E1055" s="16">
        <v>5</v>
      </c>
      <c r="F1055" s="16">
        <f>VLOOKUP(C1055,[1]master_data!$A$2:$E$495,3,FALSE)</f>
        <v>41000</v>
      </c>
      <c r="G1055" s="16">
        <f>VLOOKUP(C1055,[1]master_data!$A$2:$E$495,4,FALSE)</f>
        <v>65000</v>
      </c>
      <c r="H1055" s="16">
        <f>E1055*F1055</f>
        <v>205000</v>
      </c>
      <c r="I1055" s="16">
        <f>E1055*G1055</f>
        <v>325000</v>
      </c>
      <c r="J1055" s="16">
        <f>I1055-H1055</f>
        <v>120000</v>
      </c>
      <c r="K1055" s="16" t="str">
        <f>VLOOKUP(C1055,[1]master_data!$A$2:$E$495,5,FALSE)</f>
        <v>Aksesoris</v>
      </c>
      <c r="L1055" s="1"/>
    </row>
    <row r="1056" spans="1:12" ht="12" customHeight="1" x14ac:dyDescent="0.25">
      <c r="A1056" s="15">
        <v>45149</v>
      </c>
      <c r="B1056" s="16">
        <v>22301448</v>
      </c>
      <c r="C1056" s="16" t="s">
        <v>129</v>
      </c>
      <c r="D1056" s="16" t="str">
        <f>VLOOKUP(C1056,[1]master_data!$A$2:$E$495,2,FALSE)</f>
        <v>LED YAMANO S400</v>
      </c>
      <c r="E1056" s="16">
        <v>5</v>
      </c>
      <c r="F1056" s="16">
        <f>VLOOKUP(C1056,[1]master_data!$A$2:$E$495,3,FALSE)</f>
        <v>50000</v>
      </c>
      <c r="G1056" s="16">
        <f>VLOOKUP(C1056,[1]master_data!$A$2:$E$495,4,FALSE)</f>
        <v>75000</v>
      </c>
      <c r="H1056" s="16">
        <f>E1056*F1056</f>
        <v>250000</v>
      </c>
      <c r="I1056" s="16">
        <f>E1056*G1056</f>
        <v>375000</v>
      </c>
      <c r="J1056" s="16">
        <f>I1056-H1056</f>
        <v>125000</v>
      </c>
      <c r="K1056" s="16" t="str">
        <f>VLOOKUP(C1056,[1]master_data!$A$2:$E$495,5,FALSE)</f>
        <v>Aksesoris</v>
      </c>
      <c r="L1056" s="1"/>
    </row>
    <row r="1057" spans="1:12" ht="12" customHeight="1" x14ac:dyDescent="0.25">
      <c r="A1057" s="15">
        <v>45149</v>
      </c>
      <c r="B1057" s="16">
        <v>22301449</v>
      </c>
      <c r="C1057" s="16" t="s">
        <v>277</v>
      </c>
      <c r="D1057" s="16" t="str">
        <f>VLOOKUP(C1057,[1]master_data!$A$2:$E$495,2,FALSE)</f>
        <v>HEATER STENLEES 50 W</v>
      </c>
      <c r="E1057" s="16">
        <v>2</v>
      </c>
      <c r="F1057" s="16">
        <f>VLOOKUP(C1057,[1]master_data!$A$2:$E$495,3,FALSE)</f>
        <v>63000</v>
      </c>
      <c r="G1057" s="16">
        <f>VLOOKUP(C1057,[1]master_data!$A$2:$E$495,4,FALSE)</f>
        <v>85000</v>
      </c>
      <c r="H1057" s="16">
        <f>E1057*F1057</f>
        <v>126000</v>
      </c>
      <c r="I1057" s="16">
        <f>E1057*G1057</f>
        <v>170000</v>
      </c>
      <c r="J1057" s="16">
        <f>I1057-H1057</f>
        <v>44000</v>
      </c>
      <c r="K1057" s="16" t="str">
        <f>VLOOKUP(C1057,[1]master_data!$A$2:$E$495,5,FALSE)</f>
        <v>Aksesoris</v>
      </c>
      <c r="L1057" s="1"/>
    </row>
    <row r="1058" spans="1:12" ht="12" customHeight="1" x14ac:dyDescent="0.25">
      <c r="A1058" s="15">
        <v>45149</v>
      </c>
      <c r="B1058" s="16">
        <v>22301450</v>
      </c>
      <c r="C1058" s="16" t="s">
        <v>442</v>
      </c>
      <c r="D1058" s="16" t="str">
        <f>VLOOKUP(C1058,[1]master_data!$A$2:$E$495,2,FALSE)</f>
        <v>PARROT</v>
      </c>
      <c r="E1058" s="16">
        <v>1</v>
      </c>
      <c r="F1058" s="16">
        <f>VLOOKUP(C1058,[1]master_data!$A$2:$E$495,3,FALSE)</f>
        <v>27000</v>
      </c>
      <c r="G1058" s="16">
        <f>VLOOKUP(C1058,[1]master_data!$A$2:$E$495,4,FALSE)</f>
        <v>60000</v>
      </c>
      <c r="H1058" s="16">
        <f>E1058*F1058</f>
        <v>27000</v>
      </c>
      <c r="I1058" s="16">
        <f>E1058*G1058</f>
        <v>60000</v>
      </c>
      <c r="J1058" s="16">
        <f>I1058-H1058</f>
        <v>33000</v>
      </c>
      <c r="K1058" s="16" t="str">
        <f>VLOOKUP(C1058,[1]master_data!$A$2:$E$495,5,FALSE)</f>
        <v>Ikan</v>
      </c>
      <c r="L1058" s="1"/>
    </row>
    <row r="1059" spans="1:12" ht="12" customHeight="1" x14ac:dyDescent="0.25">
      <c r="A1059" s="15">
        <v>45148</v>
      </c>
      <c r="B1059" s="16">
        <v>22301439</v>
      </c>
      <c r="C1059" s="16" t="s">
        <v>424</v>
      </c>
      <c r="D1059" s="16" t="str">
        <f>VLOOKUP(C1059,[1]master_data!$A$2:$E$495,2,FALSE)</f>
        <v>DISCUS</v>
      </c>
      <c r="E1059" s="16">
        <v>1</v>
      </c>
      <c r="F1059" s="16">
        <f>VLOOKUP(C1059,[1]master_data!$A$2:$E$495,3,FALSE)</f>
        <v>50000</v>
      </c>
      <c r="G1059" s="16">
        <f>VLOOKUP(C1059,[1]master_data!$A$2:$E$495,4,FALSE)</f>
        <v>150000</v>
      </c>
      <c r="H1059" s="16">
        <f>E1059*F1059</f>
        <v>50000</v>
      </c>
      <c r="I1059" s="16">
        <f>E1059*G1059</f>
        <v>150000</v>
      </c>
      <c r="J1059" s="16">
        <f>I1059-H1059</f>
        <v>100000</v>
      </c>
      <c r="K1059" s="16" t="str">
        <f>VLOOKUP(C1059,[1]master_data!$A$2:$E$495,5,FALSE)</f>
        <v>Ikan</v>
      </c>
      <c r="L1059" s="1"/>
    </row>
    <row r="1060" spans="1:12" ht="12" customHeight="1" x14ac:dyDescent="0.25">
      <c r="A1060" s="15">
        <v>45148</v>
      </c>
      <c r="B1060" s="16">
        <v>22301440</v>
      </c>
      <c r="C1060" s="16" t="s">
        <v>391</v>
      </c>
      <c r="D1060" s="16" t="str">
        <f>VLOOKUP(C1060,[1]master_data!$A$2:$E$495,2,FALSE)</f>
        <v>CHANNA ANDRAO B</v>
      </c>
      <c r="E1060" s="16">
        <v>2</v>
      </c>
      <c r="F1060" s="16">
        <f>VLOOKUP(C1060,[1]master_data!$A$2:$E$495,3,FALSE)</f>
        <v>100000</v>
      </c>
      <c r="G1060" s="16">
        <f>VLOOKUP(C1060,[1]master_data!$A$2:$E$495,4,FALSE)</f>
        <v>200000</v>
      </c>
      <c r="H1060" s="16">
        <f>E1060*F1060</f>
        <v>200000</v>
      </c>
      <c r="I1060" s="16">
        <f>E1060*G1060</f>
        <v>400000</v>
      </c>
      <c r="J1060" s="16">
        <f>I1060-H1060</f>
        <v>200000</v>
      </c>
      <c r="K1060" s="16" t="str">
        <f>VLOOKUP(C1060,[1]master_data!$A$2:$E$495,5,FALSE)</f>
        <v>Ikan</v>
      </c>
      <c r="L1060" s="1"/>
    </row>
    <row r="1061" spans="1:12" ht="12" customHeight="1" x14ac:dyDescent="0.25">
      <c r="A1061" s="15">
        <v>45148</v>
      </c>
      <c r="B1061" s="16">
        <v>22301441</v>
      </c>
      <c r="C1061" s="16" t="s">
        <v>453</v>
      </c>
      <c r="D1061" s="16" t="str">
        <f>VLOOKUP(C1061,[1]master_data!$A$2:$E$495,2,FALSE)</f>
        <v>TETRA</v>
      </c>
      <c r="E1061" s="16">
        <v>25</v>
      </c>
      <c r="F1061" s="16">
        <f>VLOOKUP(C1061,[1]master_data!$A$2:$E$495,3,FALSE)</f>
        <v>800</v>
      </c>
      <c r="G1061" s="16">
        <f>VLOOKUP(C1061,[1]master_data!$A$2:$E$495,4,FALSE)</f>
        <v>2000</v>
      </c>
      <c r="H1061" s="16">
        <f>E1061*F1061</f>
        <v>20000</v>
      </c>
      <c r="I1061" s="16">
        <f>E1061*G1061</f>
        <v>50000</v>
      </c>
      <c r="J1061" s="16">
        <f>I1061-H1061</f>
        <v>30000</v>
      </c>
      <c r="K1061" s="16" t="str">
        <f>VLOOKUP(C1061,[1]master_data!$A$2:$E$495,5,FALSE)</f>
        <v>Ikan</v>
      </c>
      <c r="L1061" s="1"/>
    </row>
    <row r="1062" spans="1:12" ht="12" customHeight="1" x14ac:dyDescent="0.25">
      <c r="A1062" s="15">
        <v>45148</v>
      </c>
      <c r="B1062" s="16">
        <v>22301442</v>
      </c>
      <c r="C1062" s="16" t="s">
        <v>435</v>
      </c>
      <c r="D1062" s="16" t="str">
        <f>VLOOKUP(C1062,[1]master_data!$A$2:$E$495,2,FALSE)</f>
        <v>RED EYE TETRA</v>
      </c>
      <c r="E1062" s="16">
        <v>20</v>
      </c>
      <c r="F1062" s="16">
        <f>VLOOKUP(C1062,[1]master_data!$A$2:$E$495,3,FALSE)</f>
        <v>900</v>
      </c>
      <c r="G1062" s="16">
        <f>VLOOKUP(C1062,[1]master_data!$A$2:$E$495,4,FALSE)</f>
        <v>2000</v>
      </c>
      <c r="H1062" s="16">
        <f>E1062*F1062</f>
        <v>18000</v>
      </c>
      <c r="I1062" s="16">
        <f>E1062*G1062</f>
        <v>40000</v>
      </c>
      <c r="J1062" s="16">
        <f>I1062-H1062</f>
        <v>22000</v>
      </c>
      <c r="K1062" s="16" t="str">
        <f>VLOOKUP(C1062,[1]master_data!$A$2:$E$495,5,FALSE)</f>
        <v>Ikan</v>
      </c>
      <c r="L1062" s="1"/>
    </row>
    <row r="1063" spans="1:12" ht="12" customHeight="1" x14ac:dyDescent="0.25">
      <c r="A1063" s="15">
        <v>45148</v>
      </c>
      <c r="B1063" s="16">
        <v>22301443</v>
      </c>
      <c r="C1063" s="16" t="s">
        <v>340</v>
      </c>
      <c r="D1063" s="16" t="str">
        <f>VLOOKUP(C1063,[1]master_data!$A$2:$E$495,2,FALSE)</f>
        <v>KUTUB LAS</v>
      </c>
      <c r="E1063" s="16">
        <v>1</v>
      </c>
      <c r="F1063" s="16">
        <f>VLOOKUP(C1063,[1]master_data!$A$2:$E$495,3,FALSE)</f>
        <v>15000</v>
      </c>
      <c r="G1063" s="16">
        <f>VLOOKUP(C1063,[1]master_data!$A$2:$E$495,4,FALSE)</f>
        <v>25000</v>
      </c>
      <c r="H1063" s="16">
        <f>E1063*F1063</f>
        <v>15000</v>
      </c>
      <c r="I1063" s="16">
        <f>E1063*G1063</f>
        <v>25000</v>
      </c>
      <c r="J1063" s="16">
        <f>I1063-H1063</f>
        <v>10000</v>
      </c>
      <c r="K1063" s="16" t="str">
        <f>VLOOKUP(C1063,[1]master_data!$A$2:$E$495,5,FALSE)</f>
        <v>Aksesoris</v>
      </c>
      <c r="L1063" s="1"/>
    </row>
    <row r="1064" spans="1:12" ht="12" customHeight="1" x14ac:dyDescent="0.25">
      <c r="A1064" s="15">
        <v>45148</v>
      </c>
      <c r="B1064" s="16">
        <v>22301444</v>
      </c>
      <c r="C1064" s="16" t="s">
        <v>240</v>
      </c>
      <c r="D1064" s="16" t="str">
        <f>VLOOKUP(C1064,[1]master_data!$A$2:$E$495,2,FALSE)</f>
        <v>TAKARI SINKING</v>
      </c>
      <c r="E1064" s="16">
        <v>3</v>
      </c>
      <c r="F1064" s="16">
        <f>VLOOKUP(C1064,[1]master_data!$A$2:$E$495,3,FALSE)</f>
        <v>7100</v>
      </c>
      <c r="G1064" s="16">
        <f>VLOOKUP(C1064,[1]master_data!$A$2:$E$495,4,FALSE)</f>
        <v>10000</v>
      </c>
      <c r="H1064" s="16">
        <f>E1064*F1064</f>
        <v>21300</v>
      </c>
      <c r="I1064" s="16">
        <f>E1064*G1064</f>
        <v>30000</v>
      </c>
      <c r="J1064" s="16">
        <f>I1064-H1064</f>
        <v>8700</v>
      </c>
      <c r="K1064" s="16" t="str">
        <f>VLOOKUP(C1064,[1]master_data!$A$2:$E$495,5,FALSE)</f>
        <v>Aksesoris</v>
      </c>
      <c r="L1064" s="1"/>
    </row>
    <row r="1065" spans="1:12" ht="12" customHeight="1" x14ac:dyDescent="0.25">
      <c r="A1065" s="15">
        <v>45148</v>
      </c>
      <c r="B1065" s="16">
        <v>22301445</v>
      </c>
      <c r="C1065" s="16" t="s">
        <v>456</v>
      </c>
      <c r="D1065" s="16" t="str">
        <f>VLOOKUP(C1065,[1]master_data!$A$2:$E$495,2,FALSE)</f>
        <v>ZEBRA HIJAU</v>
      </c>
      <c r="E1065" s="16">
        <v>1</v>
      </c>
      <c r="F1065" s="16">
        <f>VLOOKUP(C1065,[1]master_data!$A$2:$E$495,3,FALSE)</f>
        <v>800</v>
      </c>
      <c r="G1065" s="16">
        <f>VLOOKUP(C1065,[1]master_data!$A$2:$E$495,4,FALSE)</f>
        <v>2000</v>
      </c>
      <c r="H1065" s="16">
        <f>E1065*F1065</f>
        <v>800</v>
      </c>
      <c r="I1065" s="16">
        <f>E1065*G1065</f>
        <v>2000</v>
      </c>
      <c r="J1065" s="16">
        <f>I1065-H1065</f>
        <v>1200</v>
      </c>
      <c r="K1065" s="16" t="str">
        <f>VLOOKUP(C1065,[1]master_data!$A$2:$E$495,5,FALSE)</f>
        <v>Ikan</v>
      </c>
      <c r="L1065" s="1"/>
    </row>
    <row r="1066" spans="1:12" ht="12" customHeight="1" x14ac:dyDescent="0.25">
      <c r="A1066" s="15">
        <v>45147</v>
      </c>
      <c r="B1066" s="16">
        <v>22301432</v>
      </c>
      <c r="C1066" s="16" t="s">
        <v>407</v>
      </c>
      <c r="D1066" s="16" t="str">
        <f>VLOOKUP(C1066,[1]master_data!$A$2:$E$495,2,FALSE)</f>
        <v>GOLD FISH</v>
      </c>
      <c r="E1066" s="16">
        <v>30</v>
      </c>
      <c r="F1066" s="16">
        <f>VLOOKUP(C1066,[1]master_data!$A$2:$E$495,3,FALSE)</f>
        <v>800</v>
      </c>
      <c r="G1066" s="16">
        <f>VLOOKUP(C1066,[1]master_data!$A$2:$E$495,4,FALSE)</f>
        <v>2000</v>
      </c>
      <c r="H1066" s="16">
        <f>E1066*F1066</f>
        <v>24000</v>
      </c>
      <c r="I1066" s="16">
        <f>E1066*G1066</f>
        <v>60000</v>
      </c>
      <c r="J1066" s="16">
        <f>I1066-H1066</f>
        <v>36000</v>
      </c>
      <c r="K1066" s="16" t="str">
        <f>VLOOKUP(C1066,[1]master_data!$A$2:$E$495,5,FALSE)</f>
        <v>Ikan</v>
      </c>
      <c r="L1066" s="1"/>
    </row>
    <row r="1067" spans="1:12" ht="12" customHeight="1" x14ac:dyDescent="0.25">
      <c r="A1067" s="15">
        <v>45147</v>
      </c>
      <c r="B1067" s="16">
        <v>22301433</v>
      </c>
      <c r="C1067" s="16" t="s">
        <v>432</v>
      </c>
      <c r="D1067" s="16" t="str">
        <f>VLOOKUP(C1067,[1]master_data!$A$2:$E$495,2,FALSE)</f>
        <v>MOLI PAKAN</v>
      </c>
      <c r="E1067" s="16">
        <v>30</v>
      </c>
      <c r="F1067" s="16">
        <f>VLOOKUP(C1067,[1]master_data!$A$2:$E$495,3,FALSE)</f>
        <v>100</v>
      </c>
      <c r="G1067" s="16">
        <f>VLOOKUP(C1067,[1]master_data!$A$2:$E$495,4,FALSE)</f>
        <v>200</v>
      </c>
      <c r="H1067" s="16">
        <f>E1067*F1067</f>
        <v>3000</v>
      </c>
      <c r="I1067" s="16">
        <f>E1067*G1067</f>
        <v>6000</v>
      </c>
      <c r="J1067" s="16">
        <f>I1067-H1067</f>
        <v>3000</v>
      </c>
      <c r="K1067" s="16" t="str">
        <f>VLOOKUP(C1067,[1]master_data!$A$2:$E$495,5,FALSE)</f>
        <v>Ikan</v>
      </c>
      <c r="L1067" s="1"/>
    </row>
    <row r="1068" spans="1:12" ht="12" customHeight="1" x14ac:dyDescent="0.25">
      <c r="A1068" s="15">
        <v>45147</v>
      </c>
      <c r="B1068" s="16">
        <v>22301434</v>
      </c>
      <c r="C1068" s="16" t="s">
        <v>44</v>
      </c>
      <c r="D1068" s="16" t="str">
        <f>VLOOKUP(C1068,[1]master_data!$A$2:$E$495,2,FALSE)</f>
        <v>MESIN YAMANO ACO 004</v>
      </c>
      <c r="E1068" s="16">
        <v>1</v>
      </c>
      <c r="F1068" s="16">
        <f>VLOOKUP(C1068,[1]master_data!$A$2:$E$495,3,FALSE)</f>
        <v>505000</v>
      </c>
      <c r="G1068" s="16">
        <f>VLOOKUP(C1068,[1]master_data!$A$2:$E$495,4,FALSE)</f>
        <v>550000</v>
      </c>
      <c r="H1068" s="16">
        <f>E1068*F1068</f>
        <v>505000</v>
      </c>
      <c r="I1068" s="16">
        <f>E1068*G1068</f>
        <v>550000</v>
      </c>
      <c r="J1068" s="16">
        <f>I1068-H1068</f>
        <v>45000</v>
      </c>
      <c r="K1068" s="16" t="str">
        <f>VLOOKUP(C1068,[1]master_data!$A$2:$E$495,5,FALSE)</f>
        <v>Aksesoris</v>
      </c>
      <c r="L1068" s="1"/>
    </row>
    <row r="1069" spans="1:12" ht="12" customHeight="1" x14ac:dyDescent="0.25">
      <c r="A1069" s="15">
        <v>45147</v>
      </c>
      <c r="B1069" s="16">
        <v>22301435</v>
      </c>
      <c r="C1069" s="16" t="s">
        <v>451</v>
      </c>
      <c r="D1069" s="16" t="str">
        <f>VLOOKUP(C1069,[1]master_data!$A$2:$E$495,2,FALSE)</f>
        <v>SYNODONTIS K</v>
      </c>
      <c r="E1069" s="16">
        <v>25</v>
      </c>
      <c r="F1069" s="16">
        <f>VLOOKUP(C1069,[1]master_data!$A$2:$E$495,3,FALSE)</f>
        <v>1500</v>
      </c>
      <c r="G1069" s="16">
        <f>VLOOKUP(C1069,[1]master_data!$A$2:$E$495,4,FALSE)</f>
        <v>5000</v>
      </c>
      <c r="H1069" s="16">
        <f>E1069*F1069</f>
        <v>37500</v>
      </c>
      <c r="I1069" s="16">
        <f>E1069*G1069</f>
        <v>125000</v>
      </c>
      <c r="J1069" s="16">
        <f>I1069-H1069</f>
        <v>87500</v>
      </c>
      <c r="K1069" s="16" t="str">
        <f>VLOOKUP(C1069,[1]master_data!$A$2:$E$495,5,FALSE)</f>
        <v>Ikan</v>
      </c>
      <c r="L1069" s="1"/>
    </row>
    <row r="1070" spans="1:12" ht="12" customHeight="1" x14ac:dyDescent="0.25">
      <c r="A1070" s="15">
        <v>45147</v>
      </c>
      <c r="B1070" s="16">
        <v>22301436</v>
      </c>
      <c r="C1070" s="16" t="s">
        <v>95</v>
      </c>
      <c r="D1070" s="16" t="str">
        <f>VLOOKUP(C1070,[1]master_data!$A$2:$E$495,2,FALSE)</f>
        <v>MESIN AMARA 107</v>
      </c>
      <c r="E1070" s="16">
        <v>1</v>
      </c>
      <c r="F1070" s="16">
        <f>VLOOKUP(C1070,[1]master_data!$A$2:$E$495,3,FALSE)</f>
        <v>310000</v>
      </c>
      <c r="G1070" s="16">
        <f>VLOOKUP(C1070,[1]master_data!$A$2:$E$495,4,FALSE)</f>
        <v>380000</v>
      </c>
      <c r="H1070" s="16">
        <f>E1070*F1070</f>
        <v>310000</v>
      </c>
      <c r="I1070" s="16">
        <f>E1070*G1070</f>
        <v>380000</v>
      </c>
      <c r="J1070" s="16">
        <f>I1070-H1070</f>
        <v>70000</v>
      </c>
      <c r="K1070" s="16" t="str">
        <f>VLOOKUP(C1070,[1]master_data!$A$2:$E$495,5,FALSE)</f>
        <v>Aksesoris</v>
      </c>
      <c r="L1070" s="1"/>
    </row>
    <row r="1071" spans="1:12" ht="12" customHeight="1" x14ac:dyDescent="0.25">
      <c r="A1071" s="15">
        <v>45147</v>
      </c>
      <c r="B1071" s="16">
        <v>22301437</v>
      </c>
      <c r="C1071" s="16" t="s">
        <v>388</v>
      </c>
      <c r="D1071" s="16" t="str">
        <f>VLOOKUP(C1071,[1]master_data!$A$2:$E$495,2,FALSE)</f>
        <v>CHANNA ASIATICA K</v>
      </c>
      <c r="E1071" s="16">
        <v>2</v>
      </c>
      <c r="F1071" s="16">
        <f>VLOOKUP(C1071,[1]master_data!$A$2:$E$495,3,FALSE)</f>
        <v>10000</v>
      </c>
      <c r="G1071" s="16">
        <f>VLOOKUP(C1071,[1]master_data!$A$2:$E$495,4,FALSE)</f>
        <v>40000</v>
      </c>
      <c r="H1071" s="16">
        <f>E1071*F1071</f>
        <v>20000</v>
      </c>
      <c r="I1071" s="16">
        <f>E1071*G1071</f>
        <v>80000</v>
      </c>
      <c r="J1071" s="16">
        <f>I1071-H1071</f>
        <v>60000</v>
      </c>
      <c r="K1071" s="16" t="str">
        <f>VLOOKUP(C1071,[1]master_data!$A$2:$E$495,5,FALSE)</f>
        <v>Ikan</v>
      </c>
      <c r="L1071" s="1"/>
    </row>
    <row r="1072" spans="1:12" ht="12" customHeight="1" x14ac:dyDescent="0.25">
      <c r="A1072" s="15">
        <v>45147</v>
      </c>
      <c r="B1072" s="16">
        <v>22301438</v>
      </c>
      <c r="C1072" s="16" t="s">
        <v>393</v>
      </c>
      <c r="D1072" s="16" t="str">
        <f>VLOOKUP(C1072,[1]master_data!$A$2:$E$495,2,FALSE)</f>
        <v>ARWANA SILVER B</v>
      </c>
      <c r="E1072" s="16">
        <v>1</v>
      </c>
      <c r="F1072" s="16">
        <f>VLOOKUP(C1072,[1]master_data!$A$2:$E$495,3,FALSE)</f>
        <v>300000</v>
      </c>
      <c r="G1072" s="16">
        <f>VLOOKUP(C1072,[1]master_data!$A$2:$E$495,4,FALSE)</f>
        <v>500000</v>
      </c>
      <c r="H1072" s="16">
        <f>E1072*F1072</f>
        <v>300000</v>
      </c>
      <c r="I1072" s="16">
        <f>E1072*G1072</f>
        <v>500000</v>
      </c>
      <c r="J1072" s="16">
        <f>I1072-H1072</f>
        <v>200000</v>
      </c>
      <c r="K1072" s="16" t="str">
        <f>VLOOKUP(C1072,[1]master_data!$A$2:$E$495,5,FALSE)</f>
        <v>Ikan</v>
      </c>
      <c r="L1072" s="1"/>
    </row>
    <row r="1073" spans="1:12" ht="12" customHeight="1" x14ac:dyDescent="0.25">
      <c r="A1073" s="15">
        <v>45146</v>
      </c>
      <c r="B1073" s="16">
        <v>22301424</v>
      </c>
      <c r="C1073" s="16" t="s">
        <v>351</v>
      </c>
      <c r="D1073" s="16" t="str">
        <f>VLOOKUP(C1073,[1]master_data!$A$2:$E$495,2,FALSE)</f>
        <v>AKUARIUM BAHARI S</v>
      </c>
      <c r="E1073" s="16">
        <v>2</v>
      </c>
      <c r="F1073" s="16">
        <f>VLOOKUP(C1073,[1]master_data!$A$2:$E$495,3,FALSE)</f>
        <v>82000</v>
      </c>
      <c r="G1073" s="16">
        <f>VLOOKUP(C1073,[1]master_data!$A$2:$E$495,4,FALSE)</f>
        <v>110000</v>
      </c>
      <c r="H1073" s="16">
        <f>E1073*F1073</f>
        <v>164000</v>
      </c>
      <c r="I1073" s="16">
        <f>E1073*G1073</f>
        <v>220000</v>
      </c>
      <c r="J1073" s="16">
        <f>I1073-H1073</f>
        <v>56000</v>
      </c>
      <c r="K1073" s="16" t="str">
        <f>VLOOKUP(C1073,[1]master_data!$A$2:$E$495,5,FALSE)</f>
        <v>Aksesoris</v>
      </c>
      <c r="L1073" s="1"/>
    </row>
    <row r="1074" spans="1:12" ht="12" customHeight="1" x14ac:dyDescent="0.25">
      <c r="A1074" s="15">
        <v>45146</v>
      </c>
      <c r="B1074" s="16">
        <v>22301425</v>
      </c>
      <c r="C1074" s="16" t="s">
        <v>407</v>
      </c>
      <c r="D1074" s="16" t="str">
        <f>VLOOKUP(C1074,[1]master_data!$A$2:$E$495,2,FALSE)</f>
        <v>GOLD FISH</v>
      </c>
      <c r="E1074" s="16">
        <v>25</v>
      </c>
      <c r="F1074" s="16">
        <f>VLOOKUP(C1074,[1]master_data!$A$2:$E$495,3,FALSE)</f>
        <v>800</v>
      </c>
      <c r="G1074" s="16">
        <f>VLOOKUP(C1074,[1]master_data!$A$2:$E$495,4,FALSE)</f>
        <v>2000</v>
      </c>
      <c r="H1074" s="16">
        <f>E1074*F1074</f>
        <v>20000</v>
      </c>
      <c r="I1074" s="16">
        <f>E1074*G1074</f>
        <v>50000</v>
      </c>
      <c r="J1074" s="16">
        <f>I1074-H1074</f>
        <v>30000</v>
      </c>
      <c r="K1074" s="16" t="str">
        <f>VLOOKUP(C1074,[1]master_data!$A$2:$E$495,5,FALSE)</f>
        <v>Ikan</v>
      </c>
      <c r="L1074" s="1"/>
    </row>
    <row r="1075" spans="1:12" ht="12" customHeight="1" x14ac:dyDescent="0.25">
      <c r="A1075" s="15">
        <v>45146</v>
      </c>
      <c r="B1075" s="16">
        <v>22301426</v>
      </c>
      <c r="C1075" s="16" t="s">
        <v>429</v>
      </c>
      <c r="D1075" s="16" t="str">
        <f>VLOOKUP(C1075,[1]master_data!$A$2:$E$495,2,FALSE)</f>
        <v>MANFISH B</v>
      </c>
      <c r="E1075" s="16">
        <v>15</v>
      </c>
      <c r="F1075" s="16">
        <f>VLOOKUP(C1075,[1]master_data!$A$2:$E$495,3,FALSE)</f>
        <v>4000</v>
      </c>
      <c r="G1075" s="16">
        <f>VLOOKUP(C1075,[1]master_data!$A$2:$E$495,4,FALSE)</f>
        <v>10000</v>
      </c>
      <c r="H1075" s="16">
        <f>E1075*F1075</f>
        <v>60000</v>
      </c>
      <c r="I1075" s="16">
        <f>E1075*G1075</f>
        <v>150000</v>
      </c>
      <c r="J1075" s="16">
        <f>I1075-H1075</f>
        <v>90000</v>
      </c>
      <c r="K1075" s="16" t="str">
        <f>VLOOKUP(C1075,[1]master_data!$A$2:$E$495,5,FALSE)</f>
        <v>Ikan</v>
      </c>
      <c r="L1075" s="1"/>
    </row>
    <row r="1076" spans="1:12" ht="12" customHeight="1" x14ac:dyDescent="0.25">
      <c r="A1076" s="15">
        <v>45146</v>
      </c>
      <c r="B1076" s="16">
        <v>22301427</v>
      </c>
      <c r="C1076" s="16" t="s">
        <v>413</v>
      </c>
      <c r="D1076" s="16" t="str">
        <f>VLOOKUP(C1076,[1]master_data!$A$2:$E$495,2,FALSE)</f>
        <v>KOKI B</v>
      </c>
      <c r="E1076" s="16">
        <v>2</v>
      </c>
      <c r="F1076" s="16">
        <f>VLOOKUP(C1076,[1]master_data!$A$2:$E$495,3,FALSE)</f>
        <v>20000</v>
      </c>
      <c r="G1076" s="16">
        <f>VLOOKUP(C1076,[1]master_data!$A$2:$E$495,4,FALSE)</f>
        <v>50000</v>
      </c>
      <c r="H1076" s="16">
        <f>E1076*F1076</f>
        <v>40000</v>
      </c>
      <c r="I1076" s="16">
        <f>E1076*G1076</f>
        <v>100000</v>
      </c>
      <c r="J1076" s="16">
        <f>I1076-H1076</f>
        <v>60000</v>
      </c>
      <c r="K1076" s="16" t="str">
        <f>VLOOKUP(C1076,[1]master_data!$A$2:$E$495,5,FALSE)</f>
        <v>Ikan</v>
      </c>
      <c r="L1076" s="1"/>
    </row>
    <row r="1077" spans="1:12" ht="12" customHeight="1" x14ac:dyDescent="0.25">
      <c r="A1077" s="15">
        <v>45146</v>
      </c>
      <c r="B1077" s="16">
        <v>22301428</v>
      </c>
      <c r="C1077" s="16" t="s">
        <v>422</v>
      </c>
      <c r="D1077" s="16" t="str">
        <f>VLOOKUP(C1077,[1]master_data!$A$2:$E$495,2,FALSE)</f>
        <v>KOI SLAYER B</v>
      </c>
      <c r="E1077" s="16">
        <v>2</v>
      </c>
      <c r="F1077" s="16">
        <f>VLOOKUP(C1077,[1]master_data!$A$2:$E$495,3,FALSE)</f>
        <v>8000</v>
      </c>
      <c r="G1077" s="16">
        <f>VLOOKUP(C1077,[1]master_data!$A$2:$E$495,4,FALSE)</f>
        <v>20000</v>
      </c>
      <c r="H1077" s="16">
        <f>E1077*F1077</f>
        <v>16000</v>
      </c>
      <c r="I1077" s="16">
        <f>E1077*G1077</f>
        <v>40000</v>
      </c>
      <c r="J1077" s="16">
        <f>I1077-H1077</f>
        <v>24000</v>
      </c>
      <c r="K1077" s="16" t="str">
        <f>VLOOKUP(C1077,[1]master_data!$A$2:$E$495,5,FALSE)</f>
        <v>Ikan</v>
      </c>
      <c r="L1077" s="1"/>
    </row>
    <row r="1078" spans="1:12" ht="12" customHeight="1" x14ac:dyDescent="0.25">
      <c r="A1078" s="15">
        <v>45146</v>
      </c>
      <c r="B1078" s="16">
        <v>22301429</v>
      </c>
      <c r="C1078" s="16" t="s">
        <v>131</v>
      </c>
      <c r="D1078" s="16" t="str">
        <f>VLOOKUP(C1078,[1]master_data!$A$2:$E$495,2,FALSE)</f>
        <v>LED YAMANO S800</v>
      </c>
      <c r="E1078" s="16">
        <v>2</v>
      </c>
      <c r="F1078" s="16">
        <f>VLOOKUP(C1078,[1]master_data!$A$2:$E$495,3,FALSE)</f>
        <v>70000</v>
      </c>
      <c r="G1078" s="16">
        <f>VLOOKUP(C1078,[1]master_data!$A$2:$E$495,4,FALSE)</f>
        <v>115000</v>
      </c>
      <c r="H1078" s="16">
        <f>E1078*F1078</f>
        <v>140000</v>
      </c>
      <c r="I1078" s="16">
        <f>E1078*G1078</f>
        <v>230000</v>
      </c>
      <c r="J1078" s="16">
        <f>I1078-H1078</f>
        <v>90000</v>
      </c>
      <c r="K1078" s="16" t="str">
        <f>VLOOKUP(C1078,[1]master_data!$A$2:$E$495,5,FALSE)</f>
        <v>Aksesoris</v>
      </c>
      <c r="L1078" s="1"/>
    </row>
    <row r="1079" spans="1:12" ht="12" customHeight="1" x14ac:dyDescent="0.25">
      <c r="A1079" s="15">
        <v>45146</v>
      </c>
      <c r="B1079" s="16">
        <v>22301430</v>
      </c>
      <c r="C1079" s="16" t="s">
        <v>446</v>
      </c>
      <c r="D1079" s="16" t="str">
        <f>VLOOKUP(C1079,[1]master_data!$A$2:$E$495,2,FALSE)</f>
        <v xml:space="preserve"> CHANNA RED BARITO K</v>
      </c>
      <c r="E1079" s="16">
        <v>1</v>
      </c>
      <c r="F1079" s="16">
        <f>VLOOKUP(C1079,[1]master_data!$A$2:$E$495,3,FALSE)</f>
        <v>45000</v>
      </c>
      <c r="G1079" s="16">
        <f>VLOOKUP(C1079,[1]master_data!$A$2:$E$495,4,FALSE)</f>
        <v>100000</v>
      </c>
      <c r="H1079" s="16">
        <f>E1079*F1079</f>
        <v>45000</v>
      </c>
      <c r="I1079" s="16">
        <f>E1079*G1079</f>
        <v>100000</v>
      </c>
      <c r="J1079" s="16">
        <f>I1079-H1079</f>
        <v>55000</v>
      </c>
      <c r="K1079" s="16" t="str">
        <f>VLOOKUP(C1079,[1]master_data!$A$2:$E$495,5,FALSE)</f>
        <v>Ikan</v>
      </c>
      <c r="L1079" s="1"/>
    </row>
    <row r="1080" spans="1:12" ht="12" customHeight="1" x14ac:dyDescent="0.25">
      <c r="A1080" s="15">
        <v>45146</v>
      </c>
      <c r="B1080" s="16">
        <v>22301431</v>
      </c>
      <c r="C1080" s="16" t="s">
        <v>428</v>
      </c>
      <c r="D1080" s="16" t="str">
        <f>VLOOKUP(C1080,[1]master_data!$A$2:$E$495,2,FALSE)</f>
        <v>MANFISH K</v>
      </c>
      <c r="E1080" s="16">
        <v>1</v>
      </c>
      <c r="F1080" s="16">
        <f>VLOOKUP(C1080,[1]master_data!$A$2:$E$495,3,FALSE)</f>
        <v>2000</v>
      </c>
      <c r="G1080" s="16">
        <f>VLOOKUP(C1080,[1]master_data!$A$2:$E$495,4,FALSE)</f>
        <v>5000</v>
      </c>
      <c r="H1080" s="16">
        <f>E1080*F1080</f>
        <v>2000</v>
      </c>
      <c r="I1080" s="16">
        <f>E1080*G1080</f>
        <v>5000</v>
      </c>
      <c r="J1080" s="16">
        <f>I1080-H1080</f>
        <v>3000</v>
      </c>
      <c r="K1080" s="16" t="str">
        <f>VLOOKUP(C1080,[1]master_data!$A$2:$E$495,5,FALSE)</f>
        <v>Ikan</v>
      </c>
      <c r="L1080" s="1"/>
    </row>
    <row r="1081" spans="1:12" ht="12" customHeight="1" x14ac:dyDescent="0.25">
      <c r="A1081" s="15">
        <v>45145</v>
      </c>
      <c r="B1081" s="16">
        <v>22301422</v>
      </c>
      <c r="C1081" s="16" t="s">
        <v>446</v>
      </c>
      <c r="D1081" s="16" t="str">
        <f>VLOOKUP(C1081,[1]master_data!$A$2:$E$495,2,FALSE)</f>
        <v xml:space="preserve"> CHANNA RED BARITO K</v>
      </c>
      <c r="E1081" s="16">
        <v>7</v>
      </c>
      <c r="F1081" s="16">
        <f>VLOOKUP(C1081,[1]master_data!$A$2:$E$495,3,FALSE)</f>
        <v>45000</v>
      </c>
      <c r="G1081" s="16">
        <f>VLOOKUP(C1081,[1]master_data!$A$2:$E$495,4,FALSE)</f>
        <v>100000</v>
      </c>
      <c r="H1081" s="16">
        <f>E1081*F1081</f>
        <v>315000</v>
      </c>
      <c r="I1081" s="16">
        <f>E1081*G1081</f>
        <v>700000</v>
      </c>
      <c r="J1081" s="16">
        <f>I1081-H1081</f>
        <v>385000</v>
      </c>
      <c r="K1081" s="16" t="str">
        <f>VLOOKUP(C1081,[1]master_data!$A$2:$E$495,5,FALSE)</f>
        <v>Ikan</v>
      </c>
      <c r="L1081" s="1"/>
    </row>
    <row r="1082" spans="1:12" ht="12" customHeight="1" x14ac:dyDescent="0.25">
      <c r="A1082" s="15">
        <v>45145</v>
      </c>
      <c r="B1082" s="16">
        <v>22301423</v>
      </c>
      <c r="C1082" s="16" t="s">
        <v>441</v>
      </c>
      <c r="D1082" s="16" t="str">
        <f>VLOOKUP(C1082,[1]master_data!$A$2:$E$495,2,FALSE)</f>
        <v>PALMAS</v>
      </c>
      <c r="E1082" s="16">
        <v>1</v>
      </c>
      <c r="F1082" s="16">
        <f>VLOOKUP(C1082,[1]master_data!$A$2:$E$495,3,FALSE)</f>
        <v>10000</v>
      </c>
      <c r="G1082" s="16">
        <f>VLOOKUP(C1082,[1]master_data!$A$2:$E$495,4,FALSE)</f>
        <v>25000</v>
      </c>
      <c r="H1082" s="16">
        <f>E1082*F1082</f>
        <v>10000</v>
      </c>
      <c r="I1082" s="16">
        <f>E1082*G1082</f>
        <v>25000</v>
      </c>
      <c r="J1082" s="16">
        <f>I1082-H1082</f>
        <v>15000</v>
      </c>
      <c r="K1082" s="16" t="str">
        <f>VLOOKUP(C1082,[1]master_data!$A$2:$E$495,5,FALSE)</f>
        <v>Ikan</v>
      </c>
      <c r="L1082" s="1"/>
    </row>
    <row r="1083" spans="1:12" ht="12" customHeight="1" x14ac:dyDescent="0.25">
      <c r="A1083" s="15">
        <v>45144</v>
      </c>
      <c r="B1083" s="16">
        <v>22301408</v>
      </c>
      <c r="C1083" s="16" t="s">
        <v>408</v>
      </c>
      <c r="D1083" s="16" t="str">
        <f>VLOOKUP(C1083,[1]master_data!$A$2:$E$495,2,FALSE)</f>
        <v>GUPY</v>
      </c>
      <c r="E1083" s="16">
        <v>10</v>
      </c>
      <c r="F1083" s="16">
        <f>VLOOKUP(C1083,[1]master_data!$A$2:$E$495,3,FALSE)</f>
        <v>1200</v>
      </c>
      <c r="G1083" s="16">
        <f>VLOOKUP(C1083,[1]master_data!$A$2:$E$495,4,FALSE)</f>
        <v>2500</v>
      </c>
      <c r="H1083" s="16">
        <f>E1083*F1083</f>
        <v>12000</v>
      </c>
      <c r="I1083" s="16">
        <f>E1083*G1083</f>
        <v>25000</v>
      </c>
      <c r="J1083" s="16">
        <f>I1083-H1083</f>
        <v>13000</v>
      </c>
      <c r="K1083" s="16" t="str">
        <f>VLOOKUP(C1083,[1]master_data!$A$2:$E$495,5,FALSE)</f>
        <v>Ikan</v>
      </c>
      <c r="L1083" s="1"/>
    </row>
    <row r="1084" spans="1:12" ht="12" customHeight="1" x14ac:dyDescent="0.25">
      <c r="A1084" s="15">
        <v>45144</v>
      </c>
      <c r="B1084" s="16">
        <v>22301409</v>
      </c>
      <c r="C1084" s="16" t="s">
        <v>419</v>
      </c>
      <c r="D1084" s="16" t="str">
        <f>VLOOKUP(C1084,[1]master_data!$A$2:$E$495,2,FALSE)</f>
        <v>KOMET PAKAN</v>
      </c>
      <c r="E1084" s="16">
        <v>45</v>
      </c>
      <c r="F1084" s="16">
        <f>VLOOKUP(C1084,[1]master_data!$A$2:$E$495,3,FALSE)</f>
        <v>300</v>
      </c>
      <c r="G1084" s="16">
        <f>VLOOKUP(C1084,[1]master_data!$A$2:$E$495,4,FALSE)</f>
        <v>1000</v>
      </c>
      <c r="H1084" s="16">
        <f>E1084*F1084</f>
        <v>13500</v>
      </c>
      <c r="I1084" s="16">
        <f>E1084*G1084</f>
        <v>45000</v>
      </c>
      <c r="J1084" s="16">
        <f>I1084-H1084</f>
        <v>31500</v>
      </c>
      <c r="K1084" s="16" t="str">
        <f>VLOOKUP(C1084,[1]master_data!$A$2:$E$495,5,FALSE)</f>
        <v>Ikan</v>
      </c>
      <c r="L1084" s="1"/>
    </row>
    <row r="1085" spans="1:12" ht="12" customHeight="1" x14ac:dyDescent="0.25">
      <c r="A1085" s="15">
        <v>45144</v>
      </c>
      <c r="B1085" s="16">
        <v>22301410</v>
      </c>
      <c r="C1085" s="16" t="s">
        <v>8</v>
      </c>
      <c r="D1085" s="16" t="str">
        <f>VLOOKUP(C1085,[1]master_data!$A$2:$E$495,2,FALSE)</f>
        <v>MESIN YANG 1800</v>
      </c>
      <c r="E1085" s="16">
        <v>2</v>
      </c>
      <c r="F1085" s="16">
        <f>VLOOKUP(C1085,[1]master_data!$A$2:$E$495,3,FALSE)</f>
        <v>75000</v>
      </c>
      <c r="G1085" s="16">
        <f>VLOOKUP(C1085,[1]master_data!$A$2:$E$495,4,FALSE)</f>
        <v>110000</v>
      </c>
      <c r="H1085" s="16">
        <f>E1085*F1085</f>
        <v>150000</v>
      </c>
      <c r="I1085" s="16">
        <f>E1085*G1085</f>
        <v>220000</v>
      </c>
      <c r="J1085" s="16">
        <f>I1085-H1085</f>
        <v>70000</v>
      </c>
      <c r="K1085" s="16" t="str">
        <f>VLOOKUP(C1085,[1]master_data!$A$2:$E$495,5,FALSE)</f>
        <v>Aksesoris</v>
      </c>
      <c r="L1085" s="1"/>
    </row>
    <row r="1086" spans="1:12" ht="12" customHeight="1" x14ac:dyDescent="0.25">
      <c r="A1086" s="15">
        <v>45144</v>
      </c>
      <c r="B1086" s="16">
        <v>22301411</v>
      </c>
      <c r="C1086" s="16" t="s">
        <v>82</v>
      </c>
      <c r="D1086" s="16" t="str">
        <f>VLOOKUP(C1086,[1]master_data!$A$2:$E$495,2,FALSE)</f>
        <v>TOP FILTER ARMADA K</v>
      </c>
      <c r="E1086" s="16">
        <v>2</v>
      </c>
      <c r="F1086" s="16">
        <f>VLOOKUP(C1086,[1]master_data!$A$2:$E$495,3,FALSE)</f>
        <v>33000</v>
      </c>
      <c r="G1086" s="16">
        <f>VLOOKUP(C1086,[1]master_data!$A$2:$E$495,4,FALSE)</f>
        <v>55000</v>
      </c>
      <c r="H1086" s="16">
        <f>E1086*F1086</f>
        <v>66000</v>
      </c>
      <c r="I1086" s="16">
        <f>E1086*G1086</f>
        <v>110000</v>
      </c>
      <c r="J1086" s="16">
        <f>I1086-H1086</f>
        <v>44000</v>
      </c>
      <c r="K1086" s="16" t="str">
        <f>VLOOKUP(C1086,[1]master_data!$A$2:$E$495,5,FALSE)</f>
        <v>Aksesoris</v>
      </c>
      <c r="L1086" s="1"/>
    </row>
    <row r="1087" spans="1:12" ht="12" customHeight="1" x14ac:dyDescent="0.25">
      <c r="A1087" s="15">
        <v>45144</v>
      </c>
      <c r="B1087" s="16">
        <v>22301412</v>
      </c>
      <c r="C1087" s="16" t="s">
        <v>458</v>
      </c>
      <c r="D1087" s="16" t="str">
        <f>VLOOKUP(C1087,[1]master_data!$A$2:$E$495,2,FALSE)</f>
        <v>ZEBRA KUNING</v>
      </c>
      <c r="E1087" s="16">
        <v>15</v>
      </c>
      <c r="F1087" s="16">
        <f>VLOOKUP(C1087,[1]master_data!$A$2:$E$495,3,FALSE)</f>
        <v>800</v>
      </c>
      <c r="G1087" s="16">
        <f>VLOOKUP(C1087,[1]master_data!$A$2:$E$495,4,FALSE)</f>
        <v>2000</v>
      </c>
      <c r="H1087" s="16">
        <f>E1087*F1087</f>
        <v>12000</v>
      </c>
      <c r="I1087" s="16">
        <f>E1087*G1087</f>
        <v>30000</v>
      </c>
      <c r="J1087" s="16">
        <f>I1087-H1087</f>
        <v>18000</v>
      </c>
      <c r="K1087" s="16" t="str">
        <f>VLOOKUP(C1087,[1]master_data!$A$2:$E$495,5,FALSE)</f>
        <v>Ikan</v>
      </c>
      <c r="L1087" s="1"/>
    </row>
    <row r="1088" spans="1:12" ht="12" customHeight="1" x14ac:dyDescent="0.25">
      <c r="A1088" s="15">
        <v>45144</v>
      </c>
      <c r="B1088" s="16">
        <v>22301413</v>
      </c>
      <c r="C1088" s="16" t="s">
        <v>439</v>
      </c>
      <c r="D1088" s="16" t="str">
        <f>VLOOKUP(C1088,[1]master_data!$A$2:$E$495,2,FALSE)</f>
        <v>PEMBERSIH KACA BIASA</v>
      </c>
      <c r="E1088" s="16">
        <v>25</v>
      </c>
      <c r="F1088" s="16">
        <f>VLOOKUP(C1088,[1]master_data!$A$2:$E$495,3,FALSE)</f>
        <v>2000</v>
      </c>
      <c r="G1088" s="16">
        <f>VLOOKUP(C1088,[1]master_data!$A$2:$E$495,4,FALSE)</f>
        <v>5000</v>
      </c>
      <c r="H1088" s="16">
        <f>E1088*F1088</f>
        <v>50000</v>
      </c>
      <c r="I1088" s="16">
        <f>E1088*G1088</f>
        <v>125000</v>
      </c>
      <c r="J1088" s="16">
        <f>I1088-H1088</f>
        <v>75000</v>
      </c>
      <c r="K1088" s="16" t="str">
        <f>VLOOKUP(C1088,[1]master_data!$A$2:$E$495,5,FALSE)</f>
        <v>Ikan</v>
      </c>
      <c r="L1088" s="1"/>
    </row>
    <row r="1089" spans="1:12" ht="12" customHeight="1" x14ac:dyDescent="0.25">
      <c r="A1089" s="15">
        <v>45144</v>
      </c>
      <c r="B1089" s="16">
        <v>22301414</v>
      </c>
      <c r="C1089" s="16" t="s">
        <v>299</v>
      </c>
      <c r="D1089" s="16" t="str">
        <f>VLOOKUP(C1089,[1]master_data!$A$2:$E$495,2,FALSE)</f>
        <v>MAINAN ANGEL SIMON</v>
      </c>
      <c r="E1089" s="16">
        <v>5</v>
      </c>
      <c r="F1089" s="16">
        <f>VLOOKUP(C1089,[1]master_data!$A$2:$E$495,3,FALSE)</f>
        <v>9000</v>
      </c>
      <c r="G1089" s="16">
        <f>VLOOKUP(C1089,[1]master_data!$A$2:$E$495,4,FALSE)</f>
        <v>18000</v>
      </c>
      <c r="H1089" s="16">
        <f>E1089*F1089</f>
        <v>45000</v>
      </c>
      <c r="I1089" s="16">
        <f>E1089*G1089</f>
        <v>90000</v>
      </c>
      <c r="J1089" s="16">
        <f>I1089-H1089</f>
        <v>45000</v>
      </c>
      <c r="K1089" s="16" t="str">
        <f>VLOOKUP(C1089,[1]master_data!$A$2:$E$495,5,FALSE)</f>
        <v>Aksesoris</v>
      </c>
      <c r="L1089" s="1"/>
    </row>
    <row r="1090" spans="1:12" ht="12" customHeight="1" x14ac:dyDescent="0.25">
      <c r="A1090" s="15">
        <v>45144</v>
      </c>
      <c r="B1090" s="16">
        <v>22301415</v>
      </c>
      <c r="C1090" s="16" t="s">
        <v>134</v>
      </c>
      <c r="D1090" s="16" t="str">
        <f>VLOOKUP(C1090,[1]master_data!$A$2:$E$495,2,FALSE)</f>
        <v>LED NIKITA NS 300</v>
      </c>
      <c r="E1090" s="16">
        <v>1</v>
      </c>
      <c r="F1090" s="16">
        <f>VLOOKUP(C1090,[1]master_data!$A$2:$E$495,3,FALSE)</f>
        <v>36000</v>
      </c>
      <c r="G1090" s="16">
        <f>VLOOKUP(C1090,[1]master_data!$A$2:$E$495,4,FALSE)</f>
        <v>55000</v>
      </c>
      <c r="H1090" s="16">
        <f>E1090*F1090</f>
        <v>36000</v>
      </c>
      <c r="I1090" s="16">
        <f>E1090*G1090</f>
        <v>55000</v>
      </c>
      <c r="J1090" s="16">
        <f>I1090-H1090</f>
        <v>19000</v>
      </c>
      <c r="K1090" s="16" t="str">
        <f>VLOOKUP(C1090,[1]master_data!$A$2:$E$495,5,FALSE)</f>
        <v>Aksesoris</v>
      </c>
      <c r="L1090" s="1"/>
    </row>
    <row r="1091" spans="1:12" ht="12" customHeight="1" x14ac:dyDescent="0.25">
      <c r="A1091" s="15">
        <v>45144</v>
      </c>
      <c r="B1091" s="16">
        <v>22301416</v>
      </c>
      <c r="C1091" s="16" t="s">
        <v>69</v>
      </c>
      <c r="D1091" s="16" t="str">
        <f>VLOOKUP(C1091,[1]master_data!$A$2:$E$495,2,FALSE)</f>
        <v>BIO FOAM L</v>
      </c>
      <c r="E1091" s="16">
        <v>1</v>
      </c>
      <c r="F1091" s="16">
        <f>VLOOKUP(C1091,[1]master_data!$A$2:$E$495,3,FALSE)</f>
        <v>22000</v>
      </c>
      <c r="G1091" s="16">
        <f>VLOOKUP(C1091,[1]master_data!$A$2:$E$495,4,FALSE)</f>
        <v>35000</v>
      </c>
      <c r="H1091" s="16">
        <f>E1091*F1091</f>
        <v>22000</v>
      </c>
      <c r="I1091" s="16">
        <f>E1091*G1091</f>
        <v>35000</v>
      </c>
      <c r="J1091" s="16">
        <f>I1091-H1091</f>
        <v>13000</v>
      </c>
      <c r="K1091" s="16" t="str">
        <f>VLOOKUP(C1091,[1]master_data!$A$2:$E$495,5,FALSE)</f>
        <v>Aksesoris</v>
      </c>
      <c r="L1091" s="1"/>
    </row>
    <row r="1092" spans="1:12" ht="12" customHeight="1" x14ac:dyDescent="0.25">
      <c r="A1092" s="15">
        <v>45144</v>
      </c>
      <c r="B1092" s="16">
        <v>22301417</v>
      </c>
      <c r="C1092" s="16" t="s">
        <v>79</v>
      </c>
      <c r="D1092" s="16" t="str">
        <f>VLOOKUP(C1092,[1]master_data!$A$2:$E$495,2,FALSE)</f>
        <v>MESIN KIYOSAKI 1600</v>
      </c>
      <c r="E1092" s="16">
        <v>1</v>
      </c>
      <c r="F1092" s="16">
        <f>VLOOKUP(C1092,[1]master_data!$A$2:$E$495,3,FALSE)</f>
        <v>35000</v>
      </c>
      <c r="G1092" s="16">
        <f>VLOOKUP(C1092,[1]master_data!$A$2:$E$495,4,FALSE)</f>
        <v>65000</v>
      </c>
      <c r="H1092" s="16">
        <f>E1092*F1092</f>
        <v>35000</v>
      </c>
      <c r="I1092" s="16">
        <f>E1092*G1092</f>
        <v>65000</v>
      </c>
      <c r="J1092" s="16">
        <f>I1092-H1092</f>
        <v>30000</v>
      </c>
      <c r="K1092" s="16" t="str">
        <f>VLOOKUP(C1092,[1]master_data!$A$2:$E$495,5,FALSE)</f>
        <v>Aksesoris</v>
      </c>
      <c r="L1092" s="1"/>
    </row>
    <row r="1093" spans="1:12" ht="12" customHeight="1" x14ac:dyDescent="0.25">
      <c r="A1093" s="15">
        <v>45144</v>
      </c>
      <c r="B1093" s="16">
        <v>22301418</v>
      </c>
      <c r="C1093" s="16" t="s">
        <v>318</v>
      </c>
      <c r="D1093" s="16" t="str">
        <f>VLOOKUP(C1093,[1]master_data!$A$2:$E$495,2,FALSE)</f>
        <v>KAPAS HIJAU HITAM</v>
      </c>
      <c r="E1093" s="16">
        <v>5</v>
      </c>
      <c r="F1093" s="16">
        <f>VLOOKUP(C1093,[1]master_data!$A$2:$E$495,3,FALSE)</f>
        <v>11000</v>
      </c>
      <c r="G1093" s="16">
        <f>VLOOKUP(C1093,[1]master_data!$A$2:$E$495,4,FALSE)</f>
        <v>15000</v>
      </c>
      <c r="H1093" s="16">
        <f>E1093*F1093</f>
        <v>55000</v>
      </c>
      <c r="I1093" s="16">
        <f>E1093*G1093</f>
        <v>75000</v>
      </c>
      <c r="J1093" s="16">
        <f>I1093-H1093</f>
        <v>20000</v>
      </c>
      <c r="K1093" s="16" t="str">
        <f>VLOOKUP(C1093,[1]master_data!$A$2:$E$495,5,FALSE)</f>
        <v>Aksesoris</v>
      </c>
      <c r="L1093" s="1"/>
    </row>
    <row r="1094" spans="1:12" ht="12" customHeight="1" x14ac:dyDescent="0.25">
      <c r="A1094" s="15">
        <v>45144</v>
      </c>
      <c r="B1094" s="16">
        <v>22301419</v>
      </c>
      <c r="C1094" s="16" t="s">
        <v>457</v>
      </c>
      <c r="D1094" s="16" t="str">
        <f>VLOOKUP(C1094,[1]master_data!$A$2:$E$495,2,FALSE)</f>
        <v>ZEBRA UNGU</v>
      </c>
      <c r="E1094" s="16">
        <v>30</v>
      </c>
      <c r="F1094" s="16">
        <f>VLOOKUP(C1094,[1]master_data!$A$2:$E$495,3,FALSE)</f>
        <v>800</v>
      </c>
      <c r="G1094" s="16">
        <f>VLOOKUP(C1094,[1]master_data!$A$2:$E$495,4,FALSE)</f>
        <v>2000</v>
      </c>
      <c r="H1094" s="16">
        <f>E1094*F1094</f>
        <v>24000</v>
      </c>
      <c r="I1094" s="16">
        <f>E1094*G1094</f>
        <v>60000</v>
      </c>
      <c r="J1094" s="16">
        <f>I1094-H1094</f>
        <v>36000</v>
      </c>
      <c r="K1094" s="16" t="str">
        <f>VLOOKUP(C1094,[1]master_data!$A$2:$E$495,5,FALSE)</f>
        <v>Ikan</v>
      </c>
      <c r="L1094" s="1"/>
    </row>
    <row r="1095" spans="1:12" ht="12" customHeight="1" x14ac:dyDescent="0.25">
      <c r="A1095" s="15">
        <v>45144</v>
      </c>
      <c r="B1095" s="16">
        <v>22301420</v>
      </c>
      <c r="C1095" s="16" t="s">
        <v>406</v>
      </c>
      <c r="D1095" s="16" t="str">
        <f>VLOOKUP(C1095,[1]master_data!$A$2:$E$495,2,FALSE)</f>
        <v>CATFISH</v>
      </c>
      <c r="E1095" s="16">
        <v>1</v>
      </c>
      <c r="F1095" s="16">
        <f>VLOOKUP(C1095,[1]master_data!$A$2:$E$495,3,FALSE)</f>
        <v>20000</v>
      </c>
      <c r="G1095" s="16">
        <f>VLOOKUP(C1095,[1]master_data!$A$2:$E$495,4,FALSE)</f>
        <v>50000</v>
      </c>
      <c r="H1095" s="16">
        <f>E1095*F1095</f>
        <v>20000</v>
      </c>
      <c r="I1095" s="16">
        <f>E1095*G1095</f>
        <v>50000</v>
      </c>
      <c r="J1095" s="16">
        <f>I1095-H1095</f>
        <v>30000</v>
      </c>
      <c r="K1095" s="16" t="str">
        <f>VLOOKUP(C1095,[1]master_data!$A$2:$E$495,5,FALSE)</f>
        <v>Ikan</v>
      </c>
      <c r="L1095" s="1"/>
    </row>
    <row r="1096" spans="1:12" ht="12" customHeight="1" x14ac:dyDescent="0.25">
      <c r="A1096" s="15">
        <v>45144</v>
      </c>
      <c r="B1096" s="16">
        <v>22301421</v>
      </c>
      <c r="C1096" s="16" t="s">
        <v>428</v>
      </c>
      <c r="D1096" s="16" t="str">
        <f>VLOOKUP(C1096,[1]master_data!$A$2:$E$495,2,FALSE)</f>
        <v>MANFISH K</v>
      </c>
      <c r="E1096" s="16">
        <v>100</v>
      </c>
      <c r="F1096" s="16">
        <f>VLOOKUP(C1096,[1]master_data!$A$2:$E$495,3,FALSE)</f>
        <v>2000</v>
      </c>
      <c r="G1096" s="16">
        <f>VLOOKUP(C1096,[1]master_data!$A$2:$E$495,4,FALSE)</f>
        <v>5000</v>
      </c>
      <c r="H1096" s="16">
        <f>E1096*F1096</f>
        <v>200000</v>
      </c>
      <c r="I1096" s="16">
        <f>E1096*G1096</f>
        <v>500000</v>
      </c>
      <c r="J1096" s="16">
        <f>I1096-H1096</f>
        <v>300000</v>
      </c>
      <c r="K1096" s="16" t="str">
        <f>VLOOKUP(C1096,[1]master_data!$A$2:$E$495,5,FALSE)</f>
        <v>Ikan</v>
      </c>
      <c r="L1096" s="1"/>
    </row>
    <row r="1097" spans="1:12" ht="12" customHeight="1" x14ac:dyDescent="0.25">
      <c r="A1097" s="15">
        <v>45143</v>
      </c>
      <c r="B1097" s="16">
        <v>22301402</v>
      </c>
      <c r="C1097" s="16" t="s">
        <v>18</v>
      </c>
      <c r="D1097" s="16" t="str">
        <f>VLOOKUP(C1097,[1]master_data!$A$2:$E$495,2,FALSE)</f>
        <v>MESIN YANG WAVE MAKER 200</v>
      </c>
      <c r="E1097" s="16">
        <v>1</v>
      </c>
      <c r="F1097" s="16">
        <f>VLOOKUP(C1097,[1]master_data!$A$2:$E$495,3,FALSE)</f>
        <v>118000</v>
      </c>
      <c r="G1097" s="16">
        <f>VLOOKUP(C1097,[1]master_data!$A$2:$E$495,4,FALSE)</f>
        <v>150000</v>
      </c>
      <c r="H1097" s="16">
        <f>E1097*F1097</f>
        <v>118000</v>
      </c>
      <c r="I1097" s="16">
        <f>E1097*G1097</f>
        <v>150000</v>
      </c>
      <c r="J1097" s="16">
        <f>I1097-H1097</f>
        <v>32000</v>
      </c>
      <c r="K1097" s="16" t="str">
        <f>VLOOKUP(C1097,[1]master_data!$A$2:$E$495,5,FALSE)</f>
        <v>Aksesoris</v>
      </c>
      <c r="L1097" s="1"/>
    </row>
    <row r="1098" spans="1:12" ht="12" customHeight="1" x14ac:dyDescent="0.25">
      <c r="A1098" s="15">
        <v>45143</v>
      </c>
      <c r="B1098" s="16">
        <v>22301403</v>
      </c>
      <c r="C1098" s="16" t="s">
        <v>414</v>
      </c>
      <c r="D1098" s="16" t="str">
        <f>VLOOKUP(C1098,[1]master_data!$A$2:$E$495,2,FALSE)</f>
        <v>KOI K</v>
      </c>
      <c r="E1098" s="16">
        <v>20</v>
      </c>
      <c r="F1098" s="16">
        <f>VLOOKUP(C1098,[1]master_data!$A$2:$E$495,3,FALSE)</f>
        <v>2500</v>
      </c>
      <c r="G1098" s="16">
        <f>VLOOKUP(C1098,[1]master_data!$A$2:$E$495,4,FALSE)</f>
        <v>10000</v>
      </c>
      <c r="H1098" s="16">
        <f>E1098*F1098</f>
        <v>50000</v>
      </c>
      <c r="I1098" s="16">
        <f>E1098*G1098</f>
        <v>200000</v>
      </c>
      <c r="J1098" s="16">
        <f>I1098-H1098</f>
        <v>150000</v>
      </c>
      <c r="K1098" s="16" t="str">
        <f>VLOOKUP(C1098,[1]master_data!$A$2:$E$495,5,FALSE)</f>
        <v>Ikan</v>
      </c>
      <c r="L1098" s="1"/>
    </row>
    <row r="1099" spans="1:12" ht="12" customHeight="1" x14ac:dyDescent="0.25">
      <c r="A1099" s="15">
        <v>45143</v>
      </c>
      <c r="B1099" s="16">
        <v>22301404</v>
      </c>
      <c r="C1099" s="16" t="s">
        <v>449</v>
      </c>
      <c r="D1099" s="16" t="str">
        <f>VLOOKUP(C1099,[1]master_data!$A$2:$E$495,2,FALSE)</f>
        <v>SUMATRA GOLD FISH</v>
      </c>
      <c r="E1099" s="16">
        <v>45</v>
      </c>
      <c r="F1099" s="16">
        <f>VLOOKUP(C1099,[1]master_data!$A$2:$E$495,3,FALSE)</f>
        <v>2500</v>
      </c>
      <c r="G1099" s="16">
        <f>VLOOKUP(C1099,[1]master_data!$A$2:$E$495,4,FALSE)</f>
        <v>4000</v>
      </c>
      <c r="H1099" s="16">
        <f>E1099*F1099</f>
        <v>112500</v>
      </c>
      <c r="I1099" s="16">
        <f>E1099*G1099</f>
        <v>180000</v>
      </c>
      <c r="J1099" s="16">
        <f>I1099-H1099</f>
        <v>67500</v>
      </c>
      <c r="K1099" s="16" t="str">
        <f>VLOOKUP(C1099,[1]master_data!$A$2:$E$495,5,FALSE)</f>
        <v>Ikan</v>
      </c>
      <c r="L1099" s="1"/>
    </row>
    <row r="1100" spans="1:12" ht="12" customHeight="1" x14ac:dyDescent="0.25">
      <c r="A1100" s="15">
        <v>45143</v>
      </c>
      <c r="B1100" s="16">
        <v>22301405</v>
      </c>
      <c r="C1100" s="16" t="s">
        <v>442</v>
      </c>
      <c r="D1100" s="16" t="str">
        <f>VLOOKUP(C1100,[1]master_data!$A$2:$E$495,2,FALSE)</f>
        <v>PARROT</v>
      </c>
      <c r="E1100" s="16">
        <v>5</v>
      </c>
      <c r="F1100" s="16">
        <f>VLOOKUP(C1100,[1]master_data!$A$2:$E$495,3,FALSE)</f>
        <v>27000</v>
      </c>
      <c r="G1100" s="16">
        <f>VLOOKUP(C1100,[1]master_data!$A$2:$E$495,4,FALSE)</f>
        <v>60000</v>
      </c>
      <c r="H1100" s="16">
        <f>E1100*F1100</f>
        <v>135000</v>
      </c>
      <c r="I1100" s="16">
        <f>E1100*G1100</f>
        <v>300000</v>
      </c>
      <c r="J1100" s="16">
        <f>I1100-H1100</f>
        <v>165000</v>
      </c>
      <c r="K1100" s="16" t="str">
        <f>VLOOKUP(C1100,[1]master_data!$A$2:$E$495,5,FALSE)</f>
        <v>Ikan</v>
      </c>
      <c r="L1100" s="1"/>
    </row>
    <row r="1101" spans="1:12" ht="12" customHeight="1" x14ac:dyDescent="0.25">
      <c r="A1101" s="15">
        <v>45143</v>
      </c>
      <c r="B1101" s="16">
        <v>22301406</v>
      </c>
      <c r="C1101" s="16" t="s">
        <v>248</v>
      </c>
      <c r="D1101" s="16" t="str">
        <f>VLOOKUP(C1101,[1]master_data!$A$2:$E$495,2,FALSE)</f>
        <v>AIRSTONE 80</v>
      </c>
      <c r="E1101" s="16">
        <v>2</v>
      </c>
      <c r="F1101" s="16">
        <f>VLOOKUP(C1101,[1]master_data!$A$2:$E$495,3,FALSE)</f>
        <v>14000</v>
      </c>
      <c r="G1101" s="16">
        <f>VLOOKUP(C1101,[1]master_data!$A$2:$E$495,4,FALSE)</f>
        <v>22000</v>
      </c>
      <c r="H1101" s="16">
        <f>E1101*F1101</f>
        <v>28000</v>
      </c>
      <c r="I1101" s="16">
        <f>E1101*G1101</f>
        <v>44000</v>
      </c>
      <c r="J1101" s="16">
        <f>I1101-H1101</f>
        <v>16000</v>
      </c>
      <c r="K1101" s="16" t="str">
        <f>VLOOKUP(C1101,[1]master_data!$A$2:$E$495,5,FALSE)</f>
        <v>Aksesoris</v>
      </c>
      <c r="L1101" s="1"/>
    </row>
    <row r="1102" spans="1:12" ht="12" customHeight="1" x14ac:dyDescent="0.25">
      <c r="A1102" s="15">
        <v>45143</v>
      </c>
      <c r="B1102" s="16">
        <v>22301407</v>
      </c>
      <c r="C1102" s="16" t="s">
        <v>428</v>
      </c>
      <c r="D1102" s="16" t="str">
        <f>VLOOKUP(C1102,[1]master_data!$A$2:$E$495,2,FALSE)</f>
        <v>MANFISH K</v>
      </c>
      <c r="E1102" s="16">
        <v>1</v>
      </c>
      <c r="F1102" s="16">
        <f>VLOOKUP(C1102,[1]master_data!$A$2:$E$495,3,FALSE)</f>
        <v>2000</v>
      </c>
      <c r="G1102" s="16">
        <f>VLOOKUP(C1102,[1]master_data!$A$2:$E$495,4,FALSE)</f>
        <v>5000</v>
      </c>
      <c r="H1102" s="16">
        <f>E1102*F1102</f>
        <v>2000</v>
      </c>
      <c r="I1102" s="16">
        <f>E1102*G1102</f>
        <v>5000</v>
      </c>
      <c r="J1102" s="16">
        <f>I1102-H1102</f>
        <v>3000</v>
      </c>
      <c r="K1102" s="16" t="str">
        <f>VLOOKUP(C1102,[1]master_data!$A$2:$E$495,5,FALSE)</f>
        <v>Ikan</v>
      </c>
      <c r="L1102" s="1"/>
    </row>
    <row r="1103" spans="1:12" ht="12" customHeight="1" x14ac:dyDescent="0.25">
      <c r="A1103" s="15">
        <v>45142</v>
      </c>
      <c r="B1103" s="16">
        <v>22301392</v>
      </c>
      <c r="C1103" s="16" t="s">
        <v>425</v>
      </c>
      <c r="D1103" s="16" t="str">
        <f>VLOOKUP(C1103,[1]master_data!$A$2:$E$495,2,FALSE)</f>
        <v>LEMON</v>
      </c>
      <c r="E1103" s="16">
        <v>10</v>
      </c>
      <c r="F1103" s="16">
        <f>VLOOKUP(C1103,[1]master_data!$A$2:$E$495,3,FALSE)</f>
        <v>1000</v>
      </c>
      <c r="G1103" s="16">
        <f>VLOOKUP(C1103,[1]master_data!$A$2:$E$495,4,FALSE)</f>
        <v>2000</v>
      </c>
      <c r="H1103" s="16">
        <f>E1103*F1103</f>
        <v>10000</v>
      </c>
      <c r="I1103" s="16">
        <f>E1103*G1103</f>
        <v>20000</v>
      </c>
      <c r="J1103" s="16">
        <f>I1103-H1103</f>
        <v>10000</v>
      </c>
      <c r="K1103" s="16" t="str">
        <f>VLOOKUP(C1103,[1]master_data!$A$2:$E$495,5,FALSE)</f>
        <v>Ikan</v>
      </c>
      <c r="L1103" s="1"/>
    </row>
    <row r="1104" spans="1:12" ht="12" customHeight="1" x14ac:dyDescent="0.25">
      <c r="A1104" s="15">
        <v>45142</v>
      </c>
      <c r="B1104" s="16">
        <v>22301393</v>
      </c>
      <c r="C1104" s="16" t="s">
        <v>431</v>
      </c>
      <c r="D1104" s="16" t="str">
        <f>VLOOKUP(C1104,[1]master_data!$A$2:$E$495,2,FALSE)</f>
        <v>MARU B</v>
      </c>
      <c r="E1104" s="16">
        <v>2</v>
      </c>
      <c r="F1104" s="16">
        <f>VLOOKUP(C1104,[1]master_data!$A$2:$E$495,3,FALSE)</f>
        <v>90000</v>
      </c>
      <c r="G1104" s="16">
        <f>VLOOKUP(C1104,[1]master_data!$A$2:$E$495,4,FALSE)</f>
        <v>150000</v>
      </c>
      <c r="H1104" s="16">
        <f>E1104*F1104</f>
        <v>180000</v>
      </c>
      <c r="I1104" s="16">
        <f>E1104*G1104</f>
        <v>300000</v>
      </c>
      <c r="J1104" s="16">
        <f>I1104-H1104</f>
        <v>120000</v>
      </c>
      <c r="K1104" s="16" t="str">
        <f>VLOOKUP(C1104,[1]master_data!$A$2:$E$495,5,FALSE)</f>
        <v>Ikan</v>
      </c>
      <c r="L1104" s="1"/>
    </row>
    <row r="1105" spans="1:12" ht="12" customHeight="1" x14ac:dyDescent="0.25">
      <c r="A1105" s="15">
        <v>45142</v>
      </c>
      <c r="B1105" s="16">
        <v>22301394</v>
      </c>
      <c r="C1105" s="16" t="s">
        <v>255</v>
      </c>
      <c r="D1105" s="16" t="str">
        <f>VLOOKUP(C1105,[1]master_data!$A$2:$E$495,2,FALSE)</f>
        <v>BILTS K</v>
      </c>
      <c r="E1105" s="16">
        <v>10</v>
      </c>
      <c r="F1105" s="16">
        <f>VLOOKUP(C1105,[1]master_data!$A$2:$E$495,3,FALSE)</f>
        <v>5000</v>
      </c>
      <c r="G1105" s="16">
        <f>VLOOKUP(C1105,[1]master_data!$A$2:$E$495,4,FALSE)</f>
        <v>7000</v>
      </c>
      <c r="H1105" s="16">
        <f>E1105*F1105</f>
        <v>50000</v>
      </c>
      <c r="I1105" s="16">
        <f>E1105*G1105</f>
        <v>70000</v>
      </c>
      <c r="J1105" s="16">
        <f>I1105-H1105</f>
        <v>20000</v>
      </c>
      <c r="K1105" s="16" t="str">
        <f>VLOOKUP(C1105,[1]master_data!$A$2:$E$495,5,FALSE)</f>
        <v>Aksesoris</v>
      </c>
      <c r="L1105" s="1"/>
    </row>
    <row r="1106" spans="1:12" ht="12" customHeight="1" x14ac:dyDescent="0.25">
      <c r="A1106" s="15">
        <v>45142</v>
      </c>
      <c r="B1106" s="16">
        <v>22301395</v>
      </c>
      <c r="C1106" s="16" t="s">
        <v>270</v>
      </c>
      <c r="D1106" s="16" t="str">
        <f>VLOOKUP(C1106,[1]master_data!$A$2:$E$495,2,FALSE)</f>
        <v>HEATER KACA 75 W</v>
      </c>
      <c r="E1106" s="16">
        <v>1</v>
      </c>
      <c r="F1106" s="16">
        <f>VLOOKUP(C1106,[1]master_data!$A$2:$E$495,3,FALSE)</f>
        <v>33000</v>
      </c>
      <c r="G1106" s="16">
        <f>VLOOKUP(C1106,[1]master_data!$A$2:$E$495,4,FALSE)</f>
        <v>50000</v>
      </c>
      <c r="H1106" s="16">
        <f>E1106*F1106</f>
        <v>33000</v>
      </c>
      <c r="I1106" s="16">
        <f>E1106*G1106</f>
        <v>50000</v>
      </c>
      <c r="J1106" s="16">
        <f>I1106-H1106</f>
        <v>17000</v>
      </c>
      <c r="K1106" s="16" t="str">
        <f>VLOOKUP(C1106,[1]master_data!$A$2:$E$495,5,FALSE)</f>
        <v>Aksesoris</v>
      </c>
      <c r="L1106" s="1"/>
    </row>
    <row r="1107" spans="1:12" ht="12" customHeight="1" x14ac:dyDescent="0.25">
      <c r="A1107" s="15">
        <v>45142</v>
      </c>
      <c r="B1107" s="16">
        <v>22301396</v>
      </c>
      <c r="C1107" s="16" t="s">
        <v>51</v>
      </c>
      <c r="D1107" s="16" t="str">
        <f>VLOOKUP(C1107,[1]master_data!$A$2:$E$495,2,FALSE)</f>
        <v>MESIN NIKITA SWI 203</v>
      </c>
      <c r="E1107" s="16">
        <v>2</v>
      </c>
      <c r="F1107" s="16">
        <f>VLOOKUP(C1107,[1]master_data!$A$2:$E$495,3,FALSE)</f>
        <v>35000</v>
      </c>
      <c r="G1107" s="16">
        <f>VLOOKUP(C1107,[1]master_data!$A$2:$E$495,4,FALSE)</f>
        <v>55000</v>
      </c>
      <c r="H1107" s="16">
        <f>E1107*F1107</f>
        <v>70000</v>
      </c>
      <c r="I1107" s="16">
        <f>E1107*G1107</f>
        <v>110000</v>
      </c>
      <c r="J1107" s="16">
        <f>I1107-H1107</f>
        <v>40000</v>
      </c>
      <c r="K1107" s="16" t="str">
        <f>VLOOKUP(C1107,[1]master_data!$A$2:$E$495,5,FALSE)</f>
        <v>Aksesoris</v>
      </c>
      <c r="L1107" s="1"/>
    </row>
    <row r="1108" spans="1:12" ht="12" customHeight="1" x14ac:dyDescent="0.25">
      <c r="A1108" s="15">
        <v>45142</v>
      </c>
      <c r="B1108" s="16">
        <v>22301397</v>
      </c>
      <c r="C1108" s="16" t="s">
        <v>98</v>
      </c>
      <c r="D1108" s="16" t="str">
        <f>VLOOKUP(C1108,[1]master_data!$A$2:$E$495,2,FALSE)</f>
        <v>MESIN AMARA 104</v>
      </c>
      <c r="E1108" s="16">
        <v>2</v>
      </c>
      <c r="F1108" s="16">
        <f>VLOOKUP(C1108,[1]master_data!$A$2:$E$495,3,FALSE)</f>
        <v>120000</v>
      </c>
      <c r="G1108" s="16">
        <f>VLOOKUP(C1108,[1]master_data!$A$2:$E$495,4,FALSE)</f>
        <v>160000</v>
      </c>
      <c r="H1108" s="16">
        <f>E1108*F1108</f>
        <v>240000</v>
      </c>
      <c r="I1108" s="16">
        <f>E1108*G1108</f>
        <v>320000</v>
      </c>
      <c r="J1108" s="16">
        <f>I1108-H1108</f>
        <v>80000</v>
      </c>
      <c r="K1108" s="16" t="str">
        <f>VLOOKUP(C1108,[1]master_data!$A$2:$E$495,5,FALSE)</f>
        <v>Aksesoris</v>
      </c>
      <c r="L1108" s="1"/>
    </row>
    <row r="1109" spans="1:12" ht="12" customHeight="1" x14ac:dyDescent="0.25">
      <c r="A1109" s="15">
        <v>45142</v>
      </c>
      <c r="B1109" s="16">
        <v>22301398</v>
      </c>
      <c r="C1109" s="16" t="s">
        <v>429</v>
      </c>
      <c r="D1109" s="16" t="str">
        <f>VLOOKUP(C1109,[1]master_data!$A$2:$E$495,2,FALSE)</f>
        <v>MANFISH B</v>
      </c>
      <c r="E1109" s="16">
        <v>20</v>
      </c>
      <c r="F1109" s="16">
        <f>VLOOKUP(C1109,[1]master_data!$A$2:$E$495,3,FALSE)</f>
        <v>4000</v>
      </c>
      <c r="G1109" s="16">
        <f>VLOOKUP(C1109,[1]master_data!$A$2:$E$495,4,FALSE)</f>
        <v>10000</v>
      </c>
      <c r="H1109" s="16">
        <f>E1109*F1109</f>
        <v>80000</v>
      </c>
      <c r="I1109" s="16">
        <f>E1109*G1109</f>
        <v>200000</v>
      </c>
      <c r="J1109" s="16">
        <f>I1109-H1109</f>
        <v>120000</v>
      </c>
      <c r="K1109" s="16" t="str">
        <f>VLOOKUP(C1109,[1]master_data!$A$2:$E$495,5,FALSE)</f>
        <v>Ikan</v>
      </c>
      <c r="L1109" s="1"/>
    </row>
    <row r="1110" spans="1:12" ht="12" customHeight="1" x14ac:dyDescent="0.25">
      <c r="A1110" s="15">
        <v>45142</v>
      </c>
      <c r="B1110" s="16">
        <v>22301399</v>
      </c>
      <c r="C1110" s="16" t="s">
        <v>440</v>
      </c>
      <c r="D1110" s="16" t="str">
        <f>VLOOKUP(C1110,[1]master_data!$A$2:$E$495,2,FALSE)</f>
        <v>PEMBERSIH KACA ALBINO</v>
      </c>
      <c r="E1110" s="16">
        <v>10</v>
      </c>
      <c r="F1110" s="16">
        <f>VLOOKUP(C1110,[1]master_data!$A$2:$E$495,3,FALSE)</f>
        <v>2500</v>
      </c>
      <c r="G1110" s="16">
        <f>VLOOKUP(C1110,[1]master_data!$A$2:$E$495,4,FALSE)</f>
        <v>5000</v>
      </c>
      <c r="H1110" s="16">
        <f>E1110*F1110</f>
        <v>25000</v>
      </c>
      <c r="I1110" s="16">
        <f>E1110*G1110</f>
        <v>50000</v>
      </c>
      <c r="J1110" s="16">
        <f>I1110-H1110</f>
        <v>25000</v>
      </c>
      <c r="K1110" s="16" t="str">
        <f>VLOOKUP(C1110,[1]master_data!$A$2:$E$495,5,FALSE)</f>
        <v>Ikan</v>
      </c>
      <c r="L1110" s="1"/>
    </row>
    <row r="1111" spans="1:12" ht="12" customHeight="1" x14ac:dyDescent="0.25">
      <c r="A1111" s="15">
        <v>45142</v>
      </c>
      <c r="B1111" s="16">
        <v>22301400</v>
      </c>
      <c r="C1111" s="16" t="s">
        <v>408</v>
      </c>
      <c r="D1111" s="16" t="str">
        <f>VLOOKUP(C1111,[1]master_data!$A$2:$E$495,2,FALSE)</f>
        <v>GUPY</v>
      </c>
      <c r="E1111" s="16">
        <v>1</v>
      </c>
      <c r="F1111" s="16">
        <f>VLOOKUP(C1111,[1]master_data!$A$2:$E$495,3,FALSE)</f>
        <v>1200</v>
      </c>
      <c r="G1111" s="16">
        <f>VLOOKUP(C1111,[1]master_data!$A$2:$E$495,4,FALSE)</f>
        <v>2500</v>
      </c>
      <c r="H1111" s="16">
        <f>E1111*F1111</f>
        <v>1200</v>
      </c>
      <c r="I1111" s="16">
        <f>E1111*G1111</f>
        <v>2500</v>
      </c>
      <c r="J1111" s="16">
        <f>I1111-H1111</f>
        <v>1300</v>
      </c>
      <c r="K1111" s="16" t="str">
        <f>VLOOKUP(C1111,[1]master_data!$A$2:$E$495,5,FALSE)</f>
        <v>Ikan</v>
      </c>
      <c r="L1111" s="1"/>
    </row>
    <row r="1112" spans="1:12" ht="12" customHeight="1" x14ac:dyDescent="0.25">
      <c r="A1112" s="15">
        <v>45142</v>
      </c>
      <c r="B1112" s="16">
        <v>22301401</v>
      </c>
      <c r="C1112" s="16" t="s">
        <v>428</v>
      </c>
      <c r="D1112" s="16" t="str">
        <f>VLOOKUP(C1112,[1]master_data!$A$2:$E$495,2,FALSE)</f>
        <v>MANFISH K</v>
      </c>
      <c r="E1112" s="16">
        <v>1</v>
      </c>
      <c r="F1112" s="16">
        <f>VLOOKUP(C1112,[1]master_data!$A$2:$E$495,3,FALSE)</f>
        <v>2000</v>
      </c>
      <c r="G1112" s="16">
        <f>VLOOKUP(C1112,[1]master_data!$A$2:$E$495,4,FALSE)</f>
        <v>5000</v>
      </c>
      <c r="H1112" s="16">
        <f>E1112*F1112</f>
        <v>2000</v>
      </c>
      <c r="I1112" s="16">
        <f>E1112*G1112</f>
        <v>5000</v>
      </c>
      <c r="J1112" s="16">
        <f>I1112-H1112</f>
        <v>3000</v>
      </c>
      <c r="K1112" s="16" t="str">
        <f>VLOOKUP(C1112,[1]master_data!$A$2:$E$495,5,FALSE)</f>
        <v>Ikan</v>
      </c>
      <c r="L1112" s="1"/>
    </row>
    <row r="1113" spans="1:12" ht="12" customHeight="1" x14ac:dyDescent="0.25">
      <c r="A1113" s="15">
        <v>45141</v>
      </c>
      <c r="B1113" s="16">
        <v>22301388</v>
      </c>
      <c r="C1113" s="16" t="s">
        <v>420</v>
      </c>
      <c r="D1113" s="16" t="str">
        <f>VLOOKUP(C1113,[1]master_data!$A$2:$E$495,2,FALSE)</f>
        <v>KOMET SLAYER</v>
      </c>
      <c r="E1113" s="16">
        <v>25</v>
      </c>
      <c r="F1113" s="16">
        <f>VLOOKUP(C1113,[1]master_data!$A$2:$E$495,3,FALSE)</f>
        <v>2000</v>
      </c>
      <c r="G1113" s="16">
        <f>VLOOKUP(C1113,[1]master_data!$A$2:$E$495,4,FALSE)</f>
        <v>5000</v>
      </c>
      <c r="H1113" s="16">
        <f>E1113*F1113</f>
        <v>50000</v>
      </c>
      <c r="I1113" s="16">
        <f>E1113*G1113</f>
        <v>125000</v>
      </c>
      <c r="J1113" s="16">
        <f>I1113-H1113</f>
        <v>75000</v>
      </c>
      <c r="K1113" s="16" t="str">
        <f>VLOOKUP(C1113,[1]master_data!$A$2:$E$495,5,FALSE)</f>
        <v>Ikan</v>
      </c>
      <c r="L1113" s="1"/>
    </row>
    <row r="1114" spans="1:12" ht="12" customHeight="1" x14ac:dyDescent="0.25">
      <c r="A1114" s="15">
        <v>45141</v>
      </c>
      <c r="B1114" s="16">
        <v>22301389</v>
      </c>
      <c r="C1114" s="16" t="s">
        <v>390</v>
      </c>
      <c r="D1114" s="16" t="str">
        <f>VLOOKUP(C1114,[1]master_data!$A$2:$E$495,2,FALSE)</f>
        <v>CHANNA ASIATICA B</v>
      </c>
      <c r="E1114" s="16">
        <v>5</v>
      </c>
      <c r="F1114" s="16">
        <f>VLOOKUP(C1114,[1]master_data!$A$2:$E$495,3,FALSE)</f>
        <v>40000</v>
      </c>
      <c r="G1114" s="16">
        <f>VLOOKUP(C1114,[1]master_data!$A$2:$E$495,4,FALSE)</f>
        <v>100000</v>
      </c>
      <c r="H1114" s="16">
        <f>E1114*F1114</f>
        <v>200000</v>
      </c>
      <c r="I1114" s="16">
        <f>E1114*G1114</f>
        <v>500000</v>
      </c>
      <c r="J1114" s="16">
        <f>I1114-H1114</f>
        <v>300000</v>
      </c>
      <c r="K1114" s="16" t="str">
        <f>VLOOKUP(C1114,[1]master_data!$A$2:$E$495,5,FALSE)</f>
        <v>Ikan</v>
      </c>
      <c r="L1114" s="1"/>
    </row>
    <row r="1115" spans="1:12" ht="12" customHeight="1" x14ac:dyDescent="0.25">
      <c r="A1115" s="15">
        <v>45141</v>
      </c>
      <c r="B1115" s="16">
        <v>22301390</v>
      </c>
      <c r="C1115" s="16" t="s">
        <v>445</v>
      </c>
      <c r="D1115" s="16" t="str">
        <f>VLOOKUP(C1115,[1]master_data!$A$2:$E$495,2,FALSE)</f>
        <v>REDFIN ALBINO</v>
      </c>
      <c r="E1115" s="16">
        <v>21</v>
      </c>
      <c r="F1115" s="16">
        <f>VLOOKUP(C1115,[1]master_data!$A$2:$E$495,3,FALSE)</f>
        <v>1500</v>
      </c>
      <c r="G1115" s="16">
        <f>VLOOKUP(C1115,[1]master_data!$A$2:$E$495,4,FALSE)</f>
        <v>4000</v>
      </c>
      <c r="H1115" s="16">
        <f>E1115*F1115</f>
        <v>31500</v>
      </c>
      <c r="I1115" s="16">
        <f>E1115*G1115</f>
        <v>84000</v>
      </c>
      <c r="J1115" s="16">
        <f>I1115-H1115</f>
        <v>52500</v>
      </c>
      <c r="K1115" s="16" t="str">
        <f>VLOOKUP(C1115,[1]master_data!$A$2:$E$495,5,FALSE)</f>
        <v>Ikan</v>
      </c>
      <c r="L1115" s="1"/>
    </row>
    <row r="1116" spans="1:12" ht="12" customHeight="1" x14ac:dyDescent="0.25">
      <c r="A1116" s="15">
        <v>45141</v>
      </c>
      <c r="B1116" s="16">
        <v>22301391</v>
      </c>
      <c r="C1116" s="16" t="s">
        <v>111</v>
      </c>
      <c r="D1116" s="16" t="str">
        <f>VLOOKUP(C1116,[1]master_data!$A$2:$E$495,2,FALSE)</f>
        <v>AIRATOR KIYOSAKI LUB 2</v>
      </c>
      <c r="E1116" s="16">
        <v>1</v>
      </c>
      <c r="F1116" s="16">
        <f>VLOOKUP(C1116,[1]master_data!$A$2:$E$495,3,FALSE)</f>
        <v>29000</v>
      </c>
      <c r="G1116" s="16">
        <f>VLOOKUP(C1116,[1]master_data!$A$2:$E$495,4,FALSE)</f>
        <v>50000</v>
      </c>
      <c r="H1116" s="16">
        <f>E1116*F1116</f>
        <v>29000</v>
      </c>
      <c r="I1116" s="16">
        <f>E1116*G1116</f>
        <v>50000</v>
      </c>
      <c r="J1116" s="16">
        <f>I1116-H1116</f>
        <v>21000</v>
      </c>
      <c r="K1116" s="16" t="str">
        <f>VLOOKUP(C1116,[1]master_data!$A$2:$E$495,5,FALSE)</f>
        <v>Aksesoris</v>
      </c>
      <c r="L1116" s="1"/>
    </row>
    <row r="1117" spans="1:12" ht="12" customHeight="1" x14ac:dyDescent="0.25">
      <c r="A1117" s="15">
        <v>45140</v>
      </c>
      <c r="B1117" s="16">
        <v>22301379</v>
      </c>
      <c r="C1117" s="16" t="s">
        <v>452</v>
      </c>
      <c r="D1117" s="16" t="str">
        <f>VLOOKUP(C1117,[1]master_data!$A$2:$E$495,2,FALSE)</f>
        <v>SYNODONTI B</v>
      </c>
      <c r="E1117" s="16">
        <v>20</v>
      </c>
      <c r="F1117" s="16">
        <f>VLOOKUP(C1117,[1]master_data!$A$2:$E$495,3,FALSE)</f>
        <v>4000</v>
      </c>
      <c r="G1117" s="16">
        <f>VLOOKUP(C1117,[1]master_data!$A$2:$E$495,4,FALSE)</f>
        <v>10000</v>
      </c>
      <c r="H1117" s="16">
        <f>E1117*F1117</f>
        <v>80000</v>
      </c>
      <c r="I1117" s="16">
        <f>E1117*G1117</f>
        <v>200000</v>
      </c>
      <c r="J1117" s="16">
        <f>I1117-H1117</f>
        <v>120000</v>
      </c>
      <c r="K1117" s="16" t="str">
        <f>VLOOKUP(C1117,[1]master_data!$A$2:$E$495,5,FALSE)</f>
        <v>Ikan</v>
      </c>
      <c r="L1117" s="1"/>
    </row>
    <row r="1118" spans="1:12" ht="12" customHeight="1" x14ac:dyDescent="0.25">
      <c r="A1118" s="15">
        <v>45140</v>
      </c>
      <c r="B1118" s="16">
        <v>22301380</v>
      </c>
      <c r="C1118" s="16" t="s">
        <v>453</v>
      </c>
      <c r="D1118" s="16" t="str">
        <f>VLOOKUP(C1118,[1]master_data!$A$2:$E$495,2,FALSE)</f>
        <v>TETRA</v>
      </c>
      <c r="E1118" s="16">
        <v>20</v>
      </c>
      <c r="F1118" s="16">
        <f>VLOOKUP(C1118,[1]master_data!$A$2:$E$495,3,FALSE)</f>
        <v>800</v>
      </c>
      <c r="G1118" s="16">
        <f>VLOOKUP(C1118,[1]master_data!$A$2:$E$495,4,FALSE)</f>
        <v>2000</v>
      </c>
      <c r="H1118" s="16">
        <f>E1118*F1118</f>
        <v>16000</v>
      </c>
      <c r="I1118" s="16">
        <f>E1118*G1118</f>
        <v>40000</v>
      </c>
      <c r="J1118" s="16">
        <f>I1118-H1118</f>
        <v>24000</v>
      </c>
      <c r="K1118" s="16" t="str">
        <f>VLOOKUP(C1118,[1]master_data!$A$2:$E$495,5,FALSE)</f>
        <v>Ikan</v>
      </c>
      <c r="L1118" s="1"/>
    </row>
    <row r="1119" spans="1:12" ht="12" customHeight="1" x14ac:dyDescent="0.25">
      <c r="A1119" s="15">
        <v>45140</v>
      </c>
      <c r="B1119" s="16">
        <v>22301381</v>
      </c>
      <c r="C1119" s="16" t="s">
        <v>400</v>
      </c>
      <c r="D1119" s="16" t="str">
        <f>VLOOKUP(C1119,[1]master_data!$A$2:$E$495,2,FALSE)</f>
        <v>BLACK GHOST</v>
      </c>
      <c r="E1119" s="16">
        <v>10</v>
      </c>
      <c r="F1119" s="16">
        <f>VLOOKUP(C1119,[1]master_data!$A$2:$E$495,3,FALSE)</f>
        <v>4000</v>
      </c>
      <c r="G1119" s="16">
        <f>VLOOKUP(C1119,[1]master_data!$A$2:$E$495,4,FALSE)</f>
        <v>10000</v>
      </c>
      <c r="H1119" s="16">
        <f>E1119*F1119</f>
        <v>40000</v>
      </c>
      <c r="I1119" s="16">
        <f>E1119*G1119</f>
        <v>100000</v>
      </c>
      <c r="J1119" s="16">
        <f>I1119-H1119</f>
        <v>60000</v>
      </c>
      <c r="K1119" s="16" t="str">
        <f>VLOOKUP(C1119,[1]master_data!$A$2:$E$495,5,FALSE)</f>
        <v>Ikan</v>
      </c>
      <c r="L1119" s="1"/>
    </row>
    <row r="1120" spans="1:12" ht="12" customHeight="1" x14ac:dyDescent="0.25">
      <c r="A1120" s="15">
        <v>45140</v>
      </c>
      <c r="B1120" s="16">
        <v>22301382</v>
      </c>
      <c r="C1120" s="16" t="s">
        <v>407</v>
      </c>
      <c r="D1120" s="16" t="str">
        <f>VLOOKUP(C1120,[1]master_data!$A$2:$E$495,2,FALSE)</f>
        <v>GOLD FISH</v>
      </c>
      <c r="E1120" s="16">
        <v>30</v>
      </c>
      <c r="F1120" s="16">
        <f>VLOOKUP(C1120,[1]master_data!$A$2:$E$495,3,FALSE)</f>
        <v>800</v>
      </c>
      <c r="G1120" s="16">
        <f>VLOOKUP(C1120,[1]master_data!$A$2:$E$495,4,FALSE)</f>
        <v>2000</v>
      </c>
      <c r="H1120" s="16">
        <f>E1120*F1120</f>
        <v>24000</v>
      </c>
      <c r="I1120" s="16">
        <f>E1120*G1120</f>
        <v>60000</v>
      </c>
      <c r="J1120" s="16">
        <f>I1120-H1120</f>
        <v>36000</v>
      </c>
      <c r="K1120" s="16" t="str">
        <f>VLOOKUP(C1120,[1]master_data!$A$2:$E$495,5,FALSE)</f>
        <v>Ikan</v>
      </c>
      <c r="L1120" s="1"/>
    </row>
    <row r="1121" spans="1:12" ht="12" customHeight="1" x14ac:dyDescent="0.25">
      <c r="A1121" s="15">
        <v>45140</v>
      </c>
      <c r="B1121" s="16">
        <v>22301383</v>
      </c>
      <c r="C1121" s="16" t="s">
        <v>451</v>
      </c>
      <c r="D1121" s="16" t="str">
        <f>VLOOKUP(C1121,[1]master_data!$A$2:$E$495,2,FALSE)</f>
        <v>SYNODONTIS K</v>
      </c>
      <c r="E1121" s="16">
        <v>25</v>
      </c>
      <c r="F1121" s="16">
        <f>VLOOKUP(C1121,[1]master_data!$A$2:$E$495,3,FALSE)</f>
        <v>1500</v>
      </c>
      <c r="G1121" s="16">
        <f>VLOOKUP(C1121,[1]master_data!$A$2:$E$495,4,FALSE)</f>
        <v>5000</v>
      </c>
      <c r="H1121" s="16">
        <f>E1121*F1121</f>
        <v>37500</v>
      </c>
      <c r="I1121" s="16">
        <f>E1121*G1121</f>
        <v>125000</v>
      </c>
      <c r="J1121" s="16">
        <f>I1121-H1121</f>
        <v>87500</v>
      </c>
      <c r="K1121" s="16" t="str">
        <f>VLOOKUP(C1121,[1]master_data!$A$2:$E$495,5,FALSE)</f>
        <v>Ikan</v>
      </c>
      <c r="L1121" s="1"/>
    </row>
    <row r="1122" spans="1:12" ht="12" customHeight="1" x14ac:dyDescent="0.25">
      <c r="A1122" s="15">
        <v>45140</v>
      </c>
      <c r="B1122" s="16">
        <v>22301384</v>
      </c>
      <c r="C1122" s="16" t="s">
        <v>188</v>
      </c>
      <c r="D1122" s="16" t="str">
        <f>VLOOKUP(C1122,[1]master_data!$A$2:$E$495,2,FALSE)</f>
        <v>LED KANDILA PRO RED ECO 30 CM</v>
      </c>
      <c r="E1122" s="16">
        <v>1</v>
      </c>
      <c r="F1122" s="16">
        <f>VLOOKUP(C1122,[1]master_data!$A$2:$E$495,3,FALSE)</f>
        <v>40000</v>
      </c>
      <c r="G1122" s="16">
        <f>VLOOKUP(C1122,[1]master_data!$A$2:$E$495,4,FALSE)</f>
        <v>60000</v>
      </c>
      <c r="H1122" s="16">
        <f>E1122*F1122</f>
        <v>40000</v>
      </c>
      <c r="I1122" s="16">
        <f>E1122*G1122</f>
        <v>60000</v>
      </c>
      <c r="J1122" s="16">
        <f>I1122-H1122</f>
        <v>20000</v>
      </c>
      <c r="K1122" s="16" t="str">
        <f>VLOOKUP(C1122,[1]master_data!$A$2:$E$495,5,FALSE)</f>
        <v>Aksesoris</v>
      </c>
      <c r="L1122" s="1"/>
    </row>
    <row r="1123" spans="1:12" ht="12" customHeight="1" x14ac:dyDescent="0.25">
      <c r="A1123" s="15">
        <v>45140</v>
      </c>
      <c r="B1123" s="16">
        <v>22301385</v>
      </c>
      <c r="C1123" s="16" t="s">
        <v>204</v>
      </c>
      <c r="D1123" s="16" t="str">
        <f>VLOOKUP(C1123,[1]master_data!$A$2:$E$495,2,FALSE)</f>
        <v>HOKKY 3 IN 1</v>
      </c>
      <c r="E1123" s="16">
        <v>5</v>
      </c>
      <c r="F1123" s="16">
        <f>VLOOKUP(C1123,[1]master_data!$A$2:$E$495,3,FALSE)</f>
        <v>20000</v>
      </c>
      <c r="G1123" s="16">
        <f>VLOOKUP(C1123,[1]master_data!$A$2:$E$495,4,FALSE)</f>
        <v>30000</v>
      </c>
      <c r="H1123" s="16">
        <f>E1123*F1123</f>
        <v>100000</v>
      </c>
      <c r="I1123" s="16">
        <f>E1123*G1123</f>
        <v>150000</v>
      </c>
      <c r="J1123" s="16">
        <f>I1123-H1123</f>
        <v>50000</v>
      </c>
      <c r="K1123" s="16" t="str">
        <f>VLOOKUP(C1123,[1]master_data!$A$2:$E$495,5,FALSE)</f>
        <v>Aksesoris</v>
      </c>
      <c r="L1123" s="1"/>
    </row>
    <row r="1124" spans="1:12" ht="12" customHeight="1" x14ac:dyDescent="0.25">
      <c r="A1124" s="15">
        <v>45140</v>
      </c>
      <c r="B1124" s="16">
        <v>22301386</v>
      </c>
      <c r="C1124" s="16" t="s">
        <v>215</v>
      </c>
      <c r="D1124" s="16" t="str">
        <f>VLOOKUP(C1124,[1]master_data!$A$2:$E$495,2,FALSE)</f>
        <v>AKARI PREMIUM RED PARROT</v>
      </c>
      <c r="E1124" s="16">
        <v>1</v>
      </c>
      <c r="F1124" s="16">
        <f>VLOOKUP(C1124,[1]master_data!$A$2:$E$495,3,FALSE)</f>
        <v>33000</v>
      </c>
      <c r="G1124" s="16">
        <f>VLOOKUP(C1124,[1]master_data!$A$2:$E$495,4,FALSE)</f>
        <v>50000</v>
      </c>
      <c r="H1124" s="16">
        <f>E1124*F1124</f>
        <v>33000</v>
      </c>
      <c r="I1124" s="16">
        <f>E1124*G1124</f>
        <v>50000</v>
      </c>
      <c r="J1124" s="16">
        <f>I1124-H1124</f>
        <v>17000</v>
      </c>
      <c r="K1124" s="16" t="str">
        <f>VLOOKUP(C1124,[1]master_data!$A$2:$E$495,5,FALSE)</f>
        <v>Aksesoris</v>
      </c>
      <c r="L1124" s="1"/>
    </row>
    <row r="1125" spans="1:12" ht="12" customHeight="1" x14ac:dyDescent="0.25">
      <c r="A1125" s="15">
        <v>45140</v>
      </c>
      <c r="B1125" s="16">
        <v>22301387</v>
      </c>
      <c r="C1125" s="16" t="s">
        <v>364</v>
      </c>
      <c r="D1125" s="16" t="str">
        <f>VLOOKUP(C1125,[1]master_data!$A$2:$E$495,2,FALSE)</f>
        <v>AKUARIUM 50 ROBOT</v>
      </c>
      <c r="E1125" s="16">
        <v>1</v>
      </c>
      <c r="F1125" s="16">
        <f>VLOOKUP(C1125,[1]master_data!$A$2:$E$495,3,FALSE)</f>
        <v>115000</v>
      </c>
      <c r="G1125" s="16">
        <f>VLOOKUP(C1125,[1]master_data!$A$2:$E$495,4,FALSE)</f>
        <v>165000</v>
      </c>
      <c r="H1125" s="16">
        <f>E1125*F1125</f>
        <v>115000</v>
      </c>
      <c r="I1125" s="16">
        <f>E1125*G1125</f>
        <v>165000</v>
      </c>
      <c r="J1125" s="16">
        <f>I1125-H1125</f>
        <v>50000</v>
      </c>
      <c r="K1125" s="16" t="str">
        <f>VLOOKUP(C1125,[1]master_data!$A$2:$E$495,5,FALSE)</f>
        <v>Aksesoris</v>
      </c>
      <c r="L1125" s="1"/>
    </row>
    <row r="1126" spans="1:12" ht="12" customHeight="1" x14ac:dyDescent="0.25">
      <c r="A1126" s="15">
        <v>45139</v>
      </c>
      <c r="B1126" s="16">
        <v>22301372</v>
      </c>
      <c r="C1126" s="16" t="s">
        <v>420</v>
      </c>
      <c r="D1126" s="16" t="str">
        <f>VLOOKUP(C1126,[1]master_data!$A$2:$E$495,2,FALSE)</f>
        <v>KOMET SLAYER</v>
      </c>
      <c r="E1126" s="16">
        <v>25</v>
      </c>
      <c r="F1126" s="16">
        <f>VLOOKUP(C1126,[1]master_data!$A$2:$E$495,3,FALSE)</f>
        <v>2000</v>
      </c>
      <c r="G1126" s="16">
        <f>VLOOKUP(C1126,[1]master_data!$A$2:$E$495,4,FALSE)</f>
        <v>5000</v>
      </c>
      <c r="H1126" s="16">
        <f>E1126*F1126</f>
        <v>50000</v>
      </c>
      <c r="I1126" s="16">
        <f>E1126*G1126</f>
        <v>125000</v>
      </c>
      <c r="J1126" s="16">
        <f>I1126-H1126</f>
        <v>75000</v>
      </c>
      <c r="K1126" s="16" t="str">
        <f>VLOOKUP(C1126,[1]master_data!$A$2:$E$495,5,FALSE)</f>
        <v>Ikan</v>
      </c>
      <c r="L1126" s="1"/>
    </row>
    <row r="1127" spans="1:12" ht="12" customHeight="1" x14ac:dyDescent="0.25">
      <c r="A1127" s="15">
        <v>45139</v>
      </c>
      <c r="B1127" s="16">
        <v>22301373</v>
      </c>
      <c r="C1127" s="16" t="s">
        <v>400</v>
      </c>
      <c r="D1127" s="16" t="str">
        <f>VLOOKUP(C1127,[1]master_data!$A$2:$E$495,2,FALSE)</f>
        <v>BLACK GHOST</v>
      </c>
      <c r="E1127" s="16">
        <v>20</v>
      </c>
      <c r="F1127" s="16">
        <f>VLOOKUP(C1127,[1]master_data!$A$2:$E$495,3,FALSE)</f>
        <v>4000</v>
      </c>
      <c r="G1127" s="16">
        <f>VLOOKUP(C1127,[1]master_data!$A$2:$E$495,4,FALSE)</f>
        <v>10000</v>
      </c>
      <c r="H1127" s="16">
        <f>E1127*F1127</f>
        <v>80000</v>
      </c>
      <c r="I1127" s="16">
        <f>E1127*G1127</f>
        <v>200000</v>
      </c>
      <c r="J1127" s="16">
        <f>I1127-H1127</f>
        <v>120000</v>
      </c>
      <c r="K1127" s="16" t="str">
        <f>VLOOKUP(C1127,[1]master_data!$A$2:$E$495,5,FALSE)</f>
        <v>Ikan</v>
      </c>
      <c r="L1127" s="1"/>
    </row>
    <row r="1128" spans="1:12" ht="12" customHeight="1" x14ac:dyDescent="0.25">
      <c r="A1128" s="15">
        <v>45139</v>
      </c>
      <c r="B1128" s="16">
        <v>22301374</v>
      </c>
      <c r="C1128" s="16" t="s">
        <v>451</v>
      </c>
      <c r="D1128" s="16" t="str">
        <f>VLOOKUP(C1128,[1]master_data!$A$2:$E$495,2,FALSE)</f>
        <v>SYNODONTIS K</v>
      </c>
      <c r="E1128" s="16">
        <v>10</v>
      </c>
      <c r="F1128" s="16">
        <f>VLOOKUP(C1128,[1]master_data!$A$2:$E$495,3,FALSE)</f>
        <v>1500</v>
      </c>
      <c r="G1128" s="16">
        <f>VLOOKUP(C1128,[1]master_data!$A$2:$E$495,4,FALSE)</f>
        <v>5000</v>
      </c>
      <c r="H1128" s="16">
        <f>E1128*F1128</f>
        <v>15000</v>
      </c>
      <c r="I1128" s="16">
        <f>E1128*G1128</f>
        <v>50000</v>
      </c>
      <c r="J1128" s="16">
        <f>I1128-H1128</f>
        <v>35000</v>
      </c>
      <c r="K1128" s="16" t="str">
        <f>VLOOKUP(C1128,[1]master_data!$A$2:$E$495,5,FALSE)</f>
        <v>Ikan</v>
      </c>
      <c r="L1128" s="1"/>
    </row>
    <row r="1129" spans="1:12" ht="12" customHeight="1" x14ac:dyDescent="0.25">
      <c r="A1129" s="15">
        <v>45139</v>
      </c>
      <c r="B1129" s="16">
        <v>22301375</v>
      </c>
      <c r="C1129" s="16" t="s">
        <v>449</v>
      </c>
      <c r="D1129" s="16" t="str">
        <f>VLOOKUP(C1129,[1]master_data!$A$2:$E$495,2,FALSE)</f>
        <v>SUMATRA GOLD FISH</v>
      </c>
      <c r="E1129" s="16">
        <v>15</v>
      </c>
      <c r="F1129" s="16">
        <f>VLOOKUP(C1129,[1]master_data!$A$2:$E$495,3,FALSE)</f>
        <v>2500</v>
      </c>
      <c r="G1129" s="16">
        <f>VLOOKUP(C1129,[1]master_data!$A$2:$E$495,4,FALSE)</f>
        <v>4000</v>
      </c>
      <c r="H1129" s="16">
        <f>E1129*F1129</f>
        <v>37500</v>
      </c>
      <c r="I1129" s="16">
        <f>E1129*G1129</f>
        <v>60000</v>
      </c>
      <c r="J1129" s="16">
        <f>I1129-H1129</f>
        <v>22500</v>
      </c>
      <c r="K1129" s="16" t="str">
        <f>VLOOKUP(C1129,[1]master_data!$A$2:$E$495,5,FALSE)</f>
        <v>Ikan</v>
      </c>
      <c r="L1129" s="1"/>
    </row>
    <row r="1130" spans="1:12" ht="12" customHeight="1" x14ac:dyDescent="0.25">
      <c r="A1130" s="15">
        <v>45139</v>
      </c>
      <c r="B1130" s="16">
        <v>22301376</v>
      </c>
      <c r="C1130" s="16" t="s">
        <v>458</v>
      </c>
      <c r="D1130" s="16" t="str">
        <f>VLOOKUP(C1130,[1]master_data!$A$2:$E$495,2,FALSE)</f>
        <v>ZEBRA KUNING</v>
      </c>
      <c r="E1130" s="16">
        <v>20</v>
      </c>
      <c r="F1130" s="16">
        <f>VLOOKUP(C1130,[1]master_data!$A$2:$E$495,3,FALSE)</f>
        <v>800</v>
      </c>
      <c r="G1130" s="16">
        <f>VLOOKUP(C1130,[1]master_data!$A$2:$E$495,4,FALSE)</f>
        <v>2000</v>
      </c>
      <c r="H1130" s="16">
        <f>E1130*F1130</f>
        <v>16000</v>
      </c>
      <c r="I1130" s="16">
        <f>E1130*G1130</f>
        <v>40000</v>
      </c>
      <c r="J1130" s="16">
        <f>I1130-H1130</f>
        <v>24000</v>
      </c>
      <c r="K1130" s="16" t="str">
        <f>VLOOKUP(C1130,[1]master_data!$A$2:$E$495,5,FALSE)</f>
        <v>Ikan</v>
      </c>
      <c r="L1130" s="1"/>
    </row>
    <row r="1131" spans="1:12" ht="12" customHeight="1" x14ac:dyDescent="0.25">
      <c r="A1131" s="15">
        <v>45139</v>
      </c>
      <c r="B1131" s="16">
        <v>22301377</v>
      </c>
      <c r="C1131" s="16" t="s">
        <v>157</v>
      </c>
      <c r="D1131" s="16" t="str">
        <f>VLOOKUP(C1131,[1]master_data!$A$2:$E$495,2,FALSE)</f>
        <v>LED KANDILA 2 BRS 80 CM</v>
      </c>
      <c r="E1131" s="16">
        <v>4</v>
      </c>
      <c r="F1131" s="16">
        <f>VLOOKUP(C1131,[1]master_data!$A$2:$E$495,3,FALSE)</f>
        <v>45000</v>
      </c>
      <c r="G1131" s="16">
        <f>VLOOKUP(C1131,[1]master_data!$A$2:$E$495,4,FALSE)</f>
        <v>85000</v>
      </c>
      <c r="H1131" s="16">
        <f>E1131*F1131</f>
        <v>180000</v>
      </c>
      <c r="I1131" s="16">
        <f>E1131*G1131</f>
        <v>340000</v>
      </c>
      <c r="J1131" s="16">
        <f>I1131-H1131</f>
        <v>160000</v>
      </c>
      <c r="K1131" s="16" t="str">
        <f>VLOOKUP(C1131,[1]master_data!$A$2:$E$495,5,FALSE)</f>
        <v>Aksesoris</v>
      </c>
      <c r="L1131" s="1"/>
    </row>
    <row r="1132" spans="1:12" ht="12" customHeight="1" x14ac:dyDescent="0.25">
      <c r="A1132" s="15">
        <v>45139</v>
      </c>
      <c r="B1132" s="16">
        <v>22301378</v>
      </c>
      <c r="C1132" s="16" t="s">
        <v>65</v>
      </c>
      <c r="D1132" s="16" t="str">
        <f>VLOOKUP(C1132,[1]master_data!$A$2:$E$495,2,FALSE)</f>
        <v>BOX KOSONG JUMBO</v>
      </c>
      <c r="E1132" s="16">
        <v>1</v>
      </c>
      <c r="F1132" s="16">
        <f>VLOOKUP(C1132,[1]master_data!$A$2:$E$495,3,FALSE)</f>
        <v>25000</v>
      </c>
      <c r="G1132" s="16">
        <f>VLOOKUP(C1132,[1]master_data!$A$2:$E$495,4,FALSE)</f>
        <v>45000</v>
      </c>
      <c r="H1132" s="16">
        <f>E1132*F1132</f>
        <v>25000</v>
      </c>
      <c r="I1132" s="16">
        <f>E1132*G1132</f>
        <v>45000</v>
      </c>
      <c r="J1132" s="16">
        <f>I1132-H1132</f>
        <v>20000</v>
      </c>
      <c r="K1132" s="16" t="str">
        <f>VLOOKUP(C1132,[1]master_data!$A$2:$E$495,5,FALSE)</f>
        <v>Aksesoris</v>
      </c>
      <c r="L1132" s="1"/>
    </row>
    <row r="1133" spans="1:12" ht="12" customHeight="1" x14ac:dyDescent="0.25">
      <c r="A1133" s="15">
        <v>45138</v>
      </c>
      <c r="B1133" s="16">
        <v>22301366</v>
      </c>
      <c r="C1133" s="16" t="s">
        <v>182</v>
      </c>
      <c r="D1133" s="16" t="str">
        <f>VLOOKUP(C1133,[1]master_data!$A$2:$E$495,2,FALSE)</f>
        <v>LED ARMADA 3 MODE M60</v>
      </c>
      <c r="E1133" s="16">
        <v>5</v>
      </c>
      <c r="F1133" s="16">
        <f>VLOOKUP(C1133,[1]master_data!$A$2:$E$495,3,FALSE)</f>
        <v>29000</v>
      </c>
      <c r="G1133" s="16">
        <f>VLOOKUP(C1133,[1]master_data!$A$2:$E$495,4,FALSE)</f>
        <v>60000</v>
      </c>
      <c r="H1133" s="16">
        <f>E1133*F1133</f>
        <v>145000</v>
      </c>
      <c r="I1133" s="16">
        <f>E1133*G1133</f>
        <v>300000</v>
      </c>
      <c r="J1133" s="16">
        <f>I1133-H1133</f>
        <v>155000</v>
      </c>
      <c r="K1133" s="16" t="str">
        <f>VLOOKUP(C1133,[1]master_data!$A$2:$E$495,5,FALSE)</f>
        <v>Aksesoris</v>
      </c>
      <c r="L1133" s="1"/>
    </row>
    <row r="1134" spans="1:12" ht="12" customHeight="1" x14ac:dyDescent="0.25">
      <c r="A1134" s="15">
        <v>45138</v>
      </c>
      <c r="B1134" s="16">
        <v>22301367</v>
      </c>
      <c r="C1134" s="16" t="s">
        <v>87</v>
      </c>
      <c r="D1134" s="16" t="str">
        <f>VLOOKUP(C1134,[1]master_data!$A$2:$E$495,2,FALSE)</f>
        <v>TOP FILTER ARMADA B</v>
      </c>
      <c r="E1134" s="16">
        <v>10</v>
      </c>
      <c r="F1134" s="16">
        <f>VLOOKUP(C1134,[1]master_data!$A$2:$E$495,3,FALSE)</f>
        <v>38000</v>
      </c>
      <c r="G1134" s="16">
        <f>VLOOKUP(C1134,[1]master_data!$A$2:$E$495,4,FALSE)</f>
        <v>60000</v>
      </c>
      <c r="H1134" s="16">
        <f>E1134*F1134</f>
        <v>380000</v>
      </c>
      <c r="I1134" s="16">
        <f>E1134*G1134</f>
        <v>600000</v>
      </c>
      <c r="J1134" s="16">
        <f>I1134-H1134</f>
        <v>220000</v>
      </c>
      <c r="K1134" s="16" t="str">
        <f>VLOOKUP(C1134,[1]master_data!$A$2:$E$495,5,FALSE)</f>
        <v>Aksesoris</v>
      </c>
      <c r="L1134" s="1"/>
    </row>
    <row r="1135" spans="1:12" ht="12" customHeight="1" x14ac:dyDescent="0.25">
      <c r="A1135" s="15">
        <v>45138</v>
      </c>
      <c r="B1135" s="16">
        <v>22301368</v>
      </c>
      <c r="C1135" s="16" t="s">
        <v>430</v>
      </c>
      <c r="D1135" s="16" t="str">
        <f>VLOOKUP(C1135,[1]master_data!$A$2:$E$495,2,FALSE)</f>
        <v>MARU K</v>
      </c>
      <c r="E1135" s="16">
        <v>1</v>
      </c>
      <c r="F1135" s="16">
        <f>VLOOKUP(C1135,[1]master_data!$A$2:$E$495,3,FALSE)</f>
        <v>23000</v>
      </c>
      <c r="G1135" s="16">
        <f>VLOOKUP(C1135,[1]master_data!$A$2:$E$495,4,FALSE)</f>
        <v>50000</v>
      </c>
      <c r="H1135" s="16">
        <f>E1135*F1135</f>
        <v>23000</v>
      </c>
      <c r="I1135" s="16">
        <f>E1135*G1135</f>
        <v>50000</v>
      </c>
      <c r="J1135" s="16">
        <f>I1135-H1135</f>
        <v>27000</v>
      </c>
      <c r="K1135" s="16" t="str">
        <f>VLOOKUP(C1135,[1]master_data!$A$2:$E$495,5,FALSE)</f>
        <v>Ikan</v>
      </c>
      <c r="L1135" s="1"/>
    </row>
    <row r="1136" spans="1:12" ht="12" customHeight="1" x14ac:dyDescent="0.25">
      <c r="A1136" s="15">
        <v>45138</v>
      </c>
      <c r="B1136" s="16">
        <v>22301369</v>
      </c>
      <c r="C1136" s="16" t="s">
        <v>396</v>
      </c>
      <c r="D1136" s="16" t="str">
        <f>VLOOKUP(C1136,[1]master_data!$A$2:$E$495,2,FALSE)</f>
        <v>BIPOLAR</v>
      </c>
      <c r="E1136" s="16">
        <v>30</v>
      </c>
      <c r="F1136" s="16">
        <f>VLOOKUP(C1136,[1]master_data!$A$2:$E$495,3,FALSE)</f>
        <v>1000</v>
      </c>
      <c r="G1136" s="16">
        <f>VLOOKUP(C1136,[1]master_data!$A$2:$E$495,4,FALSE)</f>
        <v>2500</v>
      </c>
      <c r="H1136" s="16">
        <f>E1136*F1136</f>
        <v>30000</v>
      </c>
      <c r="I1136" s="16">
        <f>E1136*G1136</f>
        <v>75000</v>
      </c>
      <c r="J1136" s="16">
        <f>I1136-H1136</f>
        <v>45000</v>
      </c>
      <c r="K1136" s="16" t="str">
        <f>VLOOKUP(C1136,[1]master_data!$A$2:$E$495,5,FALSE)</f>
        <v>Ikan</v>
      </c>
      <c r="L1136" s="1"/>
    </row>
    <row r="1137" spans="1:12" ht="12" customHeight="1" x14ac:dyDescent="0.25">
      <c r="A1137" s="15">
        <v>45138</v>
      </c>
      <c r="B1137" s="16">
        <v>22301370</v>
      </c>
      <c r="C1137" s="16" t="s">
        <v>453</v>
      </c>
      <c r="D1137" s="16" t="str">
        <f>VLOOKUP(C1137,[1]master_data!$A$2:$E$495,2,FALSE)</f>
        <v>TETRA</v>
      </c>
      <c r="E1137" s="16">
        <v>10</v>
      </c>
      <c r="F1137" s="16">
        <f>VLOOKUP(C1137,[1]master_data!$A$2:$E$495,3,FALSE)</f>
        <v>800</v>
      </c>
      <c r="G1137" s="16">
        <f>VLOOKUP(C1137,[1]master_data!$A$2:$E$495,4,FALSE)</f>
        <v>2000</v>
      </c>
      <c r="H1137" s="16">
        <f>E1137*F1137</f>
        <v>8000</v>
      </c>
      <c r="I1137" s="16">
        <f>E1137*G1137</f>
        <v>20000</v>
      </c>
      <c r="J1137" s="16">
        <f>I1137-H1137</f>
        <v>12000</v>
      </c>
      <c r="K1137" s="16" t="str">
        <f>VLOOKUP(C1137,[1]master_data!$A$2:$E$495,5,FALSE)</f>
        <v>Ikan</v>
      </c>
      <c r="L1137" s="1"/>
    </row>
    <row r="1138" spans="1:12" ht="12" customHeight="1" x14ac:dyDescent="0.25">
      <c r="A1138" s="15">
        <v>45138</v>
      </c>
      <c r="B1138" s="16">
        <v>22301371</v>
      </c>
      <c r="C1138" s="16" t="s">
        <v>414</v>
      </c>
      <c r="D1138" s="16" t="str">
        <f>VLOOKUP(C1138,[1]master_data!$A$2:$E$495,2,FALSE)</f>
        <v>KOI K</v>
      </c>
      <c r="E1138" s="16">
        <v>1</v>
      </c>
      <c r="F1138" s="16">
        <f>VLOOKUP(C1138,[1]master_data!$A$2:$E$495,3,FALSE)</f>
        <v>2500</v>
      </c>
      <c r="G1138" s="16">
        <f>VLOOKUP(C1138,[1]master_data!$A$2:$E$495,4,FALSE)</f>
        <v>10000</v>
      </c>
      <c r="H1138" s="16">
        <f>E1138*F1138</f>
        <v>2500</v>
      </c>
      <c r="I1138" s="16">
        <f>E1138*G1138</f>
        <v>10000</v>
      </c>
      <c r="J1138" s="16">
        <f>I1138-H1138</f>
        <v>7500</v>
      </c>
      <c r="K1138" s="16" t="str">
        <f>VLOOKUP(C1138,[1]master_data!$A$2:$E$495,5,FALSE)</f>
        <v>Ikan</v>
      </c>
      <c r="L1138" s="1"/>
    </row>
    <row r="1139" spans="1:12" ht="12" customHeight="1" x14ac:dyDescent="0.25">
      <c r="A1139" s="15">
        <v>45137</v>
      </c>
      <c r="B1139" s="16">
        <v>22301358</v>
      </c>
      <c r="C1139" s="16" t="s">
        <v>414</v>
      </c>
      <c r="D1139" s="16" t="str">
        <f>VLOOKUP(C1139,[1]master_data!$A$2:$E$495,2,FALSE)</f>
        <v>KOI K</v>
      </c>
      <c r="E1139" s="16">
        <v>15</v>
      </c>
      <c r="F1139" s="16">
        <f>VLOOKUP(C1139,[1]master_data!$A$2:$E$495,3,FALSE)</f>
        <v>2500</v>
      </c>
      <c r="G1139" s="16">
        <f>VLOOKUP(C1139,[1]master_data!$A$2:$E$495,4,FALSE)</f>
        <v>10000</v>
      </c>
      <c r="H1139" s="16">
        <f>E1139*F1139</f>
        <v>37500</v>
      </c>
      <c r="I1139" s="16">
        <f>E1139*G1139</f>
        <v>150000</v>
      </c>
      <c r="J1139" s="16">
        <f>I1139-H1139</f>
        <v>112500</v>
      </c>
      <c r="K1139" s="16" t="str">
        <f>VLOOKUP(C1139,[1]master_data!$A$2:$E$495,5,FALSE)</f>
        <v>Ikan</v>
      </c>
      <c r="L1139" s="1"/>
    </row>
    <row r="1140" spans="1:12" ht="12" customHeight="1" x14ac:dyDescent="0.25">
      <c r="A1140" s="15">
        <v>45137</v>
      </c>
      <c r="B1140" s="16">
        <v>22301359</v>
      </c>
      <c r="C1140" s="16" t="s">
        <v>308</v>
      </c>
      <c r="D1140" s="16" t="str">
        <f>VLOOKUP(C1140,[1]master_data!$A$2:$E$495,2,FALSE)</f>
        <v>SELANG SPIRAL</v>
      </c>
      <c r="E1140" s="16">
        <v>30</v>
      </c>
      <c r="F1140" s="16">
        <f>VLOOKUP(C1140,[1]master_data!$A$2:$E$495,3,FALSE)</f>
        <v>2600</v>
      </c>
      <c r="G1140" s="16">
        <f>VLOOKUP(C1140,[1]master_data!$A$2:$E$495,4,FALSE)</f>
        <v>5000</v>
      </c>
      <c r="H1140" s="16">
        <f>E1140*F1140</f>
        <v>78000</v>
      </c>
      <c r="I1140" s="16">
        <f>E1140*G1140</f>
        <v>150000</v>
      </c>
      <c r="J1140" s="16">
        <f>I1140-H1140</f>
        <v>72000</v>
      </c>
      <c r="K1140" s="16" t="str">
        <f>VLOOKUP(C1140,[1]master_data!$A$2:$E$495,5,FALSE)</f>
        <v>Aksesoris</v>
      </c>
      <c r="L1140" s="1"/>
    </row>
    <row r="1141" spans="1:12" ht="12" customHeight="1" x14ac:dyDescent="0.25">
      <c r="A1141" s="15">
        <v>45137</v>
      </c>
      <c r="B1141" s="16">
        <v>22301360</v>
      </c>
      <c r="C1141" s="16" t="s">
        <v>419</v>
      </c>
      <c r="D1141" s="16" t="str">
        <f>VLOOKUP(C1141,[1]master_data!$A$2:$E$495,2,FALSE)</f>
        <v>KOMET PAKAN</v>
      </c>
      <c r="E1141" s="16">
        <v>30</v>
      </c>
      <c r="F1141" s="16">
        <f>VLOOKUP(C1141,[1]master_data!$A$2:$E$495,3,FALSE)</f>
        <v>300</v>
      </c>
      <c r="G1141" s="16">
        <f>VLOOKUP(C1141,[1]master_data!$A$2:$E$495,4,FALSE)</f>
        <v>1000</v>
      </c>
      <c r="H1141" s="16">
        <f>E1141*F1141</f>
        <v>9000</v>
      </c>
      <c r="I1141" s="16">
        <f>E1141*G1141</f>
        <v>30000</v>
      </c>
      <c r="J1141" s="16">
        <f>I1141-H1141</f>
        <v>21000</v>
      </c>
      <c r="K1141" s="16" t="str">
        <f>VLOOKUP(C1141,[1]master_data!$A$2:$E$495,5,FALSE)</f>
        <v>Ikan</v>
      </c>
      <c r="L1141" s="1"/>
    </row>
    <row r="1142" spans="1:12" ht="12" customHeight="1" x14ac:dyDescent="0.25">
      <c r="A1142" s="15">
        <v>45137</v>
      </c>
      <c r="B1142" s="16">
        <v>22301361</v>
      </c>
      <c r="C1142" s="16" t="s">
        <v>78</v>
      </c>
      <c r="D1142" s="16" t="str">
        <f>VLOOKUP(C1142,[1]master_data!$A$2:$E$495,2,FALSE)</f>
        <v>MESIN KIYOSAKI 1200</v>
      </c>
      <c r="E1142" s="16">
        <v>2</v>
      </c>
      <c r="F1142" s="16">
        <f>VLOOKUP(C1142,[1]master_data!$A$2:$E$495,3,FALSE)</f>
        <v>21500</v>
      </c>
      <c r="G1142" s="16">
        <f>VLOOKUP(C1142,[1]master_data!$A$2:$E$495,4,FALSE)</f>
        <v>35000</v>
      </c>
      <c r="H1142" s="16">
        <f>E1142*F1142</f>
        <v>43000</v>
      </c>
      <c r="I1142" s="16">
        <f>E1142*G1142</f>
        <v>70000</v>
      </c>
      <c r="J1142" s="16">
        <f>I1142-H1142</f>
        <v>27000</v>
      </c>
      <c r="K1142" s="16" t="str">
        <f>VLOOKUP(C1142,[1]master_data!$A$2:$E$495,5,FALSE)</f>
        <v>Aksesoris</v>
      </c>
      <c r="L1142" s="1"/>
    </row>
    <row r="1143" spans="1:12" ht="12" customHeight="1" x14ac:dyDescent="0.25">
      <c r="A1143" s="15">
        <v>45137</v>
      </c>
      <c r="B1143" s="16">
        <v>22301362</v>
      </c>
      <c r="C1143" s="16" t="s">
        <v>371</v>
      </c>
      <c r="D1143" s="16" t="str">
        <f>VLOOKUP(C1143,[1]master_data!$A$2:$E$495,2,FALSE)</f>
        <v>SOLITER C1</v>
      </c>
      <c r="E1143" s="16">
        <v>10</v>
      </c>
      <c r="F1143" s="16">
        <f>VLOOKUP(C1143,[1]master_data!$A$2:$E$495,3,FALSE)</f>
        <v>55000</v>
      </c>
      <c r="G1143" s="16">
        <f>VLOOKUP(C1143,[1]master_data!$A$2:$E$495,4,FALSE)</f>
        <v>75000</v>
      </c>
      <c r="H1143" s="16">
        <f>E1143*F1143</f>
        <v>550000</v>
      </c>
      <c r="I1143" s="16">
        <f>E1143*G1143</f>
        <v>750000</v>
      </c>
      <c r="J1143" s="16">
        <f>I1143-H1143</f>
        <v>200000</v>
      </c>
      <c r="K1143" s="16" t="str">
        <f>VLOOKUP(C1143,[1]master_data!$A$2:$E$495,5,FALSE)</f>
        <v>Aksesoris</v>
      </c>
      <c r="L1143" s="1"/>
    </row>
    <row r="1144" spans="1:12" ht="12" customHeight="1" x14ac:dyDescent="0.25">
      <c r="A1144" s="15">
        <v>45137</v>
      </c>
      <c r="B1144" s="16">
        <v>22301363</v>
      </c>
      <c r="C1144" s="16" t="s">
        <v>459</v>
      </c>
      <c r="D1144" s="16" t="str">
        <f>VLOOKUP(C1144,[1]master_data!$A$2:$E$495,2,FALSE)</f>
        <v>SEPAT</v>
      </c>
      <c r="E1144" s="16">
        <v>20</v>
      </c>
      <c r="F1144" s="16">
        <f>VLOOKUP(C1144,[1]master_data!$A$2:$E$495,3,FALSE)</f>
        <v>600</v>
      </c>
      <c r="G1144" s="16">
        <f>VLOOKUP(C1144,[1]master_data!$A$2:$E$495,4,FALSE)</f>
        <v>2000</v>
      </c>
      <c r="H1144" s="16">
        <f>E1144*F1144</f>
        <v>12000</v>
      </c>
      <c r="I1144" s="16">
        <f>E1144*G1144</f>
        <v>40000</v>
      </c>
      <c r="J1144" s="16">
        <f>I1144-H1144</f>
        <v>28000</v>
      </c>
      <c r="K1144" s="16" t="str">
        <f>VLOOKUP(C1144,[1]master_data!$A$2:$E$495,5,FALSE)</f>
        <v>Ikan</v>
      </c>
      <c r="L1144" s="1"/>
    </row>
    <row r="1145" spans="1:12" ht="12" customHeight="1" x14ac:dyDescent="0.25">
      <c r="A1145" s="15">
        <v>45137</v>
      </c>
      <c r="B1145" s="16">
        <v>22301364</v>
      </c>
      <c r="C1145" s="16" t="s">
        <v>434</v>
      </c>
      <c r="D1145" s="16" t="str">
        <f>VLOOKUP(C1145,[1]master_data!$A$2:$E$495,2,FALSE)</f>
        <v>NIASA</v>
      </c>
      <c r="E1145" s="16">
        <v>21</v>
      </c>
      <c r="F1145" s="16">
        <f>VLOOKUP(C1145,[1]master_data!$A$2:$E$495,3,FALSE)</f>
        <v>900</v>
      </c>
      <c r="G1145" s="16">
        <f>VLOOKUP(C1145,[1]master_data!$A$2:$E$495,4,FALSE)</f>
        <v>2000</v>
      </c>
      <c r="H1145" s="16">
        <f>E1145*F1145</f>
        <v>18900</v>
      </c>
      <c r="I1145" s="16">
        <f>E1145*G1145</f>
        <v>42000</v>
      </c>
      <c r="J1145" s="16">
        <f>I1145-H1145</f>
        <v>23100</v>
      </c>
      <c r="K1145" s="16" t="str">
        <f>VLOOKUP(C1145,[1]master_data!$A$2:$E$495,5,FALSE)</f>
        <v>Ikan</v>
      </c>
      <c r="L1145" s="1"/>
    </row>
    <row r="1146" spans="1:12" ht="12" customHeight="1" x14ac:dyDescent="0.25">
      <c r="A1146" s="15">
        <v>45137</v>
      </c>
      <c r="B1146" s="16">
        <v>22301365</v>
      </c>
      <c r="C1146" s="16" t="s">
        <v>409</v>
      </c>
      <c r="D1146" s="16" t="str">
        <f>VLOOKUP(C1146,[1]master_data!$A$2:$E$495,2,FALSE)</f>
        <v>GOLDEN BLACK</v>
      </c>
      <c r="E1146" s="16">
        <v>1</v>
      </c>
      <c r="F1146" s="16">
        <f>VLOOKUP(C1146,[1]master_data!$A$2:$E$495,3,FALSE)</f>
        <v>800</v>
      </c>
      <c r="G1146" s="16">
        <f>VLOOKUP(C1146,[1]master_data!$A$2:$E$495,4,FALSE)</f>
        <v>2000</v>
      </c>
      <c r="H1146" s="16">
        <f>E1146*F1146</f>
        <v>800</v>
      </c>
      <c r="I1146" s="16">
        <f>E1146*G1146</f>
        <v>2000</v>
      </c>
      <c r="J1146" s="16">
        <f>I1146-H1146</f>
        <v>1200</v>
      </c>
      <c r="K1146" s="16" t="str">
        <f>VLOOKUP(C1146,[1]master_data!$A$2:$E$495,5,FALSE)</f>
        <v>Ikan</v>
      </c>
      <c r="L1146" s="1"/>
    </row>
    <row r="1147" spans="1:12" ht="12" customHeight="1" x14ac:dyDescent="0.25">
      <c r="A1147" s="15">
        <v>45136</v>
      </c>
      <c r="B1147" s="16">
        <v>22301348</v>
      </c>
      <c r="C1147" s="16" t="s">
        <v>107</v>
      </c>
      <c r="D1147" s="16" t="str">
        <f>VLOOKUP(C1147,[1]master_data!$A$2:$E$495,2,FALSE)</f>
        <v>AIRATOR NIKITA LUB 1</v>
      </c>
      <c r="E1147" s="16">
        <v>1</v>
      </c>
      <c r="F1147" s="16">
        <f>VLOOKUP(C1147,[1]master_data!$A$2:$E$495,3,FALSE)</f>
        <v>20500</v>
      </c>
      <c r="G1147" s="16">
        <f>VLOOKUP(C1147,[1]master_data!$A$2:$E$495,4,FALSE)</f>
        <v>30000</v>
      </c>
      <c r="H1147" s="16">
        <f>E1147*F1147</f>
        <v>20500</v>
      </c>
      <c r="I1147" s="16">
        <f>E1147*G1147</f>
        <v>30000</v>
      </c>
      <c r="J1147" s="16">
        <f>I1147-H1147</f>
        <v>9500</v>
      </c>
      <c r="K1147" s="16" t="str">
        <f>VLOOKUP(C1147,[1]master_data!$A$2:$E$495,5,FALSE)</f>
        <v>Aksesoris</v>
      </c>
      <c r="L1147" s="1"/>
    </row>
    <row r="1148" spans="1:12" ht="12" customHeight="1" x14ac:dyDescent="0.25">
      <c r="A1148" s="15">
        <v>45136</v>
      </c>
      <c r="B1148" s="16">
        <v>22301349</v>
      </c>
      <c r="C1148" s="16" t="s">
        <v>434</v>
      </c>
      <c r="D1148" s="16" t="str">
        <f>VLOOKUP(C1148,[1]master_data!$A$2:$E$495,2,FALSE)</f>
        <v>NIASA</v>
      </c>
      <c r="E1148" s="16">
        <v>10</v>
      </c>
      <c r="F1148" s="16">
        <f>VLOOKUP(C1148,[1]master_data!$A$2:$E$495,3,FALSE)</f>
        <v>900</v>
      </c>
      <c r="G1148" s="16">
        <f>VLOOKUP(C1148,[1]master_data!$A$2:$E$495,4,FALSE)</f>
        <v>2000</v>
      </c>
      <c r="H1148" s="16">
        <f>E1148*F1148</f>
        <v>9000</v>
      </c>
      <c r="I1148" s="16">
        <f>E1148*G1148</f>
        <v>20000</v>
      </c>
      <c r="J1148" s="16">
        <f>I1148-H1148</f>
        <v>11000</v>
      </c>
      <c r="K1148" s="16" t="str">
        <f>VLOOKUP(C1148,[1]master_data!$A$2:$E$495,5,FALSE)</f>
        <v>Ikan</v>
      </c>
      <c r="L1148" s="1"/>
    </row>
    <row r="1149" spans="1:12" ht="12" customHeight="1" x14ac:dyDescent="0.25">
      <c r="A1149" s="15">
        <v>45136</v>
      </c>
      <c r="B1149" s="16">
        <v>22301350</v>
      </c>
      <c r="C1149" s="16" t="s">
        <v>456</v>
      </c>
      <c r="D1149" s="16" t="str">
        <f>VLOOKUP(C1149,[1]master_data!$A$2:$E$495,2,FALSE)</f>
        <v>ZEBRA HIJAU</v>
      </c>
      <c r="E1149" s="16">
        <v>30</v>
      </c>
      <c r="F1149" s="16">
        <f>VLOOKUP(C1149,[1]master_data!$A$2:$E$495,3,FALSE)</f>
        <v>800</v>
      </c>
      <c r="G1149" s="16">
        <f>VLOOKUP(C1149,[1]master_data!$A$2:$E$495,4,FALSE)</f>
        <v>2000</v>
      </c>
      <c r="H1149" s="16">
        <f>E1149*F1149</f>
        <v>24000</v>
      </c>
      <c r="I1149" s="16">
        <f>E1149*G1149</f>
        <v>60000</v>
      </c>
      <c r="J1149" s="16">
        <f>I1149-H1149</f>
        <v>36000</v>
      </c>
      <c r="K1149" s="16" t="str">
        <f>VLOOKUP(C1149,[1]master_data!$A$2:$E$495,5,FALSE)</f>
        <v>Ikan</v>
      </c>
      <c r="L1149" s="1"/>
    </row>
    <row r="1150" spans="1:12" ht="12" customHeight="1" x14ac:dyDescent="0.25">
      <c r="A1150" s="15">
        <v>45136</v>
      </c>
      <c r="B1150" s="16">
        <v>22301351</v>
      </c>
      <c r="C1150" s="16" t="s">
        <v>445</v>
      </c>
      <c r="D1150" s="16" t="str">
        <f>VLOOKUP(C1150,[1]master_data!$A$2:$E$495,2,FALSE)</f>
        <v>REDFIN ALBINO</v>
      </c>
      <c r="E1150" s="16">
        <v>10</v>
      </c>
      <c r="F1150" s="16">
        <f>VLOOKUP(C1150,[1]master_data!$A$2:$E$495,3,FALSE)</f>
        <v>1500</v>
      </c>
      <c r="G1150" s="16">
        <f>VLOOKUP(C1150,[1]master_data!$A$2:$E$495,4,FALSE)</f>
        <v>4000</v>
      </c>
      <c r="H1150" s="16">
        <f>E1150*F1150</f>
        <v>15000</v>
      </c>
      <c r="I1150" s="16">
        <f>E1150*G1150</f>
        <v>40000</v>
      </c>
      <c r="J1150" s="16">
        <f>I1150-H1150</f>
        <v>25000</v>
      </c>
      <c r="K1150" s="16" t="str">
        <f>VLOOKUP(C1150,[1]master_data!$A$2:$E$495,5,FALSE)</f>
        <v>Ikan</v>
      </c>
      <c r="L1150" s="1"/>
    </row>
    <row r="1151" spans="1:12" ht="12" customHeight="1" x14ac:dyDescent="0.25">
      <c r="A1151" s="15">
        <v>45136</v>
      </c>
      <c r="B1151" s="16">
        <v>22301352</v>
      </c>
      <c r="C1151" s="16" t="s">
        <v>272</v>
      </c>
      <c r="D1151" s="16" t="str">
        <f>VLOOKUP(C1151,[1]master_data!$A$2:$E$495,2,FALSE)</f>
        <v>JARING 10</v>
      </c>
      <c r="E1151" s="16">
        <v>10</v>
      </c>
      <c r="F1151" s="16">
        <f>VLOOKUP(C1151,[1]master_data!$A$2:$E$495,3,FALSE)</f>
        <v>2900</v>
      </c>
      <c r="G1151" s="16">
        <f>VLOOKUP(C1151,[1]master_data!$A$2:$E$495,4,FALSE)</f>
        <v>6000</v>
      </c>
      <c r="H1151" s="16">
        <f>E1151*F1151</f>
        <v>29000</v>
      </c>
      <c r="I1151" s="16">
        <f>E1151*G1151</f>
        <v>60000</v>
      </c>
      <c r="J1151" s="16">
        <f>I1151-H1151</f>
        <v>31000</v>
      </c>
      <c r="K1151" s="16" t="str">
        <f>VLOOKUP(C1151,[1]master_data!$A$2:$E$495,5,FALSE)</f>
        <v>Aksesoris</v>
      </c>
      <c r="L1151" s="1"/>
    </row>
    <row r="1152" spans="1:12" ht="12" customHeight="1" x14ac:dyDescent="0.25">
      <c r="A1152" s="15">
        <v>45136</v>
      </c>
      <c r="B1152" s="16">
        <v>22301353</v>
      </c>
      <c r="C1152" s="16" t="s">
        <v>350</v>
      </c>
      <c r="D1152" s="16" t="str">
        <f>VLOOKUP(C1152,[1]master_data!$A$2:$E$495,2,FALSE)</f>
        <v>AKUARIUM 60 ROBOT</v>
      </c>
      <c r="E1152" s="16">
        <v>2</v>
      </c>
      <c r="F1152" s="16">
        <f>VLOOKUP(C1152,[1]master_data!$A$2:$E$495,3,FALSE)</f>
        <v>150000</v>
      </c>
      <c r="G1152" s="16">
        <f>VLOOKUP(C1152,[1]master_data!$A$2:$E$495,4,FALSE)</f>
        <v>250000</v>
      </c>
      <c r="H1152" s="16">
        <f>E1152*F1152</f>
        <v>300000</v>
      </c>
      <c r="I1152" s="16">
        <f>E1152*G1152</f>
        <v>500000</v>
      </c>
      <c r="J1152" s="16">
        <f>I1152-H1152</f>
        <v>200000</v>
      </c>
      <c r="K1152" s="16" t="str">
        <f>VLOOKUP(C1152,[1]master_data!$A$2:$E$495,5,FALSE)</f>
        <v>Aksesoris</v>
      </c>
      <c r="L1152" s="1"/>
    </row>
    <row r="1153" spans="1:12" ht="12" customHeight="1" x14ac:dyDescent="0.25">
      <c r="A1153" s="15">
        <v>45136</v>
      </c>
      <c r="B1153" s="16">
        <v>22301354</v>
      </c>
      <c r="C1153" s="16" t="s">
        <v>380</v>
      </c>
      <c r="D1153" s="16" t="str">
        <f>VLOOKUP(C1153,[1]master_data!$A$2:$E$495,2,FALSE)</f>
        <v>BATU WARNA FOSFOR K</v>
      </c>
      <c r="E1153" s="16">
        <v>15</v>
      </c>
      <c r="F1153" s="16">
        <f>VLOOKUP(C1153,[1]master_data!$A$2:$E$495,3,FALSE)</f>
        <v>5500</v>
      </c>
      <c r="G1153" s="16">
        <f>VLOOKUP(C1153,[1]master_data!$A$2:$E$495,4,FALSE)</f>
        <v>10000</v>
      </c>
      <c r="H1153" s="16">
        <f>E1153*F1153</f>
        <v>82500</v>
      </c>
      <c r="I1153" s="16">
        <f>E1153*G1153</f>
        <v>150000</v>
      </c>
      <c r="J1153" s="16">
        <f>I1153-H1153</f>
        <v>67500</v>
      </c>
      <c r="K1153" s="16" t="str">
        <f>VLOOKUP(C1153,[1]master_data!$A$2:$E$495,5,FALSE)</f>
        <v>Aksesoris</v>
      </c>
      <c r="L1153" s="1"/>
    </row>
    <row r="1154" spans="1:12" ht="12" customHeight="1" x14ac:dyDescent="0.25">
      <c r="A1154" s="15">
        <v>45136</v>
      </c>
      <c r="B1154" s="16">
        <v>22301355</v>
      </c>
      <c r="C1154" s="16" t="s">
        <v>417</v>
      </c>
      <c r="D1154" s="16" t="str">
        <f>VLOOKUP(C1154,[1]master_data!$A$2:$E$495,2,FALSE)</f>
        <v>KURA - KURA</v>
      </c>
      <c r="E1154" s="16">
        <v>9</v>
      </c>
      <c r="F1154" s="16">
        <f>VLOOKUP(C1154,[1]master_data!$A$2:$E$495,3,FALSE)</f>
        <v>25000</v>
      </c>
      <c r="G1154" s="16">
        <f>VLOOKUP(C1154,[1]master_data!$A$2:$E$495,4,FALSE)</f>
        <v>35000</v>
      </c>
      <c r="H1154" s="16">
        <f>E1154*F1154</f>
        <v>225000</v>
      </c>
      <c r="I1154" s="16">
        <f>E1154*G1154</f>
        <v>315000</v>
      </c>
      <c r="J1154" s="16">
        <f>I1154-H1154</f>
        <v>90000</v>
      </c>
      <c r="K1154" s="16" t="str">
        <f>VLOOKUP(C1154,[1]master_data!$A$2:$E$495,5,FALSE)</f>
        <v>Ikan</v>
      </c>
      <c r="L1154" s="1"/>
    </row>
    <row r="1155" spans="1:12" ht="12" customHeight="1" x14ac:dyDescent="0.25">
      <c r="A1155" s="15">
        <v>45136</v>
      </c>
      <c r="B1155" s="16">
        <v>22301356</v>
      </c>
      <c r="C1155" s="16" t="s">
        <v>409</v>
      </c>
      <c r="D1155" s="16" t="str">
        <f>VLOOKUP(C1155,[1]master_data!$A$2:$E$495,2,FALSE)</f>
        <v>GOLDEN BLACK</v>
      </c>
      <c r="E1155" s="16">
        <v>8</v>
      </c>
      <c r="F1155" s="16">
        <f>VLOOKUP(C1155,[1]master_data!$A$2:$E$495,3,FALSE)</f>
        <v>800</v>
      </c>
      <c r="G1155" s="16">
        <f>VLOOKUP(C1155,[1]master_data!$A$2:$E$495,4,FALSE)</f>
        <v>2000</v>
      </c>
      <c r="H1155" s="16">
        <f>E1155*F1155</f>
        <v>6400</v>
      </c>
      <c r="I1155" s="16">
        <f>E1155*G1155</f>
        <v>16000</v>
      </c>
      <c r="J1155" s="16">
        <f>I1155-H1155</f>
        <v>9600</v>
      </c>
      <c r="K1155" s="16" t="str">
        <f>VLOOKUP(C1155,[1]master_data!$A$2:$E$495,5,FALSE)</f>
        <v>Ikan</v>
      </c>
      <c r="L1155" s="1"/>
    </row>
    <row r="1156" spans="1:12" ht="12" customHeight="1" x14ac:dyDescent="0.25">
      <c r="A1156" s="15">
        <v>45136</v>
      </c>
      <c r="B1156" s="16">
        <v>22301357</v>
      </c>
      <c r="C1156" s="16" t="s">
        <v>390</v>
      </c>
      <c r="D1156" s="16" t="str">
        <f>VLOOKUP(C1156,[1]master_data!$A$2:$E$495,2,FALSE)</f>
        <v>CHANNA ASIATICA B</v>
      </c>
      <c r="E1156" s="16">
        <v>2</v>
      </c>
      <c r="F1156" s="16">
        <f>VLOOKUP(C1156,[1]master_data!$A$2:$E$495,3,FALSE)</f>
        <v>40000</v>
      </c>
      <c r="G1156" s="16">
        <f>VLOOKUP(C1156,[1]master_data!$A$2:$E$495,4,FALSE)</f>
        <v>100000</v>
      </c>
      <c r="H1156" s="16">
        <f>E1156*F1156</f>
        <v>80000</v>
      </c>
      <c r="I1156" s="16">
        <f>E1156*G1156</f>
        <v>200000</v>
      </c>
      <c r="J1156" s="16">
        <f>I1156-H1156</f>
        <v>120000</v>
      </c>
      <c r="K1156" s="16" t="str">
        <f>VLOOKUP(C1156,[1]master_data!$A$2:$E$495,5,FALSE)</f>
        <v>Ikan</v>
      </c>
      <c r="L1156" s="1"/>
    </row>
    <row r="1157" spans="1:12" ht="12" customHeight="1" x14ac:dyDescent="0.25">
      <c r="A1157" s="15">
        <v>45135</v>
      </c>
      <c r="B1157" s="16">
        <v>22301342</v>
      </c>
      <c r="C1157" s="16" t="s">
        <v>408</v>
      </c>
      <c r="D1157" s="16" t="str">
        <f>VLOOKUP(C1157,[1]master_data!$A$2:$E$495,2,FALSE)</f>
        <v>GUPY</v>
      </c>
      <c r="E1157" s="16">
        <v>30</v>
      </c>
      <c r="F1157" s="16">
        <f>VLOOKUP(C1157,[1]master_data!$A$2:$E$495,3,FALSE)</f>
        <v>1200</v>
      </c>
      <c r="G1157" s="16">
        <f>VLOOKUP(C1157,[1]master_data!$A$2:$E$495,4,FALSE)</f>
        <v>2500</v>
      </c>
      <c r="H1157" s="16">
        <f>E1157*F1157</f>
        <v>36000</v>
      </c>
      <c r="I1157" s="16">
        <f>E1157*G1157</f>
        <v>75000</v>
      </c>
      <c r="J1157" s="16">
        <f>I1157-H1157</f>
        <v>39000</v>
      </c>
      <c r="K1157" s="16" t="str">
        <f>VLOOKUP(C1157,[1]master_data!$A$2:$E$495,5,FALSE)</f>
        <v>Ikan</v>
      </c>
      <c r="L1157" s="1"/>
    </row>
    <row r="1158" spans="1:12" ht="12" customHeight="1" x14ac:dyDescent="0.25">
      <c r="A1158" s="15">
        <v>45135</v>
      </c>
      <c r="B1158" s="16">
        <v>22301343</v>
      </c>
      <c r="C1158" s="16" t="s">
        <v>400</v>
      </c>
      <c r="D1158" s="16" t="str">
        <f>VLOOKUP(C1158,[1]master_data!$A$2:$E$495,2,FALSE)</f>
        <v>BLACK GHOST</v>
      </c>
      <c r="E1158" s="16">
        <v>25</v>
      </c>
      <c r="F1158" s="16">
        <f>VLOOKUP(C1158,[1]master_data!$A$2:$E$495,3,FALSE)</f>
        <v>4000</v>
      </c>
      <c r="G1158" s="16">
        <f>VLOOKUP(C1158,[1]master_data!$A$2:$E$495,4,FALSE)</f>
        <v>10000</v>
      </c>
      <c r="H1158" s="16">
        <f>E1158*F1158</f>
        <v>100000</v>
      </c>
      <c r="I1158" s="16">
        <f>E1158*G1158</f>
        <v>250000</v>
      </c>
      <c r="J1158" s="16">
        <f>I1158-H1158</f>
        <v>150000</v>
      </c>
      <c r="K1158" s="16" t="str">
        <f>VLOOKUP(C1158,[1]master_data!$A$2:$E$495,5,FALSE)</f>
        <v>Ikan</v>
      </c>
      <c r="L1158" s="1"/>
    </row>
    <row r="1159" spans="1:12" ht="12" customHeight="1" x14ac:dyDescent="0.25">
      <c r="A1159" s="15">
        <v>45135</v>
      </c>
      <c r="B1159" s="16">
        <v>22301344</v>
      </c>
      <c r="C1159" s="16" t="s">
        <v>411</v>
      </c>
      <c r="D1159" s="16" t="str">
        <f>VLOOKUP(C1159,[1]master_data!$A$2:$E$495,2,FALSE)</f>
        <v>KOKI K</v>
      </c>
      <c r="E1159" s="16">
        <v>25</v>
      </c>
      <c r="F1159" s="16">
        <f>VLOOKUP(C1159,[1]master_data!$A$2:$E$495,3,FALSE)</f>
        <v>3500</v>
      </c>
      <c r="G1159" s="16">
        <f>VLOOKUP(C1159,[1]master_data!$A$2:$E$495,4,FALSE)</f>
        <v>10000</v>
      </c>
      <c r="H1159" s="16">
        <f>E1159*F1159</f>
        <v>87500</v>
      </c>
      <c r="I1159" s="16">
        <f>E1159*G1159</f>
        <v>250000</v>
      </c>
      <c r="J1159" s="16">
        <f>I1159-H1159</f>
        <v>162500</v>
      </c>
      <c r="K1159" s="16" t="str">
        <f>VLOOKUP(C1159,[1]master_data!$A$2:$E$495,5,FALSE)</f>
        <v>Ikan</v>
      </c>
      <c r="L1159" s="1"/>
    </row>
    <row r="1160" spans="1:12" ht="12" customHeight="1" x14ac:dyDescent="0.25">
      <c r="A1160" s="15">
        <v>45135</v>
      </c>
      <c r="B1160" s="16">
        <v>22301345</v>
      </c>
      <c r="C1160" s="16" t="s">
        <v>456</v>
      </c>
      <c r="D1160" s="16" t="str">
        <f>VLOOKUP(C1160,[1]master_data!$A$2:$E$495,2,FALSE)</f>
        <v>ZEBRA HIJAU</v>
      </c>
      <c r="E1160" s="16">
        <v>10</v>
      </c>
      <c r="F1160" s="16">
        <f>VLOOKUP(C1160,[1]master_data!$A$2:$E$495,3,FALSE)</f>
        <v>800</v>
      </c>
      <c r="G1160" s="16">
        <f>VLOOKUP(C1160,[1]master_data!$A$2:$E$495,4,FALSE)</f>
        <v>2000</v>
      </c>
      <c r="H1160" s="16">
        <f>E1160*F1160</f>
        <v>8000</v>
      </c>
      <c r="I1160" s="16">
        <f>E1160*G1160</f>
        <v>20000</v>
      </c>
      <c r="J1160" s="16">
        <f>I1160-H1160</f>
        <v>12000</v>
      </c>
      <c r="K1160" s="16" t="str">
        <f>VLOOKUP(C1160,[1]master_data!$A$2:$E$495,5,FALSE)</f>
        <v>Ikan</v>
      </c>
      <c r="L1160" s="1"/>
    </row>
    <row r="1161" spans="1:12" ht="12" customHeight="1" x14ac:dyDescent="0.25">
      <c r="A1161" s="15">
        <v>45135</v>
      </c>
      <c r="B1161" s="16">
        <v>22301346</v>
      </c>
      <c r="C1161" s="16" t="s">
        <v>401</v>
      </c>
      <c r="D1161" s="16" t="str">
        <f>VLOOKUP(C1161,[1]master_data!$A$2:$E$495,2,FALSE)</f>
        <v>CHANNA BLUE PULCHRA K</v>
      </c>
      <c r="E1161" s="16">
        <v>5</v>
      </c>
      <c r="F1161" s="16">
        <f>VLOOKUP(C1161,[1]master_data!$A$2:$E$495,3,FALSE)</f>
        <v>25000</v>
      </c>
      <c r="G1161" s="16">
        <f>VLOOKUP(C1161,[1]master_data!$A$2:$E$495,4,FALSE)</f>
        <v>50000</v>
      </c>
      <c r="H1161" s="16">
        <f>E1161*F1161</f>
        <v>125000</v>
      </c>
      <c r="I1161" s="16">
        <f>E1161*G1161</f>
        <v>250000</v>
      </c>
      <c r="J1161" s="16">
        <f>I1161-H1161</f>
        <v>125000</v>
      </c>
      <c r="K1161" s="16" t="str">
        <f>VLOOKUP(C1161,[1]master_data!$A$2:$E$495,5,FALSE)</f>
        <v>Ikan</v>
      </c>
      <c r="L1161" s="1"/>
    </row>
    <row r="1162" spans="1:12" ht="12" customHeight="1" x14ac:dyDescent="0.25">
      <c r="A1162" s="15">
        <v>45135</v>
      </c>
      <c r="B1162" s="16">
        <v>22301347</v>
      </c>
      <c r="C1162" s="16" t="s">
        <v>319</v>
      </c>
      <c r="D1162" s="16" t="str">
        <f>VLOOKUP(C1162,[1]master_data!$A$2:$E$495,2,FALSE)</f>
        <v>PIPA LONJOR 1 M</v>
      </c>
      <c r="E1162" s="16">
        <v>1</v>
      </c>
      <c r="F1162" s="16">
        <f>VLOOKUP(C1162,[1]master_data!$A$2:$E$495,3,FALSE)</f>
        <v>2500</v>
      </c>
      <c r="G1162" s="16">
        <f>VLOOKUP(C1162,[1]master_data!$A$2:$E$495,4,FALSE)</f>
        <v>5000</v>
      </c>
      <c r="H1162" s="16">
        <f>E1162*F1162</f>
        <v>2500</v>
      </c>
      <c r="I1162" s="16">
        <f>E1162*G1162</f>
        <v>5000</v>
      </c>
      <c r="J1162" s="16">
        <f>I1162-H1162</f>
        <v>2500</v>
      </c>
      <c r="K1162" s="16" t="str">
        <f>VLOOKUP(C1162,[1]master_data!$A$2:$E$495,5,FALSE)</f>
        <v>Aksesoris</v>
      </c>
      <c r="L1162" s="1"/>
    </row>
    <row r="1163" spans="1:12" ht="12" customHeight="1" x14ac:dyDescent="0.25">
      <c r="A1163" s="15">
        <v>45134</v>
      </c>
      <c r="B1163" s="16">
        <v>22301334</v>
      </c>
      <c r="C1163" s="16" t="s">
        <v>404</v>
      </c>
      <c r="D1163" s="16" t="str">
        <f>VLOOKUP(C1163,[1]master_data!$A$2:$E$495,2,FALSE)</f>
        <v>BARBIR</v>
      </c>
      <c r="E1163" s="16">
        <v>30</v>
      </c>
      <c r="F1163" s="16">
        <f>VLOOKUP(C1163,[1]master_data!$A$2:$E$495,3,FALSE)</f>
        <v>800</v>
      </c>
      <c r="G1163" s="16">
        <f>VLOOKUP(C1163,[1]master_data!$A$2:$E$495,4,FALSE)</f>
        <v>2000</v>
      </c>
      <c r="H1163" s="16">
        <f>E1163*F1163</f>
        <v>24000</v>
      </c>
      <c r="I1163" s="16">
        <f>E1163*G1163</f>
        <v>60000</v>
      </c>
      <c r="J1163" s="16">
        <f>I1163-H1163</f>
        <v>36000</v>
      </c>
      <c r="K1163" s="16" t="str">
        <f>VLOOKUP(C1163,[1]master_data!$A$2:$E$495,5,FALSE)</f>
        <v>Ikan</v>
      </c>
      <c r="L1163" s="1"/>
    </row>
    <row r="1164" spans="1:12" ht="12" customHeight="1" x14ac:dyDescent="0.25">
      <c r="A1164" s="15">
        <v>45134</v>
      </c>
      <c r="B1164" s="16">
        <v>22301335</v>
      </c>
      <c r="C1164" s="16" t="s">
        <v>433</v>
      </c>
      <c r="D1164" s="16" t="str">
        <f>VLOOKUP(C1164,[1]master_data!$A$2:$E$495,2,FALSE)</f>
        <v>MOLI BALON</v>
      </c>
      <c r="E1164" s="16">
        <v>15</v>
      </c>
      <c r="F1164" s="16">
        <f>VLOOKUP(C1164,[1]master_data!$A$2:$E$495,3,FALSE)</f>
        <v>800</v>
      </c>
      <c r="G1164" s="16">
        <f>VLOOKUP(C1164,[1]master_data!$A$2:$E$495,4,FALSE)</f>
        <v>2000</v>
      </c>
      <c r="H1164" s="16">
        <f>E1164*F1164</f>
        <v>12000</v>
      </c>
      <c r="I1164" s="16">
        <f>E1164*G1164</f>
        <v>30000</v>
      </c>
      <c r="J1164" s="16">
        <f>I1164-H1164</f>
        <v>18000</v>
      </c>
      <c r="K1164" s="16" t="str">
        <f>VLOOKUP(C1164,[1]master_data!$A$2:$E$495,5,FALSE)</f>
        <v>Ikan</v>
      </c>
      <c r="L1164" s="1"/>
    </row>
    <row r="1165" spans="1:12" ht="12" customHeight="1" x14ac:dyDescent="0.25">
      <c r="A1165" s="15">
        <v>45134</v>
      </c>
      <c r="B1165" s="16">
        <v>22301336</v>
      </c>
      <c r="C1165" s="16" t="s">
        <v>422</v>
      </c>
      <c r="D1165" s="16" t="str">
        <f>VLOOKUP(C1165,[1]master_data!$A$2:$E$495,2,FALSE)</f>
        <v>KOI SLAYER B</v>
      </c>
      <c r="E1165" s="16">
        <v>10</v>
      </c>
      <c r="F1165" s="16">
        <f>VLOOKUP(C1165,[1]master_data!$A$2:$E$495,3,FALSE)</f>
        <v>8000</v>
      </c>
      <c r="G1165" s="16">
        <f>VLOOKUP(C1165,[1]master_data!$A$2:$E$495,4,FALSE)</f>
        <v>20000</v>
      </c>
      <c r="H1165" s="16">
        <f>E1165*F1165</f>
        <v>80000</v>
      </c>
      <c r="I1165" s="16">
        <f>E1165*G1165</f>
        <v>200000</v>
      </c>
      <c r="J1165" s="16">
        <f>I1165-H1165</f>
        <v>120000</v>
      </c>
      <c r="K1165" s="16" t="str">
        <f>VLOOKUP(C1165,[1]master_data!$A$2:$E$495,5,FALSE)</f>
        <v>Ikan</v>
      </c>
      <c r="L1165" s="1"/>
    </row>
    <row r="1166" spans="1:12" ht="12" customHeight="1" x14ac:dyDescent="0.25">
      <c r="A1166" s="15">
        <v>45134</v>
      </c>
      <c r="B1166" s="16">
        <v>22301337</v>
      </c>
      <c r="C1166" s="16" t="s">
        <v>233</v>
      </c>
      <c r="D1166" s="16" t="str">
        <f>VLOOKUP(C1166,[1]master_data!$A$2:$E$495,2,FALSE)</f>
        <v>PREMIUM GOLD FISH RED</v>
      </c>
      <c r="E1166" s="16">
        <v>2</v>
      </c>
      <c r="F1166" s="16">
        <f>VLOOKUP(C1166,[1]master_data!$A$2:$E$495,3,FALSE)</f>
        <v>37000</v>
      </c>
      <c r="G1166" s="16">
        <f>VLOOKUP(C1166,[1]master_data!$A$2:$E$495,4,FALSE)</f>
        <v>50000</v>
      </c>
      <c r="H1166" s="16">
        <f>E1166*F1166</f>
        <v>74000</v>
      </c>
      <c r="I1166" s="16">
        <f>E1166*G1166</f>
        <v>100000</v>
      </c>
      <c r="J1166" s="16">
        <f>I1166-H1166</f>
        <v>26000</v>
      </c>
      <c r="K1166" s="16" t="str">
        <f>VLOOKUP(C1166,[1]master_data!$A$2:$E$495,5,FALSE)</f>
        <v>Aksesoris</v>
      </c>
      <c r="L1166" s="1"/>
    </row>
    <row r="1167" spans="1:12" ht="12" customHeight="1" x14ac:dyDescent="0.25">
      <c r="A1167" s="15">
        <v>45134</v>
      </c>
      <c r="B1167" s="16">
        <v>22301338</v>
      </c>
      <c r="C1167" s="16" t="s">
        <v>423</v>
      </c>
      <c r="D1167" s="16" t="str">
        <f>VLOOKUP(C1167,[1]master_data!$A$2:$E$495,2,FALSE)</f>
        <v>CAROLINE</v>
      </c>
      <c r="E1167" s="16">
        <v>25</v>
      </c>
      <c r="F1167" s="16">
        <f>VLOOKUP(C1167,[1]master_data!$A$2:$E$495,3,FALSE)</f>
        <v>900</v>
      </c>
      <c r="G1167" s="16">
        <f>VLOOKUP(C1167,[1]master_data!$A$2:$E$495,4,FALSE)</f>
        <v>2000</v>
      </c>
      <c r="H1167" s="16">
        <f>E1167*F1167</f>
        <v>22500</v>
      </c>
      <c r="I1167" s="16">
        <f>E1167*G1167</f>
        <v>50000</v>
      </c>
      <c r="J1167" s="16">
        <f>I1167-H1167</f>
        <v>27500</v>
      </c>
      <c r="K1167" s="16" t="str">
        <f>VLOOKUP(C1167,[1]master_data!$A$2:$E$495,5,FALSE)</f>
        <v>Ikan</v>
      </c>
      <c r="L1167" s="1"/>
    </row>
    <row r="1168" spans="1:12" ht="12" customHeight="1" x14ac:dyDescent="0.25">
      <c r="A1168" s="15">
        <v>45134</v>
      </c>
      <c r="B1168" s="16">
        <v>22301339</v>
      </c>
      <c r="C1168" s="16" t="s">
        <v>426</v>
      </c>
      <c r="D1168" s="16" t="str">
        <f>VLOOKUP(C1168,[1]master_data!$A$2:$E$495,2,FALSE)</f>
        <v>LOUHAN</v>
      </c>
      <c r="E1168" s="16">
        <v>2</v>
      </c>
      <c r="F1168" s="16">
        <f>VLOOKUP(C1168,[1]master_data!$A$2:$E$495,3,FALSE)</f>
        <v>85000</v>
      </c>
      <c r="G1168" s="16">
        <f>VLOOKUP(C1168,[1]master_data!$A$2:$E$495,4,FALSE)</f>
        <v>200000</v>
      </c>
      <c r="H1168" s="16">
        <f>E1168*F1168</f>
        <v>170000</v>
      </c>
      <c r="I1168" s="16">
        <f>E1168*G1168</f>
        <v>400000</v>
      </c>
      <c r="J1168" s="16">
        <f>I1168-H1168</f>
        <v>230000</v>
      </c>
      <c r="K1168" s="16" t="str">
        <f>VLOOKUP(C1168,[1]master_data!$A$2:$E$495,5,FALSE)</f>
        <v>Ikan</v>
      </c>
      <c r="L1168" s="1"/>
    </row>
    <row r="1169" spans="1:12" ht="12" customHeight="1" x14ac:dyDescent="0.25">
      <c r="A1169" s="15">
        <v>45134</v>
      </c>
      <c r="B1169" s="16">
        <v>22301340</v>
      </c>
      <c r="C1169" s="16" t="s">
        <v>238</v>
      </c>
      <c r="D1169" s="16" t="str">
        <f>VLOOKUP(C1169,[1]master_data!$A$2:$E$495,2,FALSE)</f>
        <v>PAKAN KURA WARNA</v>
      </c>
      <c r="E1169" s="16">
        <v>1</v>
      </c>
      <c r="F1169" s="16">
        <f>VLOOKUP(C1169,[1]master_data!$A$2:$E$495,3,FALSE)</f>
        <v>7000</v>
      </c>
      <c r="G1169" s="16">
        <f>VLOOKUP(C1169,[1]master_data!$A$2:$E$495,4,FALSE)</f>
        <v>12000</v>
      </c>
      <c r="H1169" s="16">
        <f>E1169*F1169</f>
        <v>7000</v>
      </c>
      <c r="I1169" s="16">
        <f>E1169*G1169</f>
        <v>12000</v>
      </c>
      <c r="J1169" s="16">
        <f>I1169-H1169</f>
        <v>5000</v>
      </c>
      <c r="K1169" s="16" t="str">
        <f>VLOOKUP(C1169,[1]master_data!$A$2:$E$495,5,FALSE)</f>
        <v>Aksesoris</v>
      </c>
      <c r="L1169" s="1"/>
    </row>
    <row r="1170" spans="1:12" ht="12" customHeight="1" x14ac:dyDescent="0.25">
      <c r="A1170" s="15">
        <v>45134</v>
      </c>
      <c r="B1170" s="16">
        <v>22301341</v>
      </c>
      <c r="C1170" s="16" t="s">
        <v>440</v>
      </c>
      <c r="D1170" s="16" t="str">
        <f>VLOOKUP(C1170,[1]master_data!$A$2:$E$495,2,FALSE)</f>
        <v>PEMBERSIH KACA ALBINO</v>
      </c>
      <c r="E1170" s="16">
        <v>2</v>
      </c>
      <c r="F1170" s="16">
        <f>VLOOKUP(C1170,[1]master_data!$A$2:$E$495,3,FALSE)</f>
        <v>2500</v>
      </c>
      <c r="G1170" s="16">
        <f>VLOOKUP(C1170,[1]master_data!$A$2:$E$495,4,FALSE)</f>
        <v>5000</v>
      </c>
      <c r="H1170" s="16">
        <f>E1170*F1170</f>
        <v>5000</v>
      </c>
      <c r="I1170" s="16">
        <f>E1170*G1170</f>
        <v>10000</v>
      </c>
      <c r="J1170" s="16">
        <f>I1170-H1170</f>
        <v>5000</v>
      </c>
      <c r="K1170" s="16" t="str">
        <f>VLOOKUP(C1170,[1]master_data!$A$2:$E$495,5,FALSE)</f>
        <v>Ikan</v>
      </c>
      <c r="L1170" s="1"/>
    </row>
    <row r="1171" spans="1:12" ht="12" customHeight="1" x14ac:dyDescent="0.25">
      <c r="A1171" s="15">
        <v>45133</v>
      </c>
      <c r="B1171" s="16">
        <v>22301326</v>
      </c>
      <c r="C1171" s="16" t="s">
        <v>454</v>
      </c>
      <c r="D1171" s="16" t="str">
        <f>VLOOKUP(C1171,[1]master_data!$A$2:$E$495,2,FALSE)</f>
        <v>TOMAN</v>
      </c>
      <c r="E1171" s="16">
        <v>10</v>
      </c>
      <c r="F1171" s="16">
        <f>VLOOKUP(C1171,[1]master_data!$A$2:$E$495,3,FALSE)</f>
        <v>10000</v>
      </c>
      <c r="G1171" s="16">
        <f>VLOOKUP(C1171,[1]master_data!$A$2:$E$495,4,FALSE)</f>
        <v>25000</v>
      </c>
      <c r="H1171" s="16">
        <f>E1171*F1171</f>
        <v>100000</v>
      </c>
      <c r="I1171" s="16">
        <f>E1171*G1171</f>
        <v>250000</v>
      </c>
      <c r="J1171" s="16">
        <f>I1171-H1171</f>
        <v>150000</v>
      </c>
      <c r="K1171" s="16" t="str">
        <f>VLOOKUP(C1171,[1]master_data!$A$2:$E$495,5,FALSE)</f>
        <v>Ikan</v>
      </c>
      <c r="L1171" s="1"/>
    </row>
    <row r="1172" spans="1:12" ht="12" customHeight="1" x14ac:dyDescent="0.25">
      <c r="A1172" s="15">
        <v>45133</v>
      </c>
      <c r="B1172" s="16">
        <v>22301327</v>
      </c>
      <c r="C1172" s="16" t="s">
        <v>399</v>
      </c>
      <c r="D1172" s="16" t="str">
        <f>VLOOKUP(C1172,[1]master_data!$A$2:$E$495,2,FALSE)</f>
        <v>BALA BALA B</v>
      </c>
      <c r="E1172" s="16">
        <v>1</v>
      </c>
      <c r="F1172" s="16">
        <f>VLOOKUP(C1172,[1]master_data!$A$2:$E$495,3,FALSE)</f>
        <v>7000</v>
      </c>
      <c r="G1172" s="16">
        <f>VLOOKUP(C1172,[1]master_data!$A$2:$E$495,4,FALSE)</f>
        <v>15000</v>
      </c>
      <c r="H1172" s="16">
        <f>E1172*F1172</f>
        <v>7000</v>
      </c>
      <c r="I1172" s="16">
        <f>E1172*G1172</f>
        <v>15000</v>
      </c>
      <c r="J1172" s="16">
        <f>I1172-H1172</f>
        <v>8000</v>
      </c>
      <c r="K1172" s="16" t="str">
        <f>VLOOKUP(C1172,[1]master_data!$A$2:$E$495,5,FALSE)</f>
        <v>Ikan</v>
      </c>
      <c r="L1172" s="1"/>
    </row>
    <row r="1173" spans="1:12" ht="12" customHeight="1" x14ac:dyDescent="0.25">
      <c r="A1173" s="15">
        <v>45133</v>
      </c>
      <c r="B1173" s="16">
        <v>22301328</v>
      </c>
      <c r="C1173" s="16" t="s">
        <v>311</v>
      </c>
      <c r="D1173" s="16" t="str">
        <f>VLOOKUP(C1173,[1]master_data!$A$2:$E$495,2,FALSE)</f>
        <v>T PIPA</v>
      </c>
      <c r="E1173" s="16">
        <v>20</v>
      </c>
      <c r="F1173" s="16">
        <f>VLOOKUP(C1173,[1]master_data!$A$2:$E$495,3,FALSE)</f>
        <v>800</v>
      </c>
      <c r="G1173" s="16">
        <f>VLOOKUP(C1173,[1]master_data!$A$2:$E$495,4,FALSE)</f>
        <v>2000</v>
      </c>
      <c r="H1173" s="16">
        <f>E1173*F1173</f>
        <v>16000</v>
      </c>
      <c r="I1173" s="16">
        <f>E1173*G1173</f>
        <v>40000</v>
      </c>
      <c r="J1173" s="16">
        <f>I1173-H1173</f>
        <v>24000</v>
      </c>
      <c r="K1173" s="16" t="str">
        <f>VLOOKUP(C1173,[1]master_data!$A$2:$E$495,5,FALSE)</f>
        <v>Aksesoris</v>
      </c>
      <c r="L1173" s="1"/>
    </row>
    <row r="1174" spans="1:12" ht="12" customHeight="1" x14ac:dyDescent="0.25">
      <c r="A1174" s="15">
        <v>45133</v>
      </c>
      <c r="B1174" s="16">
        <v>22301329</v>
      </c>
      <c r="C1174" s="16" t="s">
        <v>453</v>
      </c>
      <c r="D1174" s="16" t="str">
        <f>VLOOKUP(C1174,[1]master_data!$A$2:$E$495,2,FALSE)</f>
        <v>TETRA</v>
      </c>
      <c r="E1174" s="16">
        <v>30</v>
      </c>
      <c r="F1174" s="16">
        <f>VLOOKUP(C1174,[1]master_data!$A$2:$E$495,3,FALSE)</f>
        <v>800</v>
      </c>
      <c r="G1174" s="16">
        <f>VLOOKUP(C1174,[1]master_data!$A$2:$E$495,4,FALSE)</f>
        <v>2000</v>
      </c>
      <c r="H1174" s="16">
        <f>E1174*F1174</f>
        <v>24000</v>
      </c>
      <c r="I1174" s="16">
        <f>E1174*G1174</f>
        <v>60000</v>
      </c>
      <c r="J1174" s="16">
        <f>I1174-H1174</f>
        <v>36000</v>
      </c>
      <c r="K1174" s="16" t="str">
        <f>VLOOKUP(C1174,[1]master_data!$A$2:$E$495,5,FALSE)</f>
        <v>Ikan</v>
      </c>
      <c r="L1174" s="1"/>
    </row>
    <row r="1175" spans="1:12" ht="12" customHeight="1" x14ac:dyDescent="0.25">
      <c r="A1175" s="15">
        <v>45133</v>
      </c>
      <c r="B1175" s="16">
        <v>22301330</v>
      </c>
      <c r="C1175" s="16" t="s">
        <v>437</v>
      </c>
      <c r="D1175" s="16" t="str">
        <f>VLOOKUP(C1175,[1]master_data!$A$2:$E$495,2,FALSE)</f>
        <v>NEON</v>
      </c>
      <c r="E1175" s="16">
        <v>20</v>
      </c>
      <c r="F1175" s="16">
        <f>VLOOKUP(C1175,[1]master_data!$A$2:$E$495,3,FALSE)</f>
        <v>1250</v>
      </c>
      <c r="G1175" s="16">
        <f>VLOOKUP(C1175,[1]master_data!$A$2:$E$495,4,FALSE)</f>
        <v>5000</v>
      </c>
      <c r="H1175" s="16">
        <f>E1175*F1175</f>
        <v>25000</v>
      </c>
      <c r="I1175" s="16">
        <f>E1175*G1175</f>
        <v>100000</v>
      </c>
      <c r="J1175" s="16">
        <f>I1175-H1175</f>
        <v>75000</v>
      </c>
      <c r="K1175" s="16" t="str">
        <f>VLOOKUP(C1175,[1]master_data!$A$2:$E$495,5,FALSE)</f>
        <v>Ikan</v>
      </c>
      <c r="L1175" s="1"/>
    </row>
    <row r="1176" spans="1:12" ht="12" customHeight="1" x14ac:dyDescent="0.25">
      <c r="A1176" s="15">
        <v>45133</v>
      </c>
      <c r="B1176" s="16">
        <v>22301331</v>
      </c>
      <c r="C1176" s="16" t="s">
        <v>426</v>
      </c>
      <c r="D1176" s="16" t="str">
        <f>VLOOKUP(C1176,[1]master_data!$A$2:$E$495,2,FALSE)</f>
        <v>LOUHAN</v>
      </c>
      <c r="E1176" s="16">
        <v>2</v>
      </c>
      <c r="F1176" s="16">
        <f>VLOOKUP(C1176,[1]master_data!$A$2:$E$495,3,FALSE)</f>
        <v>85000</v>
      </c>
      <c r="G1176" s="16">
        <f>VLOOKUP(C1176,[1]master_data!$A$2:$E$495,4,FALSE)</f>
        <v>200000</v>
      </c>
      <c r="H1176" s="16">
        <f>E1176*F1176</f>
        <v>170000</v>
      </c>
      <c r="I1176" s="16">
        <f>E1176*G1176</f>
        <v>400000</v>
      </c>
      <c r="J1176" s="16">
        <f>I1176-H1176</f>
        <v>230000</v>
      </c>
      <c r="K1176" s="16" t="str">
        <f>VLOOKUP(C1176,[1]master_data!$A$2:$E$495,5,FALSE)</f>
        <v>Ikan</v>
      </c>
      <c r="L1176" s="1"/>
    </row>
    <row r="1177" spans="1:12" ht="12" customHeight="1" x14ac:dyDescent="0.25">
      <c r="A1177" s="15">
        <v>45133</v>
      </c>
      <c r="B1177" s="16">
        <v>22301332</v>
      </c>
      <c r="C1177" s="16" t="s">
        <v>398</v>
      </c>
      <c r="D1177" s="16" t="str">
        <f>VLOOKUP(C1177,[1]master_data!$A$2:$E$495,2,FALSE)</f>
        <v>BALA BALA K</v>
      </c>
      <c r="E1177" s="16">
        <v>10</v>
      </c>
      <c r="F1177" s="16">
        <f>VLOOKUP(C1177,[1]master_data!$A$2:$E$495,3,FALSE)</f>
        <v>4000</v>
      </c>
      <c r="G1177" s="16">
        <f>VLOOKUP(C1177,[1]master_data!$A$2:$E$495,4,FALSE)</f>
        <v>8000</v>
      </c>
      <c r="H1177" s="16">
        <f>E1177*F1177</f>
        <v>40000</v>
      </c>
      <c r="I1177" s="16">
        <f>E1177*G1177</f>
        <v>80000</v>
      </c>
      <c r="J1177" s="16">
        <f>I1177-H1177</f>
        <v>40000</v>
      </c>
      <c r="K1177" s="16" t="str">
        <f>VLOOKUP(C1177,[1]master_data!$A$2:$E$495,5,FALSE)</f>
        <v>Ikan</v>
      </c>
      <c r="L1177" s="1"/>
    </row>
    <row r="1178" spans="1:12" ht="12" customHeight="1" x14ac:dyDescent="0.25">
      <c r="A1178" s="15">
        <v>45133</v>
      </c>
      <c r="B1178" s="16">
        <v>22301333</v>
      </c>
      <c r="C1178" s="16" t="s">
        <v>43</v>
      </c>
      <c r="D1178" s="16" t="str">
        <f>VLOOKUP(C1178,[1]master_data!$A$2:$E$495,2,FALSE)</f>
        <v>MESIN YAMANO ACO 003</v>
      </c>
      <c r="E1178" s="16">
        <v>1</v>
      </c>
      <c r="F1178" s="16">
        <f>VLOOKUP(C1178,[1]master_data!$A$2:$E$495,3,FALSE)</f>
        <v>375000</v>
      </c>
      <c r="G1178" s="16">
        <f>VLOOKUP(C1178,[1]master_data!$A$2:$E$495,4,FALSE)</f>
        <v>450000</v>
      </c>
      <c r="H1178" s="16">
        <f>E1178*F1178</f>
        <v>375000</v>
      </c>
      <c r="I1178" s="16">
        <f>E1178*G1178</f>
        <v>450000</v>
      </c>
      <c r="J1178" s="16">
        <f>I1178-H1178</f>
        <v>75000</v>
      </c>
      <c r="K1178" s="16" t="str">
        <f>VLOOKUP(C1178,[1]master_data!$A$2:$E$495,5,FALSE)</f>
        <v>Aksesoris</v>
      </c>
      <c r="L1178" s="1"/>
    </row>
    <row r="1179" spans="1:12" ht="12" customHeight="1" x14ac:dyDescent="0.25">
      <c r="A1179" s="15">
        <v>45132</v>
      </c>
      <c r="B1179" s="16">
        <v>22301315</v>
      </c>
      <c r="C1179" s="16" t="s">
        <v>270</v>
      </c>
      <c r="D1179" s="16" t="str">
        <f>VLOOKUP(C1179,[1]master_data!$A$2:$E$495,2,FALSE)</f>
        <v>HEATER KACA 75 W</v>
      </c>
      <c r="E1179" s="16">
        <v>2</v>
      </c>
      <c r="F1179" s="16">
        <f>VLOOKUP(C1179,[1]master_data!$A$2:$E$495,3,FALSE)</f>
        <v>33000</v>
      </c>
      <c r="G1179" s="16">
        <f>VLOOKUP(C1179,[1]master_data!$A$2:$E$495,4,FALSE)</f>
        <v>50000</v>
      </c>
      <c r="H1179" s="16">
        <f>E1179*F1179</f>
        <v>66000</v>
      </c>
      <c r="I1179" s="16">
        <f>E1179*G1179</f>
        <v>100000</v>
      </c>
      <c r="J1179" s="16">
        <f>I1179-H1179</f>
        <v>34000</v>
      </c>
      <c r="K1179" s="16" t="str">
        <f>VLOOKUP(C1179,[1]master_data!$A$2:$E$495,5,FALSE)</f>
        <v>Aksesoris</v>
      </c>
      <c r="L1179" s="1"/>
    </row>
    <row r="1180" spans="1:12" ht="12" customHeight="1" x14ac:dyDescent="0.25">
      <c r="A1180" s="15">
        <v>45132</v>
      </c>
      <c r="B1180" s="16">
        <v>22301316</v>
      </c>
      <c r="C1180" s="16" t="s">
        <v>461</v>
      </c>
      <c r="D1180" s="16" t="str">
        <f>VLOOKUP(C1180,[1]master_data!$A$2:$E$495,2,FALSE)</f>
        <v>CHANNA STEWARTI</v>
      </c>
      <c r="E1180" s="16">
        <v>1</v>
      </c>
      <c r="F1180" s="16">
        <f>VLOOKUP(C1180,[1]master_data!$A$2:$E$495,3,FALSE)</f>
        <v>15000</v>
      </c>
      <c r="G1180" s="16">
        <f>VLOOKUP(C1180,[1]master_data!$A$2:$E$495,4,FALSE)</f>
        <v>40000</v>
      </c>
      <c r="H1180" s="16">
        <f>E1180*F1180</f>
        <v>15000</v>
      </c>
      <c r="I1180" s="16">
        <f>E1180*G1180</f>
        <v>40000</v>
      </c>
      <c r="J1180" s="16">
        <f>I1180-H1180</f>
        <v>25000</v>
      </c>
      <c r="K1180" s="16" t="str">
        <f>VLOOKUP(C1180,[1]master_data!$A$2:$E$495,5,FALSE)</f>
        <v>Ikan</v>
      </c>
      <c r="L1180" s="1"/>
    </row>
    <row r="1181" spans="1:12" ht="12" customHeight="1" x14ac:dyDescent="0.25">
      <c r="A1181" s="15">
        <v>45132</v>
      </c>
      <c r="B1181" s="16">
        <v>22301317</v>
      </c>
      <c r="C1181" s="16" t="s">
        <v>430</v>
      </c>
      <c r="D1181" s="16" t="str">
        <f>VLOOKUP(C1181,[1]master_data!$A$2:$E$495,2,FALSE)</f>
        <v>MARU K</v>
      </c>
      <c r="E1181" s="16">
        <v>10</v>
      </c>
      <c r="F1181" s="16">
        <f>VLOOKUP(C1181,[1]master_data!$A$2:$E$495,3,FALSE)</f>
        <v>23000</v>
      </c>
      <c r="G1181" s="16">
        <f>VLOOKUP(C1181,[1]master_data!$A$2:$E$495,4,FALSE)</f>
        <v>50000</v>
      </c>
      <c r="H1181" s="16">
        <f>E1181*F1181</f>
        <v>230000</v>
      </c>
      <c r="I1181" s="16">
        <f>E1181*G1181</f>
        <v>500000</v>
      </c>
      <c r="J1181" s="16">
        <f>I1181-H1181</f>
        <v>270000</v>
      </c>
      <c r="K1181" s="16" t="str">
        <f>VLOOKUP(C1181,[1]master_data!$A$2:$E$495,5,FALSE)</f>
        <v>Ikan</v>
      </c>
      <c r="L1181" s="1"/>
    </row>
    <row r="1182" spans="1:12" ht="12" customHeight="1" x14ac:dyDescent="0.25">
      <c r="A1182" s="15">
        <v>45132</v>
      </c>
      <c r="B1182" s="16">
        <v>22301318</v>
      </c>
      <c r="C1182" s="16" t="s">
        <v>212</v>
      </c>
      <c r="D1182" s="16" t="str">
        <f>VLOOKUP(C1182,[1]master_data!$A$2:$E$495,2,FALSE)</f>
        <v>ARTEMIA SUPREME PLUS</v>
      </c>
      <c r="E1182" s="16">
        <v>1</v>
      </c>
      <c r="F1182" s="16">
        <f>VLOOKUP(C1182,[1]master_data!$A$2:$E$495,3,FALSE)</f>
        <v>14500</v>
      </c>
      <c r="G1182" s="16">
        <f>VLOOKUP(C1182,[1]master_data!$A$2:$E$495,4,FALSE)</f>
        <v>25000</v>
      </c>
      <c r="H1182" s="16">
        <f>E1182*F1182</f>
        <v>14500</v>
      </c>
      <c r="I1182" s="16">
        <f>E1182*G1182</f>
        <v>25000</v>
      </c>
      <c r="J1182" s="16">
        <f>I1182-H1182</f>
        <v>10500</v>
      </c>
      <c r="K1182" s="16" t="str">
        <f>VLOOKUP(C1182,[1]master_data!$A$2:$E$495,5,FALSE)</f>
        <v>Aksesoris</v>
      </c>
      <c r="L1182" s="1"/>
    </row>
    <row r="1183" spans="1:12" ht="12" customHeight="1" x14ac:dyDescent="0.25">
      <c r="A1183" s="15">
        <v>45132</v>
      </c>
      <c r="B1183" s="16">
        <v>22301319</v>
      </c>
      <c r="C1183" s="16" t="s">
        <v>410</v>
      </c>
      <c r="D1183" s="16" t="str">
        <f>VLOOKUP(C1183,[1]master_data!$A$2:$E$495,2,FALSE)</f>
        <v>HIU TAWAR</v>
      </c>
      <c r="E1183" s="16">
        <v>25</v>
      </c>
      <c r="F1183" s="16">
        <f>VLOOKUP(C1183,[1]master_data!$A$2:$E$495,3,FALSE)</f>
        <v>600</v>
      </c>
      <c r="G1183" s="16">
        <f>VLOOKUP(C1183,[1]master_data!$A$2:$E$495,4,FALSE)</f>
        <v>2000</v>
      </c>
      <c r="H1183" s="16">
        <f>E1183*F1183</f>
        <v>15000</v>
      </c>
      <c r="I1183" s="16">
        <f>E1183*G1183</f>
        <v>50000</v>
      </c>
      <c r="J1183" s="16">
        <f>I1183-H1183</f>
        <v>35000</v>
      </c>
      <c r="K1183" s="16" t="str">
        <f>VLOOKUP(C1183,[1]master_data!$A$2:$E$495,5,FALSE)</f>
        <v>Ikan</v>
      </c>
      <c r="L1183" s="1"/>
    </row>
    <row r="1184" spans="1:12" ht="12" customHeight="1" x14ac:dyDescent="0.25">
      <c r="A1184" s="15">
        <v>45132</v>
      </c>
      <c r="B1184" s="16">
        <v>22301320</v>
      </c>
      <c r="C1184" s="16" t="s">
        <v>434</v>
      </c>
      <c r="D1184" s="16" t="str">
        <f>VLOOKUP(C1184,[1]master_data!$A$2:$E$495,2,FALSE)</f>
        <v>NIASA</v>
      </c>
      <c r="E1184" s="16">
        <v>10</v>
      </c>
      <c r="F1184" s="16">
        <f>VLOOKUP(C1184,[1]master_data!$A$2:$E$495,3,FALSE)</f>
        <v>900</v>
      </c>
      <c r="G1184" s="16">
        <f>VLOOKUP(C1184,[1]master_data!$A$2:$E$495,4,FALSE)</f>
        <v>2000</v>
      </c>
      <c r="H1184" s="16">
        <f>E1184*F1184</f>
        <v>9000</v>
      </c>
      <c r="I1184" s="16">
        <f>E1184*G1184</f>
        <v>20000</v>
      </c>
      <c r="J1184" s="16">
        <f>I1184-H1184</f>
        <v>11000</v>
      </c>
      <c r="K1184" s="16" t="str">
        <f>VLOOKUP(C1184,[1]master_data!$A$2:$E$495,5,FALSE)</f>
        <v>Ikan</v>
      </c>
      <c r="L1184" s="1"/>
    </row>
    <row r="1185" spans="1:12" ht="12" customHeight="1" x14ac:dyDescent="0.25">
      <c r="A1185" s="15">
        <v>45132</v>
      </c>
      <c r="B1185" s="16">
        <v>22301321</v>
      </c>
      <c r="C1185" s="16" t="s">
        <v>410</v>
      </c>
      <c r="D1185" s="16" t="str">
        <f>VLOOKUP(C1185,[1]master_data!$A$2:$E$495,2,FALSE)</f>
        <v>HIU TAWAR</v>
      </c>
      <c r="E1185" s="16">
        <v>30</v>
      </c>
      <c r="F1185" s="16">
        <f>VLOOKUP(C1185,[1]master_data!$A$2:$E$495,3,FALSE)</f>
        <v>600</v>
      </c>
      <c r="G1185" s="16">
        <f>VLOOKUP(C1185,[1]master_data!$A$2:$E$495,4,FALSE)</f>
        <v>2000</v>
      </c>
      <c r="H1185" s="16">
        <f>E1185*F1185</f>
        <v>18000</v>
      </c>
      <c r="I1185" s="16">
        <f>E1185*G1185</f>
        <v>60000</v>
      </c>
      <c r="J1185" s="16">
        <f>I1185-H1185</f>
        <v>42000</v>
      </c>
      <c r="K1185" s="16" t="str">
        <f>VLOOKUP(C1185,[1]master_data!$A$2:$E$495,5,FALSE)</f>
        <v>Ikan</v>
      </c>
      <c r="L1185" s="1"/>
    </row>
    <row r="1186" spans="1:12" ht="12" customHeight="1" x14ac:dyDescent="0.25">
      <c r="A1186" s="15">
        <v>45132</v>
      </c>
      <c r="B1186" s="16">
        <v>22301322</v>
      </c>
      <c r="C1186" s="16" t="s">
        <v>89</v>
      </c>
      <c r="D1186" s="16" t="str">
        <f>VLOOKUP(C1186,[1]master_data!$A$2:$E$495,2,FALSE)</f>
        <v>MESIN ARMADA 1050L</v>
      </c>
      <c r="E1186" s="16">
        <v>7</v>
      </c>
      <c r="F1186" s="16">
        <f>VLOOKUP(C1186,[1]master_data!$A$2:$E$495,3,FALSE)</f>
        <v>38000</v>
      </c>
      <c r="G1186" s="16">
        <f>VLOOKUP(C1186,[1]master_data!$A$2:$E$495,4,FALSE)</f>
        <v>50000</v>
      </c>
      <c r="H1186" s="16">
        <f>E1186*F1186</f>
        <v>266000</v>
      </c>
      <c r="I1186" s="16">
        <f>E1186*G1186</f>
        <v>350000</v>
      </c>
      <c r="J1186" s="16">
        <f>I1186-H1186</f>
        <v>84000</v>
      </c>
      <c r="K1186" s="16" t="str">
        <f>VLOOKUP(C1186,[1]master_data!$A$2:$E$495,5,FALSE)</f>
        <v>Aksesoris</v>
      </c>
      <c r="L1186" s="1"/>
    </row>
    <row r="1187" spans="1:12" ht="12" customHeight="1" x14ac:dyDescent="0.25">
      <c r="A1187" s="15">
        <v>45132</v>
      </c>
      <c r="B1187" s="16">
        <v>22301323</v>
      </c>
      <c r="C1187" s="16" t="s">
        <v>403</v>
      </c>
      <c r="D1187" s="16" t="str">
        <f>VLOOKUP(C1187,[1]master_data!$A$2:$E$495,2,FALSE)</f>
        <v>KOMET BOKIM</v>
      </c>
      <c r="E1187" s="16">
        <v>2</v>
      </c>
      <c r="F1187" s="16">
        <f>VLOOKUP(C1187,[1]master_data!$A$2:$E$495,3,FALSE)</f>
        <v>1500</v>
      </c>
      <c r="G1187" s="16">
        <f>VLOOKUP(C1187,[1]master_data!$A$2:$E$495,4,FALSE)</f>
        <v>5000</v>
      </c>
      <c r="H1187" s="16">
        <f>E1187*F1187</f>
        <v>3000</v>
      </c>
      <c r="I1187" s="16">
        <f>E1187*G1187</f>
        <v>10000</v>
      </c>
      <c r="J1187" s="16">
        <f>I1187-H1187</f>
        <v>7000</v>
      </c>
      <c r="K1187" s="16" t="str">
        <f>VLOOKUP(C1187,[1]master_data!$A$2:$E$495,5,FALSE)</f>
        <v>Ikan</v>
      </c>
      <c r="L1187" s="1"/>
    </row>
    <row r="1188" spans="1:12" ht="12" customHeight="1" x14ac:dyDescent="0.25">
      <c r="A1188" s="15">
        <v>45132</v>
      </c>
      <c r="B1188" s="16">
        <v>22301324</v>
      </c>
      <c r="C1188" s="16" t="s">
        <v>473</v>
      </c>
      <c r="D1188" s="16" t="str">
        <f>VLOOKUP(C1188,[1]master_data!$A$2:$E$495,2,FALSE)</f>
        <v>AIRATOR JINGYE LUB 1</v>
      </c>
      <c r="E1188" s="16">
        <v>1</v>
      </c>
      <c r="F1188" s="16">
        <f>VLOOKUP(C1188,[1]master_data!$A$2:$E$495,3,FALSE)</f>
        <v>20500</v>
      </c>
      <c r="G1188" s="16">
        <f>VLOOKUP(C1188,[1]master_data!$A$2:$E$495,4,FALSE)</f>
        <v>30000</v>
      </c>
      <c r="H1188" s="16">
        <f>E1188*F1188</f>
        <v>20500</v>
      </c>
      <c r="I1188" s="16">
        <f>E1188*G1188</f>
        <v>30000</v>
      </c>
      <c r="J1188" s="16">
        <f>I1188-H1188</f>
        <v>9500</v>
      </c>
      <c r="K1188" s="16" t="str">
        <f>VLOOKUP(C1188,[1]master_data!$A$2:$E$495,5,FALSE)</f>
        <v>Aksesoris</v>
      </c>
      <c r="L1188" s="1"/>
    </row>
    <row r="1189" spans="1:12" ht="12" customHeight="1" x14ac:dyDescent="0.25">
      <c r="A1189" s="15">
        <v>45132</v>
      </c>
      <c r="B1189" s="16">
        <v>22301325</v>
      </c>
      <c r="C1189" s="16" t="s">
        <v>423</v>
      </c>
      <c r="D1189" s="16" t="str">
        <f>VLOOKUP(C1189,[1]master_data!$A$2:$E$495,2,FALSE)</f>
        <v>CAROLINE</v>
      </c>
      <c r="E1189" s="16">
        <v>1</v>
      </c>
      <c r="F1189" s="16">
        <f>VLOOKUP(C1189,[1]master_data!$A$2:$E$495,3,FALSE)</f>
        <v>900</v>
      </c>
      <c r="G1189" s="16">
        <f>VLOOKUP(C1189,[1]master_data!$A$2:$E$495,4,FALSE)</f>
        <v>2000</v>
      </c>
      <c r="H1189" s="16">
        <f>E1189*F1189</f>
        <v>900</v>
      </c>
      <c r="I1189" s="16">
        <f>E1189*G1189</f>
        <v>2000</v>
      </c>
      <c r="J1189" s="16">
        <f>I1189-H1189</f>
        <v>1100</v>
      </c>
      <c r="K1189" s="16" t="str">
        <f>VLOOKUP(C1189,[1]master_data!$A$2:$E$495,5,FALSE)</f>
        <v>Ikan</v>
      </c>
      <c r="L1189" s="1"/>
    </row>
    <row r="1190" spans="1:12" ht="12" customHeight="1" x14ac:dyDescent="0.25">
      <c r="A1190" s="15">
        <v>45131</v>
      </c>
      <c r="B1190" s="16">
        <v>22301306</v>
      </c>
      <c r="C1190" s="16" t="s">
        <v>399</v>
      </c>
      <c r="D1190" s="16" t="str">
        <f>VLOOKUP(C1190,[1]master_data!$A$2:$E$495,2,FALSE)</f>
        <v>BALA BALA B</v>
      </c>
      <c r="E1190" s="16">
        <v>1</v>
      </c>
      <c r="F1190" s="16">
        <f>VLOOKUP(C1190,[1]master_data!$A$2:$E$495,3,FALSE)</f>
        <v>7000</v>
      </c>
      <c r="G1190" s="16">
        <f>VLOOKUP(C1190,[1]master_data!$A$2:$E$495,4,FALSE)</f>
        <v>15000</v>
      </c>
      <c r="H1190" s="16">
        <f>E1190*F1190</f>
        <v>7000</v>
      </c>
      <c r="I1190" s="16">
        <f>E1190*G1190</f>
        <v>15000</v>
      </c>
      <c r="J1190" s="16">
        <f>I1190-H1190</f>
        <v>8000</v>
      </c>
      <c r="K1190" s="16" t="str">
        <f>VLOOKUP(C1190,[1]master_data!$A$2:$E$495,5,FALSE)</f>
        <v>Ikan</v>
      </c>
      <c r="L1190" s="1"/>
    </row>
    <row r="1191" spans="1:12" ht="12" customHeight="1" x14ac:dyDescent="0.25">
      <c r="A1191" s="15">
        <v>45131</v>
      </c>
      <c r="B1191" s="16">
        <v>22301307</v>
      </c>
      <c r="C1191" s="16" t="s">
        <v>417</v>
      </c>
      <c r="D1191" s="16" t="str">
        <f>VLOOKUP(C1191,[1]master_data!$A$2:$E$495,2,FALSE)</f>
        <v>KURA - KURA</v>
      </c>
      <c r="E1191" s="16">
        <v>1</v>
      </c>
      <c r="F1191" s="16">
        <f>VLOOKUP(C1191,[1]master_data!$A$2:$E$495,3,FALSE)</f>
        <v>25000</v>
      </c>
      <c r="G1191" s="16">
        <f>VLOOKUP(C1191,[1]master_data!$A$2:$E$495,4,FALSE)</f>
        <v>35000</v>
      </c>
      <c r="H1191" s="16">
        <f>E1191*F1191</f>
        <v>25000</v>
      </c>
      <c r="I1191" s="16">
        <f>E1191*G1191</f>
        <v>35000</v>
      </c>
      <c r="J1191" s="16">
        <f>I1191-H1191</f>
        <v>10000</v>
      </c>
      <c r="K1191" s="16" t="str">
        <f>VLOOKUP(C1191,[1]master_data!$A$2:$E$495,5,FALSE)</f>
        <v>Ikan</v>
      </c>
      <c r="L1191" s="1"/>
    </row>
    <row r="1192" spans="1:12" ht="12" customHeight="1" x14ac:dyDescent="0.25">
      <c r="A1192" s="15">
        <v>45131</v>
      </c>
      <c r="B1192" s="16">
        <v>22301308</v>
      </c>
      <c r="C1192" s="16" t="s">
        <v>430</v>
      </c>
      <c r="D1192" s="16" t="str">
        <f>VLOOKUP(C1192,[1]master_data!$A$2:$E$495,2,FALSE)</f>
        <v>MARU K</v>
      </c>
      <c r="E1192" s="16">
        <v>1</v>
      </c>
      <c r="F1192" s="16">
        <f>VLOOKUP(C1192,[1]master_data!$A$2:$E$495,3,FALSE)</f>
        <v>23000</v>
      </c>
      <c r="G1192" s="16">
        <f>VLOOKUP(C1192,[1]master_data!$A$2:$E$495,4,FALSE)</f>
        <v>50000</v>
      </c>
      <c r="H1192" s="16">
        <f>E1192*F1192</f>
        <v>23000</v>
      </c>
      <c r="I1192" s="16">
        <f>E1192*G1192</f>
        <v>50000</v>
      </c>
      <c r="J1192" s="16">
        <f>I1192-H1192</f>
        <v>27000</v>
      </c>
      <c r="K1192" s="16" t="str">
        <f>VLOOKUP(C1192,[1]master_data!$A$2:$E$495,5,FALSE)</f>
        <v>Ikan</v>
      </c>
      <c r="L1192" s="1"/>
    </row>
    <row r="1193" spans="1:12" ht="12" customHeight="1" x14ac:dyDescent="0.25">
      <c r="A1193" s="15">
        <v>45131</v>
      </c>
      <c r="B1193" s="16">
        <v>22301309</v>
      </c>
      <c r="C1193" s="16" t="s">
        <v>310</v>
      </c>
      <c r="D1193" s="16" t="str">
        <f>VLOOKUP(C1193,[1]master_data!$A$2:$E$495,2,FALSE)</f>
        <v>L PIPA</v>
      </c>
      <c r="E1193" s="16">
        <v>15</v>
      </c>
      <c r="F1193" s="16">
        <f>VLOOKUP(C1193,[1]master_data!$A$2:$E$495,3,FALSE)</f>
        <v>800</v>
      </c>
      <c r="G1193" s="16">
        <f>VLOOKUP(C1193,[1]master_data!$A$2:$E$495,4,FALSE)</f>
        <v>2000</v>
      </c>
      <c r="H1193" s="16">
        <f>E1193*F1193</f>
        <v>12000</v>
      </c>
      <c r="I1193" s="16">
        <f>E1193*G1193</f>
        <v>30000</v>
      </c>
      <c r="J1193" s="16">
        <f>I1193-H1193</f>
        <v>18000</v>
      </c>
      <c r="K1193" s="16" t="str">
        <f>VLOOKUP(C1193,[1]master_data!$A$2:$E$495,5,FALSE)</f>
        <v>Aksesoris</v>
      </c>
      <c r="L1193" s="1"/>
    </row>
    <row r="1194" spans="1:12" ht="12" customHeight="1" x14ac:dyDescent="0.25">
      <c r="A1194" s="15">
        <v>45131</v>
      </c>
      <c r="B1194" s="16">
        <v>22301310</v>
      </c>
      <c r="C1194" s="16" t="s">
        <v>401</v>
      </c>
      <c r="D1194" s="16" t="str">
        <f>VLOOKUP(C1194,[1]master_data!$A$2:$E$495,2,FALSE)</f>
        <v>CHANNA BLUE PULCHRA K</v>
      </c>
      <c r="E1194" s="16">
        <v>10</v>
      </c>
      <c r="F1194" s="16">
        <f>VLOOKUP(C1194,[1]master_data!$A$2:$E$495,3,FALSE)</f>
        <v>25000</v>
      </c>
      <c r="G1194" s="16">
        <f>VLOOKUP(C1194,[1]master_data!$A$2:$E$495,4,FALSE)</f>
        <v>50000</v>
      </c>
      <c r="H1194" s="16">
        <f>E1194*F1194</f>
        <v>250000</v>
      </c>
      <c r="I1194" s="16">
        <f>E1194*G1194</f>
        <v>500000</v>
      </c>
      <c r="J1194" s="16">
        <f>I1194-H1194</f>
        <v>250000</v>
      </c>
      <c r="K1194" s="16" t="str">
        <f>VLOOKUP(C1194,[1]master_data!$A$2:$E$495,5,FALSE)</f>
        <v>Ikan</v>
      </c>
      <c r="L1194" s="1"/>
    </row>
    <row r="1195" spans="1:12" ht="12" customHeight="1" x14ac:dyDescent="0.25">
      <c r="A1195" s="15">
        <v>45131</v>
      </c>
      <c r="B1195" s="16">
        <v>22301311</v>
      </c>
      <c r="C1195" s="16" t="s">
        <v>440</v>
      </c>
      <c r="D1195" s="16" t="str">
        <f>VLOOKUP(C1195,[1]master_data!$A$2:$E$495,2,FALSE)</f>
        <v>PEMBERSIH KACA ALBINO</v>
      </c>
      <c r="E1195" s="16">
        <v>20</v>
      </c>
      <c r="F1195" s="16">
        <f>VLOOKUP(C1195,[1]master_data!$A$2:$E$495,3,FALSE)</f>
        <v>2500</v>
      </c>
      <c r="G1195" s="16">
        <f>VLOOKUP(C1195,[1]master_data!$A$2:$E$495,4,FALSE)</f>
        <v>5000</v>
      </c>
      <c r="H1195" s="16">
        <f>E1195*F1195</f>
        <v>50000</v>
      </c>
      <c r="I1195" s="16">
        <f>E1195*G1195</f>
        <v>100000</v>
      </c>
      <c r="J1195" s="16">
        <f>I1195-H1195</f>
        <v>50000</v>
      </c>
      <c r="K1195" s="16" t="str">
        <f>VLOOKUP(C1195,[1]master_data!$A$2:$E$495,5,FALSE)</f>
        <v>Ikan</v>
      </c>
      <c r="L1195" s="1"/>
    </row>
    <row r="1196" spans="1:12" ht="12" customHeight="1" x14ac:dyDescent="0.25">
      <c r="A1196" s="15">
        <v>45131</v>
      </c>
      <c r="B1196" s="16">
        <v>22301312</v>
      </c>
      <c r="C1196" s="16" t="s">
        <v>30</v>
      </c>
      <c r="D1196" s="16" t="str">
        <f>VLOOKUP(C1196,[1]master_data!$A$2:$E$495,2,FALSE)</f>
        <v>TOP FILTER ROSTON 650 K</v>
      </c>
      <c r="E1196" s="16">
        <v>5</v>
      </c>
      <c r="F1196" s="16">
        <f>VLOOKUP(C1196,[1]master_data!$A$2:$E$495,3,FALSE)</f>
        <v>35000</v>
      </c>
      <c r="G1196" s="16">
        <f>VLOOKUP(C1196,[1]master_data!$A$2:$E$495,4,FALSE)</f>
        <v>50000</v>
      </c>
      <c r="H1196" s="16">
        <f>E1196*F1196</f>
        <v>175000</v>
      </c>
      <c r="I1196" s="16">
        <f>E1196*G1196</f>
        <v>250000</v>
      </c>
      <c r="J1196" s="16">
        <f>I1196-H1196</f>
        <v>75000</v>
      </c>
      <c r="K1196" s="16" t="str">
        <f>VLOOKUP(C1196,[1]master_data!$A$2:$E$495,5,FALSE)</f>
        <v>Aksesoris</v>
      </c>
      <c r="L1196" s="1"/>
    </row>
    <row r="1197" spans="1:12" ht="12" customHeight="1" x14ac:dyDescent="0.25">
      <c r="A1197" s="15">
        <v>45131</v>
      </c>
      <c r="B1197" s="16">
        <v>22301313</v>
      </c>
      <c r="C1197" s="16" t="s">
        <v>19</v>
      </c>
      <c r="D1197" s="16" t="str">
        <f>VLOOKUP(C1197,[1]master_data!$A$2:$E$495,2,FALSE)</f>
        <v>MESIN ROSTON 1000 L</v>
      </c>
      <c r="E1197" s="16">
        <v>7</v>
      </c>
      <c r="F1197" s="16">
        <f>VLOOKUP(C1197,[1]master_data!$A$2:$E$495,3,FALSE)</f>
        <v>30000</v>
      </c>
      <c r="G1197" s="16">
        <f>VLOOKUP(C1197,[1]master_data!$A$2:$E$495,4,FALSE)</f>
        <v>45000</v>
      </c>
      <c r="H1197" s="16">
        <f>E1197*F1197</f>
        <v>210000</v>
      </c>
      <c r="I1197" s="16">
        <f>E1197*G1197</f>
        <v>315000</v>
      </c>
      <c r="J1197" s="16">
        <f>I1197-H1197</f>
        <v>105000</v>
      </c>
      <c r="K1197" s="16" t="str">
        <f>VLOOKUP(C1197,[1]master_data!$A$2:$E$495,5,FALSE)</f>
        <v>Aksesoris</v>
      </c>
      <c r="L1197" s="1"/>
    </row>
    <row r="1198" spans="1:12" ht="12" customHeight="1" x14ac:dyDescent="0.25">
      <c r="A1198" s="15">
        <v>45131</v>
      </c>
      <c r="B1198" s="16">
        <v>22301314</v>
      </c>
      <c r="C1198" s="16" t="s">
        <v>461</v>
      </c>
      <c r="D1198" s="16" t="str">
        <f>VLOOKUP(C1198,[1]master_data!$A$2:$E$495,2,FALSE)</f>
        <v>CHANNA STEWARTI</v>
      </c>
      <c r="E1198" s="16">
        <v>2</v>
      </c>
      <c r="F1198" s="16">
        <f>VLOOKUP(C1198,[1]master_data!$A$2:$E$495,3,FALSE)</f>
        <v>15000</v>
      </c>
      <c r="G1198" s="16">
        <f>VLOOKUP(C1198,[1]master_data!$A$2:$E$495,4,FALSE)</f>
        <v>40000</v>
      </c>
      <c r="H1198" s="16">
        <f>E1198*F1198</f>
        <v>30000</v>
      </c>
      <c r="I1198" s="16">
        <f>E1198*G1198</f>
        <v>80000</v>
      </c>
      <c r="J1198" s="16">
        <f>I1198-H1198</f>
        <v>50000</v>
      </c>
      <c r="K1198" s="16" t="str">
        <f>VLOOKUP(C1198,[1]master_data!$A$2:$E$495,5,FALSE)</f>
        <v>Ikan</v>
      </c>
      <c r="L1198" s="1"/>
    </row>
    <row r="1199" spans="1:12" ht="12" customHeight="1" x14ac:dyDescent="0.25">
      <c r="A1199" s="15">
        <v>45130</v>
      </c>
      <c r="B1199" s="16">
        <v>22301297</v>
      </c>
      <c r="C1199" s="16" t="s">
        <v>445</v>
      </c>
      <c r="D1199" s="16" t="str">
        <f>VLOOKUP(C1199,[1]master_data!$A$2:$E$495,2,FALSE)</f>
        <v>REDFIN ALBINO</v>
      </c>
      <c r="E1199" s="16">
        <v>20</v>
      </c>
      <c r="F1199" s="16">
        <f>VLOOKUP(C1199,[1]master_data!$A$2:$E$495,3,FALSE)</f>
        <v>1500</v>
      </c>
      <c r="G1199" s="16">
        <f>VLOOKUP(C1199,[1]master_data!$A$2:$E$495,4,FALSE)</f>
        <v>4000</v>
      </c>
      <c r="H1199" s="16">
        <f>E1199*F1199</f>
        <v>30000</v>
      </c>
      <c r="I1199" s="16">
        <f>E1199*G1199</f>
        <v>80000</v>
      </c>
      <c r="J1199" s="16">
        <f>I1199-H1199</f>
        <v>50000</v>
      </c>
      <c r="K1199" s="16" t="str">
        <f>VLOOKUP(C1199,[1]master_data!$A$2:$E$495,5,FALSE)</f>
        <v>Ikan</v>
      </c>
      <c r="L1199" s="1"/>
    </row>
    <row r="1200" spans="1:12" ht="12" customHeight="1" x14ac:dyDescent="0.25">
      <c r="A1200" s="15">
        <v>45130</v>
      </c>
      <c r="B1200" s="16">
        <v>22301298</v>
      </c>
      <c r="C1200" s="16" t="s">
        <v>403</v>
      </c>
      <c r="D1200" s="16" t="str">
        <f>VLOOKUP(C1200,[1]master_data!$A$2:$E$495,2,FALSE)</f>
        <v>KOMET BOKIM</v>
      </c>
      <c r="E1200" s="16">
        <v>22</v>
      </c>
      <c r="F1200" s="16">
        <f>VLOOKUP(C1200,[1]master_data!$A$2:$E$495,3,FALSE)</f>
        <v>1500</v>
      </c>
      <c r="G1200" s="16">
        <f>VLOOKUP(C1200,[1]master_data!$A$2:$E$495,4,FALSE)</f>
        <v>5000</v>
      </c>
      <c r="H1200" s="16">
        <f>E1200*F1200</f>
        <v>33000</v>
      </c>
      <c r="I1200" s="16">
        <f>E1200*G1200</f>
        <v>110000</v>
      </c>
      <c r="J1200" s="16">
        <f>I1200-H1200</f>
        <v>77000</v>
      </c>
      <c r="K1200" s="16" t="str">
        <f>VLOOKUP(C1200,[1]master_data!$A$2:$E$495,5,FALSE)</f>
        <v>Ikan</v>
      </c>
      <c r="L1200" s="1"/>
    </row>
    <row r="1201" spans="1:12" ht="12" customHeight="1" x14ac:dyDescent="0.25">
      <c r="A1201" s="15">
        <v>45130</v>
      </c>
      <c r="B1201" s="16">
        <v>22301299</v>
      </c>
      <c r="C1201" s="16" t="s">
        <v>339</v>
      </c>
      <c r="D1201" s="16" t="str">
        <f>VLOOKUP(C1201,[1]master_data!$A$2:$E$495,2,FALSE)</f>
        <v>FOOD TIMER AMARA 8431</v>
      </c>
      <c r="E1201" s="16">
        <v>2</v>
      </c>
      <c r="F1201" s="16">
        <f>VLOOKUP(C1201,[1]master_data!$A$2:$E$495,3,FALSE)</f>
        <v>45000</v>
      </c>
      <c r="G1201" s="16">
        <f>VLOOKUP(C1201,[1]master_data!$A$2:$E$495,4,FALSE)</f>
        <v>115000</v>
      </c>
      <c r="H1201" s="16">
        <f>E1201*F1201</f>
        <v>90000</v>
      </c>
      <c r="I1201" s="16">
        <f>E1201*G1201</f>
        <v>230000</v>
      </c>
      <c r="J1201" s="16">
        <f>I1201-H1201</f>
        <v>140000</v>
      </c>
      <c r="K1201" s="16" t="str">
        <f>VLOOKUP(C1201,[1]master_data!$A$2:$E$495,5,FALSE)</f>
        <v>Aksesoris</v>
      </c>
      <c r="L1201" s="1"/>
    </row>
    <row r="1202" spans="1:12" ht="12" customHeight="1" x14ac:dyDescent="0.25">
      <c r="A1202" s="15">
        <v>45130</v>
      </c>
      <c r="B1202" s="16">
        <v>22301300</v>
      </c>
      <c r="C1202" s="16" t="s">
        <v>12</v>
      </c>
      <c r="D1202" s="16" t="str">
        <f>VLOOKUP(C1202,[1]master_data!$A$2:$E$495,2,FALSE)</f>
        <v>MESIN YANG 104</v>
      </c>
      <c r="E1202" s="16">
        <v>1</v>
      </c>
      <c r="F1202" s="16">
        <f>VLOOKUP(C1202,[1]master_data!$A$2:$E$495,3,FALSE)</f>
        <v>98000</v>
      </c>
      <c r="G1202" s="16">
        <f>VLOOKUP(C1202,[1]master_data!$A$2:$E$495,4,FALSE)</f>
        <v>140000</v>
      </c>
      <c r="H1202" s="16">
        <f>E1202*F1202</f>
        <v>98000</v>
      </c>
      <c r="I1202" s="16">
        <f>E1202*G1202</f>
        <v>140000</v>
      </c>
      <c r="J1202" s="16">
        <f>I1202-H1202</f>
        <v>42000</v>
      </c>
      <c r="K1202" s="16" t="str">
        <f>VLOOKUP(C1202,[1]master_data!$A$2:$E$495,5,FALSE)</f>
        <v>Aksesoris</v>
      </c>
      <c r="L1202" s="1"/>
    </row>
    <row r="1203" spans="1:12" ht="12" customHeight="1" x14ac:dyDescent="0.25">
      <c r="A1203" s="15">
        <v>45130</v>
      </c>
      <c r="B1203" s="16">
        <v>22301301</v>
      </c>
      <c r="C1203" s="16" t="s">
        <v>334</v>
      </c>
      <c r="D1203" s="16" t="str">
        <f>VLOOKUP(C1203,[1]master_data!$A$2:$E$495,2,FALSE)</f>
        <v>PENJERNIH</v>
      </c>
      <c r="E1203" s="16">
        <v>20</v>
      </c>
      <c r="F1203" s="16">
        <f>VLOOKUP(C1203,[1]master_data!$A$2:$E$495,3,FALSE)</f>
        <v>3000</v>
      </c>
      <c r="G1203" s="16">
        <f>VLOOKUP(C1203,[1]master_data!$A$2:$E$495,4,FALSE)</f>
        <v>8000</v>
      </c>
      <c r="H1203" s="16">
        <f>E1203*F1203</f>
        <v>60000</v>
      </c>
      <c r="I1203" s="16">
        <f>E1203*G1203</f>
        <v>160000</v>
      </c>
      <c r="J1203" s="16">
        <f>I1203-H1203</f>
        <v>100000</v>
      </c>
      <c r="K1203" s="16" t="str">
        <f>VLOOKUP(C1203,[1]master_data!$A$2:$E$495,5,FALSE)</f>
        <v>Aksesoris</v>
      </c>
      <c r="L1203" s="1"/>
    </row>
    <row r="1204" spans="1:12" ht="12" customHeight="1" x14ac:dyDescent="0.25">
      <c r="A1204" s="15">
        <v>45130</v>
      </c>
      <c r="B1204" s="16">
        <v>22301302</v>
      </c>
      <c r="C1204" s="16" t="s">
        <v>398</v>
      </c>
      <c r="D1204" s="16" t="str">
        <f>VLOOKUP(C1204,[1]master_data!$A$2:$E$495,2,FALSE)</f>
        <v>BALA BALA K</v>
      </c>
      <c r="E1204" s="16">
        <v>20</v>
      </c>
      <c r="F1204" s="16">
        <f>VLOOKUP(C1204,[1]master_data!$A$2:$E$495,3,FALSE)</f>
        <v>4000</v>
      </c>
      <c r="G1204" s="16">
        <f>VLOOKUP(C1204,[1]master_data!$A$2:$E$495,4,FALSE)</f>
        <v>8000</v>
      </c>
      <c r="H1204" s="16">
        <f>E1204*F1204</f>
        <v>80000</v>
      </c>
      <c r="I1204" s="16">
        <f>E1204*G1204</f>
        <v>160000</v>
      </c>
      <c r="J1204" s="16">
        <f>I1204-H1204</f>
        <v>80000</v>
      </c>
      <c r="K1204" s="16" t="str">
        <f>VLOOKUP(C1204,[1]master_data!$A$2:$E$495,5,FALSE)</f>
        <v>Ikan</v>
      </c>
      <c r="L1204" s="1"/>
    </row>
    <row r="1205" spans="1:12" ht="12" customHeight="1" x14ac:dyDescent="0.25">
      <c r="A1205" s="15">
        <v>45130</v>
      </c>
      <c r="B1205" s="16">
        <v>22301303</v>
      </c>
      <c r="C1205" s="16" t="s">
        <v>406</v>
      </c>
      <c r="D1205" s="16" t="str">
        <f>VLOOKUP(C1205,[1]master_data!$A$2:$E$495,2,FALSE)</f>
        <v>CATFISH</v>
      </c>
      <c r="E1205" s="16">
        <v>2</v>
      </c>
      <c r="F1205" s="16">
        <f>VLOOKUP(C1205,[1]master_data!$A$2:$E$495,3,FALSE)</f>
        <v>20000</v>
      </c>
      <c r="G1205" s="16">
        <f>VLOOKUP(C1205,[1]master_data!$A$2:$E$495,4,FALSE)</f>
        <v>50000</v>
      </c>
      <c r="H1205" s="16">
        <f>E1205*F1205</f>
        <v>40000</v>
      </c>
      <c r="I1205" s="16">
        <f>E1205*G1205</f>
        <v>100000</v>
      </c>
      <c r="J1205" s="16">
        <f>I1205-H1205</f>
        <v>60000</v>
      </c>
      <c r="K1205" s="16" t="str">
        <f>VLOOKUP(C1205,[1]master_data!$A$2:$E$495,5,FALSE)</f>
        <v>Ikan</v>
      </c>
      <c r="L1205" s="1"/>
    </row>
    <row r="1206" spans="1:12" ht="12" customHeight="1" x14ac:dyDescent="0.25">
      <c r="A1206" s="15">
        <v>45130</v>
      </c>
      <c r="B1206" s="16">
        <v>22301304</v>
      </c>
      <c r="C1206" s="16" t="s">
        <v>404</v>
      </c>
      <c r="D1206" s="16" t="str">
        <f>VLOOKUP(C1206,[1]master_data!$A$2:$E$495,2,FALSE)</f>
        <v>BARBIR</v>
      </c>
      <c r="E1206" s="16">
        <v>3</v>
      </c>
      <c r="F1206" s="16">
        <f>VLOOKUP(C1206,[1]master_data!$A$2:$E$495,3,FALSE)</f>
        <v>800</v>
      </c>
      <c r="G1206" s="16">
        <f>VLOOKUP(C1206,[1]master_data!$A$2:$E$495,4,FALSE)</f>
        <v>2000</v>
      </c>
      <c r="H1206" s="16">
        <f>E1206*F1206</f>
        <v>2400</v>
      </c>
      <c r="I1206" s="16">
        <f>E1206*G1206</f>
        <v>6000</v>
      </c>
      <c r="J1206" s="16">
        <f>I1206-H1206</f>
        <v>3600</v>
      </c>
      <c r="K1206" s="16" t="str">
        <f>VLOOKUP(C1206,[1]master_data!$A$2:$E$495,5,FALSE)</f>
        <v>Ikan</v>
      </c>
      <c r="L1206" s="1"/>
    </row>
    <row r="1207" spans="1:12" ht="12" customHeight="1" x14ac:dyDescent="0.25">
      <c r="A1207" s="15">
        <v>45130</v>
      </c>
      <c r="B1207" s="16">
        <v>22301305</v>
      </c>
      <c r="C1207" s="16" t="s">
        <v>434</v>
      </c>
      <c r="D1207" s="16" t="str">
        <f>VLOOKUP(C1207,[1]master_data!$A$2:$E$495,2,FALSE)</f>
        <v>NIASA</v>
      </c>
      <c r="E1207" s="16">
        <v>1</v>
      </c>
      <c r="F1207" s="16">
        <f>VLOOKUP(C1207,[1]master_data!$A$2:$E$495,3,FALSE)</f>
        <v>900</v>
      </c>
      <c r="G1207" s="16">
        <f>VLOOKUP(C1207,[1]master_data!$A$2:$E$495,4,FALSE)</f>
        <v>2000</v>
      </c>
      <c r="H1207" s="16">
        <f>E1207*F1207</f>
        <v>900</v>
      </c>
      <c r="I1207" s="16">
        <f>E1207*G1207</f>
        <v>2000</v>
      </c>
      <c r="J1207" s="16">
        <f>I1207-H1207</f>
        <v>1100</v>
      </c>
      <c r="K1207" s="16" t="str">
        <f>VLOOKUP(C1207,[1]master_data!$A$2:$E$495,5,FALSE)</f>
        <v>Ikan</v>
      </c>
      <c r="L1207" s="1"/>
    </row>
    <row r="1208" spans="1:12" ht="12" customHeight="1" x14ac:dyDescent="0.25">
      <c r="A1208" s="15">
        <v>45129</v>
      </c>
      <c r="B1208" s="16">
        <v>22301289</v>
      </c>
      <c r="C1208" s="16" t="s">
        <v>74</v>
      </c>
      <c r="D1208" s="16" t="str">
        <f>VLOOKUP(C1208,[1]master_data!$A$2:$E$495,2,FALSE)</f>
        <v>MESIN HAILONG 1600</v>
      </c>
      <c r="E1208" s="16">
        <v>1</v>
      </c>
      <c r="F1208" s="16">
        <f>VLOOKUP(C1208,[1]master_data!$A$2:$E$495,3,FALSE)</f>
        <v>58000</v>
      </c>
      <c r="G1208" s="16">
        <f>VLOOKUP(C1208,[1]master_data!$A$2:$E$495,4,FALSE)</f>
        <v>100000</v>
      </c>
      <c r="H1208" s="16">
        <f>E1208*F1208</f>
        <v>58000</v>
      </c>
      <c r="I1208" s="16">
        <f>E1208*G1208</f>
        <v>100000</v>
      </c>
      <c r="J1208" s="16">
        <f>I1208-H1208</f>
        <v>42000</v>
      </c>
      <c r="K1208" s="16" t="str">
        <f>VLOOKUP(C1208,[1]master_data!$A$2:$E$495,5,FALSE)</f>
        <v>Aksesoris</v>
      </c>
      <c r="L1208" s="1"/>
    </row>
    <row r="1209" spans="1:12" ht="12" customHeight="1" x14ac:dyDescent="0.25">
      <c r="A1209" s="15">
        <v>45129</v>
      </c>
      <c r="B1209" s="16">
        <v>22301290</v>
      </c>
      <c r="C1209" s="16" t="s">
        <v>198</v>
      </c>
      <c r="D1209" s="16" t="str">
        <f>VLOOKUP(C1209,[1]master_data!$A$2:$E$495,2,FALSE)</f>
        <v>AKARI PREMIUM YELLOW</v>
      </c>
      <c r="E1209" s="16">
        <v>2</v>
      </c>
      <c r="F1209" s="16">
        <f>VLOOKUP(C1209,[1]master_data!$A$2:$E$495,3,FALSE)</f>
        <v>37000</v>
      </c>
      <c r="G1209" s="16">
        <f>VLOOKUP(C1209,[1]master_data!$A$2:$E$495,4,FALSE)</f>
        <v>50000</v>
      </c>
      <c r="H1209" s="16">
        <f>E1209*F1209</f>
        <v>74000</v>
      </c>
      <c r="I1209" s="16">
        <f>E1209*G1209</f>
        <v>100000</v>
      </c>
      <c r="J1209" s="16">
        <f>I1209-H1209</f>
        <v>26000</v>
      </c>
      <c r="K1209" s="16" t="str">
        <f>VLOOKUP(C1209,[1]master_data!$A$2:$E$495,5,FALSE)</f>
        <v>Aksesoris</v>
      </c>
      <c r="L1209" s="1"/>
    </row>
    <row r="1210" spans="1:12" ht="12" customHeight="1" x14ac:dyDescent="0.25">
      <c r="A1210" s="15">
        <v>45129</v>
      </c>
      <c r="B1210" s="16">
        <v>22301291</v>
      </c>
      <c r="C1210" s="16" t="s">
        <v>307</v>
      </c>
      <c r="D1210" s="16" t="str">
        <f>VLOOKUP(C1210,[1]master_data!$A$2:$E$495,2,FALSE)</f>
        <v>SUPER BLUE</v>
      </c>
      <c r="E1210" s="16">
        <v>10</v>
      </c>
      <c r="F1210" s="16">
        <f>VLOOKUP(C1210,[1]master_data!$A$2:$E$495,3,FALSE)</f>
        <v>8000</v>
      </c>
      <c r="G1210" s="16">
        <f>VLOOKUP(C1210,[1]master_data!$A$2:$E$495,4,FALSE)</f>
        <v>12000</v>
      </c>
      <c r="H1210" s="16">
        <f>E1210*F1210</f>
        <v>80000</v>
      </c>
      <c r="I1210" s="16">
        <f>E1210*G1210</f>
        <v>120000</v>
      </c>
      <c r="J1210" s="16">
        <f>I1210-H1210</f>
        <v>40000</v>
      </c>
      <c r="K1210" s="16" t="str">
        <f>VLOOKUP(C1210,[1]master_data!$A$2:$E$495,5,FALSE)</f>
        <v>Aksesoris</v>
      </c>
      <c r="L1210" s="1"/>
    </row>
    <row r="1211" spans="1:12" ht="12" customHeight="1" x14ac:dyDescent="0.25">
      <c r="A1211" s="15">
        <v>45129</v>
      </c>
      <c r="B1211" s="16">
        <v>22301292</v>
      </c>
      <c r="C1211" s="16" t="s">
        <v>61</v>
      </c>
      <c r="D1211" s="16" t="str">
        <f>VLOOKUP(C1211,[1]master_data!$A$2:$E$495,2,FALSE)</f>
        <v>MINI FILTER</v>
      </c>
      <c r="E1211" s="16">
        <v>5</v>
      </c>
      <c r="F1211" s="16">
        <f>VLOOKUP(C1211,[1]master_data!$A$2:$E$495,3,FALSE)</f>
        <v>13000</v>
      </c>
      <c r="G1211" s="16">
        <f>VLOOKUP(C1211,[1]master_data!$A$2:$E$495,4,FALSE)</f>
        <v>25000</v>
      </c>
      <c r="H1211" s="16">
        <f>E1211*F1211</f>
        <v>65000</v>
      </c>
      <c r="I1211" s="16">
        <f>E1211*G1211</f>
        <v>125000</v>
      </c>
      <c r="J1211" s="16">
        <f>I1211-H1211</f>
        <v>60000</v>
      </c>
      <c r="K1211" s="16" t="str">
        <f>VLOOKUP(C1211,[1]master_data!$A$2:$E$495,5,FALSE)</f>
        <v>Aksesoris</v>
      </c>
      <c r="L1211" s="1"/>
    </row>
    <row r="1212" spans="1:12" ht="12" customHeight="1" x14ac:dyDescent="0.25">
      <c r="A1212" s="15">
        <v>45129</v>
      </c>
      <c r="B1212" s="16">
        <v>22301293</v>
      </c>
      <c r="C1212" s="16" t="s">
        <v>414</v>
      </c>
      <c r="D1212" s="16" t="str">
        <f>VLOOKUP(C1212,[1]master_data!$A$2:$E$495,2,FALSE)</f>
        <v>KOI K</v>
      </c>
      <c r="E1212" s="16">
        <v>30</v>
      </c>
      <c r="F1212" s="16">
        <f>VLOOKUP(C1212,[1]master_data!$A$2:$E$495,3,FALSE)</f>
        <v>2500</v>
      </c>
      <c r="G1212" s="16">
        <f>VLOOKUP(C1212,[1]master_data!$A$2:$E$495,4,FALSE)</f>
        <v>10000</v>
      </c>
      <c r="H1212" s="16">
        <f>E1212*F1212</f>
        <v>75000</v>
      </c>
      <c r="I1212" s="16">
        <f>E1212*G1212</f>
        <v>300000</v>
      </c>
      <c r="J1212" s="16">
        <f>I1212-H1212</f>
        <v>225000</v>
      </c>
      <c r="K1212" s="16" t="str">
        <f>VLOOKUP(C1212,[1]master_data!$A$2:$E$495,5,FALSE)</f>
        <v>Ikan</v>
      </c>
      <c r="L1212" s="1"/>
    </row>
    <row r="1213" spans="1:12" ht="12" customHeight="1" x14ac:dyDescent="0.25">
      <c r="A1213" s="15">
        <v>45129</v>
      </c>
      <c r="B1213" s="16">
        <v>22301294</v>
      </c>
      <c r="C1213" s="16" t="s">
        <v>226</v>
      </c>
      <c r="D1213" s="16" t="str">
        <f>VLOOKUP(C1213,[1]master_data!$A$2:$E$495,2,FALSE)</f>
        <v>OK IKO LOUHAN HIJAU</v>
      </c>
      <c r="E1213" s="16">
        <v>7</v>
      </c>
      <c r="F1213" s="16">
        <f>VLOOKUP(C1213,[1]master_data!$A$2:$E$495,3,FALSE)</f>
        <v>31500</v>
      </c>
      <c r="G1213" s="16">
        <f>VLOOKUP(C1213,[1]master_data!$A$2:$E$495,4,FALSE)</f>
        <v>50000</v>
      </c>
      <c r="H1213" s="16">
        <f>E1213*F1213</f>
        <v>220500</v>
      </c>
      <c r="I1213" s="16">
        <f>E1213*G1213</f>
        <v>350000</v>
      </c>
      <c r="J1213" s="16">
        <f>I1213-H1213</f>
        <v>129500</v>
      </c>
      <c r="K1213" s="16" t="str">
        <f>VLOOKUP(C1213,[1]master_data!$A$2:$E$495,5,FALSE)</f>
        <v>Aksesoris</v>
      </c>
      <c r="L1213" s="1"/>
    </row>
    <row r="1214" spans="1:12" ht="12" customHeight="1" x14ac:dyDescent="0.25">
      <c r="A1214" s="15">
        <v>45129</v>
      </c>
      <c r="B1214" s="16">
        <v>22301295</v>
      </c>
      <c r="C1214" s="16" t="s">
        <v>436</v>
      </c>
      <c r="D1214" s="16" t="str">
        <f>VLOOKUP(C1214,[1]master_data!$A$2:$E$495,2,FALSE)</f>
        <v>NENTINEN</v>
      </c>
      <c r="E1214" s="16">
        <v>8</v>
      </c>
      <c r="F1214" s="16">
        <f>VLOOKUP(C1214,[1]master_data!$A$2:$E$495,3,FALSE)</f>
        <v>1000</v>
      </c>
      <c r="G1214" s="16">
        <f>VLOOKUP(C1214,[1]master_data!$A$2:$E$495,4,FALSE)</f>
        <v>2500</v>
      </c>
      <c r="H1214" s="16">
        <f>E1214*F1214</f>
        <v>8000</v>
      </c>
      <c r="I1214" s="16">
        <f>E1214*G1214</f>
        <v>20000</v>
      </c>
      <c r="J1214" s="16">
        <f>I1214-H1214</f>
        <v>12000</v>
      </c>
      <c r="K1214" s="16" t="str">
        <f>VLOOKUP(C1214,[1]master_data!$A$2:$E$495,5,FALSE)</f>
        <v>Ikan</v>
      </c>
      <c r="L1214" s="1"/>
    </row>
    <row r="1215" spans="1:12" ht="12" customHeight="1" x14ac:dyDescent="0.25">
      <c r="A1215" s="15">
        <v>45129</v>
      </c>
      <c r="B1215" s="16">
        <v>22301296</v>
      </c>
      <c r="C1215" s="16" t="s">
        <v>445</v>
      </c>
      <c r="D1215" s="16" t="str">
        <f>VLOOKUP(C1215,[1]master_data!$A$2:$E$495,2,FALSE)</f>
        <v>REDFIN ALBINO</v>
      </c>
      <c r="E1215" s="16">
        <v>100</v>
      </c>
      <c r="F1215" s="16">
        <f>VLOOKUP(C1215,[1]master_data!$A$2:$E$495,3,FALSE)</f>
        <v>1500</v>
      </c>
      <c r="G1215" s="16">
        <f>VLOOKUP(C1215,[1]master_data!$A$2:$E$495,4,FALSE)</f>
        <v>4000</v>
      </c>
      <c r="H1215" s="16">
        <f>E1215*F1215</f>
        <v>150000</v>
      </c>
      <c r="I1215" s="16">
        <f>E1215*G1215</f>
        <v>400000</v>
      </c>
      <c r="J1215" s="16">
        <f>I1215-H1215</f>
        <v>250000</v>
      </c>
      <c r="K1215" s="16" t="str">
        <f>VLOOKUP(C1215,[1]master_data!$A$2:$E$495,5,FALSE)</f>
        <v>Ikan</v>
      </c>
      <c r="L1215" s="1"/>
    </row>
    <row r="1216" spans="1:12" ht="12" customHeight="1" x14ac:dyDescent="0.25">
      <c r="A1216" s="15">
        <v>45128</v>
      </c>
      <c r="B1216" s="16">
        <v>22301282</v>
      </c>
      <c r="C1216" s="16" t="s">
        <v>234</v>
      </c>
      <c r="D1216" s="16" t="str">
        <f>VLOOKUP(C1216,[1]master_data!$A$2:$E$495,2,FALSE)</f>
        <v>QUICK RED BG</v>
      </c>
      <c r="E1216" s="16">
        <v>5</v>
      </c>
      <c r="F1216" s="16">
        <f>VLOOKUP(C1216,[1]master_data!$A$2:$E$495,3,FALSE)</f>
        <v>19200</v>
      </c>
      <c r="G1216" s="16">
        <f>VLOOKUP(C1216,[1]master_data!$A$2:$E$495,4,FALSE)</f>
        <v>35000</v>
      </c>
      <c r="H1216" s="16">
        <f>E1216*F1216</f>
        <v>96000</v>
      </c>
      <c r="I1216" s="16">
        <f>E1216*G1216</f>
        <v>175000</v>
      </c>
      <c r="J1216" s="16">
        <f>I1216-H1216</f>
        <v>79000</v>
      </c>
      <c r="K1216" s="16" t="str">
        <f>VLOOKUP(C1216,[1]master_data!$A$2:$E$495,5,FALSE)</f>
        <v>Aksesoris</v>
      </c>
      <c r="L1216" s="1"/>
    </row>
    <row r="1217" spans="1:12" ht="12" customHeight="1" x14ac:dyDescent="0.25">
      <c r="A1217" s="15">
        <v>45128</v>
      </c>
      <c r="B1217" s="16">
        <v>22301283</v>
      </c>
      <c r="C1217" s="16" t="s">
        <v>409</v>
      </c>
      <c r="D1217" s="16" t="str">
        <f>VLOOKUP(C1217,[1]master_data!$A$2:$E$495,2,FALSE)</f>
        <v>GOLDEN BLACK</v>
      </c>
      <c r="E1217" s="16">
        <v>10</v>
      </c>
      <c r="F1217" s="16">
        <f>VLOOKUP(C1217,[1]master_data!$A$2:$E$495,3,FALSE)</f>
        <v>800</v>
      </c>
      <c r="G1217" s="16">
        <f>VLOOKUP(C1217,[1]master_data!$A$2:$E$495,4,FALSE)</f>
        <v>2000</v>
      </c>
      <c r="H1217" s="16">
        <f>E1217*F1217</f>
        <v>8000</v>
      </c>
      <c r="I1217" s="16">
        <f>E1217*G1217</f>
        <v>20000</v>
      </c>
      <c r="J1217" s="16">
        <f>I1217-H1217</f>
        <v>12000</v>
      </c>
      <c r="K1217" s="16" t="str">
        <f>VLOOKUP(C1217,[1]master_data!$A$2:$E$495,5,FALSE)</f>
        <v>Ikan</v>
      </c>
      <c r="L1217" s="1"/>
    </row>
    <row r="1218" spans="1:12" ht="12" customHeight="1" x14ac:dyDescent="0.25">
      <c r="A1218" s="15">
        <v>45128</v>
      </c>
      <c r="B1218" s="16">
        <v>22301284</v>
      </c>
      <c r="C1218" s="16" t="s">
        <v>402</v>
      </c>
      <c r="D1218" s="16" t="str">
        <f>VLOOKUP(C1218,[1]master_data!$A$2:$E$495,2,FALSE)</f>
        <v>CHANNA BLUE PULCHRA B</v>
      </c>
      <c r="E1218" s="16">
        <v>2</v>
      </c>
      <c r="F1218" s="16">
        <f>VLOOKUP(C1218,[1]master_data!$A$2:$E$495,3,FALSE)</f>
        <v>125000</v>
      </c>
      <c r="G1218" s="16">
        <f>VLOOKUP(C1218,[1]master_data!$A$2:$E$495,4,FALSE)</f>
        <v>200000</v>
      </c>
      <c r="H1218" s="16">
        <f>E1218*F1218</f>
        <v>250000</v>
      </c>
      <c r="I1218" s="16">
        <f>E1218*G1218</f>
        <v>400000</v>
      </c>
      <c r="J1218" s="16">
        <f>I1218-H1218</f>
        <v>150000</v>
      </c>
      <c r="K1218" s="16" t="str">
        <f>VLOOKUP(C1218,[1]master_data!$A$2:$E$495,5,FALSE)</f>
        <v>Ikan</v>
      </c>
      <c r="L1218" s="1"/>
    </row>
    <row r="1219" spans="1:12" ht="12" customHeight="1" x14ac:dyDescent="0.25">
      <c r="A1219" s="15">
        <v>45128</v>
      </c>
      <c r="B1219" s="16">
        <v>22301285</v>
      </c>
      <c r="C1219" s="16" t="s">
        <v>409</v>
      </c>
      <c r="D1219" s="16" t="str">
        <f>VLOOKUP(C1219,[1]master_data!$A$2:$E$495,2,FALSE)</f>
        <v>GOLDEN BLACK</v>
      </c>
      <c r="E1219" s="16">
        <v>30</v>
      </c>
      <c r="F1219" s="16">
        <f>VLOOKUP(C1219,[1]master_data!$A$2:$E$495,3,FALSE)</f>
        <v>800</v>
      </c>
      <c r="G1219" s="16">
        <f>VLOOKUP(C1219,[1]master_data!$A$2:$E$495,4,FALSE)</f>
        <v>2000</v>
      </c>
      <c r="H1219" s="16">
        <f>E1219*F1219</f>
        <v>24000</v>
      </c>
      <c r="I1219" s="16">
        <f>E1219*G1219</f>
        <v>60000</v>
      </c>
      <c r="J1219" s="16">
        <f>I1219-H1219</f>
        <v>36000</v>
      </c>
      <c r="K1219" s="16" t="str">
        <f>VLOOKUP(C1219,[1]master_data!$A$2:$E$495,5,FALSE)</f>
        <v>Ikan</v>
      </c>
      <c r="L1219" s="1"/>
    </row>
    <row r="1220" spans="1:12" ht="12" customHeight="1" x14ac:dyDescent="0.25">
      <c r="A1220" s="15">
        <v>45128</v>
      </c>
      <c r="B1220" s="16">
        <v>22301286</v>
      </c>
      <c r="C1220" s="16" t="s">
        <v>163</v>
      </c>
      <c r="D1220" s="16" t="str">
        <f>VLOOKUP(C1220,[1]master_data!$A$2:$E$495,2,FALSE)</f>
        <v>LED KANDILA VIBRANT 60 CM</v>
      </c>
      <c r="E1220" s="16">
        <v>2</v>
      </c>
      <c r="F1220" s="16">
        <f>VLOOKUP(C1220,[1]master_data!$A$2:$E$495,3,FALSE)</f>
        <v>109000</v>
      </c>
      <c r="G1220" s="16">
        <f>VLOOKUP(C1220,[1]master_data!$A$2:$E$495,4,FALSE)</f>
        <v>150000</v>
      </c>
      <c r="H1220" s="16">
        <f>E1220*F1220</f>
        <v>218000</v>
      </c>
      <c r="I1220" s="16">
        <f>E1220*G1220</f>
        <v>300000</v>
      </c>
      <c r="J1220" s="16">
        <f>I1220-H1220</f>
        <v>82000</v>
      </c>
      <c r="K1220" s="16" t="str">
        <f>VLOOKUP(C1220,[1]master_data!$A$2:$E$495,5,FALSE)</f>
        <v>Aksesoris</v>
      </c>
      <c r="L1220" s="1"/>
    </row>
    <row r="1221" spans="1:12" ht="12" customHeight="1" x14ac:dyDescent="0.25">
      <c r="A1221" s="15">
        <v>45128</v>
      </c>
      <c r="B1221" s="16">
        <v>22301287</v>
      </c>
      <c r="C1221" s="16" t="s">
        <v>418</v>
      </c>
      <c r="D1221" s="16" t="str">
        <f>VLOOKUP(C1221,[1]master_data!$A$2:$E$495,2,FALSE)</f>
        <v>KAVIAT</v>
      </c>
      <c r="E1221" s="16">
        <v>20</v>
      </c>
      <c r="F1221" s="16">
        <f>VLOOKUP(C1221,[1]master_data!$A$2:$E$495,3,FALSE)</f>
        <v>3500</v>
      </c>
      <c r="G1221" s="16">
        <f>VLOOKUP(C1221,[1]master_data!$A$2:$E$495,4,FALSE)</f>
        <v>8000</v>
      </c>
      <c r="H1221" s="16">
        <f>E1221*F1221</f>
        <v>70000</v>
      </c>
      <c r="I1221" s="16">
        <f>E1221*G1221</f>
        <v>160000</v>
      </c>
      <c r="J1221" s="16">
        <f>I1221-H1221</f>
        <v>90000</v>
      </c>
      <c r="K1221" s="16" t="str">
        <f>VLOOKUP(C1221,[1]master_data!$A$2:$E$495,5,FALSE)</f>
        <v>Ikan</v>
      </c>
      <c r="L1221" s="1"/>
    </row>
    <row r="1222" spans="1:12" ht="12" customHeight="1" x14ac:dyDescent="0.25">
      <c r="A1222" s="15">
        <v>45128</v>
      </c>
      <c r="B1222" s="16">
        <v>22301288</v>
      </c>
      <c r="C1222" s="16" t="s">
        <v>124</v>
      </c>
      <c r="D1222" s="16" t="str">
        <f>VLOOKUP(C1222,[1]master_data!$A$2:$E$495,2,FALSE)</f>
        <v>LED ROSTON 3 MODE 60 CM</v>
      </c>
      <c r="E1222" s="16">
        <v>1</v>
      </c>
      <c r="F1222" s="16">
        <f>VLOOKUP(C1222,[1]master_data!$A$2:$E$495,3,FALSE)</f>
        <v>33000</v>
      </c>
      <c r="G1222" s="16">
        <f>VLOOKUP(C1222,[1]master_data!$A$2:$E$495,4,FALSE)</f>
        <v>70000</v>
      </c>
      <c r="H1222" s="16">
        <f>E1222*F1222</f>
        <v>33000</v>
      </c>
      <c r="I1222" s="16">
        <f>E1222*G1222</f>
        <v>70000</v>
      </c>
      <c r="J1222" s="16">
        <f>I1222-H1222</f>
        <v>37000</v>
      </c>
      <c r="K1222" s="16" t="str">
        <f>VLOOKUP(C1222,[1]master_data!$A$2:$E$495,5,FALSE)</f>
        <v>Aksesoris</v>
      </c>
      <c r="L1222" s="1"/>
    </row>
    <row r="1223" spans="1:12" ht="12" customHeight="1" x14ac:dyDescent="0.25">
      <c r="A1223" s="15">
        <v>45127</v>
      </c>
      <c r="B1223" s="16">
        <v>22301273</v>
      </c>
      <c r="C1223" s="16" t="s">
        <v>401</v>
      </c>
      <c r="D1223" s="16" t="str">
        <f>VLOOKUP(C1223,[1]master_data!$A$2:$E$495,2,FALSE)</f>
        <v>CHANNA BLUE PULCHRA K</v>
      </c>
      <c r="E1223" s="16">
        <v>5</v>
      </c>
      <c r="F1223" s="16">
        <f>VLOOKUP(C1223,[1]master_data!$A$2:$E$495,3,FALSE)</f>
        <v>25000</v>
      </c>
      <c r="G1223" s="16">
        <f>VLOOKUP(C1223,[1]master_data!$A$2:$E$495,4,FALSE)</f>
        <v>50000</v>
      </c>
      <c r="H1223" s="16">
        <f>E1223*F1223</f>
        <v>125000</v>
      </c>
      <c r="I1223" s="16">
        <f>E1223*G1223</f>
        <v>250000</v>
      </c>
      <c r="J1223" s="16">
        <f>I1223-H1223</f>
        <v>125000</v>
      </c>
      <c r="K1223" s="16" t="str">
        <f>VLOOKUP(C1223,[1]master_data!$A$2:$E$495,5,FALSE)</f>
        <v>Ikan</v>
      </c>
      <c r="L1223" s="1"/>
    </row>
    <row r="1224" spans="1:12" ht="12" customHeight="1" x14ac:dyDescent="0.25">
      <c r="A1224" s="15">
        <v>45127</v>
      </c>
      <c r="B1224" s="16">
        <v>22301274</v>
      </c>
      <c r="C1224" s="16" t="s">
        <v>455</v>
      </c>
      <c r="D1224" s="16" t="str">
        <f>VLOOKUP(C1224,[1]master_data!$A$2:$E$495,2,FALSE)</f>
        <v>ZEBRA PINK</v>
      </c>
      <c r="E1224" s="16">
        <v>50</v>
      </c>
      <c r="F1224" s="16">
        <f>VLOOKUP(C1224,[1]master_data!$A$2:$E$495,3,FALSE)</f>
        <v>800</v>
      </c>
      <c r="G1224" s="16">
        <f>VLOOKUP(C1224,[1]master_data!$A$2:$E$495,4,FALSE)</f>
        <v>2000</v>
      </c>
      <c r="H1224" s="16">
        <f>E1224*F1224</f>
        <v>40000</v>
      </c>
      <c r="I1224" s="16">
        <f>E1224*G1224</f>
        <v>100000</v>
      </c>
      <c r="J1224" s="16">
        <f>I1224-H1224</f>
        <v>60000</v>
      </c>
      <c r="K1224" s="16" t="str">
        <f>VLOOKUP(C1224,[1]master_data!$A$2:$E$495,5,FALSE)</f>
        <v>Ikan</v>
      </c>
      <c r="L1224" s="1"/>
    </row>
    <row r="1225" spans="1:12" ht="12" customHeight="1" x14ac:dyDescent="0.25">
      <c r="A1225" s="15">
        <v>45127</v>
      </c>
      <c r="B1225" s="16">
        <v>22301275</v>
      </c>
      <c r="C1225" s="16" t="s">
        <v>418</v>
      </c>
      <c r="D1225" s="16" t="str">
        <f>VLOOKUP(C1225,[1]master_data!$A$2:$E$495,2,FALSE)</f>
        <v>KAVIAT</v>
      </c>
      <c r="E1225" s="16">
        <v>10</v>
      </c>
      <c r="F1225" s="16">
        <f>VLOOKUP(C1225,[1]master_data!$A$2:$E$495,3,FALSE)</f>
        <v>3500</v>
      </c>
      <c r="G1225" s="16">
        <f>VLOOKUP(C1225,[1]master_data!$A$2:$E$495,4,FALSE)</f>
        <v>8000</v>
      </c>
      <c r="H1225" s="16">
        <f>E1225*F1225</f>
        <v>35000</v>
      </c>
      <c r="I1225" s="16">
        <f>E1225*G1225</f>
        <v>80000</v>
      </c>
      <c r="J1225" s="16">
        <f>I1225-H1225</f>
        <v>45000</v>
      </c>
      <c r="K1225" s="16" t="str">
        <f>VLOOKUP(C1225,[1]master_data!$A$2:$E$495,5,FALSE)</f>
        <v>Ikan</v>
      </c>
      <c r="L1225" s="1"/>
    </row>
    <row r="1226" spans="1:12" ht="12" customHeight="1" x14ac:dyDescent="0.25">
      <c r="A1226" s="15">
        <v>45127</v>
      </c>
      <c r="B1226" s="16">
        <v>22301276</v>
      </c>
      <c r="C1226" s="16" t="s">
        <v>392</v>
      </c>
      <c r="D1226" s="16" t="str">
        <f>VLOOKUP(C1226,[1]master_data!$A$2:$E$495,2,FALSE)</f>
        <v>ARWANA SILVER K</v>
      </c>
      <c r="E1226" s="16">
        <v>2</v>
      </c>
      <c r="F1226" s="16">
        <f>VLOOKUP(C1226,[1]master_data!$A$2:$E$495,3,FALSE)</f>
        <v>100000</v>
      </c>
      <c r="G1226" s="16">
        <f>VLOOKUP(C1226,[1]master_data!$A$2:$E$495,4,FALSE)</f>
        <v>200000</v>
      </c>
      <c r="H1226" s="16">
        <f>E1226*F1226</f>
        <v>200000</v>
      </c>
      <c r="I1226" s="16">
        <f>E1226*G1226</f>
        <v>400000</v>
      </c>
      <c r="J1226" s="16">
        <f>I1226-H1226</f>
        <v>200000</v>
      </c>
      <c r="K1226" s="16" t="str">
        <f>VLOOKUP(C1226,[1]master_data!$A$2:$E$495,5,FALSE)</f>
        <v>Ikan</v>
      </c>
      <c r="L1226" s="1"/>
    </row>
    <row r="1227" spans="1:12" ht="12" customHeight="1" x14ac:dyDescent="0.25">
      <c r="A1227" s="15">
        <v>45127</v>
      </c>
      <c r="B1227" s="16">
        <v>22301277</v>
      </c>
      <c r="C1227" s="16" t="s">
        <v>244</v>
      </c>
      <c r="D1227" s="16" t="str">
        <f>VLOOKUP(C1227,[1]master_data!$A$2:$E$495,2,FALSE)</f>
        <v>MATLINE BLUE</v>
      </c>
      <c r="E1227" s="16">
        <v>25</v>
      </c>
      <c r="F1227" s="16">
        <f>VLOOKUP(C1227,[1]master_data!$A$2:$E$495,3,FALSE)</f>
        <v>7000</v>
      </c>
      <c r="G1227" s="16">
        <f>VLOOKUP(C1227,[1]master_data!$A$2:$E$495,4,FALSE)</f>
        <v>10000</v>
      </c>
      <c r="H1227" s="16">
        <f>E1227*F1227</f>
        <v>175000</v>
      </c>
      <c r="I1227" s="16">
        <f>E1227*G1227</f>
        <v>250000</v>
      </c>
      <c r="J1227" s="16">
        <f>I1227-H1227</f>
        <v>75000</v>
      </c>
      <c r="K1227" s="16" t="str">
        <f>VLOOKUP(C1227,[1]master_data!$A$2:$E$495,5,FALSE)</f>
        <v>Aksesoris</v>
      </c>
      <c r="L1227" s="1"/>
    </row>
    <row r="1228" spans="1:12" ht="12" customHeight="1" x14ac:dyDescent="0.25">
      <c r="A1228" s="15">
        <v>45127</v>
      </c>
      <c r="B1228" s="16">
        <v>22301278</v>
      </c>
      <c r="C1228" s="16" t="s">
        <v>460</v>
      </c>
      <c r="D1228" s="16" t="str">
        <f>VLOOKUP(C1228,[1]master_data!$A$2:$E$495,2,FALSE)</f>
        <v>SEPAT ALBINO</v>
      </c>
      <c r="E1228" s="16">
        <v>10</v>
      </c>
      <c r="F1228" s="16">
        <f>VLOOKUP(C1228,[1]master_data!$A$2:$E$495,3,FALSE)</f>
        <v>2000</v>
      </c>
      <c r="G1228" s="16">
        <f>VLOOKUP(C1228,[1]master_data!$A$2:$E$495,4,FALSE)</f>
        <v>5000</v>
      </c>
      <c r="H1228" s="16">
        <f>E1228*F1228</f>
        <v>20000</v>
      </c>
      <c r="I1228" s="16">
        <f>E1228*G1228</f>
        <v>50000</v>
      </c>
      <c r="J1228" s="16">
        <f>I1228-H1228</f>
        <v>30000</v>
      </c>
      <c r="K1228" s="16" t="str">
        <f>VLOOKUP(C1228,[1]master_data!$A$2:$E$495,5,FALSE)</f>
        <v>Ikan</v>
      </c>
      <c r="L1228" s="1"/>
    </row>
    <row r="1229" spans="1:12" ht="12" customHeight="1" x14ac:dyDescent="0.25">
      <c r="A1229" s="15">
        <v>45127</v>
      </c>
      <c r="B1229" s="16">
        <v>22301279</v>
      </c>
      <c r="C1229" s="16" t="s">
        <v>439</v>
      </c>
      <c r="D1229" s="16" t="str">
        <f>VLOOKUP(C1229,[1]master_data!$A$2:$E$495,2,FALSE)</f>
        <v>PEMBERSIH KACA BIASA</v>
      </c>
      <c r="E1229" s="16">
        <v>15</v>
      </c>
      <c r="F1229" s="16">
        <f>VLOOKUP(C1229,[1]master_data!$A$2:$E$495,3,FALSE)</f>
        <v>2000</v>
      </c>
      <c r="G1229" s="16">
        <f>VLOOKUP(C1229,[1]master_data!$A$2:$E$495,4,FALSE)</f>
        <v>5000</v>
      </c>
      <c r="H1229" s="16">
        <f>E1229*F1229</f>
        <v>30000</v>
      </c>
      <c r="I1229" s="16">
        <f>E1229*G1229</f>
        <v>75000</v>
      </c>
      <c r="J1229" s="16">
        <f>I1229-H1229</f>
        <v>45000</v>
      </c>
      <c r="K1229" s="16" t="str">
        <f>VLOOKUP(C1229,[1]master_data!$A$2:$E$495,5,FALSE)</f>
        <v>Ikan</v>
      </c>
      <c r="L1229" s="1"/>
    </row>
    <row r="1230" spans="1:12" ht="12" customHeight="1" x14ac:dyDescent="0.25">
      <c r="A1230" s="15">
        <v>45127</v>
      </c>
      <c r="B1230" s="16">
        <v>22301280</v>
      </c>
      <c r="C1230" s="16" t="s">
        <v>406</v>
      </c>
      <c r="D1230" s="16" t="str">
        <f>VLOOKUP(C1230,[1]master_data!$A$2:$E$495,2,FALSE)</f>
        <v>CATFISH</v>
      </c>
      <c r="E1230" s="16">
        <v>1</v>
      </c>
      <c r="F1230" s="16">
        <f>VLOOKUP(C1230,[1]master_data!$A$2:$E$495,3,FALSE)</f>
        <v>20000</v>
      </c>
      <c r="G1230" s="16">
        <f>VLOOKUP(C1230,[1]master_data!$A$2:$E$495,4,FALSE)</f>
        <v>50000</v>
      </c>
      <c r="H1230" s="16">
        <f>E1230*F1230</f>
        <v>20000</v>
      </c>
      <c r="I1230" s="16">
        <f>E1230*G1230</f>
        <v>50000</v>
      </c>
      <c r="J1230" s="16">
        <f>I1230-H1230</f>
        <v>30000</v>
      </c>
      <c r="K1230" s="16" t="str">
        <f>VLOOKUP(C1230,[1]master_data!$A$2:$E$495,5,FALSE)</f>
        <v>Ikan</v>
      </c>
      <c r="L1230" s="1"/>
    </row>
    <row r="1231" spans="1:12" ht="12" customHeight="1" x14ac:dyDescent="0.25">
      <c r="A1231" s="15">
        <v>45127</v>
      </c>
      <c r="B1231" s="16">
        <v>22301281</v>
      </c>
      <c r="C1231" s="16" t="s">
        <v>422</v>
      </c>
      <c r="D1231" s="16" t="str">
        <f>VLOOKUP(C1231,[1]master_data!$A$2:$E$495,2,FALSE)</f>
        <v>KOI SLAYER B</v>
      </c>
      <c r="E1231" s="16">
        <v>5</v>
      </c>
      <c r="F1231" s="16">
        <f>VLOOKUP(C1231,[1]master_data!$A$2:$E$495,3,FALSE)</f>
        <v>8000</v>
      </c>
      <c r="G1231" s="16">
        <f>VLOOKUP(C1231,[1]master_data!$A$2:$E$495,4,FALSE)</f>
        <v>20000</v>
      </c>
      <c r="H1231" s="16">
        <f>E1231*F1231</f>
        <v>40000</v>
      </c>
      <c r="I1231" s="16">
        <f>E1231*G1231</f>
        <v>100000</v>
      </c>
      <c r="J1231" s="16">
        <f>I1231-H1231</f>
        <v>60000</v>
      </c>
      <c r="K1231" s="16" t="str">
        <f>VLOOKUP(C1231,[1]master_data!$A$2:$E$495,5,FALSE)</f>
        <v>Ikan</v>
      </c>
      <c r="L1231" s="1"/>
    </row>
    <row r="1232" spans="1:12" ht="12" customHeight="1" x14ac:dyDescent="0.25">
      <c r="A1232" s="15">
        <v>45126</v>
      </c>
      <c r="B1232" s="16">
        <v>22301263</v>
      </c>
      <c r="C1232" s="16" t="s">
        <v>414</v>
      </c>
      <c r="D1232" s="16" t="str">
        <f>VLOOKUP(C1232,[1]master_data!$A$2:$E$495,2,FALSE)</f>
        <v>KOI K</v>
      </c>
      <c r="E1232" s="16">
        <v>25</v>
      </c>
      <c r="F1232" s="16">
        <f>VLOOKUP(C1232,[1]master_data!$A$2:$E$495,3,FALSE)</f>
        <v>2500</v>
      </c>
      <c r="G1232" s="16">
        <f>VLOOKUP(C1232,[1]master_data!$A$2:$E$495,4,FALSE)</f>
        <v>10000</v>
      </c>
      <c r="H1232" s="16">
        <f>E1232*F1232</f>
        <v>62500</v>
      </c>
      <c r="I1232" s="16">
        <f>E1232*G1232</f>
        <v>250000</v>
      </c>
      <c r="J1232" s="16">
        <f>I1232-H1232</f>
        <v>187500</v>
      </c>
      <c r="K1232" s="16" t="str">
        <f>VLOOKUP(C1232,[1]master_data!$A$2:$E$495,5,FALSE)</f>
        <v>Ikan</v>
      </c>
      <c r="L1232" s="1"/>
    </row>
    <row r="1233" spans="1:12" ht="12" customHeight="1" x14ac:dyDescent="0.25">
      <c r="A1233" s="15">
        <v>45126</v>
      </c>
      <c r="B1233" s="16">
        <v>22301264</v>
      </c>
      <c r="C1233" s="16" t="s">
        <v>408</v>
      </c>
      <c r="D1233" s="16" t="str">
        <f>VLOOKUP(C1233,[1]master_data!$A$2:$E$495,2,FALSE)</f>
        <v>GUPY</v>
      </c>
      <c r="E1233" s="16">
        <v>15</v>
      </c>
      <c r="F1233" s="16">
        <f>VLOOKUP(C1233,[1]master_data!$A$2:$E$495,3,FALSE)</f>
        <v>1200</v>
      </c>
      <c r="G1233" s="16">
        <f>VLOOKUP(C1233,[1]master_data!$A$2:$E$495,4,FALSE)</f>
        <v>2500</v>
      </c>
      <c r="H1233" s="16">
        <f>E1233*F1233</f>
        <v>18000</v>
      </c>
      <c r="I1233" s="16">
        <f>E1233*G1233</f>
        <v>37500</v>
      </c>
      <c r="J1233" s="16">
        <f>I1233-H1233</f>
        <v>19500</v>
      </c>
      <c r="K1233" s="16" t="str">
        <f>VLOOKUP(C1233,[1]master_data!$A$2:$E$495,5,FALSE)</f>
        <v>Ikan</v>
      </c>
      <c r="L1233" s="1"/>
    </row>
    <row r="1234" spans="1:12" ht="12" customHeight="1" x14ac:dyDescent="0.25">
      <c r="A1234" s="15">
        <v>45126</v>
      </c>
      <c r="B1234" s="16">
        <v>22301265</v>
      </c>
      <c r="C1234" s="16" t="s">
        <v>307</v>
      </c>
      <c r="D1234" s="16" t="str">
        <f>VLOOKUP(C1234,[1]master_data!$A$2:$E$495,2,FALSE)</f>
        <v>SUPER BLUE</v>
      </c>
      <c r="E1234" s="16">
        <v>5</v>
      </c>
      <c r="F1234" s="16">
        <f>VLOOKUP(C1234,[1]master_data!$A$2:$E$495,3,FALSE)</f>
        <v>8000</v>
      </c>
      <c r="G1234" s="16">
        <f>VLOOKUP(C1234,[1]master_data!$A$2:$E$495,4,FALSE)</f>
        <v>12000</v>
      </c>
      <c r="H1234" s="16">
        <f>E1234*F1234</f>
        <v>40000</v>
      </c>
      <c r="I1234" s="16">
        <f>E1234*G1234</f>
        <v>60000</v>
      </c>
      <c r="J1234" s="16">
        <f>I1234-H1234</f>
        <v>20000</v>
      </c>
      <c r="K1234" s="16" t="str">
        <f>VLOOKUP(C1234,[1]master_data!$A$2:$E$495,5,FALSE)</f>
        <v>Aksesoris</v>
      </c>
      <c r="L1234" s="1"/>
    </row>
    <row r="1235" spans="1:12" ht="12" customHeight="1" x14ac:dyDescent="0.25">
      <c r="A1235" s="15">
        <v>45126</v>
      </c>
      <c r="B1235" s="16">
        <v>22301266</v>
      </c>
      <c r="C1235" s="16" t="s">
        <v>183</v>
      </c>
      <c r="D1235" s="16" t="str">
        <f>VLOOKUP(C1235,[1]master_data!$A$2:$E$495,2,FALSE)</f>
        <v>LED HIRO 20 CM</v>
      </c>
      <c r="E1235" s="16">
        <v>5</v>
      </c>
      <c r="F1235" s="16">
        <f>VLOOKUP(C1235,[1]master_data!$A$2:$E$495,3,FALSE)</f>
        <v>17000</v>
      </c>
      <c r="G1235" s="16">
        <f>VLOOKUP(C1235,[1]master_data!$A$2:$E$495,4,FALSE)</f>
        <v>25000</v>
      </c>
      <c r="H1235" s="16">
        <f>E1235*F1235</f>
        <v>85000</v>
      </c>
      <c r="I1235" s="16">
        <f>E1235*G1235</f>
        <v>125000</v>
      </c>
      <c r="J1235" s="16">
        <f>I1235-H1235</f>
        <v>40000</v>
      </c>
      <c r="K1235" s="16" t="str">
        <f>VLOOKUP(C1235,[1]master_data!$A$2:$E$495,5,FALSE)</f>
        <v>Aksesoris</v>
      </c>
      <c r="L1235" s="1"/>
    </row>
    <row r="1236" spans="1:12" ht="12" customHeight="1" x14ac:dyDescent="0.25">
      <c r="A1236" s="15">
        <v>45126</v>
      </c>
      <c r="B1236" s="16">
        <v>22301267</v>
      </c>
      <c r="C1236" s="16" t="s">
        <v>432</v>
      </c>
      <c r="D1236" s="16" t="str">
        <f>VLOOKUP(C1236,[1]master_data!$A$2:$E$495,2,FALSE)</f>
        <v>MOLI PAKAN</v>
      </c>
      <c r="E1236" s="16">
        <v>15</v>
      </c>
      <c r="F1236" s="16">
        <f>VLOOKUP(C1236,[1]master_data!$A$2:$E$495,3,FALSE)</f>
        <v>100</v>
      </c>
      <c r="G1236" s="16">
        <f>VLOOKUP(C1236,[1]master_data!$A$2:$E$495,4,FALSE)</f>
        <v>200</v>
      </c>
      <c r="H1236" s="16">
        <f>E1236*F1236</f>
        <v>1500</v>
      </c>
      <c r="I1236" s="16">
        <f>E1236*G1236</f>
        <v>3000</v>
      </c>
      <c r="J1236" s="16">
        <f>I1236-H1236</f>
        <v>1500</v>
      </c>
      <c r="K1236" s="16" t="str">
        <f>VLOOKUP(C1236,[1]master_data!$A$2:$E$495,5,FALSE)</f>
        <v>Ikan</v>
      </c>
      <c r="L1236" s="1"/>
    </row>
    <row r="1237" spans="1:12" ht="12" customHeight="1" x14ac:dyDescent="0.25">
      <c r="A1237" s="15">
        <v>45126</v>
      </c>
      <c r="B1237" s="16">
        <v>22301268</v>
      </c>
      <c r="C1237" s="16" t="s">
        <v>418</v>
      </c>
      <c r="D1237" s="16" t="str">
        <f>VLOOKUP(C1237,[1]master_data!$A$2:$E$495,2,FALSE)</f>
        <v>KAVIAT</v>
      </c>
      <c r="E1237" s="16">
        <v>15</v>
      </c>
      <c r="F1237" s="16">
        <f>VLOOKUP(C1237,[1]master_data!$A$2:$E$495,3,FALSE)</f>
        <v>3500</v>
      </c>
      <c r="G1237" s="16">
        <f>VLOOKUP(C1237,[1]master_data!$A$2:$E$495,4,FALSE)</f>
        <v>8000</v>
      </c>
      <c r="H1237" s="16">
        <f>E1237*F1237</f>
        <v>52500</v>
      </c>
      <c r="I1237" s="16">
        <f>E1237*G1237</f>
        <v>120000</v>
      </c>
      <c r="J1237" s="16">
        <f>I1237-H1237</f>
        <v>67500</v>
      </c>
      <c r="K1237" s="16" t="str">
        <f>VLOOKUP(C1237,[1]master_data!$A$2:$E$495,5,FALSE)</f>
        <v>Ikan</v>
      </c>
      <c r="L1237" s="1"/>
    </row>
    <row r="1238" spans="1:12" ht="12" customHeight="1" x14ac:dyDescent="0.25">
      <c r="A1238" s="15">
        <v>45126</v>
      </c>
      <c r="B1238" s="16">
        <v>22301269</v>
      </c>
      <c r="C1238" s="16" t="s">
        <v>109</v>
      </c>
      <c r="D1238" s="16" t="str">
        <f>VLOOKUP(C1238,[1]master_data!$A$2:$E$495,2,FALSE)</f>
        <v>AIRATOR AMARA LUB 2</v>
      </c>
      <c r="E1238" s="16">
        <v>5</v>
      </c>
      <c r="F1238" s="16">
        <f>VLOOKUP(C1238,[1]master_data!$A$2:$E$495,3,FALSE)</f>
        <v>33000</v>
      </c>
      <c r="G1238" s="16">
        <f>VLOOKUP(C1238,[1]master_data!$A$2:$E$495,4,FALSE)</f>
        <v>50000</v>
      </c>
      <c r="H1238" s="16">
        <f>E1238*F1238</f>
        <v>165000</v>
      </c>
      <c r="I1238" s="16">
        <f>E1238*G1238</f>
        <v>250000</v>
      </c>
      <c r="J1238" s="16">
        <f>I1238-H1238</f>
        <v>85000</v>
      </c>
      <c r="K1238" s="16" t="str">
        <f>VLOOKUP(C1238,[1]master_data!$A$2:$E$495,5,FALSE)</f>
        <v>Aksesoris</v>
      </c>
      <c r="L1238" s="1"/>
    </row>
    <row r="1239" spans="1:12" ht="12" customHeight="1" x14ac:dyDescent="0.25">
      <c r="A1239" s="15">
        <v>45126</v>
      </c>
      <c r="B1239" s="16">
        <v>22301270</v>
      </c>
      <c r="C1239" s="16" t="s">
        <v>460</v>
      </c>
      <c r="D1239" s="16" t="str">
        <f>VLOOKUP(C1239,[1]master_data!$A$2:$E$495,2,FALSE)</f>
        <v>SEPAT ALBINO</v>
      </c>
      <c r="E1239" s="16">
        <v>15</v>
      </c>
      <c r="F1239" s="16">
        <f>VLOOKUP(C1239,[1]master_data!$A$2:$E$495,3,FALSE)</f>
        <v>2000</v>
      </c>
      <c r="G1239" s="16">
        <f>VLOOKUP(C1239,[1]master_data!$A$2:$E$495,4,FALSE)</f>
        <v>5000</v>
      </c>
      <c r="H1239" s="16">
        <f>E1239*F1239</f>
        <v>30000</v>
      </c>
      <c r="I1239" s="16">
        <f>E1239*G1239</f>
        <v>75000</v>
      </c>
      <c r="J1239" s="16">
        <f>I1239-H1239</f>
        <v>45000</v>
      </c>
      <c r="K1239" s="16" t="str">
        <f>VLOOKUP(C1239,[1]master_data!$A$2:$E$495,5,FALSE)</f>
        <v>Ikan</v>
      </c>
      <c r="L1239" s="1"/>
    </row>
    <row r="1240" spans="1:12" ht="12" customHeight="1" x14ac:dyDescent="0.25">
      <c r="A1240" s="15">
        <v>45126</v>
      </c>
      <c r="B1240" s="16">
        <v>22301271</v>
      </c>
      <c r="C1240" s="16" t="s">
        <v>453</v>
      </c>
      <c r="D1240" s="16" t="str">
        <f>VLOOKUP(C1240,[1]master_data!$A$2:$E$495,2,FALSE)</f>
        <v>TETRA</v>
      </c>
      <c r="E1240" s="16">
        <v>20</v>
      </c>
      <c r="F1240" s="16">
        <f>VLOOKUP(C1240,[1]master_data!$A$2:$E$495,3,FALSE)</f>
        <v>800</v>
      </c>
      <c r="G1240" s="16">
        <f>VLOOKUP(C1240,[1]master_data!$A$2:$E$495,4,FALSE)</f>
        <v>2000</v>
      </c>
      <c r="H1240" s="16">
        <f>E1240*F1240</f>
        <v>16000</v>
      </c>
      <c r="I1240" s="16">
        <f>E1240*G1240</f>
        <v>40000</v>
      </c>
      <c r="J1240" s="16">
        <f>I1240-H1240</f>
        <v>24000</v>
      </c>
      <c r="K1240" s="16" t="str">
        <f>VLOOKUP(C1240,[1]master_data!$A$2:$E$495,5,FALSE)</f>
        <v>Ikan</v>
      </c>
      <c r="L1240" s="1"/>
    </row>
    <row r="1241" spans="1:12" ht="12" customHeight="1" x14ac:dyDescent="0.25">
      <c r="A1241" s="15">
        <v>45126</v>
      </c>
      <c r="B1241" s="16">
        <v>22301272</v>
      </c>
      <c r="C1241" s="16" t="s">
        <v>382</v>
      </c>
      <c r="D1241" s="16" t="str">
        <f>VLOOKUP(C1241,[1]master_data!$A$2:$E$495,2,FALSE)</f>
        <v>BATU GOMBONG K</v>
      </c>
      <c r="E1241" s="16">
        <v>1</v>
      </c>
      <c r="F1241" s="16">
        <f>VLOOKUP(C1241,[1]master_data!$A$2:$E$495,3,FALSE)</f>
        <v>20000</v>
      </c>
      <c r="G1241" s="16">
        <f>VLOOKUP(C1241,[1]master_data!$A$2:$E$495,4,FALSE)</f>
        <v>40000</v>
      </c>
      <c r="H1241" s="16">
        <f>E1241*F1241</f>
        <v>20000</v>
      </c>
      <c r="I1241" s="16">
        <f>E1241*G1241</f>
        <v>40000</v>
      </c>
      <c r="J1241" s="16">
        <f>I1241-H1241</f>
        <v>20000</v>
      </c>
      <c r="K1241" s="16" t="str">
        <f>VLOOKUP(C1241,[1]master_data!$A$2:$E$495,5,FALSE)</f>
        <v>Aksesoris</v>
      </c>
      <c r="L1241" s="1"/>
    </row>
    <row r="1242" spans="1:12" ht="12" customHeight="1" x14ac:dyDescent="0.25">
      <c r="A1242" s="15">
        <v>45125</v>
      </c>
      <c r="B1242" s="16">
        <v>22301251</v>
      </c>
      <c r="C1242" s="16" t="s">
        <v>409</v>
      </c>
      <c r="D1242" s="16" t="str">
        <f>VLOOKUP(C1242,[1]master_data!$A$2:$E$495,2,FALSE)</f>
        <v>GOLDEN BLACK</v>
      </c>
      <c r="E1242" s="16">
        <v>10</v>
      </c>
      <c r="F1242" s="16">
        <f>VLOOKUP(C1242,[1]master_data!$A$2:$E$495,3,FALSE)</f>
        <v>800</v>
      </c>
      <c r="G1242" s="16">
        <f>VLOOKUP(C1242,[1]master_data!$A$2:$E$495,4,FALSE)</f>
        <v>2000</v>
      </c>
      <c r="H1242" s="16">
        <f>E1242*F1242</f>
        <v>8000</v>
      </c>
      <c r="I1242" s="16">
        <f>E1242*G1242</f>
        <v>20000</v>
      </c>
      <c r="J1242" s="16">
        <f>I1242-H1242</f>
        <v>12000</v>
      </c>
      <c r="K1242" s="16" t="str">
        <f>VLOOKUP(C1242,[1]master_data!$A$2:$E$495,5,FALSE)</f>
        <v>Ikan</v>
      </c>
      <c r="L1242" s="1"/>
    </row>
    <row r="1243" spans="1:12" ht="12" customHeight="1" x14ac:dyDescent="0.25">
      <c r="A1243" s="15">
        <v>45125</v>
      </c>
      <c r="B1243" s="16">
        <v>22301252</v>
      </c>
      <c r="C1243" s="16" t="s">
        <v>409</v>
      </c>
      <c r="D1243" s="16" t="str">
        <f>VLOOKUP(C1243,[1]master_data!$A$2:$E$495,2,FALSE)</f>
        <v>GOLDEN BLACK</v>
      </c>
      <c r="E1243" s="16">
        <v>15</v>
      </c>
      <c r="F1243" s="16">
        <f>VLOOKUP(C1243,[1]master_data!$A$2:$E$495,3,FALSE)</f>
        <v>800</v>
      </c>
      <c r="G1243" s="16">
        <f>VLOOKUP(C1243,[1]master_data!$A$2:$E$495,4,FALSE)</f>
        <v>2000</v>
      </c>
      <c r="H1243" s="16">
        <f>E1243*F1243</f>
        <v>12000</v>
      </c>
      <c r="I1243" s="16">
        <f>E1243*G1243</f>
        <v>30000</v>
      </c>
      <c r="J1243" s="16">
        <f>I1243-H1243</f>
        <v>18000</v>
      </c>
      <c r="K1243" s="16" t="str">
        <f>VLOOKUP(C1243,[1]master_data!$A$2:$E$495,5,FALSE)</f>
        <v>Ikan</v>
      </c>
      <c r="L1243" s="1"/>
    </row>
    <row r="1244" spans="1:12" ht="12" customHeight="1" x14ac:dyDescent="0.25">
      <c r="A1244" s="15">
        <v>45125</v>
      </c>
      <c r="B1244" s="16">
        <v>22301253</v>
      </c>
      <c r="C1244" s="16" t="s">
        <v>454</v>
      </c>
      <c r="D1244" s="16" t="str">
        <f>VLOOKUP(C1244,[1]master_data!$A$2:$E$495,2,FALSE)</f>
        <v>TOMAN</v>
      </c>
      <c r="E1244" s="16">
        <v>10</v>
      </c>
      <c r="F1244" s="16">
        <f>VLOOKUP(C1244,[1]master_data!$A$2:$E$495,3,FALSE)</f>
        <v>10000</v>
      </c>
      <c r="G1244" s="16">
        <f>VLOOKUP(C1244,[1]master_data!$A$2:$E$495,4,FALSE)</f>
        <v>25000</v>
      </c>
      <c r="H1244" s="16">
        <f>E1244*F1244</f>
        <v>100000</v>
      </c>
      <c r="I1244" s="16">
        <f>E1244*G1244</f>
        <v>250000</v>
      </c>
      <c r="J1244" s="16">
        <f>I1244-H1244</f>
        <v>150000</v>
      </c>
      <c r="K1244" s="16" t="str">
        <f>VLOOKUP(C1244,[1]master_data!$A$2:$E$495,5,FALSE)</f>
        <v>Ikan</v>
      </c>
      <c r="L1244" s="1"/>
    </row>
    <row r="1245" spans="1:12" ht="12" customHeight="1" x14ac:dyDescent="0.25">
      <c r="A1245" s="15">
        <v>45125</v>
      </c>
      <c r="B1245" s="16">
        <v>22301254</v>
      </c>
      <c r="C1245" s="16" t="s">
        <v>450</v>
      </c>
      <c r="D1245" s="16" t="str">
        <f>VLOOKUP(C1245,[1]master_data!$A$2:$E$495,2,FALSE)</f>
        <v>SNOW WHITE</v>
      </c>
      <c r="E1245" s="16">
        <v>30</v>
      </c>
      <c r="F1245" s="16">
        <f>VLOOKUP(C1245,[1]master_data!$A$2:$E$495,3,FALSE)</f>
        <v>1500</v>
      </c>
      <c r="G1245" s="16">
        <f>VLOOKUP(C1245,[1]master_data!$A$2:$E$495,4,FALSE)</f>
        <v>3000</v>
      </c>
      <c r="H1245" s="16">
        <f>E1245*F1245</f>
        <v>45000</v>
      </c>
      <c r="I1245" s="16">
        <f>E1245*G1245</f>
        <v>90000</v>
      </c>
      <c r="J1245" s="16">
        <f>I1245-H1245</f>
        <v>45000</v>
      </c>
      <c r="K1245" s="16" t="str">
        <f>VLOOKUP(C1245,[1]master_data!$A$2:$E$495,5,FALSE)</f>
        <v>Ikan</v>
      </c>
      <c r="L1245" s="1"/>
    </row>
    <row r="1246" spans="1:12" ht="12" customHeight="1" x14ac:dyDescent="0.25">
      <c r="A1246" s="15">
        <v>45125</v>
      </c>
      <c r="B1246" s="16">
        <v>22301255</v>
      </c>
      <c r="C1246" s="16" t="s">
        <v>425</v>
      </c>
      <c r="D1246" s="16" t="str">
        <f>VLOOKUP(C1246,[1]master_data!$A$2:$E$495,2,FALSE)</f>
        <v>LEMON</v>
      </c>
      <c r="E1246" s="16">
        <v>10</v>
      </c>
      <c r="F1246" s="16">
        <f>VLOOKUP(C1246,[1]master_data!$A$2:$E$495,3,FALSE)</f>
        <v>1000</v>
      </c>
      <c r="G1246" s="16">
        <f>VLOOKUP(C1246,[1]master_data!$A$2:$E$495,4,FALSE)</f>
        <v>2000</v>
      </c>
      <c r="H1246" s="16">
        <f>E1246*F1246</f>
        <v>10000</v>
      </c>
      <c r="I1246" s="16">
        <f>E1246*G1246</f>
        <v>20000</v>
      </c>
      <c r="J1246" s="16">
        <f>I1246-H1246</f>
        <v>10000</v>
      </c>
      <c r="K1246" s="16" t="str">
        <f>VLOOKUP(C1246,[1]master_data!$A$2:$E$495,5,FALSE)</f>
        <v>Ikan</v>
      </c>
      <c r="L1246" s="1"/>
    </row>
    <row r="1247" spans="1:12" ht="12" customHeight="1" x14ac:dyDescent="0.25">
      <c r="A1247" s="15">
        <v>45125</v>
      </c>
      <c r="B1247" s="16">
        <v>22301256</v>
      </c>
      <c r="C1247" s="16" t="s">
        <v>412</v>
      </c>
      <c r="D1247" s="16" t="str">
        <f>VLOOKUP(C1247,[1]master_data!$A$2:$E$495,2,FALSE)</f>
        <v>KOKI T</v>
      </c>
      <c r="E1247" s="16">
        <v>1</v>
      </c>
      <c r="F1247" s="16">
        <f>VLOOKUP(C1247,[1]master_data!$A$2:$E$495,3,FALSE)</f>
        <v>8000</v>
      </c>
      <c r="G1247" s="16">
        <f>VLOOKUP(C1247,[1]master_data!$A$2:$E$495,4,FALSE)</f>
        <v>15000</v>
      </c>
      <c r="H1247" s="16">
        <f>E1247*F1247</f>
        <v>8000</v>
      </c>
      <c r="I1247" s="16">
        <f>E1247*G1247</f>
        <v>15000</v>
      </c>
      <c r="J1247" s="16">
        <f>I1247-H1247</f>
        <v>7000</v>
      </c>
      <c r="K1247" s="16" t="str">
        <f>VLOOKUP(C1247,[1]master_data!$A$2:$E$495,5,FALSE)</f>
        <v>Ikan</v>
      </c>
      <c r="L1247" s="1"/>
    </row>
    <row r="1248" spans="1:12" ht="12" customHeight="1" x14ac:dyDescent="0.25">
      <c r="A1248" s="15">
        <v>45125</v>
      </c>
      <c r="B1248" s="16">
        <v>22301257</v>
      </c>
      <c r="C1248" s="16" t="s">
        <v>415</v>
      </c>
      <c r="D1248" s="16" t="str">
        <f>VLOOKUP(C1248,[1]master_data!$A$2:$E$495,2,FALSE)</f>
        <v>KOI T</v>
      </c>
      <c r="E1248" s="16">
        <v>1</v>
      </c>
      <c r="F1248" s="16">
        <f>VLOOKUP(C1248,[1]master_data!$A$2:$E$495,3,FALSE)</f>
        <v>7000</v>
      </c>
      <c r="G1248" s="16">
        <f>VLOOKUP(C1248,[1]master_data!$A$2:$E$495,4,FALSE)</f>
        <v>20000</v>
      </c>
      <c r="H1248" s="16">
        <f>E1248*F1248</f>
        <v>7000</v>
      </c>
      <c r="I1248" s="16">
        <f>E1248*G1248</f>
        <v>20000</v>
      </c>
      <c r="J1248" s="16">
        <f>I1248-H1248</f>
        <v>13000</v>
      </c>
      <c r="K1248" s="16" t="str">
        <f>VLOOKUP(C1248,[1]master_data!$A$2:$E$495,5,FALSE)</f>
        <v>Ikan</v>
      </c>
      <c r="L1248" s="1"/>
    </row>
    <row r="1249" spans="1:12" ht="12" customHeight="1" x14ac:dyDescent="0.25">
      <c r="A1249" s="15">
        <v>45125</v>
      </c>
      <c r="B1249" s="16">
        <v>22301258</v>
      </c>
      <c r="C1249" s="16" t="s">
        <v>178</v>
      </c>
      <c r="D1249" s="16" t="str">
        <f>VLOOKUP(C1249,[1]master_data!$A$2:$E$495,2,FALSE)</f>
        <v>LED HAILONG H400</v>
      </c>
      <c r="E1249" s="16">
        <v>1</v>
      </c>
      <c r="F1249" s="16">
        <f>VLOOKUP(C1249,[1]master_data!$A$2:$E$495,3,FALSE)</f>
        <v>54000</v>
      </c>
      <c r="G1249" s="16">
        <f>VLOOKUP(C1249,[1]master_data!$A$2:$E$495,4,FALSE)</f>
        <v>80000</v>
      </c>
      <c r="H1249" s="16">
        <f>E1249*F1249</f>
        <v>54000</v>
      </c>
      <c r="I1249" s="16">
        <f>E1249*G1249</f>
        <v>80000</v>
      </c>
      <c r="J1249" s="16">
        <f>I1249-H1249</f>
        <v>26000</v>
      </c>
      <c r="K1249" s="16" t="str">
        <f>VLOOKUP(C1249,[1]master_data!$A$2:$E$495,5,FALSE)</f>
        <v>Aksesoris</v>
      </c>
      <c r="L1249" s="1"/>
    </row>
    <row r="1250" spans="1:12" ht="12" customHeight="1" x14ac:dyDescent="0.25">
      <c r="A1250" s="15">
        <v>45125</v>
      </c>
      <c r="B1250" s="16">
        <v>22301259</v>
      </c>
      <c r="C1250" s="16" t="s">
        <v>324</v>
      </c>
      <c r="D1250" s="16" t="str">
        <f>VLOOKUP(C1250,[1]master_data!$A$2:$E$495,2,FALSE)</f>
        <v>HEATER STENLEES 75 W</v>
      </c>
      <c r="E1250" s="16">
        <v>5</v>
      </c>
      <c r="F1250" s="16">
        <f>VLOOKUP(C1250,[1]master_data!$A$2:$E$495,3,FALSE)</f>
        <v>70000</v>
      </c>
      <c r="G1250" s="16">
        <f>VLOOKUP(C1250,[1]master_data!$A$2:$E$495,4,FALSE)</f>
        <v>90000</v>
      </c>
      <c r="H1250" s="16">
        <f>E1250*F1250</f>
        <v>350000</v>
      </c>
      <c r="I1250" s="16">
        <f>E1250*G1250</f>
        <v>450000</v>
      </c>
      <c r="J1250" s="16">
        <f>I1250-H1250</f>
        <v>100000</v>
      </c>
      <c r="K1250" s="16" t="str">
        <f>VLOOKUP(C1250,[1]master_data!$A$2:$E$495,5,FALSE)</f>
        <v>Aksesoris</v>
      </c>
      <c r="L1250" s="1"/>
    </row>
    <row r="1251" spans="1:12" ht="12" customHeight="1" x14ac:dyDescent="0.25">
      <c r="A1251" s="15">
        <v>45125</v>
      </c>
      <c r="B1251" s="16">
        <v>22301260</v>
      </c>
      <c r="C1251" s="16" t="s">
        <v>412</v>
      </c>
      <c r="D1251" s="16" t="str">
        <f>VLOOKUP(C1251,[1]master_data!$A$2:$E$495,2,FALSE)</f>
        <v>KOKI T</v>
      </c>
      <c r="E1251" s="16">
        <v>2</v>
      </c>
      <c r="F1251" s="16">
        <f>VLOOKUP(C1251,[1]master_data!$A$2:$E$495,3,FALSE)</f>
        <v>8000</v>
      </c>
      <c r="G1251" s="16">
        <f>VLOOKUP(C1251,[1]master_data!$A$2:$E$495,4,FALSE)</f>
        <v>15000</v>
      </c>
      <c r="H1251" s="16">
        <f>E1251*F1251</f>
        <v>16000</v>
      </c>
      <c r="I1251" s="16">
        <f>E1251*G1251</f>
        <v>30000</v>
      </c>
      <c r="J1251" s="16">
        <f>I1251-H1251</f>
        <v>14000</v>
      </c>
      <c r="K1251" s="16" t="str">
        <f>VLOOKUP(C1251,[1]master_data!$A$2:$E$495,5,FALSE)</f>
        <v>Ikan</v>
      </c>
      <c r="L1251" s="1"/>
    </row>
    <row r="1252" spans="1:12" ht="12" customHeight="1" x14ac:dyDescent="0.25">
      <c r="A1252" s="15">
        <v>45125</v>
      </c>
      <c r="B1252" s="16">
        <v>22301261</v>
      </c>
      <c r="C1252" s="16" t="s">
        <v>224</v>
      </c>
      <c r="D1252" s="16" t="str">
        <f>VLOOKUP(C1252,[1]master_data!$A$2:$E$495,2,FALSE)</f>
        <v>HOKKY KOI WHITE</v>
      </c>
      <c r="E1252" s="16">
        <v>10</v>
      </c>
      <c r="F1252" s="16">
        <f>VLOOKUP(C1252,[1]master_data!$A$2:$E$495,3,FALSE)</f>
        <v>48000</v>
      </c>
      <c r="G1252" s="16">
        <f>VLOOKUP(C1252,[1]master_data!$A$2:$E$495,4,FALSE)</f>
        <v>60000</v>
      </c>
      <c r="H1252" s="16">
        <f>E1252*F1252</f>
        <v>480000</v>
      </c>
      <c r="I1252" s="16">
        <f>E1252*G1252</f>
        <v>600000</v>
      </c>
      <c r="J1252" s="16">
        <f>I1252-H1252</f>
        <v>120000</v>
      </c>
      <c r="K1252" s="16" t="str">
        <f>VLOOKUP(C1252,[1]master_data!$A$2:$E$495,5,FALSE)</f>
        <v>Aksesoris</v>
      </c>
      <c r="L1252" s="1"/>
    </row>
    <row r="1253" spans="1:12" ht="12" customHeight="1" x14ac:dyDescent="0.25">
      <c r="A1253" s="15">
        <v>45125</v>
      </c>
      <c r="B1253" s="16">
        <v>22301262</v>
      </c>
      <c r="C1253" s="16" t="s">
        <v>456</v>
      </c>
      <c r="D1253" s="16" t="str">
        <f>VLOOKUP(C1253,[1]master_data!$A$2:$E$495,2,FALSE)</f>
        <v>ZEBRA HIJAU</v>
      </c>
      <c r="E1253" s="16">
        <v>28</v>
      </c>
      <c r="F1253" s="16">
        <f>VLOOKUP(C1253,[1]master_data!$A$2:$E$495,3,FALSE)</f>
        <v>800</v>
      </c>
      <c r="G1253" s="16">
        <f>VLOOKUP(C1253,[1]master_data!$A$2:$E$495,4,FALSE)</f>
        <v>2000</v>
      </c>
      <c r="H1253" s="16">
        <f>E1253*F1253</f>
        <v>22400</v>
      </c>
      <c r="I1253" s="16">
        <f>E1253*G1253</f>
        <v>56000</v>
      </c>
      <c r="J1253" s="16">
        <f>I1253-H1253</f>
        <v>33600</v>
      </c>
      <c r="K1253" s="16" t="str">
        <f>VLOOKUP(C1253,[1]master_data!$A$2:$E$495,5,FALSE)</f>
        <v>Ikan</v>
      </c>
      <c r="L1253" s="1"/>
    </row>
    <row r="1254" spans="1:12" ht="12" customHeight="1" x14ac:dyDescent="0.25">
      <c r="A1254" s="15">
        <v>45124</v>
      </c>
      <c r="B1254" s="16">
        <v>22301237</v>
      </c>
      <c r="C1254" s="16" t="s">
        <v>458</v>
      </c>
      <c r="D1254" s="16" t="str">
        <f>VLOOKUP(C1254,[1]master_data!$A$2:$E$495,2,FALSE)</f>
        <v>ZEBRA KUNING</v>
      </c>
      <c r="E1254" s="16">
        <v>25</v>
      </c>
      <c r="F1254" s="16">
        <f>VLOOKUP(C1254,[1]master_data!$A$2:$E$495,3,FALSE)</f>
        <v>800</v>
      </c>
      <c r="G1254" s="16">
        <f>VLOOKUP(C1254,[1]master_data!$A$2:$E$495,4,FALSE)</f>
        <v>2000</v>
      </c>
      <c r="H1254" s="16">
        <f>E1254*F1254</f>
        <v>20000</v>
      </c>
      <c r="I1254" s="16">
        <f>E1254*G1254</f>
        <v>50000</v>
      </c>
      <c r="J1254" s="16">
        <f>I1254-H1254</f>
        <v>30000</v>
      </c>
      <c r="K1254" s="16" t="str">
        <f>VLOOKUP(C1254,[1]master_data!$A$2:$E$495,5,FALSE)</f>
        <v>Ikan</v>
      </c>
      <c r="L1254" s="1"/>
    </row>
    <row r="1255" spans="1:12" ht="12" customHeight="1" x14ac:dyDescent="0.25">
      <c r="A1255" s="15">
        <v>45124</v>
      </c>
      <c r="B1255" s="16">
        <v>22301238</v>
      </c>
      <c r="C1255" s="16" t="s">
        <v>425</v>
      </c>
      <c r="D1255" s="16" t="str">
        <f>VLOOKUP(C1255,[1]master_data!$A$2:$E$495,2,FALSE)</f>
        <v>LEMON</v>
      </c>
      <c r="E1255" s="16">
        <v>10</v>
      </c>
      <c r="F1255" s="16">
        <f>VLOOKUP(C1255,[1]master_data!$A$2:$E$495,3,FALSE)</f>
        <v>1000</v>
      </c>
      <c r="G1255" s="16">
        <f>VLOOKUP(C1255,[1]master_data!$A$2:$E$495,4,FALSE)</f>
        <v>2000</v>
      </c>
      <c r="H1255" s="16">
        <f>E1255*F1255</f>
        <v>10000</v>
      </c>
      <c r="I1255" s="16">
        <f>E1255*G1255</f>
        <v>20000</v>
      </c>
      <c r="J1255" s="16">
        <f>I1255-H1255</f>
        <v>10000</v>
      </c>
      <c r="K1255" s="16" t="str">
        <f>VLOOKUP(C1255,[1]master_data!$A$2:$E$495,5,FALSE)</f>
        <v>Ikan</v>
      </c>
      <c r="L1255" s="1"/>
    </row>
    <row r="1256" spans="1:12" ht="12" customHeight="1" x14ac:dyDescent="0.25">
      <c r="A1256" s="15">
        <v>45124</v>
      </c>
      <c r="B1256" s="16">
        <v>22301239</v>
      </c>
      <c r="C1256" s="16" t="s">
        <v>445</v>
      </c>
      <c r="D1256" s="16" t="str">
        <f>VLOOKUP(C1256,[1]master_data!$A$2:$E$495,2,FALSE)</f>
        <v>REDFIN ALBINO</v>
      </c>
      <c r="E1256" s="16">
        <v>15</v>
      </c>
      <c r="F1256" s="16">
        <f>VLOOKUP(C1256,[1]master_data!$A$2:$E$495,3,FALSE)</f>
        <v>1500</v>
      </c>
      <c r="G1256" s="16">
        <f>VLOOKUP(C1256,[1]master_data!$A$2:$E$495,4,FALSE)</f>
        <v>4000</v>
      </c>
      <c r="H1256" s="16">
        <f>E1256*F1256</f>
        <v>22500</v>
      </c>
      <c r="I1256" s="16">
        <f>E1256*G1256</f>
        <v>60000</v>
      </c>
      <c r="J1256" s="16">
        <f>I1256-H1256</f>
        <v>37500</v>
      </c>
      <c r="K1256" s="16" t="str">
        <f>VLOOKUP(C1256,[1]master_data!$A$2:$E$495,5,FALSE)</f>
        <v>Ikan</v>
      </c>
      <c r="L1256" s="1"/>
    </row>
    <row r="1257" spans="1:12" ht="12" customHeight="1" x14ac:dyDescent="0.25">
      <c r="A1257" s="15">
        <v>45124</v>
      </c>
      <c r="B1257" s="16">
        <v>22301240</v>
      </c>
      <c r="C1257" s="16" t="s">
        <v>166</v>
      </c>
      <c r="D1257" s="16" t="str">
        <f>VLOOKUP(C1257,[1]master_data!$A$2:$E$495,2,FALSE)</f>
        <v>LAMPU ARMADA UV 15W</v>
      </c>
      <c r="E1257" s="16">
        <v>2</v>
      </c>
      <c r="F1257" s="16">
        <f>VLOOKUP(C1257,[1]master_data!$A$2:$E$495,3,FALSE)</f>
        <v>88000</v>
      </c>
      <c r="G1257" s="16">
        <f>VLOOKUP(C1257,[1]master_data!$A$2:$E$495,4,FALSE)</f>
        <v>115000</v>
      </c>
      <c r="H1257" s="16">
        <f>E1257*F1257</f>
        <v>176000</v>
      </c>
      <c r="I1257" s="16">
        <f>E1257*G1257</f>
        <v>230000</v>
      </c>
      <c r="J1257" s="16">
        <f>I1257-H1257</f>
        <v>54000</v>
      </c>
      <c r="K1257" s="16" t="str">
        <f>VLOOKUP(C1257,[1]master_data!$A$2:$E$495,5,FALSE)</f>
        <v>Aksesoris</v>
      </c>
      <c r="L1257" s="1"/>
    </row>
    <row r="1258" spans="1:12" ht="12" customHeight="1" x14ac:dyDescent="0.25">
      <c r="A1258" s="15">
        <v>45124</v>
      </c>
      <c r="B1258" s="16">
        <v>22301241</v>
      </c>
      <c r="C1258" s="16" t="s">
        <v>200</v>
      </c>
      <c r="D1258" s="16" t="str">
        <f>VLOOKUP(C1258,[1]master_data!$A$2:$E$495,2,FALSE)</f>
        <v>AKARI PREMIUM MAXI</v>
      </c>
      <c r="E1258" s="16">
        <v>5</v>
      </c>
      <c r="F1258" s="16">
        <f>VLOOKUP(C1258,[1]master_data!$A$2:$E$495,3,FALSE)</f>
        <v>42000</v>
      </c>
      <c r="G1258" s="16">
        <f>VLOOKUP(C1258,[1]master_data!$A$2:$E$495,4,FALSE)</f>
        <v>50000</v>
      </c>
      <c r="H1258" s="16">
        <f>E1258*F1258</f>
        <v>210000</v>
      </c>
      <c r="I1258" s="16">
        <f>E1258*G1258</f>
        <v>250000</v>
      </c>
      <c r="J1258" s="16">
        <f>I1258-H1258</f>
        <v>40000</v>
      </c>
      <c r="K1258" s="16" t="str">
        <f>VLOOKUP(C1258,[1]master_data!$A$2:$E$495,5,FALSE)</f>
        <v>Aksesoris</v>
      </c>
      <c r="L1258" s="1"/>
    </row>
    <row r="1259" spans="1:12" ht="12" customHeight="1" x14ac:dyDescent="0.25">
      <c r="A1259" s="15">
        <v>45124</v>
      </c>
      <c r="B1259" s="16">
        <v>22301242</v>
      </c>
      <c r="C1259" s="16" t="s">
        <v>428</v>
      </c>
      <c r="D1259" s="16" t="str">
        <f>VLOOKUP(C1259,[1]master_data!$A$2:$E$495,2,FALSE)</f>
        <v>MANFISH K</v>
      </c>
      <c r="E1259" s="16">
        <v>25</v>
      </c>
      <c r="F1259" s="16">
        <f>VLOOKUP(C1259,[1]master_data!$A$2:$E$495,3,FALSE)</f>
        <v>2000</v>
      </c>
      <c r="G1259" s="16">
        <f>VLOOKUP(C1259,[1]master_data!$A$2:$E$495,4,FALSE)</f>
        <v>5000</v>
      </c>
      <c r="H1259" s="16">
        <f>E1259*F1259</f>
        <v>50000</v>
      </c>
      <c r="I1259" s="16">
        <f>E1259*G1259</f>
        <v>125000</v>
      </c>
      <c r="J1259" s="16">
        <f>I1259-H1259</f>
        <v>75000</v>
      </c>
      <c r="K1259" s="16" t="str">
        <f>VLOOKUP(C1259,[1]master_data!$A$2:$E$495,5,FALSE)</f>
        <v>Ikan</v>
      </c>
      <c r="L1259" s="1"/>
    </row>
    <row r="1260" spans="1:12" ht="12" customHeight="1" x14ac:dyDescent="0.25">
      <c r="A1260" s="15">
        <v>45124</v>
      </c>
      <c r="B1260" s="16">
        <v>22301243</v>
      </c>
      <c r="C1260" s="16" t="s">
        <v>20</v>
      </c>
      <c r="D1260" s="16" t="str">
        <f>VLOOKUP(C1260,[1]master_data!$A$2:$E$495,2,FALSE)</f>
        <v>MESIN ROSTON 1200</v>
      </c>
      <c r="E1260" s="16">
        <v>5</v>
      </c>
      <c r="F1260" s="16">
        <f>VLOOKUP(C1260,[1]master_data!$A$2:$E$495,3,FALSE)</f>
        <v>23000</v>
      </c>
      <c r="G1260" s="16">
        <f>VLOOKUP(C1260,[1]master_data!$A$2:$E$495,4,FALSE)</f>
        <v>35000</v>
      </c>
      <c r="H1260" s="16">
        <f>E1260*F1260</f>
        <v>115000</v>
      </c>
      <c r="I1260" s="16">
        <f>E1260*G1260</f>
        <v>175000</v>
      </c>
      <c r="J1260" s="16">
        <f>I1260-H1260</f>
        <v>60000</v>
      </c>
      <c r="K1260" s="16" t="str">
        <f>VLOOKUP(C1260,[1]master_data!$A$2:$E$495,5,FALSE)</f>
        <v>Aksesoris</v>
      </c>
      <c r="L1260" s="1"/>
    </row>
    <row r="1261" spans="1:12" ht="12" customHeight="1" x14ac:dyDescent="0.25">
      <c r="A1261" s="15">
        <v>45124</v>
      </c>
      <c r="B1261" s="16">
        <v>22301244</v>
      </c>
      <c r="C1261" s="16" t="s">
        <v>420</v>
      </c>
      <c r="D1261" s="16" t="str">
        <f>VLOOKUP(C1261,[1]master_data!$A$2:$E$495,2,FALSE)</f>
        <v>KOMET SLAYER</v>
      </c>
      <c r="E1261" s="16">
        <v>15</v>
      </c>
      <c r="F1261" s="16">
        <f>VLOOKUP(C1261,[1]master_data!$A$2:$E$495,3,FALSE)</f>
        <v>2000</v>
      </c>
      <c r="G1261" s="16">
        <f>VLOOKUP(C1261,[1]master_data!$A$2:$E$495,4,FALSE)</f>
        <v>5000</v>
      </c>
      <c r="H1261" s="16">
        <f>E1261*F1261</f>
        <v>30000</v>
      </c>
      <c r="I1261" s="16">
        <f>E1261*G1261</f>
        <v>75000</v>
      </c>
      <c r="J1261" s="16">
        <f>I1261-H1261</f>
        <v>45000</v>
      </c>
      <c r="K1261" s="16" t="str">
        <f>VLOOKUP(C1261,[1]master_data!$A$2:$E$495,5,FALSE)</f>
        <v>Ikan</v>
      </c>
      <c r="L1261" s="1"/>
    </row>
    <row r="1262" spans="1:12" ht="12" customHeight="1" x14ac:dyDescent="0.25">
      <c r="A1262" s="15">
        <v>45124</v>
      </c>
      <c r="B1262" s="16">
        <v>22301245</v>
      </c>
      <c r="C1262" s="16" t="s">
        <v>171</v>
      </c>
      <c r="D1262" s="16" t="str">
        <f>VLOOKUP(C1262,[1]master_data!$A$2:$E$495,2,FALSE)</f>
        <v>LED ARROW 3 MODE 80 CM</v>
      </c>
      <c r="E1262" s="16">
        <v>1</v>
      </c>
      <c r="F1262" s="16">
        <f>VLOOKUP(C1262,[1]master_data!$A$2:$E$495,3,FALSE)</f>
        <v>69000</v>
      </c>
      <c r="G1262" s="16">
        <f>VLOOKUP(C1262,[1]master_data!$A$2:$E$495,4,FALSE)</f>
        <v>90000</v>
      </c>
      <c r="H1262" s="16">
        <f>E1262*F1262</f>
        <v>69000</v>
      </c>
      <c r="I1262" s="16">
        <f>E1262*G1262</f>
        <v>90000</v>
      </c>
      <c r="J1262" s="16">
        <f>I1262-H1262</f>
        <v>21000</v>
      </c>
      <c r="K1262" s="16" t="str">
        <f>VLOOKUP(C1262,[1]master_data!$A$2:$E$495,5,FALSE)</f>
        <v>Aksesoris</v>
      </c>
      <c r="L1262" s="1"/>
    </row>
    <row r="1263" spans="1:12" ht="12" customHeight="1" x14ac:dyDescent="0.25">
      <c r="A1263" s="15">
        <v>45124</v>
      </c>
      <c r="B1263" s="16">
        <v>22301246</v>
      </c>
      <c r="C1263" s="16" t="s">
        <v>455</v>
      </c>
      <c r="D1263" s="16" t="str">
        <f>VLOOKUP(C1263,[1]master_data!$A$2:$E$495,2,FALSE)</f>
        <v>ZEBRA PINK</v>
      </c>
      <c r="E1263" s="16">
        <v>20</v>
      </c>
      <c r="F1263" s="16">
        <f>VLOOKUP(C1263,[1]master_data!$A$2:$E$495,3,FALSE)</f>
        <v>800</v>
      </c>
      <c r="G1263" s="16">
        <f>VLOOKUP(C1263,[1]master_data!$A$2:$E$495,4,FALSE)</f>
        <v>2000</v>
      </c>
      <c r="H1263" s="16">
        <f>E1263*F1263</f>
        <v>16000</v>
      </c>
      <c r="I1263" s="16">
        <f>E1263*G1263</f>
        <v>40000</v>
      </c>
      <c r="J1263" s="16">
        <f>I1263-H1263</f>
        <v>24000</v>
      </c>
      <c r="K1263" s="16" t="str">
        <f>VLOOKUP(C1263,[1]master_data!$A$2:$E$495,5,FALSE)</f>
        <v>Ikan</v>
      </c>
      <c r="L1263" s="1"/>
    </row>
    <row r="1264" spans="1:12" ht="12" customHeight="1" x14ac:dyDescent="0.25">
      <c r="A1264" s="15">
        <v>45124</v>
      </c>
      <c r="B1264" s="16">
        <v>22301247</v>
      </c>
      <c r="C1264" s="16" t="s">
        <v>407</v>
      </c>
      <c r="D1264" s="16" t="str">
        <f>VLOOKUP(C1264,[1]master_data!$A$2:$E$495,2,FALSE)</f>
        <v>GOLD FISH</v>
      </c>
      <c r="E1264" s="16">
        <v>15</v>
      </c>
      <c r="F1264" s="16">
        <f>VLOOKUP(C1264,[1]master_data!$A$2:$E$495,3,FALSE)</f>
        <v>800</v>
      </c>
      <c r="G1264" s="16">
        <f>VLOOKUP(C1264,[1]master_data!$A$2:$E$495,4,FALSE)</f>
        <v>2000</v>
      </c>
      <c r="H1264" s="16">
        <f>E1264*F1264</f>
        <v>12000</v>
      </c>
      <c r="I1264" s="16">
        <f>E1264*G1264</f>
        <v>30000</v>
      </c>
      <c r="J1264" s="16">
        <f>I1264-H1264</f>
        <v>18000</v>
      </c>
      <c r="K1264" s="16" t="str">
        <f>VLOOKUP(C1264,[1]master_data!$A$2:$E$495,5,FALSE)</f>
        <v>Ikan</v>
      </c>
      <c r="L1264" s="1"/>
    </row>
    <row r="1265" spans="1:12" ht="12" customHeight="1" x14ac:dyDescent="0.25">
      <c r="A1265" s="15">
        <v>45124</v>
      </c>
      <c r="B1265" s="16">
        <v>22301248</v>
      </c>
      <c r="C1265" s="16" t="s">
        <v>391</v>
      </c>
      <c r="D1265" s="16" t="str">
        <f>VLOOKUP(C1265,[1]master_data!$A$2:$E$495,2,FALSE)</f>
        <v>CHANNA ANDRAO B</v>
      </c>
      <c r="E1265" s="16">
        <v>2</v>
      </c>
      <c r="F1265" s="16">
        <f>VLOOKUP(C1265,[1]master_data!$A$2:$E$495,3,FALSE)</f>
        <v>100000</v>
      </c>
      <c r="G1265" s="16">
        <f>VLOOKUP(C1265,[1]master_data!$A$2:$E$495,4,FALSE)</f>
        <v>200000</v>
      </c>
      <c r="H1265" s="16">
        <f>E1265*F1265</f>
        <v>200000</v>
      </c>
      <c r="I1265" s="16">
        <f>E1265*G1265</f>
        <v>400000</v>
      </c>
      <c r="J1265" s="16">
        <f>I1265-H1265</f>
        <v>200000</v>
      </c>
      <c r="K1265" s="16" t="str">
        <f>VLOOKUP(C1265,[1]master_data!$A$2:$E$495,5,FALSE)</f>
        <v>Ikan</v>
      </c>
      <c r="L1265" s="1"/>
    </row>
    <row r="1266" spans="1:12" ht="12" customHeight="1" x14ac:dyDescent="0.25">
      <c r="A1266" s="15">
        <v>45124</v>
      </c>
      <c r="B1266" s="16">
        <v>22301249</v>
      </c>
      <c r="C1266" s="16" t="s">
        <v>406</v>
      </c>
      <c r="D1266" s="16" t="str">
        <f>VLOOKUP(C1266,[1]master_data!$A$2:$E$495,2,FALSE)</f>
        <v>CATFISH</v>
      </c>
      <c r="E1266" s="16">
        <v>1</v>
      </c>
      <c r="F1266" s="16">
        <f>VLOOKUP(C1266,[1]master_data!$A$2:$E$495,3,FALSE)</f>
        <v>20000</v>
      </c>
      <c r="G1266" s="16">
        <f>VLOOKUP(C1266,[1]master_data!$A$2:$E$495,4,FALSE)</f>
        <v>50000</v>
      </c>
      <c r="H1266" s="16">
        <f>E1266*F1266</f>
        <v>20000</v>
      </c>
      <c r="I1266" s="16">
        <f>E1266*G1266</f>
        <v>50000</v>
      </c>
      <c r="J1266" s="16">
        <f>I1266-H1266</f>
        <v>30000</v>
      </c>
      <c r="K1266" s="16" t="str">
        <f>VLOOKUP(C1266,[1]master_data!$A$2:$E$495,5,FALSE)</f>
        <v>Ikan</v>
      </c>
      <c r="L1266" s="1"/>
    </row>
    <row r="1267" spans="1:12" ht="12" customHeight="1" x14ac:dyDescent="0.25">
      <c r="A1267" s="15">
        <v>45124</v>
      </c>
      <c r="B1267" s="16">
        <v>22301250</v>
      </c>
      <c r="C1267" s="16" t="s">
        <v>428</v>
      </c>
      <c r="D1267" s="16" t="str">
        <f>VLOOKUP(C1267,[1]master_data!$A$2:$E$495,2,FALSE)</f>
        <v>MANFISH K</v>
      </c>
      <c r="E1267" s="16">
        <v>1</v>
      </c>
      <c r="F1267" s="16">
        <f>VLOOKUP(C1267,[1]master_data!$A$2:$E$495,3,FALSE)</f>
        <v>2000</v>
      </c>
      <c r="G1267" s="16">
        <f>VLOOKUP(C1267,[1]master_data!$A$2:$E$495,4,FALSE)</f>
        <v>5000</v>
      </c>
      <c r="H1267" s="16">
        <f>E1267*F1267</f>
        <v>2000</v>
      </c>
      <c r="I1267" s="16">
        <f>E1267*G1267</f>
        <v>5000</v>
      </c>
      <c r="J1267" s="16">
        <f>I1267-H1267</f>
        <v>3000</v>
      </c>
      <c r="K1267" s="16" t="str">
        <f>VLOOKUP(C1267,[1]master_data!$A$2:$E$495,5,FALSE)</f>
        <v>Ikan</v>
      </c>
      <c r="L1267" s="1"/>
    </row>
    <row r="1268" spans="1:12" ht="12" customHeight="1" x14ac:dyDescent="0.25">
      <c r="A1268" s="15">
        <v>45123</v>
      </c>
      <c r="B1268" s="16">
        <v>22301231</v>
      </c>
      <c r="C1268" s="16" t="s">
        <v>413</v>
      </c>
      <c r="D1268" s="16" t="str">
        <f>VLOOKUP(C1268,[1]master_data!$A$2:$E$495,2,FALSE)</f>
        <v>KOKI B</v>
      </c>
      <c r="E1268" s="16">
        <v>5</v>
      </c>
      <c r="F1268" s="16">
        <f>VLOOKUP(C1268,[1]master_data!$A$2:$E$495,3,FALSE)</f>
        <v>20000</v>
      </c>
      <c r="G1268" s="16">
        <f>VLOOKUP(C1268,[1]master_data!$A$2:$E$495,4,FALSE)</f>
        <v>50000</v>
      </c>
      <c r="H1268" s="16">
        <f>E1268*F1268</f>
        <v>100000</v>
      </c>
      <c r="I1268" s="16">
        <f>E1268*G1268</f>
        <v>250000</v>
      </c>
      <c r="J1268" s="16">
        <f>I1268-H1268</f>
        <v>150000</v>
      </c>
      <c r="K1268" s="16" t="str">
        <f>VLOOKUP(C1268,[1]master_data!$A$2:$E$495,5,FALSE)</f>
        <v>Ikan</v>
      </c>
      <c r="L1268" s="1"/>
    </row>
    <row r="1269" spans="1:12" ht="12" customHeight="1" x14ac:dyDescent="0.25">
      <c r="A1269" s="15">
        <v>45123</v>
      </c>
      <c r="B1269" s="16">
        <v>22301232</v>
      </c>
      <c r="C1269" s="16" t="s">
        <v>195</v>
      </c>
      <c r="D1269" s="16" t="str">
        <f>VLOOKUP(C1269,[1]master_data!$A$2:$E$495,2,FALSE)</f>
        <v>LED KANDILA GOLD FISH 30 CM</v>
      </c>
      <c r="E1269" s="16">
        <v>2</v>
      </c>
      <c r="F1269" s="16">
        <f>VLOOKUP(C1269,[1]master_data!$A$2:$E$495,3,FALSE)</f>
        <v>28000</v>
      </c>
      <c r="G1269" s="16">
        <f>VLOOKUP(C1269,[1]master_data!$A$2:$E$495,4,FALSE)</f>
        <v>45000</v>
      </c>
      <c r="H1269" s="16">
        <f>E1269*F1269</f>
        <v>56000</v>
      </c>
      <c r="I1269" s="16">
        <f>E1269*G1269</f>
        <v>90000</v>
      </c>
      <c r="J1269" s="16">
        <f>I1269-H1269</f>
        <v>34000</v>
      </c>
      <c r="K1269" s="16" t="str">
        <f>VLOOKUP(C1269,[1]master_data!$A$2:$E$495,5,FALSE)</f>
        <v>Aksesoris</v>
      </c>
      <c r="L1269" s="1"/>
    </row>
    <row r="1270" spans="1:12" ht="12" customHeight="1" x14ac:dyDescent="0.25">
      <c r="A1270" s="15">
        <v>45123</v>
      </c>
      <c r="B1270" s="16">
        <v>22301233</v>
      </c>
      <c r="C1270" s="16" t="s">
        <v>325</v>
      </c>
      <c r="D1270" s="16" t="str">
        <f>VLOOKUP(C1270,[1]master_data!$A$2:$E$495,2,FALSE)</f>
        <v>JARING PENDEK BULAT</v>
      </c>
      <c r="E1270" s="16">
        <v>10</v>
      </c>
      <c r="F1270" s="16">
        <f>VLOOKUP(C1270,[1]master_data!$A$2:$E$495,3,FALSE)</f>
        <v>15000</v>
      </c>
      <c r="G1270" s="16">
        <f>VLOOKUP(C1270,[1]master_data!$A$2:$E$495,4,FALSE)</f>
        <v>30000</v>
      </c>
      <c r="H1270" s="16">
        <f>E1270*F1270</f>
        <v>150000</v>
      </c>
      <c r="I1270" s="16">
        <f>E1270*G1270</f>
        <v>300000</v>
      </c>
      <c r="J1270" s="16">
        <f>I1270-H1270</f>
        <v>150000</v>
      </c>
      <c r="K1270" s="16" t="str">
        <f>VLOOKUP(C1270,[1]master_data!$A$2:$E$495,5,FALSE)</f>
        <v>Aksesoris</v>
      </c>
      <c r="L1270" s="1"/>
    </row>
    <row r="1271" spans="1:12" ht="12" customHeight="1" x14ac:dyDescent="0.25">
      <c r="A1271" s="15">
        <v>45123</v>
      </c>
      <c r="B1271" s="16">
        <v>22301234</v>
      </c>
      <c r="C1271" s="16" t="s">
        <v>452</v>
      </c>
      <c r="D1271" s="16" t="str">
        <f>VLOOKUP(C1271,[1]master_data!$A$2:$E$495,2,FALSE)</f>
        <v>SYNODONTI B</v>
      </c>
      <c r="E1271" s="16">
        <v>25</v>
      </c>
      <c r="F1271" s="16">
        <f>VLOOKUP(C1271,[1]master_data!$A$2:$E$495,3,FALSE)</f>
        <v>4000</v>
      </c>
      <c r="G1271" s="16">
        <f>VLOOKUP(C1271,[1]master_data!$A$2:$E$495,4,FALSE)</f>
        <v>10000</v>
      </c>
      <c r="H1271" s="16">
        <f>E1271*F1271</f>
        <v>100000</v>
      </c>
      <c r="I1271" s="16">
        <f>E1271*G1271</f>
        <v>250000</v>
      </c>
      <c r="J1271" s="16">
        <f>I1271-H1271</f>
        <v>150000</v>
      </c>
      <c r="K1271" s="16" t="str">
        <f>VLOOKUP(C1271,[1]master_data!$A$2:$E$495,5,FALSE)</f>
        <v>Ikan</v>
      </c>
      <c r="L1271" s="1"/>
    </row>
    <row r="1272" spans="1:12" ht="12" customHeight="1" x14ac:dyDescent="0.25">
      <c r="A1272" s="15">
        <v>45123</v>
      </c>
      <c r="B1272" s="16">
        <v>22301235</v>
      </c>
      <c r="C1272" s="16" t="s">
        <v>280</v>
      </c>
      <c r="D1272" s="16" t="str">
        <f>VLOOKUP(C1272,[1]master_data!$A$2:$E$495,2,FALSE)</f>
        <v>KRAN 2 W</v>
      </c>
      <c r="E1272" s="16">
        <v>15</v>
      </c>
      <c r="F1272" s="16">
        <f>VLOOKUP(C1272,[1]master_data!$A$2:$E$495,3,FALSE)</f>
        <v>4000</v>
      </c>
      <c r="G1272" s="16">
        <f>VLOOKUP(C1272,[1]master_data!$A$2:$E$495,4,FALSE)</f>
        <v>6000</v>
      </c>
      <c r="H1272" s="16">
        <f>E1272*F1272</f>
        <v>60000</v>
      </c>
      <c r="I1272" s="16">
        <f>E1272*G1272</f>
        <v>90000</v>
      </c>
      <c r="J1272" s="16">
        <f>I1272-H1272</f>
        <v>30000</v>
      </c>
      <c r="K1272" s="16" t="str">
        <f>VLOOKUP(C1272,[1]master_data!$A$2:$E$495,5,FALSE)</f>
        <v>Aksesoris</v>
      </c>
      <c r="L1272" s="1"/>
    </row>
    <row r="1273" spans="1:12" ht="12" customHeight="1" x14ac:dyDescent="0.25">
      <c r="A1273" s="15">
        <v>45123</v>
      </c>
      <c r="B1273" s="16">
        <v>22301236</v>
      </c>
      <c r="C1273" s="16" t="s">
        <v>459</v>
      </c>
      <c r="D1273" s="16" t="str">
        <f>VLOOKUP(C1273,[1]master_data!$A$2:$E$495,2,FALSE)</f>
        <v>SEPAT</v>
      </c>
      <c r="E1273" s="16">
        <v>25</v>
      </c>
      <c r="F1273" s="16">
        <f>VLOOKUP(C1273,[1]master_data!$A$2:$E$495,3,FALSE)</f>
        <v>600</v>
      </c>
      <c r="G1273" s="16">
        <f>VLOOKUP(C1273,[1]master_data!$A$2:$E$495,4,FALSE)</f>
        <v>2000</v>
      </c>
      <c r="H1273" s="16">
        <f>E1273*F1273</f>
        <v>15000</v>
      </c>
      <c r="I1273" s="16">
        <f>E1273*G1273</f>
        <v>50000</v>
      </c>
      <c r="J1273" s="16">
        <f>I1273-H1273</f>
        <v>35000</v>
      </c>
      <c r="K1273" s="16" t="str">
        <f>VLOOKUP(C1273,[1]master_data!$A$2:$E$495,5,FALSE)</f>
        <v>Ikan</v>
      </c>
      <c r="L1273" s="1"/>
    </row>
    <row r="1274" spans="1:12" ht="12" customHeight="1" x14ac:dyDescent="0.25">
      <c r="A1274" s="15">
        <v>45122</v>
      </c>
      <c r="B1274" s="16">
        <v>22301224</v>
      </c>
      <c r="C1274" s="16" t="s">
        <v>313</v>
      </c>
      <c r="D1274" s="16" t="str">
        <f>VLOOKUP(C1274,[1]master_data!$A$2:$E$495,2,FALSE)</f>
        <v>L SELANG</v>
      </c>
      <c r="E1274" s="16">
        <v>30</v>
      </c>
      <c r="F1274" s="16">
        <f>VLOOKUP(C1274,[1]master_data!$A$2:$E$495,3,FALSE)</f>
        <v>750</v>
      </c>
      <c r="G1274" s="16">
        <f>VLOOKUP(C1274,[1]master_data!$A$2:$E$495,4,FALSE)</f>
        <v>1500</v>
      </c>
      <c r="H1274" s="16">
        <f>E1274*F1274</f>
        <v>22500</v>
      </c>
      <c r="I1274" s="16">
        <f>E1274*G1274</f>
        <v>45000</v>
      </c>
      <c r="J1274" s="16">
        <f>I1274-H1274</f>
        <v>22500</v>
      </c>
      <c r="K1274" s="16" t="str">
        <f>VLOOKUP(C1274,[1]master_data!$A$2:$E$495,5,FALSE)</f>
        <v>Aksesoris</v>
      </c>
      <c r="L1274" s="1"/>
    </row>
    <row r="1275" spans="1:12" ht="12" customHeight="1" x14ac:dyDescent="0.25">
      <c r="A1275" s="15">
        <v>45122</v>
      </c>
      <c r="B1275" s="16">
        <v>22301225</v>
      </c>
      <c r="C1275" s="16" t="s">
        <v>414</v>
      </c>
      <c r="D1275" s="16" t="str">
        <f>VLOOKUP(C1275,[1]master_data!$A$2:$E$495,2,FALSE)</f>
        <v>KOI K</v>
      </c>
      <c r="E1275" s="16">
        <v>25</v>
      </c>
      <c r="F1275" s="16">
        <f>VLOOKUP(C1275,[1]master_data!$A$2:$E$495,3,FALSE)</f>
        <v>2500</v>
      </c>
      <c r="G1275" s="16">
        <f>VLOOKUP(C1275,[1]master_data!$A$2:$E$495,4,FALSE)</f>
        <v>10000</v>
      </c>
      <c r="H1275" s="16">
        <f>E1275*F1275</f>
        <v>62500</v>
      </c>
      <c r="I1275" s="16">
        <f>E1275*G1275</f>
        <v>250000</v>
      </c>
      <c r="J1275" s="16">
        <f>I1275-H1275</f>
        <v>187500</v>
      </c>
      <c r="K1275" s="16" t="str">
        <f>VLOOKUP(C1275,[1]master_data!$A$2:$E$495,5,FALSE)</f>
        <v>Ikan</v>
      </c>
      <c r="L1275" s="1"/>
    </row>
    <row r="1276" spans="1:12" ht="12" customHeight="1" x14ac:dyDescent="0.25">
      <c r="A1276" s="15">
        <v>45122</v>
      </c>
      <c r="B1276" s="16">
        <v>22301226</v>
      </c>
      <c r="C1276" s="16" t="s">
        <v>139</v>
      </c>
      <c r="D1276" s="16" t="str">
        <f>VLOOKUP(C1276,[1]master_data!$A$2:$E$495,2,FALSE)</f>
        <v>LED NIKITA NS 800</v>
      </c>
      <c r="E1276" s="16">
        <v>5</v>
      </c>
      <c r="F1276" s="16">
        <f>VLOOKUP(C1276,[1]master_data!$A$2:$E$495,3,FALSE)</f>
        <v>74000</v>
      </c>
      <c r="G1276" s="16">
        <f>VLOOKUP(C1276,[1]master_data!$A$2:$E$495,4,FALSE)</f>
        <v>100000</v>
      </c>
      <c r="H1276" s="16">
        <f>E1276*F1276</f>
        <v>370000</v>
      </c>
      <c r="I1276" s="16">
        <f>E1276*G1276</f>
        <v>500000</v>
      </c>
      <c r="J1276" s="16">
        <f>I1276-H1276</f>
        <v>130000</v>
      </c>
      <c r="K1276" s="16" t="str">
        <f>VLOOKUP(C1276,[1]master_data!$A$2:$E$495,5,FALSE)</f>
        <v>Aksesoris</v>
      </c>
      <c r="L1276" s="1"/>
    </row>
    <row r="1277" spans="1:12" ht="12" customHeight="1" x14ac:dyDescent="0.25">
      <c r="A1277" s="15">
        <v>45122</v>
      </c>
      <c r="B1277" s="16">
        <v>22301227</v>
      </c>
      <c r="C1277" s="16" t="s">
        <v>304</v>
      </c>
      <c r="D1277" s="16" t="str">
        <f>VLOOKUP(C1277,[1]master_data!$A$2:$E$495,2,FALSE)</f>
        <v>POMATE</v>
      </c>
      <c r="E1277" s="16">
        <v>10</v>
      </c>
      <c r="F1277" s="16">
        <f>VLOOKUP(C1277,[1]master_data!$A$2:$E$495,3,FALSE)</f>
        <v>25000</v>
      </c>
      <c r="G1277" s="16">
        <f>VLOOKUP(C1277,[1]master_data!$A$2:$E$495,4,FALSE)</f>
        <v>40000</v>
      </c>
      <c r="H1277" s="16">
        <f>E1277*F1277</f>
        <v>250000</v>
      </c>
      <c r="I1277" s="16">
        <f>E1277*G1277</f>
        <v>400000</v>
      </c>
      <c r="J1277" s="16">
        <f>I1277-H1277</f>
        <v>150000</v>
      </c>
      <c r="K1277" s="16" t="str">
        <f>VLOOKUP(C1277,[1]master_data!$A$2:$E$495,5,FALSE)</f>
        <v>Aksesoris</v>
      </c>
      <c r="L1277" s="1"/>
    </row>
    <row r="1278" spans="1:12" ht="12" customHeight="1" x14ac:dyDescent="0.25">
      <c r="A1278" s="15">
        <v>45122</v>
      </c>
      <c r="B1278" s="16">
        <v>22301228</v>
      </c>
      <c r="C1278" s="16" t="s">
        <v>443</v>
      </c>
      <c r="D1278" s="16" t="str">
        <f>VLOOKUP(C1278,[1]master_data!$A$2:$E$495,2,FALSE)</f>
        <v>PESO</v>
      </c>
      <c r="E1278" s="16">
        <v>2</v>
      </c>
      <c r="F1278" s="16">
        <f>VLOOKUP(C1278,[1]master_data!$A$2:$E$495,3,FALSE)</f>
        <v>19000</v>
      </c>
      <c r="G1278" s="16">
        <f>VLOOKUP(C1278,[1]master_data!$A$2:$E$495,4,FALSE)</f>
        <v>40000</v>
      </c>
      <c r="H1278" s="16">
        <f>E1278*F1278</f>
        <v>38000</v>
      </c>
      <c r="I1278" s="16">
        <f>E1278*G1278</f>
        <v>80000</v>
      </c>
      <c r="J1278" s="16">
        <f>I1278-H1278</f>
        <v>42000</v>
      </c>
      <c r="K1278" s="16" t="str">
        <f>VLOOKUP(C1278,[1]master_data!$A$2:$E$495,5,FALSE)</f>
        <v>Ikan</v>
      </c>
      <c r="L1278" s="1"/>
    </row>
    <row r="1279" spans="1:12" ht="12" customHeight="1" x14ac:dyDescent="0.25">
      <c r="A1279" s="15">
        <v>45122</v>
      </c>
      <c r="B1279" s="16">
        <v>22301229</v>
      </c>
      <c r="C1279" s="16" t="s">
        <v>246</v>
      </c>
      <c r="D1279" s="16" t="str">
        <f>VLOOKUP(C1279,[1]master_data!$A$2:$E$495,2,FALSE)</f>
        <v>AIRSTONE 40</v>
      </c>
      <c r="E1279" s="16">
        <v>2</v>
      </c>
      <c r="F1279" s="16">
        <f>VLOOKUP(C1279,[1]master_data!$A$2:$E$495,3,FALSE)</f>
        <v>6000</v>
      </c>
      <c r="G1279" s="16">
        <f>VLOOKUP(C1279,[1]master_data!$A$2:$E$495,4,FALSE)</f>
        <v>12000</v>
      </c>
      <c r="H1279" s="16">
        <f>E1279*F1279</f>
        <v>12000</v>
      </c>
      <c r="I1279" s="16">
        <f>E1279*G1279</f>
        <v>24000</v>
      </c>
      <c r="J1279" s="16">
        <f>I1279-H1279</f>
        <v>12000</v>
      </c>
      <c r="K1279" s="16" t="str">
        <f>VLOOKUP(C1279,[1]master_data!$A$2:$E$495,5,FALSE)</f>
        <v>Aksesoris</v>
      </c>
      <c r="L1279" s="1"/>
    </row>
    <row r="1280" spans="1:12" ht="12" customHeight="1" x14ac:dyDescent="0.25">
      <c r="A1280" s="15">
        <v>45122</v>
      </c>
      <c r="B1280" s="16">
        <v>22301230</v>
      </c>
      <c r="C1280" s="16" t="s">
        <v>420</v>
      </c>
      <c r="D1280" s="16" t="str">
        <f>VLOOKUP(C1280,[1]master_data!$A$2:$E$495,2,FALSE)</f>
        <v>KOMET SLAYER</v>
      </c>
      <c r="E1280" s="16">
        <v>1</v>
      </c>
      <c r="F1280" s="16">
        <f>VLOOKUP(C1280,[1]master_data!$A$2:$E$495,3,FALSE)</f>
        <v>2000</v>
      </c>
      <c r="G1280" s="16">
        <f>VLOOKUP(C1280,[1]master_data!$A$2:$E$495,4,FALSE)</f>
        <v>5000</v>
      </c>
      <c r="H1280" s="16">
        <f>E1280*F1280</f>
        <v>2000</v>
      </c>
      <c r="I1280" s="16">
        <f>E1280*G1280</f>
        <v>5000</v>
      </c>
      <c r="J1280" s="16">
        <f>I1280-H1280</f>
        <v>3000</v>
      </c>
      <c r="K1280" s="16" t="str">
        <f>VLOOKUP(C1280,[1]master_data!$A$2:$E$495,5,FALSE)</f>
        <v>Ikan</v>
      </c>
      <c r="L1280" s="1"/>
    </row>
    <row r="1281" spans="1:12" ht="12" customHeight="1" x14ac:dyDescent="0.25">
      <c r="A1281" s="15">
        <v>45121</v>
      </c>
      <c r="B1281" s="16">
        <v>22301219</v>
      </c>
      <c r="C1281" s="16" t="s">
        <v>454</v>
      </c>
      <c r="D1281" s="16" t="str">
        <f>VLOOKUP(C1281,[1]master_data!$A$2:$E$495,2,FALSE)</f>
        <v>TOMAN</v>
      </c>
      <c r="E1281" s="16">
        <v>5</v>
      </c>
      <c r="F1281" s="16">
        <f>VLOOKUP(C1281,[1]master_data!$A$2:$E$495,3,FALSE)</f>
        <v>10000</v>
      </c>
      <c r="G1281" s="16">
        <f>VLOOKUP(C1281,[1]master_data!$A$2:$E$495,4,FALSE)</f>
        <v>25000</v>
      </c>
      <c r="H1281" s="16">
        <f>E1281*F1281</f>
        <v>50000</v>
      </c>
      <c r="I1281" s="16">
        <f>E1281*G1281</f>
        <v>125000</v>
      </c>
      <c r="J1281" s="16">
        <f>I1281-H1281</f>
        <v>75000</v>
      </c>
      <c r="K1281" s="16" t="str">
        <f>VLOOKUP(C1281,[1]master_data!$A$2:$E$495,5,FALSE)</f>
        <v>Ikan</v>
      </c>
      <c r="L1281" s="1"/>
    </row>
    <row r="1282" spans="1:12" ht="12" customHeight="1" x14ac:dyDescent="0.25">
      <c r="A1282" s="15">
        <v>45121</v>
      </c>
      <c r="B1282" s="16">
        <v>22301220</v>
      </c>
      <c r="C1282" s="16" t="s">
        <v>109</v>
      </c>
      <c r="D1282" s="16" t="str">
        <f>VLOOKUP(C1282,[1]master_data!$A$2:$E$495,2,FALSE)</f>
        <v>AIRATOR AMARA LUB 2</v>
      </c>
      <c r="E1282" s="16">
        <v>5</v>
      </c>
      <c r="F1282" s="16">
        <f>VLOOKUP(C1282,[1]master_data!$A$2:$E$495,3,FALSE)</f>
        <v>33000</v>
      </c>
      <c r="G1282" s="16">
        <f>VLOOKUP(C1282,[1]master_data!$A$2:$E$495,4,FALSE)</f>
        <v>50000</v>
      </c>
      <c r="H1282" s="16">
        <f>E1282*F1282</f>
        <v>165000</v>
      </c>
      <c r="I1282" s="16">
        <f>E1282*G1282</f>
        <v>250000</v>
      </c>
      <c r="J1282" s="16">
        <f>I1282-H1282</f>
        <v>85000</v>
      </c>
      <c r="K1282" s="16" t="str">
        <f>VLOOKUP(C1282,[1]master_data!$A$2:$E$495,5,FALSE)</f>
        <v>Aksesoris</v>
      </c>
      <c r="L1282" s="1"/>
    </row>
    <row r="1283" spans="1:12" ht="12" customHeight="1" x14ac:dyDescent="0.25">
      <c r="A1283" s="15">
        <v>45121</v>
      </c>
      <c r="B1283" s="16">
        <v>22301221</v>
      </c>
      <c r="C1283" s="16" t="s">
        <v>427</v>
      </c>
      <c r="D1283" s="16" t="str">
        <f>VLOOKUP(C1283,[1]master_data!$A$2:$E$495,2,FALSE)</f>
        <v>LOUHAN SUPER</v>
      </c>
      <c r="E1283" s="16">
        <v>1</v>
      </c>
      <c r="F1283" s="16">
        <f>VLOOKUP(C1283,[1]master_data!$A$2:$E$495,3,FALSE)</f>
        <v>300000</v>
      </c>
      <c r="G1283" s="16">
        <f>VLOOKUP(C1283,[1]master_data!$A$2:$E$495,4,FALSE)</f>
        <v>500000</v>
      </c>
      <c r="H1283" s="16">
        <f>E1283*F1283</f>
        <v>300000</v>
      </c>
      <c r="I1283" s="16">
        <f>E1283*G1283</f>
        <v>500000</v>
      </c>
      <c r="J1283" s="16">
        <f>I1283-H1283</f>
        <v>200000</v>
      </c>
      <c r="K1283" s="16" t="str">
        <f>VLOOKUP(C1283,[1]master_data!$A$2:$E$495,5,FALSE)</f>
        <v>Ikan</v>
      </c>
      <c r="L1283" s="1"/>
    </row>
    <row r="1284" spans="1:12" ht="12" customHeight="1" x14ac:dyDescent="0.25">
      <c r="A1284" s="15">
        <v>45121</v>
      </c>
      <c r="B1284" s="16">
        <v>22301222</v>
      </c>
      <c r="C1284" s="16" t="s">
        <v>418</v>
      </c>
      <c r="D1284" s="16" t="str">
        <f>VLOOKUP(C1284,[1]master_data!$A$2:$E$495,2,FALSE)</f>
        <v>KAVIAT</v>
      </c>
      <c r="E1284" s="16">
        <v>20</v>
      </c>
      <c r="F1284" s="16">
        <f>VLOOKUP(C1284,[1]master_data!$A$2:$E$495,3,FALSE)</f>
        <v>3500</v>
      </c>
      <c r="G1284" s="16">
        <f>VLOOKUP(C1284,[1]master_data!$A$2:$E$495,4,FALSE)</f>
        <v>8000</v>
      </c>
      <c r="H1284" s="16">
        <f>E1284*F1284</f>
        <v>70000</v>
      </c>
      <c r="I1284" s="16">
        <f>E1284*G1284</f>
        <v>160000</v>
      </c>
      <c r="J1284" s="16">
        <f>I1284-H1284</f>
        <v>90000</v>
      </c>
      <c r="K1284" s="16" t="str">
        <f>VLOOKUP(C1284,[1]master_data!$A$2:$E$495,5,FALSE)</f>
        <v>Ikan</v>
      </c>
      <c r="L1284" s="1"/>
    </row>
    <row r="1285" spans="1:12" ht="12" customHeight="1" x14ac:dyDescent="0.25">
      <c r="A1285" s="15">
        <v>45121</v>
      </c>
      <c r="B1285" s="16">
        <v>22301223</v>
      </c>
      <c r="C1285" s="16" t="s">
        <v>424</v>
      </c>
      <c r="D1285" s="16" t="str">
        <f>VLOOKUP(C1285,[1]master_data!$A$2:$E$495,2,FALSE)</f>
        <v>DISCUS</v>
      </c>
      <c r="E1285" s="16">
        <v>2</v>
      </c>
      <c r="F1285" s="16">
        <f>VLOOKUP(C1285,[1]master_data!$A$2:$E$495,3,FALSE)</f>
        <v>50000</v>
      </c>
      <c r="G1285" s="16">
        <f>VLOOKUP(C1285,[1]master_data!$A$2:$E$495,4,FALSE)</f>
        <v>150000</v>
      </c>
      <c r="H1285" s="16">
        <f>E1285*F1285</f>
        <v>100000</v>
      </c>
      <c r="I1285" s="16">
        <f>E1285*G1285</f>
        <v>300000</v>
      </c>
      <c r="J1285" s="16">
        <f>I1285-H1285</f>
        <v>200000</v>
      </c>
      <c r="K1285" s="16" t="str">
        <f>VLOOKUP(C1285,[1]master_data!$A$2:$E$495,5,FALSE)</f>
        <v>Ikan</v>
      </c>
      <c r="L1285" s="1"/>
    </row>
    <row r="1286" spans="1:12" ht="12" customHeight="1" x14ac:dyDescent="0.25">
      <c r="A1286" s="15">
        <v>45120</v>
      </c>
      <c r="B1286" s="16">
        <v>22301207</v>
      </c>
      <c r="C1286" s="16" t="s">
        <v>78</v>
      </c>
      <c r="D1286" s="16" t="str">
        <f>VLOOKUP(C1286,[1]master_data!$A$2:$E$495,2,FALSE)</f>
        <v>MESIN KIYOSAKI 1200</v>
      </c>
      <c r="E1286" s="16">
        <v>2</v>
      </c>
      <c r="F1286" s="16">
        <f>VLOOKUP(C1286,[1]master_data!$A$2:$E$495,3,FALSE)</f>
        <v>21500</v>
      </c>
      <c r="G1286" s="16">
        <f>VLOOKUP(C1286,[1]master_data!$A$2:$E$495,4,FALSE)</f>
        <v>35000</v>
      </c>
      <c r="H1286" s="16">
        <f>E1286*F1286</f>
        <v>43000</v>
      </c>
      <c r="I1286" s="16">
        <f>E1286*G1286</f>
        <v>70000</v>
      </c>
      <c r="J1286" s="16">
        <f>I1286-H1286</f>
        <v>27000</v>
      </c>
      <c r="K1286" s="16" t="str">
        <f>VLOOKUP(C1286,[1]master_data!$A$2:$E$495,5,FALSE)</f>
        <v>Aksesoris</v>
      </c>
      <c r="L1286" s="1"/>
    </row>
    <row r="1287" spans="1:12" ht="12" customHeight="1" x14ac:dyDescent="0.25">
      <c r="A1287" s="15">
        <v>45120</v>
      </c>
      <c r="B1287" s="16">
        <v>22301208</v>
      </c>
      <c r="C1287" s="16" t="s">
        <v>422</v>
      </c>
      <c r="D1287" s="16" t="str">
        <f>VLOOKUP(C1287,[1]master_data!$A$2:$E$495,2,FALSE)</f>
        <v>KOI SLAYER B</v>
      </c>
      <c r="E1287" s="16">
        <v>2</v>
      </c>
      <c r="F1287" s="16">
        <f>VLOOKUP(C1287,[1]master_data!$A$2:$E$495,3,FALSE)</f>
        <v>8000</v>
      </c>
      <c r="G1287" s="16">
        <f>VLOOKUP(C1287,[1]master_data!$A$2:$E$495,4,FALSE)</f>
        <v>20000</v>
      </c>
      <c r="H1287" s="16">
        <f>E1287*F1287</f>
        <v>16000</v>
      </c>
      <c r="I1287" s="16">
        <f>E1287*G1287</f>
        <v>40000</v>
      </c>
      <c r="J1287" s="16">
        <f>I1287-H1287</f>
        <v>24000</v>
      </c>
      <c r="K1287" s="16" t="str">
        <f>VLOOKUP(C1287,[1]master_data!$A$2:$E$495,5,FALSE)</f>
        <v>Ikan</v>
      </c>
      <c r="L1287" s="1"/>
    </row>
    <row r="1288" spans="1:12" ht="12" customHeight="1" x14ac:dyDescent="0.25">
      <c r="A1288" s="15">
        <v>45120</v>
      </c>
      <c r="B1288" s="16">
        <v>22301209</v>
      </c>
      <c r="C1288" s="16" t="s">
        <v>352</v>
      </c>
      <c r="D1288" s="16" t="str">
        <f>VLOOKUP(C1288,[1]master_data!$A$2:$E$495,2,FALSE)</f>
        <v>AKUARIUM BAHARI M</v>
      </c>
      <c r="E1288" s="16">
        <v>1</v>
      </c>
      <c r="F1288" s="16">
        <f>VLOOKUP(C1288,[1]master_data!$A$2:$E$495,3,FALSE)</f>
        <v>82000</v>
      </c>
      <c r="G1288" s="16">
        <f>VLOOKUP(C1288,[1]master_data!$A$2:$E$495,4,FALSE)</f>
        <v>130000</v>
      </c>
      <c r="H1288" s="16">
        <f>E1288*F1288</f>
        <v>82000</v>
      </c>
      <c r="I1288" s="16">
        <f>E1288*G1288</f>
        <v>130000</v>
      </c>
      <c r="J1288" s="16">
        <f>I1288-H1288</f>
        <v>48000</v>
      </c>
      <c r="K1288" s="16" t="str">
        <f>VLOOKUP(C1288,[1]master_data!$A$2:$E$495,5,FALSE)</f>
        <v>Aksesoris</v>
      </c>
      <c r="L1288" s="1"/>
    </row>
    <row r="1289" spans="1:12" ht="12" customHeight="1" x14ac:dyDescent="0.25">
      <c r="A1289" s="15">
        <v>45120</v>
      </c>
      <c r="B1289" s="16">
        <v>22301210</v>
      </c>
      <c r="C1289" s="16" t="s">
        <v>199</v>
      </c>
      <c r="D1289" s="16" t="str">
        <f>VLOOKUP(C1289,[1]master_data!$A$2:$E$495,2,FALSE)</f>
        <v>AKARI PREMIUM BLUE</v>
      </c>
      <c r="E1289" s="16">
        <v>5</v>
      </c>
      <c r="F1289" s="16">
        <f>VLOOKUP(C1289,[1]master_data!$A$2:$E$495,3,FALSE)</f>
        <v>37000</v>
      </c>
      <c r="G1289" s="16">
        <f>VLOOKUP(C1289,[1]master_data!$A$2:$E$495,4,FALSE)</f>
        <v>50000</v>
      </c>
      <c r="H1289" s="16">
        <f>E1289*F1289</f>
        <v>185000</v>
      </c>
      <c r="I1289" s="16">
        <f>E1289*G1289</f>
        <v>250000</v>
      </c>
      <c r="J1289" s="16">
        <f>I1289-H1289</f>
        <v>65000</v>
      </c>
      <c r="K1289" s="16" t="str">
        <f>VLOOKUP(C1289,[1]master_data!$A$2:$E$495,5,FALSE)</f>
        <v>Aksesoris</v>
      </c>
      <c r="L1289" s="1"/>
    </row>
    <row r="1290" spans="1:12" ht="12" customHeight="1" x14ac:dyDescent="0.25">
      <c r="A1290" s="15">
        <v>45120</v>
      </c>
      <c r="B1290" s="16">
        <v>22301211</v>
      </c>
      <c r="C1290" s="16" t="s">
        <v>397</v>
      </c>
      <c r="D1290" s="16" t="str">
        <f>VLOOKUP(C1290,[1]master_data!$A$2:$E$495,2,FALSE)</f>
        <v>BUENOS AIRES TETRA</v>
      </c>
      <c r="E1290" s="16">
        <v>20</v>
      </c>
      <c r="F1290" s="16">
        <f>VLOOKUP(C1290,[1]master_data!$A$2:$E$495,3,FALSE)</f>
        <v>800</v>
      </c>
      <c r="G1290" s="16">
        <f>VLOOKUP(C1290,[1]master_data!$A$2:$E$495,4,FALSE)</f>
        <v>2000</v>
      </c>
      <c r="H1290" s="16">
        <f>E1290*F1290</f>
        <v>16000</v>
      </c>
      <c r="I1290" s="16">
        <f>E1290*G1290</f>
        <v>40000</v>
      </c>
      <c r="J1290" s="16">
        <f>I1290-H1290</f>
        <v>24000</v>
      </c>
      <c r="K1290" s="16" t="str">
        <f>VLOOKUP(C1290,[1]master_data!$A$2:$E$495,5,FALSE)</f>
        <v>Ikan</v>
      </c>
      <c r="L1290" s="1"/>
    </row>
    <row r="1291" spans="1:12" ht="12" customHeight="1" x14ac:dyDescent="0.25">
      <c r="A1291" s="15">
        <v>45120</v>
      </c>
      <c r="B1291" s="16">
        <v>22301212</v>
      </c>
      <c r="C1291" s="16" t="s">
        <v>270</v>
      </c>
      <c r="D1291" s="16" t="str">
        <f>VLOOKUP(C1291,[1]master_data!$A$2:$E$495,2,FALSE)</f>
        <v>HEATER KACA 75 W</v>
      </c>
      <c r="E1291" s="16">
        <v>1</v>
      </c>
      <c r="F1291" s="16">
        <f>VLOOKUP(C1291,[1]master_data!$A$2:$E$495,3,FALSE)</f>
        <v>33000</v>
      </c>
      <c r="G1291" s="16">
        <f>VLOOKUP(C1291,[1]master_data!$A$2:$E$495,4,FALSE)</f>
        <v>50000</v>
      </c>
      <c r="H1291" s="16">
        <f>E1291*F1291</f>
        <v>33000</v>
      </c>
      <c r="I1291" s="16">
        <f>E1291*G1291</f>
        <v>50000</v>
      </c>
      <c r="J1291" s="16">
        <f>I1291-H1291</f>
        <v>17000</v>
      </c>
      <c r="K1291" s="16" t="str">
        <f>VLOOKUP(C1291,[1]master_data!$A$2:$E$495,5,FALSE)</f>
        <v>Aksesoris</v>
      </c>
      <c r="L1291" s="1"/>
    </row>
    <row r="1292" spans="1:12" ht="12" customHeight="1" x14ac:dyDescent="0.25">
      <c r="A1292" s="15">
        <v>45120</v>
      </c>
      <c r="B1292" s="16">
        <v>22301213</v>
      </c>
      <c r="C1292" s="16" t="s">
        <v>403</v>
      </c>
      <c r="D1292" s="16" t="str">
        <f>VLOOKUP(C1292,[1]master_data!$A$2:$E$495,2,FALSE)</f>
        <v>KOMET BOKIM</v>
      </c>
      <c r="E1292" s="16">
        <v>35</v>
      </c>
      <c r="F1292" s="16">
        <f>VLOOKUP(C1292,[1]master_data!$A$2:$E$495,3,FALSE)</f>
        <v>1500</v>
      </c>
      <c r="G1292" s="16">
        <f>VLOOKUP(C1292,[1]master_data!$A$2:$E$495,4,FALSE)</f>
        <v>5000</v>
      </c>
      <c r="H1292" s="16">
        <f>E1292*F1292</f>
        <v>52500</v>
      </c>
      <c r="I1292" s="16">
        <f>E1292*G1292</f>
        <v>175000</v>
      </c>
      <c r="J1292" s="16">
        <f>I1292-H1292</f>
        <v>122500</v>
      </c>
      <c r="K1292" s="16" t="str">
        <f>VLOOKUP(C1292,[1]master_data!$A$2:$E$495,5,FALSE)</f>
        <v>Ikan</v>
      </c>
      <c r="L1292" s="1"/>
    </row>
    <row r="1293" spans="1:12" ht="12" customHeight="1" x14ac:dyDescent="0.25">
      <c r="A1293" s="15">
        <v>45120</v>
      </c>
      <c r="B1293" s="16">
        <v>22301214</v>
      </c>
      <c r="C1293" s="16" t="s">
        <v>443</v>
      </c>
      <c r="D1293" s="16" t="str">
        <f>VLOOKUP(C1293,[1]master_data!$A$2:$E$495,2,FALSE)</f>
        <v>PESO</v>
      </c>
      <c r="E1293" s="16">
        <v>1</v>
      </c>
      <c r="F1293" s="16">
        <f>VLOOKUP(C1293,[1]master_data!$A$2:$E$495,3,FALSE)</f>
        <v>19000</v>
      </c>
      <c r="G1293" s="16">
        <f>VLOOKUP(C1293,[1]master_data!$A$2:$E$495,4,FALSE)</f>
        <v>40000</v>
      </c>
      <c r="H1293" s="16">
        <f>E1293*F1293</f>
        <v>19000</v>
      </c>
      <c r="I1293" s="16">
        <f>E1293*G1293</f>
        <v>40000</v>
      </c>
      <c r="J1293" s="16">
        <f>I1293-H1293</f>
        <v>21000</v>
      </c>
      <c r="K1293" s="16" t="str">
        <f>VLOOKUP(C1293,[1]master_data!$A$2:$E$495,5,FALSE)</f>
        <v>Ikan</v>
      </c>
      <c r="L1293" s="1"/>
    </row>
    <row r="1294" spans="1:12" ht="12" customHeight="1" x14ac:dyDescent="0.25">
      <c r="A1294" s="15">
        <v>45120</v>
      </c>
      <c r="B1294" s="16">
        <v>22301215</v>
      </c>
      <c r="C1294" s="16" t="s">
        <v>45</v>
      </c>
      <c r="D1294" s="16" t="str">
        <f>VLOOKUP(C1294,[1]master_data!$A$2:$E$495,2,FALSE)</f>
        <v>MESIN YAMANO 2600</v>
      </c>
      <c r="E1294" s="16">
        <v>2</v>
      </c>
      <c r="F1294" s="16">
        <f>VLOOKUP(C1294,[1]master_data!$A$2:$E$495,3,FALSE)</f>
        <v>82500</v>
      </c>
      <c r="G1294" s="16">
        <f>VLOOKUP(C1294,[1]master_data!$A$2:$E$495,4,FALSE)</f>
        <v>115000</v>
      </c>
      <c r="H1294" s="16">
        <f>E1294*F1294</f>
        <v>165000</v>
      </c>
      <c r="I1294" s="16">
        <f>E1294*G1294</f>
        <v>230000</v>
      </c>
      <c r="J1294" s="16">
        <f>I1294-H1294</f>
        <v>65000</v>
      </c>
      <c r="K1294" s="16" t="str">
        <f>VLOOKUP(C1294,[1]master_data!$A$2:$E$495,5,FALSE)</f>
        <v>Aksesoris</v>
      </c>
      <c r="L1294" s="1"/>
    </row>
    <row r="1295" spans="1:12" ht="12" customHeight="1" x14ac:dyDescent="0.25">
      <c r="A1295" s="15">
        <v>45120</v>
      </c>
      <c r="B1295" s="16">
        <v>22301216</v>
      </c>
      <c r="C1295" s="16" t="s">
        <v>450</v>
      </c>
      <c r="D1295" s="16" t="str">
        <f>VLOOKUP(C1295,[1]master_data!$A$2:$E$495,2,FALSE)</f>
        <v>SNOW WHITE</v>
      </c>
      <c r="E1295" s="16">
        <v>15</v>
      </c>
      <c r="F1295" s="16">
        <f>VLOOKUP(C1295,[1]master_data!$A$2:$E$495,3,FALSE)</f>
        <v>1500</v>
      </c>
      <c r="G1295" s="16">
        <f>VLOOKUP(C1295,[1]master_data!$A$2:$E$495,4,FALSE)</f>
        <v>3000</v>
      </c>
      <c r="H1295" s="16">
        <f>E1295*F1295</f>
        <v>22500</v>
      </c>
      <c r="I1295" s="16">
        <f>E1295*G1295</f>
        <v>45000</v>
      </c>
      <c r="J1295" s="16">
        <f>I1295-H1295</f>
        <v>22500</v>
      </c>
      <c r="K1295" s="16" t="str">
        <f>VLOOKUP(C1295,[1]master_data!$A$2:$E$495,5,FALSE)</f>
        <v>Ikan</v>
      </c>
      <c r="L1295" s="1"/>
    </row>
    <row r="1296" spans="1:12" ht="12" customHeight="1" x14ac:dyDescent="0.25">
      <c r="A1296" s="15">
        <v>45120</v>
      </c>
      <c r="B1296" s="16">
        <v>22301217</v>
      </c>
      <c r="C1296" s="16" t="s">
        <v>460</v>
      </c>
      <c r="D1296" s="16" t="str">
        <f>VLOOKUP(C1296,[1]master_data!$A$2:$E$495,2,FALSE)</f>
        <v>SEPAT ALBINO</v>
      </c>
      <c r="E1296" s="16">
        <v>20</v>
      </c>
      <c r="F1296" s="16">
        <f>VLOOKUP(C1296,[1]master_data!$A$2:$E$495,3,FALSE)</f>
        <v>2000</v>
      </c>
      <c r="G1296" s="16">
        <f>VLOOKUP(C1296,[1]master_data!$A$2:$E$495,4,FALSE)</f>
        <v>5000</v>
      </c>
      <c r="H1296" s="16">
        <f>E1296*F1296</f>
        <v>40000</v>
      </c>
      <c r="I1296" s="16">
        <f>E1296*G1296</f>
        <v>100000</v>
      </c>
      <c r="J1296" s="16">
        <f>I1296-H1296</f>
        <v>60000</v>
      </c>
      <c r="K1296" s="16" t="str">
        <f>VLOOKUP(C1296,[1]master_data!$A$2:$E$495,5,FALSE)</f>
        <v>Ikan</v>
      </c>
      <c r="L1296" s="1"/>
    </row>
    <row r="1297" spans="1:12" ht="12" customHeight="1" x14ac:dyDescent="0.25">
      <c r="A1297" s="15">
        <v>45120</v>
      </c>
      <c r="B1297" s="16">
        <v>22301218</v>
      </c>
      <c r="C1297" s="16" t="s">
        <v>396</v>
      </c>
      <c r="D1297" s="16" t="str">
        <f>VLOOKUP(C1297,[1]master_data!$A$2:$E$495,2,FALSE)</f>
        <v>BIPOLAR</v>
      </c>
      <c r="E1297" s="16">
        <v>25</v>
      </c>
      <c r="F1297" s="16">
        <f>VLOOKUP(C1297,[1]master_data!$A$2:$E$495,3,FALSE)</f>
        <v>1000</v>
      </c>
      <c r="G1297" s="16">
        <f>VLOOKUP(C1297,[1]master_data!$A$2:$E$495,4,FALSE)</f>
        <v>2500</v>
      </c>
      <c r="H1297" s="16">
        <f>E1297*F1297</f>
        <v>25000</v>
      </c>
      <c r="I1297" s="16">
        <f>E1297*G1297</f>
        <v>62500</v>
      </c>
      <c r="J1297" s="16">
        <f>I1297-H1297</f>
        <v>37500</v>
      </c>
      <c r="K1297" s="16" t="str">
        <f>VLOOKUP(C1297,[1]master_data!$A$2:$E$495,5,FALSE)</f>
        <v>Ikan</v>
      </c>
      <c r="L1297" s="1"/>
    </row>
    <row r="1298" spans="1:12" ht="12" customHeight="1" x14ac:dyDescent="0.25">
      <c r="A1298" s="15">
        <v>45119</v>
      </c>
      <c r="B1298" s="16">
        <v>22301198</v>
      </c>
      <c r="C1298" s="16" t="s">
        <v>255</v>
      </c>
      <c r="D1298" s="16" t="str">
        <f>VLOOKUP(C1298,[1]master_data!$A$2:$E$495,2,FALSE)</f>
        <v>BILTS K</v>
      </c>
      <c r="E1298" s="16">
        <v>10</v>
      </c>
      <c r="F1298" s="16">
        <f>VLOOKUP(C1298,[1]master_data!$A$2:$E$495,3,FALSE)</f>
        <v>5000</v>
      </c>
      <c r="G1298" s="16">
        <f>VLOOKUP(C1298,[1]master_data!$A$2:$E$495,4,FALSE)</f>
        <v>7000</v>
      </c>
      <c r="H1298" s="16">
        <f>E1298*F1298</f>
        <v>50000</v>
      </c>
      <c r="I1298" s="16">
        <f>E1298*G1298</f>
        <v>70000</v>
      </c>
      <c r="J1298" s="16">
        <f>I1298-H1298</f>
        <v>20000</v>
      </c>
      <c r="K1298" s="16" t="str">
        <f>VLOOKUP(C1298,[1]master_data!$A$2:$E$495,5,FALSE)</f>
        <v>Aksesoris</v>
      </c>
      <c r="L1298" s="1"/>
    </row>
    <row r="1299" spans="1:12" ht="12" customHeight="1" x14ac:dyDescent="0.25">
      <c r="A1299" s="15">
        <v>45119</v>
      </c>
      <c r="B1299" s="16">
        <v>22301199</v>
      </c>
      <c r="C1299" s="16" t="s">
        <v>448</v>
      </c>
      <c r="D1299" s="16" t="str">
        <f>VLOOKUP(C1299,[1]master_data!$A$2:$E$495,2,FALSE)</f>
        <v>SUMATRA BIASA</v>
      </c>
      <c r="E1299" s="16">
        <v>25</v>
      </c>
      <c r="F1299" s="16">
        <f>VLOOKUP(C1299,[1]master_data!$A$2:$E$495,3,FALSE)</f>
        <v>800</v>
      </c>
      <c r="G1299" s="16">
        <f>VLOOKUP(C1299,[1]master_data!$A$2:$E$495,4,FALSE)</f>
        <v>2000</v>
      </c>
      <c r="H1299" s="16">
        <f>E1299*F1299</f>
        <v>20000</v>
      </c>
      <c r="I1299" s="16">
        <f>E1299*G1299</f>
        <v>50000</v>
      </c>
      <c r="J1299" s="16">
        <f>I1299-H1299</f>
        <v>30000</v>
      </c>
      <c r="K1299" s="16" t="str">
        <f>VLOOKUP(C1299,[1]master_data!$A$2:$E$495,5,FALSE)</f>
        <v>Ikan</v>
      </c>
      <c r="L1299" s="1"/>
    </row>
    <row r="1300" spans="1:12" ht="12" customHeight="1" x14ac:dyDescent="0.25">
      <c r="A1300" s="15">
        <v>45119</v>
      </c>
      <c r="B1300" s="16">
        <v>22301200</v>
      </c>
      <c r="C1300" s="16" t="s">
        <v>247</v>
      </c>
      <c r="D1300" s="16" t="str">
        <f>VLOOKUP(C1300,[1]master_data!$A$2:$E$495,2,FALSE)</f>
        <v>AIRSTONE 60</v>
      </c>
      <c r="E1300" s="16">
        <v>5</v>
      </c>
      <c r="F1300" s="16">
        <f>VLOOKUP(C1300,[1]master_data!$A$2:$E$495,3,FALSE)</f>
        <v>8000</v>
      </c>
      <c r="G1300" s="16">
        <f>VLOOKUP(C1300,[1]master_data!$A$2:$E$495,4,FALSE)</f>
        <v>17000</v>
      </c>
      <c r="H1300" s="16">
        <f>E1300*F1300</f>
        <v>40000</v>
      </c>
      <c r="I1300" s="16">
        <f>E1300*G1300</f>
        <v>85000</v>
      </c>
      <c r="J1300" s="16">
        <f>I1300-H1300</f>
        <v>45000</v>
      </c>
      <c r="K1300" s="16" t="str">
        <f>VLOOKUP(C1300,[1]master_data!$A$2:$E$495,5,FALSE)</f>
        <v>Aksesoris</v>
      </c>
      <c r="L1300" s="1"/>
    </row>
    <row r="1301" spans="1:12" ht="12" customHeight="1" x14ac:dyDescent="0.25">
      <c r="A1301" s="15">
        <v>45119</v>
      </c>
      <c r="B1301" s="16">
        <v>22301201</v>
      </c>
      <c r="C1301" s="16" t="s">
        <v>10</v>
      </c>
      <c r="D1301" s="16" t="str">
        <f>VLOOKUP(C1301,[1]master_data!$A$2:$E$495,2,FALSE)</f>
        <v>MESIN YANG 2600</v>
      </c>
      <c r="E1301" s="16">
        <v>2</v>
      </c>
      <c r="F1301" s="16">
        <f>VLOOKUP(C1301,[1]master_data!$A$2:$E$495,3,FALSE)</f>
        <v>82000</v>
      </c>
      <c r="G1301" s="16">
        <f>VLOOKUP(C1301,[1]master_data!$A$2:$E$495,4,FALSE)</f>
        <v>115000</v>
      </c>
      <c r="H1301" s="16">
        <f>E1301*F1301</f>
        <v>164000</v>
      </c>
      <c r="I1301" s="16">
        <f>E1301*G1301</f>
        <v>230000</v>
      </c>
      <c r="J1301" s="16">
        <f>I1301-H1301</f>
        <v>66000</v>
      </c>
      <c r="K1301" s="16" t="str">
        <f>VLOOKUP(C1301,[1]master_data!$A$2:$E$495,5,FALSE)</f>
        <v>Aksesoris</v>
      </c>
      <c r="L1301" s="1"/>
    </row>
    <row r="1302" spans="1:12" ht="12" customHeight="1" x14ac:dyDescent="0.25">
      <c r="A1302" s="15">
        <v>45119</v>
      </c>
      <c r="B1302" s="16">
        <v>22301202</v>
      </c>
      <c r="C1302" s="16" t="s">
        <v>279</v>
      </c>
      <c r="D1302" s="16" t="str">
        <f>VLOOKUP(C1302,[1]master_data!$A$2:$E$495,2,FALSE)</f>
        <v>KRAN 1 W</v>
      </c>
      <c r="E1302" s="16">
        <v>30</v>
      </c>
      <c r="F1302" s="16">
        <f>VLOOKUP(C1302,[1]master_data!$A$2:$E$495,3,FALSE)</f>
        <v>1200</v>
      </c>
      <c r="G1302" s="16">
        <f>VLOOKUP(C1302,[1]master_data!$A$2:$E$495,4,FALSE)</f>
        <v>3000</v>
      </c>
      <c r="H1302" s="16">
        <f>E1302*F1302</f>
        <v>36000</v>
      </c>
      <c r="I1302" s="16">
        <f>E1302*G1302</f>
        <v>90000</v>
      </c>
      <c r="J1302" s="16">
        <f>I1302-H1302</f>
        <v>54000</v>
      </c>
      <c r="K1302" s="16" t="str">
        <f>VLOOKUP(C1302,[1]master_data!$A$2:$E$495,5,FALSE)</f>
        <v>Aksesoris</v>
      </c>
      <c r="L1302" s="1"/>
    </row>
    <row r="1303" spans="1:12" ht="12" customHeight="1" x14ac:dyDescent="0.25">
      <c r="A1303" s="15">
        <v>45119</v>
      </c>
      <c r="B1303" s="16">
        <v>22301203</v>
      </c>
      <c r="C1303" s="16" t="s">
        <v>455</v>
      </c>
      <c r="D1303" s="16" t="str">
        <f>VLOOKUP(C1303,[1]master_data!$A$2:$E$495,2,FALSE)</f>
        <v>ZEBRA PINK</v>
      </c>
      <c r="E1303" s="16">
        <v>30</v>
      </c>
      <c r="F1303" s="16">
        <f>VLOOKUP(C1303,[1]master_data!$A$2:$E$495,3,FALSE)</f>
        <v>800</v>
      </c>
      <c r="G1303" s="16">
        <f>VLOOKUP(C1303,[1]master_data!$A$2:$E$495,4,FALSE)</f>
        <v>2000</v>
      </c>
      <c r="H1303" s="16">
        <f>E1303*F1303</f>
        <v>24000</v>
      </c>
      <c r="I1303" s="16">
        <f>E1303*G1303</f>
        <v>60000</v>
      </c>
      <c r="J1303" s="16">
        <f>I1303-H1303</f>
        <v>36000</v>
      </c>
      <c r="K1303" s="16" t="str">
        <f>VLOOKUP(C1303,[1]master_data!$A$2:$E$495,5,FALSE)</f>
        <v>Ikan</v>
      </c>
      <c r="L1303" s="1"/>
    </row>
    <row r="1304" spans="1:12" ht="12" customHeight="1" x14ac:dyDescent="0.25">
      <c r="A1304" s="15">
        <v>45119</v>
      </c>
      <c r="B1304" s="16">
        <v>22301204</v>
      </c>
      <c r="C1304" s="16" t="s">
        <v>461</v>
      </c>
      <c r="D1304" s="16" t="str">
        <f>VLOOKUP(C1304,[1]master_data!$A$2:$E$495,2,FALSE)</f>
        <v>CHANNA STEWARTI</v>
      </c>
      <c r="E1304" s="16">
        <v>4</v>
      </c>
      <c r="F1304" s="16">
        <f>VLOOKUP(C1304,[1]master_data!$A$2:$E$495,3,FALSE)</f>
        <v>15000</v>
      </c>
      <c r="G1304" s="16">
        <f>VLOOKUP(C1304,[1]master_data!$A$2:$E$495,4,FALSE)</f>
        <v>40000</v>
      </c>
      <c r="H1304" s="16">
        <f>E1304*F1304</f>
        <v>60000</v>
      </c>
      <c r="I1304" s="16">
        <f>E1304*G1304</f>
        <v>160000</v>
      </c>
      <c r="J1304" s="16">
        <f>I1304-H1304</f>
        <v>100000</v>
      </c>
      <c r="K1304" s="16" t="str">
        <f>VLOOKUP(C1304,[1]master_data!$A$2:$E$495,5,FALSE)</f>
        <v>Ikan</v>
      </c>
      <c r="L1304" s="1"/>
    </row>
    <row r="1305" spans="1:12" ht="12" customHeight="1" x14ac:dyDescent="0.25">
      <c r="A1305" s="15">
        <v>45119</v>
      </c>
      <c r="B1305" s="16">
        <v>22301205</v>
      </c>
      <c r="C1305" s="16" t="s">
        <v>414</v>
      </c>
      <c r="D1305" s="16" t="str">
        <f>VLOOKUP(C1305,[1]master_data!$A$2:$E$495,2,FALSE)</f>
        <v>KOI K</v>
      </c>
      <c r="E1305" s="16">
        <v>20</v>
      </c>
      <c r="F1305" s="16">
        <f>VLOOKUP(C1305,[1]master_data!$A$2:$E$495,3,FALSE)</f>
        <v>2500</v>
      </c>
      <c r="G1305" s="16">
        <f>VLOOKUP(C1305,[1]master_data!$A$2:$E$495,4,FALSE)</f>
        <v>10000</v>
      </c>
      <c r="H1305" s="16">
        <f>E1305*F1305</f>
        <v>50000</v>
      </c>
      <c r="I1305" s="16">
        <f>E1305*G1305</f>
        <v>200000</v>
      </c>
      <c r="J1305" s="16">
        <f>I1305-H1305</f>
        <v>150000</v>
      </c>
      <c r="K1305" s="16" t="str">
        <f>VLOOKUP(C1305,[1]master_data!$A$2:$E$495,5,FALSE)</f>
        <v>Ikan</v>
      </c>
      <c r="L1305" s="1"/>
    </row>
    <row r="1306" spans="1:12" ht="12" customHeight="1" x14ac:dyDescent="0.25">
      <c r="A1306" s="15">
        <v>45119</v>
      </c>
      <c r="B1306" s="16">
        <v>22301206</v>
      </c>
      <c r="C1306" s="16" t="s">
        <v>211</v>
      </c>
      <c r="D1306" s="16" t="str">
        <f>VLOOKUP(C1306,[1]master_data!$A$2:$E$495,2,FALSE)</f>
        <v>UDANG KERING</v>
      </c>
      <c r="E1306" s="16">
        <v>19</v>
      </c>
      <c r="F1306" s="16">
        <f>VLOOKUP(C1306,[1]master_data!$A$2:$E$495,3,FALSE)</f>
        <v>4500</v>
      </c>
      <c r="G1306" s="16">
        <f>VLOOKUP(C1306,[1]master_data!$A$2:$E$495,4,FALSE)</f>
        <v>10000</v>
      </c>
      <c r="H1306" s="16">
        <f>E1306*F1306</f>
        <v>85500</v>
      </c>
      <c r="I1306" s="16">
        <f>E1306*G1306</f>
        <v>190000</v>
      </c>
      <c r="J1306" s="16">
        <f>I1306-H1306</f>
        <v>104500</v>
      </c>
      <c r="K1306" s="16" t="str">
        <f>VLOOKUP(C1306,[1]master_data!$A$2:$E$495,5,FALSE)</f>
        <v>Aksesoris</v>
      </c>
      <c r="L1306" s="1"/>
    </row>
    <row r="1307" spans="1:12" ht="12" customHeight="1" x14ac:dyDescent="0.25">
      <c r="A1307" s="15">
        <v>45118</v>
      </c>
      <c r="B1307" s="16">
        <v>22301187</v>
      </c>
      <c r="C1307" s="16" t="s">
        <v>198</v>
      </c>
      <c r="D1307" s="16" t="str">
        <f>VLOOKUP(C1307,[1]master_data!$A$2:$E$495,2,FALSE)</f>
        <v>AKARI PREMIUM YELLOW</v>
      </c>
      <c r="E1307" s="16">
        <v>5</v>
      </c>
      <c r="F1307" s="16">
        <f>VLOOKUP(C1307,[1]master_data!$A$2:$E$495,3,FALSE)</f>
        <v>37000</v>
      </c>
      <c r="G1307" s="16">
        <f>VLOOKUP(C1307,[1]master_data!$A$2:$E$495,4,FALSE)</f>
        <v>50000</v>
      </c>
      <c r="H1307" s="16">
        <f>E1307*F1307</f>
        <v>185000</v>
      </c>
      <c r="I1307" s="16">
        <f>E1307*G1307</f>
        <v>250000</v>
      </c>
      <c r="J1307" s="16">
        <f>I1307-H1307</f>
        <v>65000</v>
      </c>
      <c r="K1307" s="16" t="str">
        <f>VLOOKUP(C1307,[1]master_data!$A$2:$E$495,5,FALSE)</f>
        <v>Aksesoris</v>
      </c>
      <c r="L1307" s="1"/>
    </row>
    <row r="1308" spans="1:12" ht="12" customHeight="1" x14ac:dyDescent="0.25">
      <c r="A1308" s="15">
        <v>45118</v>
      </c>
      <c r="B1308" s="16">
        <v>22301188</v>
      </c>
      <c r="C1308" s="16" t="s">
        <v>423</v>
      </c>
      <c r="D1308" s="16" t="str">
        <f>VLOOKUP(C1308,[1]master_data!$A$2:$E$495,2,FALSE)</f>
        <v>CAROLINE</v>
      </c>
      <c r="E1308" s="16">
        <v>25</v>
      </c>
      <c r="F1308" s="16">
        <f>VLOOKUP(C1308,[1]master_data!$A$2:$E$495,3,FALSE)</f>
        <v>900</v>
      </c>
      <c r="G1308" s="16">
        <f>VLOOKUP(C1308,[1]master_data!$A$2:$E$495,4,FALSE)</f>
        <v>2000</v>
      </c>
      <c r="H1308" s="16">
        <f>E1308*F1308</f>
        <v>22500</v>
      </c>
      <c r="I1308" s="16">
        <f>E1308*G1308</f>
        <v>50000</v>
      </c>
      <c r="J1308" s="16">
        <f>I1308-H1308</f>
        <v>27500</v>
      </c>
      <c r="K1308" s="16" t="str">
        <f>VLOOKUP(C1308,[1]master_data!$A$2:$E$495,5,FALSE)</f>
        <v>Ikan</v>
      </c>
      <c r="L1308" s="1"/>
    </row>
    <row r="1309" spans="1:12" ht="12" customHeight="1" x14ac:dyDescent="0.25">
      <c r="A1309" s="15">
        <v>45118</v>
      </c>
      <c r="B1309" s="16">
        <v>22301189</v>
      </c>
      <c r="C1309" s="16" t="s">
        <v>455</v>
      </c>
      <c r="D1309" s="16" t="str">
        <f>VLOOKUP(C1309,[1]master_data!$A$2:$E$495,2,FALSE)</f>
        <v>ZEBRA PINK</v>
      </c>
      <c r="E1309" s="16">
        <v>40</v>
      </c>
      <c r="F1309" s="16">
        <f>VLOOKUP(C1309,[1]master_data!$A$2:$E$495,3,FALSE)</f>
        <v>800</v>
      </c>
      <c r="G1309" s="16">
        <f>VLOOKUP(C1309,[1]master_data!$A$2:$E$495,4,FALSE)</f>
        <v>2000</v>
      </c>
      <c r="H1309" s="16">
        <f>E1309*F1309</f>
        <v>32000</v>
      </c>
      <c r="I1309" s="16">
        <f>E1309*G1309</f>
        <v>80000</v>
      </c>
      <c r="J1309" s="16">
        <f>I1309-H1309</f>
        <v>48000</v>
      </c>
      <c r="K1309" s="16" t="str">
        <f>VLOOKUP(C1309,[1]master_data!$A$2:$E$495,5,FALSE)</f>
        <v>Ikan</v>
      </c>
      <c r="L1309" s="1"/>
    </row>
    <row r="1310" spans="1:12" ht="12" customHeight="1" x14ac:dyDescent="0.25">
      <c r="A1310" s="15">
        <v>45118</v>
      </c>
      <c r="B1310" s="16">
        <v>22301190</v>
      </c>
      <c r="C1310" s="16" t="s">
        <v>76</v>
      </c>
      <c r="D1310" s="16" t="str">
        <f>VLOOKUP(C1310,[1]master_data!$A$2:$E$495,2,FALSE)</f>
        <v>FITER SPONGE SOBO</v>
      </c>
      <c r="E1310" s="16">
        <v>10</v>
      </c>
      <c r="F1310" s="16">
        <f>VLOOKUP(C1310,[1]master_data!$A$2:$E$495,3,FALSE)</f>
        <v>12000</v>
      </c>
      <c r="G1310" s="16">
        <f>VLOOKUP(C1310,[1]master_data!$A$2:$E$495,4,FALSE)</f>
        <v>25000</v>
      </c>
      <c r="H1310" s="16">
        <f>E1310*F1310</f>
        <v>120000</v>
      </c>
      <c r="I1310" s="16">
        <f>E1310*G1310</f>
        <v>250000</v>
      </c>
      <c r="J1310" s="16">
        <f>I1310-H1310</f>
        <v>130000</v>
      </c>
      <c r="K1310" s="16" t="str">
        <f>VLOOKUP(C1310,[1]master_data!$A$2:$E$495,5,FALSE)</f>
        <v>Aksesoris</v>
      </c>
      <c r="L1310" s="1"/>
    </row>
    <row r="1311" spans="1:12" ht="12" customHeight="1" x14ac:dyDescent="0.25">
      <c r="A1311" s="15">
        <v>45118</v>
      </c>
      <c r="B1311" s="16">
        <v>22301191</v>
      </c>
      <c r="C1311" s="16" t="s">
        <v>181</v>
      </c>
      <c r="D1311" s="16" t="str">
        <f>VLOOKUP(C1311,[1]master_data!$A$2:$E$495,2,FALSE)</f>
        <v>LED ARMADA 3 MODE M50</v>
      </c>
      <c r="E1311" s="16">
        <v>1</v>
      </c>
      <c r="F1311" s="16">
        <f>VLOOKUP(C1311,[1]master_data!$A$2:$E$495,3,FALSE)</f>
        <v>26000</v>
      </c>
      <c r="G1311" s="16">
        <f>VLOOKUP(C1311,[1]master_data!$A$2:$E$495,4,FALSE)</f>
        <v>50000</v>
      </c>
      <c r="H1311" s="16">
        <f>E1311*F1311</f>
        <v>26000</v>
      </c>
      <c r="I1311" s="16">
        <f>E1311*G1311</f>
        <v>50000</v>
      </c>
      <c r="J1311" s="16">
        <f>I1311-H1311</f>
        <v>24000</v>
      </c>
      <c r="K1311" s="16" t="str">
        <f>VLOOKUP(C1311,[1]master_data!$A$2:$E$495,5,FALSE)</f>
        <v>Aksesoris</v>
      </c>
      <c r="L1311" s="1"/>
    </row>
    <row r="1312" spans="1:12" ht="12" customHeight="1" x14ac:dyDescent="0.25">
      <c r="A1312" s="15">
        <v>45118</v>
      </c>
      <c r="B1312" s="16">
        <v>22301192</v>
      </c>
      <c r="C1312" s="16" t="s">
        <v>95</v>
      </c>
      <c r="D1312" s="16" t="str">
        <f>VLOOKUP(C1312,[1]master_data!$A$2:$E$495,2,FALSE)</f>
        <v>MESIN AMARA 107</v>
      </c>
      <c r="E1312" s="16">
        <v>2</v>
      </c>
      <c r="F1312" s="16">
        <f>VLOOKUP(C1312,[1]master_data!$A$2:$E$495,3,FALSE)</f>
        <v>310000</v>
      </c>
      <c r="G1312" s="16">
        <f>VLOOKUP(C1312,[1]master_data!$A$2:$E$495,4,FALSE)</f>
        <v>380000</v>
      </c>
      <c r="H1312" s="16">
        <f>E1312*F1312</f>
        <v>620000</v>
      </c>
      <c r="I1312" s="16">
        <f>E1312*G1312</f>
        <v>760000</v>
      </c>
      <c r="J1312" s="16">
        <f>I1312-H1312</f>
        <v>140000</v>
      </c>
      <c r="K1312" s="16" t="str">
        <f>VLOOKUP(C1312,[1]master_data!$A$2:$E$495,5,FALSE)</f>
        <v>Aksesoris</v>
      </c>
      <c r="L1312" s="1"/>
    </row>
    <row r="1313" spans="1:12" ht="12" customHeight="1" x14ac:dyDescent="0.25">
      <c r="A1313" s="15">
        <v>45118</v>
      </c>
      <c r="B1313" s="16">
        <v>22301193</v>
      </c>
      <c r="C1313" s="16" t="s">
        <v>449</v>
      </c>
      <c r="D1313" s="16" t="str">
        <f>VLOOKUP(C1313,[1]master_data!$A$2:$E$495,2,FALSE)</f>
        <v>SUMATRA GOLD FISH</v>
      </c>
      <c r="E1313" s="16">
        <v>50</v>
      </c>
      <c r="F1313" s="16">
        <f>VLOOKUP(C1313,[1]master_data!$A$2:$E$495,3,FALSE)</f>
        <v>2500</v>
      </c>
      <c r="G1313" s="16">
        <f>VLOOKUP(C1313,[1]master_data!$A$2:$E$495,4,FALSE)</f>
        <v>4000</v>
      </c>
      <c r="H1313" s="16">
        <f>E1313*F1313</f>
        <v>125000</v>
      </c>
      <c r="I1313" s="16">
        <f>E1313*G1313</f>
        <v>200000</v>
      </c>
      <c r="J1313" s="16">
        <f>I1313-H1313</f>
        <v>75000</v>
      </c>
      <c r="K1313" s="16" t="str">
        <f>VLOOKUP(C1313,[1]master_data!$A$2:$E$495,5,FALSE)</f>
        <v>Ikan</v>
      </c>
      <c r="L1313" s="1"/>
    </row>
    <row r="1314" spans="1:12" ht="12" customHeight="1" x14ac:dyDescent="0.25">
      <c r="A1314" s="15">
        <v>45118</v>
      </c>
      <c r="B1314" s="16">
        <v>22301194</v>
      </c>
      <c r="C1314" s="16" t="s">
        <v>86</v>
      </c>
      <c r="D1314" s="16" t="str">
        <f>VLOOKUP(C1314,[1]master_data!$A$2:$E$495,2,FALSE)</f>
        <v>MESIN KANDILA WAVE MAKER 3000</v>
      </c>
      <c r="E1314" s="16">
        <v>1</v>
      </c>
      <c r="F1314" s="16">
        <f>VLOOKUP(C1314,[1]master_data!$A$2:$E$495,3,FALSE)</f>
        <v>36500</v>
      </c>
      <c r="G1314" s="16">
        <f>VLOOKUP(C1314,[1]master_data!$A$2:$E$495,4,FALSE)</f>
        <v>65000</v>
      </c>
      <c r="H1314" s="16">
        <f>E1314*F1314</f>
        <v>36500</v>
      </c>
      <c r="I1314" s="16">
        <f>E1314*G1314</f>
        <v>65000</v>
      </c>
      <c r="J1314" s="16">
        <f>I1314-H1314</f>
        <v>28500</v>
      </c>
      <c r="K1314" s="16" t="str">
        <f>VLOOKUP(C1314,[1]master_data!$A$2:$E$495,5,FALSE)</f>
        <v>Aksesoris</v>
      </c>
      <c r="L1314" s="1"/>
    </row>
    <row r="1315" spans="1:12" ht="12" customHeight="1" x14ac:dyDescent="0.25">
      <c r="A1315" s="15">
        <v>45118</v>
      </c>
      <c r="B1315" s="16">
        <v>22301195</v>
      </c>
      <c r="C1315" s="16" t="s">
        <v>416</v>
      </c>
      <c r="D1315" s="16" t="str">
        <f>VLOOKUP(C1315,[1]master_data!$A$2:$E$495,2,FALSE)</f>
        <v>KOI B</v>
      </c>
      <c r="E1315" s="16">
        <v>2</v>
      </c>
      <c r="F1315" s="16">
        <f>VLOOKUP(C1315,[1]master_data!$A$2:$E$495,3,FALSE)</f>
        <v>9000</v>
      </c>
      <c r="G1315" s="16">
        <f>VLOOKUP(C1315,[1]master_data!$A$2:$E$495,4,FALSE)</f>
        <v>30000</v>
      </c>
      <c r="H1315" s="16">
        <f>E1315*F1315</f>
        <v>18000</v>
      </c>
      <c r="I1315" s="16">
        <f>E1315*G1315</f>
        <v>60000</v>
      </c>
      <c r="J1315" s="16">
        <f>I1315-H1315</f>
        <v>42000</v>
      </c>
      <c r="K1315" s="16" t="str">
        <f>VLOOKUP(C1315,[1]master_data!$A$2:$E$495,5,FALSE)</f>
        <v>Ikan</v>
      </c>
      <c r="L1315" s="1"/>
    </row>
    <row r="1316" spans="1:12" ht="12" customHeight="1" x14ac:dyDescent="0.25">
      <c r="A1316" s="15">
        <v>45118</v>
      </c>
      <c r="B1316" s="16">
        <v>22301196</v>
      </c>
      <c r="C1316" s="16" t="s">
        <v>403</v>
      </c>
      <c r="D1316" s="16" t="str">
        <f>VLOOKUP(C1316,[1]master_data!$A$2:$E$495,2,FALSE)</f>
        <v>KOMET BOKIM</v>
      </c>
      <c r="E1316" s="16">
        <v>3</v>
      </c>
      <c r="F1316" s="16">
        <f>VLOOKUP(C1316,[1]master_data!$A$2:$E$495,3,FALSE)</f>
        <v>1500</v>
      </c>
      <c r="G1316" s="16">
        <f>VLOOKUP(C1316,[1]master_data!$A$2:$E$495,4,FALSE)</f>
        <v>5000</v>
      </c>
      <c r="H1316" s="16">
        <f>E1316*F1316</f>
        <v>4500</v>
      </c>
      <c r="I1316" s="16">
        <f>E1316*G1316</f>
        <v>15000</v>
      </c>
      <c r="J1316" s="16">
        <f>I1316-H1316</f>
        <v>10500</v>
      </c>
      <c r="K1316" s="16" t="str">
        <f>VLOOKUP(C1316,[1]master_data!$A$2:$E$495,5,FALSE)</f>
        <v>Ikan</v>
      </c>
      <c r="L1316" s="1"/>
    </row>
    <row r="1317" spans="1:12" ht="12" customHeight="1" x14ac:dyDescent="0.25">
      <c r="A1317" s="15">
        <v>45118</v>
      </c>
      <c r="B1317" s="16">
        <v>22301197</v>
      </c>
      <c r="C1317" s="16" t="s">
        <v>414</v>
      </c>
      <c r="D1317" s="16" t="str">
        <f>VLOOKUP(C1317,[1]master_data!$A$2:$E$495,2,FALSE)</f>
        <v>KOI K</v>
      </c>
      <c r="E1317" s="16">
        <v>1</v>
      </c>
      <c r="F1317" s="16">
        <f>VLOOKUP(C1317,[1]master_data!$A$2:$E$495,3,FALSE)</f>
        <v>2500</v>
      </c>
      <c r="G1317" s="16">
        <f>VLOOKUP(C1317,[1]master_data!$A$2:$E$495,4,FALSE)</f>
        <v>10000</v>
      </c>
      <c r="H1317" s="16">
        <f>E1317*F1317</f>
        <v>2500</v>
      </c>
      <c r="I1317" s="16">
        <f>E1317*G1317</f>
        <v>10000</v>
      </c>
      <c r="J1317" s="16">
        <f>I1317-H1317</f>
        <v>7500</v>
      </c>
      <c r="K1317" s="16" t="str">
        <f>VLOOKUP(C1317,[1]master_data!$A$2:$E$495,5,FALSE)</f>
        <v>Ikan</v>
      </c>
      <c r="L1317" s="1"/>
    </row>
    <row r="1318" spans="1:12" ht="12" customHeight="1" x14ac:dyDescent="0.25">
      <c r="A1318" s="15">
        <v>45117</v>
      </c>
      <c r="B1318" s="16">
        <v>22301181</v>
      </c>
      <c r="C1318" s="16" t="s">
        <v>119</v>
      </c>
      <c r="D1318" s="16" t="str">
        <f>VLOOKUP(C1318,[1]master_data!$A$2:$E$495,2,FALSE)</f>
        <v>LED ROSTON 30 CM</v>
      </c>
      <c r="E1318" s="16">
        <v>10</v>
      </c>
      <c r="F1318" s="16">
        <f>VLOOKUP(C1318,[1]master_data!$A$2:$E$495,3,FALSE)</f>
        <v>21000</v>
      </c>
      <c r="G1318" s="16">
        <f>VLOOKUP(C1318,[1]master_data!$A$2:$E$495,4,FALSE)</f>
        <v>35000</v>
      </c>
      <c r="H1318" s="16">
        <f>E1318*F1318</f>
        <v>210000</v>
      </c>
      <c r="I1318" s="16">
        <f>E1318*G1318</f>
        <v>350000</v>
      </c>
      <c r="J1318" s="16">
        <f>I1318-H1318</f>
        <v>140000</v>
      </c>
      <c r="K1318" s="16" t="str">
        <f>VLOOKUP(C1318,[1]master_data!$A$2:$E$495,5,FALSE)</f>
        <v>Aksesoris</v>
      </c>
      <c r="L1318" s="1"/>
    </row>
    <row r="1319" spans="1:12" ht="12" customHeight="1" x14ac:dyDescent="0.25">
      <c r="A1319" s="15">
        <v>45117</v>
      </c>
      <c r="B1319" s="16">
        <v>22301182</v>
      </c>
      <c r="C1319" s="16" t="s">
        <v>416</v>
      </c>
      <c r="D1319" s="16" t="str">
        <f>VLOOKUP(C1319,[1]master_data!$A$2:$E$495,2,FALSE)</f>
        <v>KOI B</v>
      </c>
      <c r="E1319" s="16">
        <v>1</v>
      </c>
      <c r="F1319" s="16">
        <f>VLOOKUP(C1319,[1]master_data!$A$2:$E$495,3,FALSE)</f>
        <v>9000</v>
      </c>
      <c r="G1319" s="16">
        <f>VLOOKUP(C1319,[1]master_data!$A$2:$E$495,4,FALSE)</f>
        <v>30000</v>
      </c>
      <c r="H1319" s="16">
        <f>E1319*F1319</f>
        <v>9000</v>
      </c>
      <c r="I1319" s="16">
        <f>E1319*G1319</f>
        <v>30000</v>
      </c>
      <c r="J1319" s="16">
        <f>I1319-H1319</f>
        <v>21000</v>
      </c>
      <c r="K1319" s="16" t="str">
        <f>VLOOKUP(C1319,[1]master_data!$A$2:$E$495,5,FALSE)</f>
        <v>Ikan</v>
      </c>
      <c r="L1319" s="1"/>
    </row>
    <row r="1320" spans="1:12" ht="12" customHeight="1" x14ac:dyDescent="0.25">
      <c r="A1320" s="15">
        <v>45117</v>
      </c>
      <c r="B1320" s="16">
        <v>22301183</v>
      </c>
      <c r="C1320" s="16" t="s">
        <v>410</v>
      </c>
      <c r="D1320" s="16" t="str">
        <f>VLOOKUP(C1320,[1]master_data!$A$2:$E$495,2,FALSE)</f>
        <v>HIU TAWAR</v>
      </c>
      <c r="E1320" s="16">
        <v>30</v>
      </c>
      <c r="F1320" s="16">
        <f>VLOOKUP(C1320,[1]master_data!$A$2:$E$495,3,FALSE)</f>
        <v>600</v>
      </c>
      <c r="G1320" s="16">
        <f>VLOOKUP(C1320,[1]master_data!$A$2:$E$495,4,FALSE)</f>
        <v>2000</v>
      </c>
      <c r="H1320" s="16">
        <f>E1320*F1320</f>
        <v>18000</v>
      </c>
      <c r="I1320" s="16">
        <f>E1320*G1320</f>
        <v>60000</v>
      </c>
      <c r="J1320" s="16">
        <f>I1320-H1320</f>
        <v>42000</v>
      </c>
      <c r="K1320" s="16" t="str">
        <f>VLOOKUP(C1320,[1]master_data!$A$2:$E$495,5,FALSE)</f>
        <v>Ikan</v>
      </c>
      <c r="L1320" s="1"/>
    </row>
    <row r="1321" spans="1:12" ht="12" customHeight="1" x14ac:dyDescent="0.25">
      <c r="A1321" s="15">
        <v>45117</v>
      </c>
      <c r="B1321" s="16">
        <v>22301184</v>
      </c>
      <c r="C1321" s="16" t="s">
        <v>390</v>
      </c>
      <c r="D1321" s="16" t="str">
        <f>VLOOKUP(C1321,[1]master_data!$A$2:$E$495,2,FALSE)</f>
        <v>CHANNA ASIATICA B</v>
      </c>
      <c r="E1321" s="16">
        <v>5</v>
      </c>
      <c r="F1321" s="16">
        <f>VLOOKUP(C1321,[1]master_data!$A$2:$E$495,3,FALSE)</f>
        <v>40000</v>
      </c>
      <c r="G1321" s="16">
        <f>VLOOKUP(C1321,[1]master_data!$A$2:$E$495,4,FALSE)</f>
        <v>100000</v>
      </c>
      <c r="H1321" s="16">
        <f>E1321*F1321</f>
        <v>200000</v>
      </c>
      <c r="I1321" s="16">
        <f>E1321*G1321</f>
        <v>500000</v>
      </c>
      <c r="J1321" s="16">
        <f>I1321-H1321</f>
        <v>300000</v>
      </c>
      <c r="K1321" s="16" t="str">
        <f>VLOOKUP(C1321,[1]master_data!$A$2:$E$495,5,FALSE)</f>
        <v>Ikan</v>
      </c>
      <c r="L1321" s="1"/>
    </row>
    <row r="1322" spans="1:12" ht="12" customHeight="1" x14ac:dyDescent="0.25">
      <c r="A1322" s="15">
        <v>45117</v>
      </c>
      <c r="B1322" s="16">
        <v>22301185</v>
      </c>
      <c r="C1322" s="16" t="s">
        <v>405</v>
      </c>
      <c r="D1322" s="16" t="str">
        <f>VLOOKUP(C1322,[1]master_data!$A$2:$E$495,2,FALSE)</f>
        <v>CUPANG</v>
      </c>
      <c r="E1322" s="16">
        <v>8</v>
      </c>
      <c r="F1322" s="16">
        <f>VLOOKUP(C1322,[1]master_data!$A$2:$E$495,3,FALSE)</f>
        <v>2000</v>
      </c>
      <c r="G1322" s="16">
        <f>VLOOKUP(C1322,[1]master_data!$A$2:$E$495,4,FALSE)</f>
        <v>5000</v>
      </c>
      <c r="H1322" s="16">
        <f>E1322*F1322</f>
        <v>16000</v>
      </c>
      <c r="I1322" s="16">
        <f>E1322*G1322</f>
        <v>40000</v>
      </c>
      <c r="J1322" s="16">
        <f>I1322-H1322</f>
        <v>24000</v>
      </c>
      <c r="K1322" s="16" t="str">
        <f>VLOOKUP(C1322,[1]master_data!$A$2:$E$495,5,FALSE)</f>
        <v>Ikan</v>
      </c>
      <c r="L1322" s="1"/>
    </row>
    <row r="1323" spans="1:12" ht="12" customHeight="1" x14ac:dyDescent="0.25">
      <c r="A1323" s="15">
        <v>45117</v>
      </c>
      <c r="B1323" s="16">
        <v>22301186</v>
      </c>
      <c r="C1323" s="16" t="s">
        <v>405</v>
      </c>
      <c r="D1323" s="16" t="str">
        <f>VLOOKUP(C1323,[1]master_data!$A$2:$E$495,2,FALSE)</f>
        <v>CUPANG</v>
      </c>
      <c r="E1323" s="16">
        <v>1</v>
      </c>
      <c r="F1323" s="16">
        <f>VLOOKUP(C1323,[1]master_data!$A$2:$E$495,3,FALSE)</f>
        <v>2000</v>
      </c>
      <c r="G1323" s="16">
        <f>VLOOKUP(C1323,[1]master_data!$A$2:$E$495,4,FALSE)</f>
        <v>5000</v>
      </c>
      <c r="H1323" s="16">
        <f>E1323*F1323</f>
        <v>2000</v>
      </c>
      <c r="I1323" s="16">
        <f>E1323*G1323</f>
        <v>5000</v>
      </c>
      <c r="J1323" s="16">
        <f>I1323-H1323</f>
        <v>3000</v>
      </c>
      <c r="K1323" s="16" t="str">
        <f>VLOOKUP(C1323,[1]master_data!$A$2:$E$495,5,FALSE)</f>
        <v>Ikan</v>
      </c>
      <c r="L1323" s="1"/>
    </row>
    <row r="1324" spans="1:12" ht="12" customHeight="1" x14ac:dyDescent="0.25">
      <c r="A1324" s="15">
        <v>45116</v>
      </c>
      <c r="B1324" s="16">
        <v>22301171</v>
      </c>
      <c r="C1324" s="16" t="s">
        <v>427</v>
      </c>
      <c r="D1324" s="16" t="str">
        <f>VLOOKUP(C1324,[1]master_data!$A$2:$E$495,2,FALSE)</f>
        <v>LOUHAN SUPER</v>
      </c>
      <c r="E1324" s="16">
        <v>1</v>
      </c>
      <c r="F1324" s="16">
        <f>VLOOKUP(C1324,[1]master_data!$A$2:$E$495,3,FALSE)</f>
        <v>300000</v>
      </c>
      <c r="G1324" s="16">
        <f>VLOOKUP(C1324,[1]master_data!$A$2:$E$495,4,FALSE)</f>
        <v>500000</v>
      </c>
      <c r="H1324" s="16">
        <f>E1324*F1324</f>
        <v>300000</v>
      </c>
      <c r="I1324" s="16">
        <f>E1324*G1324</f>
        <v>500000</v>
      </c>
      <c r="J1324" s="16">
        <f>I1324-H1324</f>
        <v>200000</v>
      </c>
      <c r="K1324" s="16" t="str">
        <f>VLOOKUP(C1324,[1]master_data!$A$2:$E$495,5,FALSE)</f>
        <v>Ikan</v>
      </c>
      <c r="L1324" s="1"/>
    </row>
    <row r="1325" spans="1:12" ht="12" customHeight="1" x14ac:dyDescent="0.25">
      <c r="A1325" s="15">
        <v>45116</v>
      </c>
      <c r="B1325" s="16">
        <v>22301172</v>
      </c>
      <c r="C1325" s="16" t="s">
        <v>225</v>
      </c>
      <c r="D1325" s="16" t="str">
        <f>VLOOKUP(C1325,[1]master_data!$A$2:$E$495,2,FALSE)</f>
        <v>MAGOT BESAR</v>
      </c>
      <c r="E1325" s="16">
        <v>5</v>
      </c>
      <c r="F1325" s="16">
        <f>VLOOKUP(C1325,[1]master_data!$A$2:$E$495,3,FALSE)</f>
        <v>7000</v>
      </c>
      <c r="G1325" s="16">
        <f>VLOOKUP(C1325,[1]master_data!$A$2:$E$495,4,FALSE)</f>
        <v>12000</v>
      </c>
      <c r="H1325" s="16">
        <f>E1325*F1325</f>
        <v>35000</v>
      </c>
      <c r="I1325" s="16">
        <f>E1325*G1325</f>
        <v>60000</v>
      </c>
      <c r="J1325" s="16">
        <f>I1325-H1325</f>
        <v>25000</v>
      </c>
      <c r="K1325" s="16" t="str">
        <f>VLOOKUP(C1325,[1]master_data!$A$2:$E$495,5,FALSE)</f>
        <v>Aksesoris</v>
      </c>
      <c r="L1325" s="1"/>
    </row>
    <row r="1326" spans="1:12" ht="12" customHeight="1" x14ac:dyDescent="0.25">
      <c r="A1326" s="15">
        <v>45116</v>
      </c>
      <c r="B1326" s="16">
        <v>22301173</v>
      </c>
      <c r="C1326" s="16" t="s">
        <v>407</v>
      </c>
      <c r="D1326" s="16" t="str">
        <f>VLOOKUP(C1326,[1]master_data!$A$2:$E$495,2,FALSE)</f>
        <v>GOLD FISH</v>
      </c>
      <c r="E1326" s="16">
        <v>20</v>
      </c>
      <c r="F1326" s="16">
        <f>VLOOKUP(C1326,[1]master_data!$A$2:$E$495,3,FALSE)</f>
        <v>800</v>
      </c>
      <c r="G1326" s="16">
        <f>VLOOKUP(C1326,[1]master_data!$A$2:$E$495,4,FALSE)</f>
        <v>2000</v>
      </c>
      <c r="H1326" s="16">
        <f>E1326*F1326</f>
        <v>16000</v>
      </c>
      <c r="I1326" s="16">
        <f>E1326*G1326</f>
        <v>40000</v>
      </c>
      <c r="J1326" s="16">
        <f>I1326-H1326</f>
        <v>24000</v>
      </c>
      <c r="K1326" s="16" t="str">
        <f>VLOOKUP(C1326,[1]master_data!$A$2:$E$495,5,FALSE)</f>
        <v>Ikan</v>
      </c>
      <c r="L1326" s="1"/>
    </row>
    <row r="1327" spans="1:12" ht="12" customHeight="1" x14ac:dyDescent="0.25">
      <c r="A1327" s="15">
        <v>45116</v>
      </c>
      <c r="B1327" s="16">
        <v>22301174</v>
      </c>
      <c r="C1327" s="16" t="s">
        <v>197</v>
      </c>
      <c r="D1327" s="16" t="str">
        <f>VLOOKUP(C1327,[1]master_data!$A$2:$E$495,2,FALSE)</f>
        <v>AKARI LOUHAN BOTOL</v>
      </c>
      <c r="E1327" s="16">
        <v>1</v>
      </c>
      <c r="F1327" s="16">
        <f>VLOOKUP(C1327,[1]master_data!$A$2:$E$495,3,FALSE)</f>
        <v>12000</v>
      </c>
      <c r="G1327" s="16">
        <f>VLOOKUP(C1327,[1]master_data!$A$2:$E$495,4,FALSE)</f>
        <v>20000</v>
      </c>
      <c r="H1327" s="16">
        <f>E1327*F1327</f>
        <v>12000</v>
      </c>
      <c r="I1327" s="16">
        <f>E1327*G1327</f>
        <v>20000</v>
      </c>
      <c r="J1327" s="16">
        <f>I1327-H1327</f>
        <v>8000</v>
      </c>
      <c r="K1327" s="16" t="str">
        <f>VLOOKUP(C1327,[1]master_data!$A$2:$E$495,5,FALSE)</f>
        <v>Aksesoris</v>
      </c>
      <c r="L1327" s="1"/>
    </row>
    <row r="1328" spans="1:12" ht="12" customHeight="1" x14ac:dyDescent="0.25">
      <c r="A1328" s="15">
        <v>45116</v>
      </c>
      <c r="B1328" s="16">
        <v>22301175</v>
      </c>
      <c r="C1328" s="16" t="s">
        <v>461</v>
      </c>
      <c r="D1328" s="16" t="str">
        <f>VLOOKUP(C1328,[1]master_data!$A$2:$E$495,2,FALSE)</f>
        <v>CHANNA STEWARTI</v>
      </c>
      <c r="E1328" s="16">
        <v>2</v>
      </c>
      <c r="F1328" s="16">
        <f>VLOOKUP(C1328,[1]master_data!$A$2:$E$495,3,FALSE)</f>
        <v>15000</v>
      </c>
      <c r="G1328" s="16">
        <f>VLOOKUP(C1328,[1]master_data!$A$2:$E$495,4,FALSE)</f>
        <v>40000</v>
      </c>
      <c r="H1328" s="16">
        <f>E1328*F1328</f>
        <v>30000</v>
      </c>
      <c r="I1328" s="16">
        <f>E1328*G1328</f>
        <v>80000</v>
      </c>
      <c r="J1328" s="16">
        <f>I1328-H1328</f>
        <v>50000</v>
      </c>
      <c r="K1328" s="16" t="str">
        <f>VLOOKUP(C1328,[1]master_data!$A$2:$E$495,5,FALSE)</f>
        <v>Ikan</v>
      </c>
      <c r="L1328" s="1"/>
    </row>
    <row r="1329" spans="1:12" ht="12" customHeight="1" x14ac:dyDescent="0.25">
      <c r="A1329" s="15">
        <v>45116</v>
      </c>
      <c r="B1329" s="16">
        <v>22301176</v>
      </c>
      <c r="C1329" s="16" t="s">
        <v>393</v>
      </c>
      <c r="D1329" s="16" t="str">
        <f>VLOOKUP(C1329,[1]master_data!$A$2:$E$495,2,FALSE)</f>
        <v>ARWANA SILVER B</v>
      </c>
      <c r="E1329" s="16">
        <v>1</v>
      </c>
      <c r="F1329" s="16">
        <f>VLOOKUP(C1329,[1]master_data!$A$2:$E$495,3,FALSE)</f>
        <v>300000</v>
      </c>
      <c r="G1329" s="16">
        <f>VLOOKUP(C1329,[1]master_data!$A$2:$E$495,4,FALSE)</f>
        <v>500000</v>
      </c>
      <c r="H1329" s="16">
        <f>E1329*F1329</f>
        <v>300000</v>
      </c>
      <c r="I1329" s="16">
        <f>E1329*G1329</f>
        <v>500000</v>
      </c>
      <c r="J1329" s="16">
        <f>I1329-H1329</f>
        <v>200000</v>
      </c>
      <c r="K1329" s="16" t="str">
        <f>VLOOKUP(C1329,[1]master_data!$A$2:$E$495,5,FALSE)</f>
        <v>Ikan</v>
      </c>
      <c r="L1329" s="1"/>
    </row>
    <row r="1330" spans="1:12" ht="12" customHeight="1" x14ac:dyDescent="0.25">
      <c r="A1330" s="15">
        <v>45116</v>
      </c>
      <c r="B1330" s="16">
        <v>22301177</v>
      </c>
      <c r="C1330" s="16" t="s">
        <v>9</v>
      </c>
      <c r="D1330" s="16" t="str">
        <f>VLOOKUP(C1330,[1]master_data!$A$2:$E$495,2,FALSE)</f>
        <v>TOP FILTER YANG 910</v>
      </c>
      <c r="E1330" s="16">
        <v>1</v>
      </c>
      <c r="F1330" s="16">
        <f>VLOOKUP(C1330,[1]master_data!$A$2:$E$495,3,FALSE)</f>
        <v>41000</v>
      </c>
      <c r="G1330" s="16">
        <f>VLOOKUP(C1330,[1]master_data!$A$2:$E$495,4,FALSE)</f>
        <v>65000</v>
      </c>
      <c r="H1330" s="16">
        <f>E1330*F1330</f>
        <v>41000</v>
      </c>
      <c r="I1330" s="16">
        <f>E1330*G1330</f>
        <v>65000</v>
      </c>
      <c r="J1330" s="16">
        <f>I1330-H1330</f>
        <v>24000</v>
      </c>
      <c r="K1330" s="16" t="str">
        <f>VLOOKUP(C1330,[1]master_data!$A$2:$E$495,5,FALSE)</f>
        <v>Aksesoris</v>
      </c>
      <c r="L1330" s="1"/>
    </row>
    <row r="1331" spans="1:12" ht="12" customHeight="1" x14ac:dyDescent="0.25">
      <c r="A1331" s="15">
        <v>45116</v>
      </c>
      <c r="B1331" s="16">
        <v>22301178</v>
      </c>
      <c r="C1331" s="16" t="s">
        <v>417</v>
      </c>
      <c r="D1331" s="16" t="str">
        <f>VLOOKUP(C1331,[1]master_data!$A$2:$E$495,2,FALSE)</f>
        <v>KURA - KURA</v>
      </c>
      <c r="E1331" s="16">
        <v>1</v>
      </c>
      <c r="F1331" s="16">
        <f>VLOOKUP(C1331,[1]master_data!$A$2:$E$495,3,FALSE)</f>
        <v>25000</v>
      </c>
      <c r="G1331" s="16">
        <f>VLOOKUP(C1331,[1]master_data!$A$2:$E$495,4,FALSE)</f>
        <v>35000</v>
      </c>
      <c r="H1331" s="16">
        <f>E1331*F1331</f>
        <v>25000</v>
      </c>
      <c r="I1331" s="16">
        <f>E1331*G1331</f>
        <v>35000</v>
      </c>
      <c r="J1331" s="16">
        <f>I1331-H1331</f>
        <v>10000</v>
      </c>
      <c r="K1331" s="16" t="str">
        <f>VLOOKUP(C1331,[1]master_data!$A$2:$E$495,5,FALSE)</f>
        <v>Ikan</v>
      </c>
      <c r="L1331" s="1"/>
    </row>
    <row r="1332" spans="1:12" ht="12" customHeight="1" x14ac:dyDescent="0.25">
      <c r="A1332" s="15">
        <v>45116</v>
      </c>
      <c r="B1332" s="16">
        <v>22301179</v>
      </c>
      <c r="C1332" s="16" t="s">
        <v>455</v>
      </c>
      <c r="D1332" s="16" t="str">
        <f>VLOOKUP(C1332,[1]master_data!$A$2:$E$495,2,FALSE)</f>
        <v>ZEBRA PINK</v>
      </c>
      <c r="E1332" s="16">
        <v>10</v>
      </c>
      <c r="F1332" s="16">
        <f>VLOOKUP(C1332,[1]master_data!$A$2:$E$495,3,FALSE)</f>
        <v>800</v>
      </c>
      <c r="G1332" s="16">
        <f>VLOOKUP(C1332,[1]master_data!$A$2:$E$495,4,FALSE)</f>
        <v>2000</v>
      </c>
      <c r="H1332" s="16">
        <f>E1332*F1332</f>
        <v>8000</v>
      </c>
      <c r="I1332" s="16">
        <f>E1332*G1332</f>
        <v>20000</v>
      </c>
      <c r="J1332" s="16">
        <f>I1332-H1332</f>
        <v>12000</v>
      </c>
      <c r="K1332" s="16" t="str">
        <f>VLOOKUP(C1332,[1]master_data!$A$2:$E$495,5,FALSE)</f>
        <v>Ikan</v>
      </c>
      <c r="L1332" s="1"/>
    </row>
    <row r="1333" spans="1:12" ht="12" customHeight="1" x14ac:dyDescent="0.25">
      <c r="A1333" s="15">
        <v>45116</v>
      </c>
      <c r="B1333" s="16">
        <v>22301180</v>
      </c>
      <c r="C1333" s="16" t="s">
        <v>438</v>
      </c>
      <c r="D1333" s="16" t="str">
        <f>VLOOKUP(C1333,[1]master_data!$A$2:$E$495,2,FALSE)</f>
        <v>OSCAR</v>
      </c>
      <c r="E1333" s="16">
        <v>1</v>
      </c>
      <c r="F1333" s="16">
        <f>VLOOKUP(C1333,[1]master_data!$A$2:$E$495,3,FALSE)</f>
        <v>25000</v>
      </c>
      <c r="G1333" s="16">
        <f>VLOOKUP(C1333,[1]master_data!$A$2:$E$495,4,FALSE)</f>
        <v>50000</v>
      </c>
      <c r="H1333" s="16">
        <f>E1333*F1333</f>
        <v>25000</v>
      </c>
      <c r="I1333" s="16">
        <f>E1333*G1333</f>
        <v>50000</v>
      </c>
      <c r="J1333" s="16">
        <f>I1333-H1333</f>
        <v>25000</v>
      </c>
      <c r="K1333" s="16" t="str">
        <f>VLOOKUP(C1333,[1]master_data!$A$2:$E$495,5,FALSE)</f>
        <v>Ikan</v>
      </c>
      <c r="L1333" s="1"/>
    </row>
    <row r="1334" spans="1:12" ht="12" customHeight="1" x14ac:dyDescent="0.25">
      <c r="A1334" s="15">
        <v>45115</v>
      </c>
      <c r="B1334" s="16">
        <v>22301162</v>
      </c>
      <c r="C1334" s="16" t="s">
        <v>397</v>
      </c>
      <c r="D1334" s="16" t="str">
        <f>VLOOKUP(C1334,[1]master_data!$A$2:$E$495,2,FALSE)</f>
        <v>BUENOS AIRES TETRA</v>
      </c>
      <c r="E1334" s="16">
        <v>30</v>
      </c>
      <c r="F1334" s="16">
        <f>VLOOKUP(C1334,[1]master_data!$A$2:$E$495,3,FALSE)</f>
        <v>800</v>
      </c>
      <c r="G1334" s="16">
        <f>VLOOKUP(C1334,[1]master_data!$A$2:$E$495,4,FALSE)</f>
        <v>2000</v>
      </c>
      <c r="H1334" s="16">
        <f>E1334*F1334</f>
        <v>24000</v>
      </c>
      <c r="I1334" s="16">
        <f>E1334*G1334</f>
        <v>60000</v>
      </c>
      <c r="J1334" s="16">
        <f>I1334-H1334</f>
        <v>36000</v>
      </c>
      <c r="K1334" s="16" t="str">
        <f>VLOOKUP(C1334,[1]master_data!$A$2:$E$495,5,FALSE)</f>
        <v>Ikan</v>
      </c>
      <c r="L1334" s="1"/>
    </row>
    <row r="1335" spans="1:12" ht="12" customHeight="1" x14ac:dyDescent="0.25">
      <c r="A1335" s="15">
        <v>45115</v>
      </c>
      <c r="B1335" s="16">
        <v>22301163</v>
      </c>
      <c r="C1335" s="16" t="s">
        <v>418</v>
      </c>
      <c r="D1335" s="16" t="str">
        <f>VLOOKUP(C1335,[1]master_data!$A$2:$E$495,2,FALSE)</f>
        <v>KAVIAT</v>
      </c>
      <c r="E1335" s="16">
        <v>20</v>
      </c>
      <c r="F1335" s="16">
        <f>VLOOKUP(C1335,[1]master_data!$A$2:$E$495,3,FALSE)</f>
        <v>3500</v>
      </c>
      <c r="G1335" s="16">
        <f>VLOOKUP(C1335,[1]master_data!$A$2:$E$495,4,FALSE)</f>
        <v>8000</v>
      </c>
      <c r="H1335" s="16">
        <f>E1335*F1335</f>
        <v>70000</v>
      </c>
      <c r="I1335" s="16">
        <f>E1335*G1335</f>
        <v>160000</v>
      </c>
      <c r="J1335" s="16">
        <f>I1335-H1335</f>
        <v>90000</v>
      </c>
      <c r="K1335" s="16" t="str">
        <f>VLOOKUP(C1335,[1]master_data!$A$2:$E$495,5,FALSE)</f>
        <v>Ikan</v>
      </c>
      <c r="L1335" s="1"/>
    </row>
    <row r="1336" spans="1:12" ht="12" customHeight="1" x14ac:dyDescent="0.25">
      <c r="A1336" s="15">
        <v>45115</v>
      </c>
      <c r="B1336" s="16">
        <v>22301164</v>
      </c>
      <c r="C1336" s="16" t="s">
        <v>216</v>
      </c>
      <c r="D1336" s="16" t="str">
        <f>VLOOKUP(C1336,[1]master_data!$A$2:$E$495,2,FALSE)</f>
        <v>TAKARI BESAR</v>
      </c>
      <c r="E1336" s="16">
        <v>2</v>
      </c>
      <c r="F1336" s="16">
        <f>VLOOKUP(C1336,[1]master_data!$A$2:$E$495,3,FALSE)</f>
        <v>17000</v>
      </c>
      <c r="G1336" s="16">
        <f>VLOOKUP(C1336,[1]master_data!$A$2:$E$495,4,FALSE)</f>
        <v>20000</v>
      </c>
      <c r="H1336" s="16">
        <f>E1336*F1336</f>
        <v>34000</v>
      </c>
      <c r="I1336" s="16">
        <f>E1336*G1336</f>
        <v>40000</v>
      </c>
      <c r="J1336" s="16">
        <f>I1336-H1336</f>
        <v>6000</v>
      </c>
      <c r="K1336" s="16" t="str">
        <f>VLOOKUP(C1336,[1]master_data!$A$2:$E$495,5,FALSE)</f>
        <v>Aksesoris</v>
      </c>
      <c r="L1336" s="1"/>
    </row>
    <row r="1337" spans="1:12" ht="12" customHeight="1" x14ac:dyDescent="0.25">
      <c r="A1337" s="15">
        <v>45115</v>
      </c>
      <c r="B1337" s="16">
        <v>22301165</v>
      </c>
      <c r="C1337" s="16" t="s">
        <v>183</v>
      </c>
      <c r="D1337" s="16" t="str">
        <f>VLOOKUP(C1337,[1]master_data!$A$2:$E$495,2,FALSE)</f>
        <v>LED HIRO 20 CM</v>
      </c>
      <c r="E1337" s="16">
        <v>2</v>
      </c>
      <c r="F1337" s="16">
        <f>VLOOKUP(C1337,[1]master_data!$A$2:$E$495,3,FALSE)</f>
        <v>17000</v>
      </c>
      <c r="G1337" s="16">
        <f>VLOOKUP(C1337,[1]master_data!$A$2:$E$495,4,FALSE)</f>
        <v>25000</v>
      </c>
      <c r="H1337" s="16">
        <f>E1337*F1337</f>
        <v>34000</v>
      </c>
      <c r="I1337" s="16">
        <f>E1337*G1337</f>
        <v>50000</v>
      </c>
      <c r="J1337" s="16">
        <f>I1337-H1337</f>
        <v>16000</v>
      </c>
      <c r="K1337" s="16" t="str">
        <f>VLOOKUP(C1337,[1]master_data!$A$2:$E$495,5,FALSE)</f>
        <v>Aksesoris</v>
      </c>
      <c r="L1337" s="1"/>
    </row>
    <row r="1338" spans="1:12" ht="12" customHeight="1" x14ac:dyDescent="0.25">
      <c r="A1338" s="15">
        <v>45115</v>
      </c>
      <c r="B1338" s="16">
        <v>22301166</v>
      </c>
      <c r="C1338" s="16" t="s">
        <v>410</v>
      </c>
      <c r="D1338" s="16" t="str">
        <f>VLOOKUP(C1338,[1]master_data!$A$2:$E$495,2,FALSE)</f>
        <v>HIU TAWAR</v>
      </c>
      <c r="E1338" s="16">
        <v>20</v>
      </c>
      <c r="F1338" s="16">
        <f>VLOOKUP(C1338,[1]master_data!$A$2:$E$495,3,FALSE)</f>
        <v>600</v>
      </c>
      <c r="G1338" s="16">
        <f>VLOOKUP(C1338,[1]master_data!$A$2:$E$495,4,FALSE)</f>
        <v>2000</v>
      </c>
      <c r="H1338" s="16">
        <f>E1338*F1338</f>
        <v>12000</v>
      </c>
      <c r="I1338" s="16">
        <f>E1338*G1338</f>
        <v>40000</v>
      </c>
      <c r="J1338" s="16">
        <f>I1338-H1338</f>
        <v>28000</v>
      </c>
      <c r="K1338" s="16" t="str">
        <f>VLOOKUP(C1338,[1]master_data!$A$2:$E$495,5,FALSE)</f>
        <v>Ikan</v>
      </c>
      <c r="L1338" s="1"/>
    </row>
    <row r="1339" spans="1:12" ht="12" customHeight="1" x14ac:dyDescent="0.25">
      <c r="A1339" s="15">
        <v>45115</v>
      </c>
      <c r="B1339" s="16">
        <v>22301167</v>
      </c>
      <c r="C1339" s="16" t="s">
        <v>411</v>
      </c>
      <c r="D1339" s="16" t="str">
        <f>VLOOKUP(C1339,[1]master_data!$A$2:$E$495,2,FALSE)</f>
        <v>KOKI K</v>
      </c>
      <c r="E1339" s="16">
        <v>30</v>
      </c>
      <c r="F1339" s="16">
        <f>VLOOKUP(C1339,[1]master_data!$A$2:$E$495,3,FALSE)</f>
        <v>3500</v>
      </c>
      <c r="G1339" s="16">
        <f>VLOOKUP(C1339,[1]master_data!$A$2:$E$495,4,FALSE)</f>
        <v>10000</v>
      </c>
      <c r="H1339" s="16">
        <f>E1339*F1339</f>
        <v>105000</v>
      </c>
      <c r="I1339" s="16">
        <f>E1339*G1339</f>
        <v>300000</v>
      </c>
      <c r="J1339" s="16">
        <f>I1339-H1339</f>
        <v>195000</v>
      </c>
      <c r="K1339" s="16" t="str">
        <f>VLOOKUP(C1339,[1]master_data!$A$2:$E$495,5,FALSE)</f>
        <v>Ikan</v>
      </c>
      <c r="L1339" s="1"/>
    </row>
    <row r="1340" spans="1:12" ht="12" customHeight="1" x14ac:dyDescent="0.25">
      <c r="A1340" s="15">
        <v>45115</v>
      </c>
      <c r="B1340" s="16">
        <v>22301168</v>
      </c>
      <c r="C1340" s="16" t="s">
        <v>431</v>
      </c>
      <c r="D1340" s="16" t="str">
        <f>VLOOKUP(C1340,[1]master_data!$A$2:$E$495,2,FALSE)</f>
        <v>MARU B</v>
      </c>
      <c r="E1340" s="16">
        <v>2</v>
      </c>
      <c r="F1340" s="16">
        <f>VLOOKUP(C1340,[1]master_data!$A$2:$E$495,3,FALSE)</f>
        <v>90000</v>
      </c>
      <c r="G1340" s="16">
        <f>VLOOKUP(C1340,[1]master_data!$A$2:$E$495,4,FALSE)</f>
        <v>150000</v>
      </c>
      <c r="H1340" s="16">
        <f>E1340*F1340</f>
        <v>180000</v>
      </c>
      <c r="I1340" s="16">
        <f>E1340*G1340</f>
        <v>300000</v>
      </c>
      <c r="J1340" s="16">
        <f>I1340-H1340</f>
        <v>120000</v>
      </c>
      <c r="K1340" s="16" t="str">
        <f>VLOOKUP(C1340,[1]master_data!$A$2:$E$495,5,FALSE)</f>
        <v>Ikan</v>
      </c>
      <c r="L1340" s="1"/>
    </row>
    <row r="1341" spans="1:12" ht="12" customHeight="1" x14ac:dyDescent="0.25">
      <c r="A1341" s="15">
        <v>45115</v>
      </c>
      <c r="B1341" s="16">
        <v>22301169</v>
      </c>
      <c r="C1341" s="16" t="s">
        <v>447</v>
      </c>
      <c r="D1341" s="16" t="str">
        <f>VLOOKUP(C1341,[1]master_data!$A$2:$E$495,2,FALSE)</f>
        <v>CHANNA RED BARITO B</v>
      </c>
      <c r="E1341" s="16">
        <v>1</v>
      </c>
      <c r="F1341" s="16">
        <f>VLOOKUP(C1341,[1]master_data!$A$2:$E$495,3,FALSE)</f>
        <v>120000</v>
      </c>
      <c r="G1341" s="16">
        <f>VLOOKUP(C1341,[1]master_data!$A$2:$E$495,4,FALSE)</f>
        <v>200000</v>
      </c>
      <c r="H1341" s="16">
        <f>E1341*F1341</f>
        <v>120000</v>
      </c>
      <c r="I1341" s="16">
        <f>E1341*G1341</f>
        <v>200000</v>
      </c>
      <c r="J1341" s="16">
        <f>I1341-H1341</f>
        <v>80000</v>
      </c>
      <c r="K1341" s="16" t="str">
        <f>VLOOKUP(C1341,[1]master_data!$A$2:$E$495,5,FALSE)</f>
        <v>Ikan</v>
      </c>
      <c r="L1341" s="1"/>
    </row>
    <row r="1342" spans="1:12" ht="12" customHeight="1" x14ac:dyDescent="0.25">
      <c r="A1342" s="15">
        <v>45115</v>
      </c>
      <c r="B1342" s="16">
        <v>22301170</v>
      </c>
      <c r="C1342" s="16" t="s">
        <v>9</v>
      </c>
      <c r="D1342" s="16" t="str">
        <f>VLOOKUP(C1342,[1]master_data!$A$2:$E$495,2,FALSE)</f>
        <v>TOP FILTER YANG 910</v>
      </c>
      <c r="E1342" s="16">
        <v>1</v>
      </c>
      <c r="F1342" s="16">
        <f>VLOOKUP(C1342,[1]master_data!$A$2:$E$495,3,FALSE)</f>
        <v>41000</v>
      </c>
      <c r="G1342" s="16">
        <f>VLOOKUP(C1342,[1]master_data!$A$2:$E$495,4,FALSE)</f>
        <v>65000</v>
      </c>
      <c r="H1342" s="16">
        <f>E1342*F1342</f>
        <v>41000</v>
      </c>
      <c r="I1342" s="16">
        <f>E1342*G1342</f>
        <v>65000</v>
      </c>
      <c r="J1342" s="16">
        <f>I1342-H1342</f>
        <v>24000</v>
      </c>
      <c r="K1342" s="16" t="str">
        <f>VLOOKUP(C1342,[1]master_data!$A$2:$E$495,5,FALSE)</f>
        <v>Aksesoris</v>
      </c>
      <c r="L1342" s="1"/>
    </row>
    <row r="1343" spans="1:12" ht="12" customHeight="1" x14ac:dyDescent="0.25">
      <c r="A1343" s="15">
        <v>45114</v>
      </c>
      <c r="B1343" s="16">
        <v>22301150</v>
      </c>
      <c r="C1343" s="16" t="s">
        <v>429</v>
      </c>
      <c r="D1343" s="16" t="str">
        <f>VLOOKUP(C1343,[1]master_data!$A$2:$E$495,2,FALSE)</f>
        <v>MANFISH B</v>
      </c>
      <c r="E1343" s="16">
        <v>10</v>
      </c>
      <c r="F1343" s="16">
        <f>VLOOKUP(C1343,[1]master_data!$A$2:$E$495,3,FALSE)</f>
        <v>4000</v>
      </c>
      <c r="G1343" s="16">
        <f>VLOOKUP(C1343,[1]master_data!$A$2:$E$495,4,FALSE)</f>
        <v>10000</v>
      </c>
      <c r="H1343" s="16">
        <f>E1343*F1343</f>
        <v>40000</v>
      </c>
      <c r="I1343" s="16">
        <f>E1343*G1343</f>
        <v>100000</v>
      </c>
      <c r="J1343" s="16">
        <f>I1343-H1343</f>
        <v>60000</v>
      </c>
      <c r="K1343" s="16" t="str">
        <f>VLOOKUP(C1343,[1]master_data!$A$2:$E$495,5,FALSE)</f>
        <v>Ikan</v>
      </c>
      <c r="L1343" s="1"/>
    </row>
    <row r="1344" spans="1:12" ht="12" customHeight="1" x14ac:dyDescent="0.25">
      <c r="A1344" s="15">
        <v>45114</v>
      </c>
      <c r="B1344" s="16">
        <v>22301151</v>
      </c>
      <c r="C1344" s="16" t="s">
        <v>421</v>
      </c>
      <c r="D1344" s="16" t="str">
        <f>VLOOKUP(C1344,[1]master_data!$A$2:$E$495,2,FALSE)</f>
        <v>KOI SLAYER K</v>
      </c>
      <c r="E1344" s="16">
        <v>25</v>
      </c>
      <c r="F1344" s="16">
        <f>VLOOKUP(C1344,[1]master_data!$A$2:$E$495,3,FALSE)</f>
        <v>3500</v>
      </c>
      <c r="G1344" s="16">
        <f>VLOOKUP(C1344,[1]master_data!$A$2:$E$495,4,FALSE)</f>
        <v>10000</v>
      </c>
      <c r="H1344" s="16">
        <f>E1344*F1344</f>
        <v>87500</v>
      </c>
      <c r="I1344" s="16">
        <f>E1344*G1344</f>
        <v>250000</v>
      </c>
      <c r="J1344" s="16">
        <f>I1344-H1344</f>
        <v>162500</v>
      </c>
      <c r="K1344" s="16" t="str">
        <f>VLOOKUP(C1344,[1]master_data!$A$2:$E$495,5,FALSE)</f>
        <v>Ikan</v>
      </c>
      <c r="L1344" s="1"/>
    </row>
    <row r="1345" spans="1:12" ht="12" customHeight="1" x14ac:dyDescent="0.25">
      <c r="A1345" s="15">
        <v>45114</v>
      </c>
      <c r="B1345" s="16">
        <v>22301152</v>
      </c>
      <c r="C1345" s="16" t="s">
        <v>417</v>
      </c>
      <c r="D1345" s="16" t="str">
        <f>VLOOKUP(C1345,[1]master_data!$A$2:$E$495,2,FALSE)</f>
        <v>KURA - KURA</v>
      </c>
      <c r="E1345" s="16">
        <v>1</v>
      </c>
      <c r="F1345" s="16">
        <f>VLOOKUP(C1345,[1]master_data!$A$2:$E$495,3,FALSE)</f>
        <v>25000</v>
      </c>
      <c r="G1345" s="16">
        <f>VLOOKUP(C1345,[1]master_data!$A$2:$E$495,4,FALSE)</f>
        <v>35000</v>
      </c>
      <c r="H1345" s="16">
        <f>E1345*F1345</f>
        <v>25000</v>
      </c>
      <c r="I1345" s="16">
        <f>E1345*G1345</f>
        <v>35000</v>
      </c>
      <c r="J1345" s="16">
        <f>I1345-H1345</f>
        <v>10000</v>
      </c>
      <c r="K1345" s="16" t="str">
        <f>VLOOKUP(C1345,[1]master_data!$A$2:$E$495,5,FALSE)</f>
        <v>Ikan</v>
      </c>
      <c r="L1345" s="1"/>
    </row>
    <row r="1346" spans="1:12" ht="12" customHeight="1" x14ac:dyDescent="0.25">
      <c r="A1346" s="15">
        <v>45114</v>
      </c>
      <c r="B1346" s="16">
        <v>22301153</v>
      </c>
      <c r="C1346" s="16" t="s">
        <v>455</v>
      </c>
      <c r="D1346" s="16" t="str">
        <f>VLOOKUP(C1346,[1]master_data!$A$2:$E$495,2,FALSE)</f>
        <v>ZEBRA PINK</v>
      </c>
      <c r="E1346" s="16">
        <v>60</v>
      </c>
      <c r="F1346" s="16">
        <f>VLOOKUP(C1346,[1]master_data!$A$2:$E$495,3,FALSE)</f>
        <v>800</v>
      </c>
      <c r="G1346" s="16">
        <f>VLOOKUP(C1346,[1]master_data!$A$2:$E$495,4,FALSE)</f>
        <v>2000</v>
      </c>
      <c r="H1346" s="16">
        <f>E1346*F1346</f>
        <v>48000</v>
      </c>
      <c r="I1346" s="16">
        <f>E1346*G1346</f>
        <v>120000</v>
      </c>
      <c r="J1346" s="16">
        <f>I1346-H1346</f>
        <v>72000</v>
      </c>
      <c r="K1346" s="16" t="str">
        <f>VLOOKUP(C1346,[1]master_data!$A$2:$E$495,5,FALSE)</f>
        <v>Ikan</v>
      </c>
      <c r="L1346" s="1"/>
    </row>
    <row r="1347" spans="1:12" ht="12" customHeight="1" x14ac:dyDescent="0.25">
      <c r="A1347" s="15">
        <v>45114</v>
      </c>
      <c r="B1347" s="16">
        <v>22301154</v>
      </c>
      <c r="C1347" s="16" t="s">
        <v>440</v>
      </c>
      <c r="D1347" s="16" t="str">
        <f>VLOOKUP(C1347,[1]master_data!$A$2:$E$495,2,FALSE)</f>
        <v>PEMBERSIH KACA ALBINO</v>
      </c>
      <c r="E1347" s="16">
        <v>20</v>
      </c>
      <c r="F1347" s="16">
        <f>VLOOKUP(C1347,[1]master_data!$A$2:$E$495,3,FALSE)</f>
        <v>2500</v>
      </c>
      <c r="G1347" s="16">
        <f>VLOOKUP(C1347,[1]master_data!$A$2:$E$495,4,FALSE)</f>
        <v>5000</v>
      </c>
      <c r="H1347" s="16">
        <f>E1347*F1347</f>
        <v>50000</v>
      </c>
      <c r="I1347" s="16">
        <f>E1347*G1347</f>
        <v>100000</v>
      </c>
      <c r="J1347" s="16">
        <f>I1347-H1347</f>
        <v>50000</v>
      </c>
      <c r="K1347" s="16" t="str">
        <f>VLOOKUP(C1347,[1]master_data!$A$2:$E$495,5,FALSE)</f>
        <v>Ikan</v>
      </c>
      <c r="L1347" s="1"/>
    </row>
    <row r="1348" spans="1:12" ht="12" customHeight="1" x14ac:dyDescent="0.25">
      <c r="A1348" s="15">
        <v>45114</v>
      </c>
      <c r="B1348" s="16">
        <v>22301155</v>
      </c>
      <c r="C1348" s="16" t="s">
        <v>398</v>
      </c>
      <c r="D1348" s="16" t="str">
        <f>VLOOKUP(C1348,[1]master_data!$A$2:$E$495,2,FALSE)</f>
        <v>BALA BALA K</v>
      </c>
      <c r="E1348" s="16">
        <v>10</v>
      </c>
      <c r="F1348" s="16">
        <f>VLOOKUP(C1348,[1]master_data!$A$2:$E$495,3,FALSE)</f>
        <v>4000</v>
      </c>
      <c r="G1348" s="16">
        <f>VLOOKUP(C1348,[1]master_data!$A$2:$E$495,4,FALSE)</f>
        <v>8000</v>
      </c>
      <c r="H1348" s="16">
        <f>E1348*F1348</f>
        <v>40000</v>
      </c>
      <c r="I1348" s="16">
        <f>E1348*G1348</f>
        <v>80000</v>
      </c>
      <c r="J1348" s="16">
        <f>I1348-H1348</f>
        <v>40000</v>
      </c>
      <c r="K1348" s="16" t="str">
        <f>VLOOKUP(C1348,[1]master_data!$A$2:$E$495,5,FALSE)</f>
        <v>Ikan</v>
      </c>
      <c r="L1348" s="1"/>
    </row>
    <row r="1349" spans="1:12" ht="12" customHeight="1" x14ac:dyDescent="0.25">
      <c r="A1349" s="15">
        <v>45114</v>
      </c>
      <c r="B1349" s="16">
        <v>22301156</v>
      </c>
      <c r="C1349" s="16" t="s">
        <v>133</v>
      </c>
      <c r="D1349" s="16" t="str">
        <f>VLOOKUP(C1349,[1]master_data!$A$2:$E$495,2,FALSE)</f>
        <v>LED YAMANO P1000</v>
      </c>
      <c r="E1349" s="16">
        <v>2</v>
      </c>
      <c r="F1349" s="16">
        <f>VLOOKUP(C1349,[1]master_data!$A$2:$E$495,3,FALSE)</f>
        <v>100000</v>
      </c>
      <c r="G1349" s="16">
        <f>VLOOKUP(C1349,[1]master_data!$A$2:$E$495,4,FALSE)</f>
        <v>130000</v>
      </c>
      <c r="H1349" s="16">
        <f>E1349*F1349</f>
        <v>200000</v>
      </c>
      <c r="I1349" s="16">
        <f>E1349*G1349</f>
        <v>260000</v>
      </c>
      <c r="J1349" s="16">
        <f>I1349-H1349</f>
        <v>60000</v>
      </c>
      <c r="K1349" s="16" t="str">
        <f>VLOOKUP(C1349,[1]master_data!$A$2:$E$495,5,FALSE)</f>
        <v>Aksesoris</v>
      </c>
      <c r="L1349" s="1"/>
    </row>
    <row r="1350" spans="1:12" ht="12" customHeight="1" x14ac:dyDescent="0.25">
      <c r="A1350" s="15">
        <v>45114</v>
      </c>
      <c r="B1350" s="16">
        <v>22301157</v>
      </c>
      <c r="C1350" s="16" t="s">
        <v>151</v>
      </c>
      <c r="D1350" s="16" t="str">
        <f>VLOOKUP(C1350,[1]master_data!$A$2:$E$495,2,FALSE)</f>
        <v>LED KANDILA 2 BRS 100 CM</v>
      </c>
      <c r="E1350" s="16">
        <v>2</v>
      </c>
      <c r="F1350" s="16">
        <f>VLOOKUP(C1350,[1]master_data!$A$2:$E$495,3,FALSE)</f>
        <v>50000</v>
      </c>
      <c r="G1350" s="16">
        <f>VLOOKUP(C1350,[1]master_data!$A$2:$E$495,4,FALSE)</f>
        <v>100000</v>
      </c>
      <c r="H1350" s="16">
        <f>E1350*F1350</f>
        <v>100000</v>
      </c>
      <c r="I1350" s="16">
        <f>E1350*G1350</f>
        <v>200000</v>
      </c>
      <c r="J1350" s="16">
        <f>I1350-H1350</f>
        <v>100000</v>
      </c>
      <c r="K1350" s="16" t="str">
        <f>VLOOKUP(C1350,[1]master_data!$A$2:$E$495,5,FALSE)</f>
        <v>Aksesoris</v>
      </c>
      <c r="L1350" s="1"/>
    </row>
    <row r="1351" spans="1:12" ht="12" customHeight="1" x14ac:dyDescent="0.25">
      <c r="A1351" s="15">
        <v>45114</v>
      </c>
      <c r="B1351" s="16">
        <v>22301158</v>
      </c>
      <c r="C1351" s="16" t="s">
        <v>412</v>
      </c>
      <c r="D1351" s="16" t="str">
        <f>VLOOKUP(C1351,[1]master_data!$A$2:$E$495,2,FALSE)</f>
        <v>KOKI T</v>
      </c>
      <c r="E1351" s="16">
        <v>1</v>
      </c>
      <c r="F1351" s="16">
        <f>VLOOKUP(C1351,[1]master_data!$A$2:$E$495,3,FALSE)</f>
        <v>8000</v>
      </c>
      <c r="G1351" s="16">
        <f>VLOOKUP(C1351,[1]master_data!$A$2:$E$495,4,FALSE)</f>
        <v>15000</v>
      </c>
      <c r="H1351" s="16">
        <f>E1351*F1351</f>
        <v>8000</v>
      </c>
      <c r="I1351" s="16">
        <f>E1351*G1351</f>
        <v>15000</v>
      </c>
      <c r="J1351" s="16">
        <f>I1351-H1351</f>
        <v>7000</v>
      </c>
      <c r="K1351" s="16" t="str">
        <f>VLOOKUP(C1351,[1]master_data!$A$2:$E$495,5,FALSE)</f>
        <v>Ikan</v>
      </c>
      <c r="L1351" s="1"/>
    </row>
    <row r="1352" spans="1:12" ht="12" customHeight="1" x14ac:dyDescent="0.25">
      <c r="A1352" s="15">
        <v>45114</v>
      </c>
      <c r="B1352" s="16">
        <v>22301159</v>
      </c>
      <c r="C1352" s="16" t="s">
        <v>461</v>
      </c>
      <c r="D1352" s="16" t="str">
        <f>VLOOKUP(C1352,[1]master_data!$A$2:$E$495,2,FALSE)</f>
        <v>CHANNA STEWARTI</v>
      </c>
      <c r="E1352" s="16">
        <v>2</v>
      </c>
      <c r="F1352" s="16">
        <f>VLOOKUP(C1352,[1]master_data!$A$2:$E$495,3,FALSE)</f>
        <v>15000</v>
      </c>
      <c r="G1352" s="16">
        <f>VLOOKUP(C1352,[1]master_data!$A$2:$E$495,4,FALSE)</f>
        <v>40000</v>
      </c>
      <c r="H1352" s="16">
        <f>E1352*F1352</f>
        <v>30000</v>
      </c>
      <c r="I1352" s="16">
        <f>E1352*G1352</f>
        <v>80000</v>
      </c>
      <c r="J1352" s="16">
        <f>I1352-H1352</f>
        <v>50000</v>
      </c>
      <c r="K1352" s="16" t="str">
        <f>VLOOKUP(C1352,[1]master_data!$A$2:$E$495,5,FALSE)</f>
        <v>Ikan</v>
      </c>
      <c r="L1352" s="1"/>
    </row>
    <row r="1353" spans="1:12" ht="12" customHeight="1" x14ac:dyDescent="0.25">
      <c r="A1353" s="15">
        <v>45114</v>
      </c>
      <c r="B1353" s="16">
        <v>22301160</v>
      </c>
      <c r="C1353" s="16" t="s">
        <v>455</v>
      </c>
      <c r="D1353" s="16" t="str">
        <f>VLOOKUP(C1353,[1]master_data!$A$2:$E$495,2,FALSE)</f>
        <v>ZEBRA PINK</v>
      </c>
      <c r="E1353" s="16">
        <v>200</v>
      </c>
      <c r="F1353" s="16">
        <f>VLOOKUP(C1353,[1]master_data!$A$2:$E$495,3,FALSE)</f>
        <v>800</v>
      </c>
      <c r="G1353" s="16">
        <f>VLOOKUP(C1353,[1]master_data!$A$2:$E$495,4,FALSE)</f>
        <v>2000</v>
      </c>
      <c r="H1353" s="16">
        <f>E1353*F1353</f>
        <v>160000</v>
      </c>
      <c r="I1353" s="16">
        <f>E1353*G1353</f>
        <v>400000</v>
      </c>
      <c r="J1353" s="16">
        <f>I1353-H1353</f>
        <v>240000</v>
      </c>
      <c r="K1353" s="16" t="str">
        <f>VLOOKUP(C1353,[1]master_data!$A$2:$E$495,5,FALSE)</f>
        <v>Ikan</v>
      </c>
      <c r="L1353" s="1"/>
    </row>
    <row r="1354" spans="1:12" ht="12" customHeight="1" x14ac:dyDescent="0.25">
      <c r="A1354" s="15">
        <v>45114</v>
      </c>
      <c r="B1354" s="16">
        <v>22301161</v>
      </c>
      <c r="C1354" s="16" t="s">
        <v>455</v>
      </c>
      <c r="D1354" s="16" t="str">
        <f>VLOOKUP(C1354,[1]master_data!$A$2:$E$495,2,FALSE)</f>
        <v>ZEBRA PINK</v>
      </c>
      <c r="E1354" s="16">
        <v>200</v>
      </c>
      <c r="F1354" s="16">
        <f>VLOOKUP(C1354,[1]master_data!$A$2:$E$495,3,FALSE)</f>
        <v>800</v>
      </c>
      <c r="G1354" s="16">
        <f>VLOOKUP(C1354,[1]master_data!$A$2:$E$495,4,FALSE)</f>
        <v>2000</v>
      </c>
      <c r="H1354" s="16">
        <f>E1354*F1354</f>
        <v>160000</v>
      </c>
      <c r="I1354" s="16">
        <f>E1354*G1354</f>
        <v>400000</v>
      </c>
      <c r="J1354" s="16">
        <f>I1354-H1354</f>
        <v>240000</v>
      </c>
      <c r="K1354" s="16" t="str">
        <f>VLOOKUP(C1354,[1]master_data!$A$2:$E$495,5,FALSE)</f>
        <v>Ikan</v>
      </c>
      <c r="L1354" s="1"/>
    </row>
    <row r="1355" spans="1:12" ht="12" customHeight="1" x14ac:dyDescent="0.25">
      <c r="A1355" s="15">
        <v>45113</v>
      </c>
      <c r="B1355" s="16">
        <v>22301143</v>
      </c>
      <c r="C1355" s="16" t="s">
        <v>417</v>
      </c>
      <c r="D1355" s="16" t="str">
        <f>VLOOKUP(C1355,[1]master_data!$A$2:$E$495,2,FALSE)</f>
        <v>KURA - KURA</v>
      </c>
      <c r="E1355" s="16">
        <v>10</v>
      </c>
      <c r="F1355" s="16">
        <f>VLOOKUP(C1355,[1]master_data!$A$2:$E$495,3,FALSE)</f>
        <v>25000</v>
      </c>
      <c r="G1355" s="16">
        <f>VLOOKUP(C1355,[1]master_data!$A$2:$E$495,4,FALSE)</f>
        <v>35000</v>
      </c>
      <c r="H1355" s="16">
        <f>E1355*F1355</f>
        <v>250000</v>
      </c>
      <c r="I1355" s="16">
        <f>E1355*G1355</f>
        <v>350000</v>
      </c>
      <c r="J1355" s="16">
        <f>I1355-H1355</f>
        <v>100000</v>
      </c>
      <c r="K1355" s="16" t="str">
        <f>VLOOKUP(C1355,[1]master_data!$A$2:$E$495,5,FALSE)</f>
        <v>Ikan</v>
      </c>
      <c r="L1355" s="1"/>
    </row>
    <row r="1356" spans="1:12" ht="12" customHeight="1" x14ac:dyDescent="0.25">
      <c r="A1356" s="15">
        <v>45113</v>
      </c>
      <c r="B1356" s="16">
        <v>22301144</v>
      </c>
      <c r="C1356" s="16" t="s">
        <v>414</v>
      </c>
      <c r="D1356" s="16" t="str">
        <f>VLOOKUP(C1356,[1]master_data!$A$2:$E$495,2,FALSE)</f>
        <v>KOI K</v>
      </c>
      <c r="E1356" s="16">
        <v>20</v>
      </c>
      <c r="F1356" s="16">
        <f>VLOOKUP(C1356,[1]master_data!$A$2:$E$495,3,FALSE)</f>
        <v>2500</v>
      </c>
      <c r="G1356" s="16">
        <f>VLOOKUP(C1356,[1]master_data!$A$2:$E$495,4,FALSE)</f>
        <v>10000</v>
      </c>
      <c r="H1356" s="16">
        <f>E1356*F1356</f>
        <v>50000</v>
      </c>
      <c r="I1356" s="16">
        <f>E1356*G1356</f>
        <v>200000</v>
      </c>
      <c r="J1356" s="16">
        <f>I1356-H1356</f>
        <v>150000</v>
      </c>
      <c r="K1356" s="16" t="str">
        <f>VLOOKUP(C1356,[1]master_data!$A$2:$E$495,5,FALSE)</f>
        <v>Ikan</v>
      </c>
      <c r="L1356" s="1"/>
    </row>
    <row r="1357" spans="1:12" ht="12" customHeight="1" x14ac:dyDescent="0.25">
      <c r="A1357" s="15">
        <v>45113</v>
      </c>
      <c r="B1357" s="16">
        <v>22301145</v>
      </c>
      <c r="C1357" s="16" t="s">
        <v>412</v>
      </c>
      <c r="D1357" s="16" t="str">
        <f>VLOOKUP(C1357,[1]master_data!$A$2:$E$495,2,FALSE)</f>
        <v>KOKI T</v>
      </c>
      <c r="E1357" s="16">
        <v>2</v>
      </c>
      <c r="F1357" s="16">
        <f>VLOOKUP(C1357,[1]master_data!$A$2:$E$495,3,FALSE)</f>
        <v>8000</v>
      </c>
      <c r="G1357" s="16">
        <f>VLOOKUP(C1357,[1]master_data!$A$2:$E$495,4,FALSE)</f>
        <v>15000</v>
      </c>
      <c r="H1357" s="16">
        <f>E1357*F1357</f>
        <v>16000</v>
      </c>
      <c r="I1357" s="16">
        <f>E1357*G1357</f>
        <v>30000</v>
      </c>
      <c r="J1357" s="16">
        <f>I1357-H1357</f>
        <v>14000</v>
      </c>
      <c r="K1357" s="16" t="str">
        <f>VLOOKUP(C1357,[1]master_data!$A$2:$E$495,5,FALSE)</f>
        <v>Ikan</v>
      </c>
      <c r="L1357" s="1"/>
    </row>
    <row r="1358" spans="1:12" ht="12" customHeight="1" x14ac:dyDescent="0.25">
      <c r="A1358" s="15">
        <v>45113</v>
      </c>
      <c r="B1358" s="16">
        <v>22301146</v>
      </c>
      <c r="C1358" s="16" t="s">
        <v>298</v>
      </c>
      <c r="D1358" s="16" t="str">
        <f>VLOOKUP(C1358,[1]master_data!$A$2:$E$495,2,FALSE)</f>
        <v>MAINAN ARCA</v>
      </c>
      <c r="E1358" s="16">
        <v>5</v>
      </c>
      <c r="F1358" s="16">
        <f>VLOOKUP(C1358,[1]master_data!$A$2:$E$495,3,FALSE)</f>
        <v>16500</v>
      </c>
      <c r="G1358" s="16">
        <f>VLOOKUP(C1358,[1]master_data!$A$2:$E$495,4,FALSE)</f>
        <v>30000</v>
      </c>
      <c r="H1358" s="16">
        <f>E1358*F1358</f>
        <v>82500</v>
      </c>
      <c r="I1358" s="16">
        <f>E1358*G1358</f>
        <v>150000</v>
      </c>
      <c r="J1358" s="16">
        <f>I1358-H1358</f>
        <v>67500</v>
      </c>
      <c r="K1358" s="16" t="str">
        <f>VLOOKUP(C1358,[1]master_data!$A$2:$E$495,5,FALSE)</f>
        <v>Aksesoris</v>
      </c>
      <c r="L1358" s="1"/>
    </row>
    <row r="1359" spans="1:12" ht="12" customHeight="1" x14ac:dyDescent="0.25">
      <c r="A1359" s="15">
        <v>45113</v>
      </c>
      <c r="B1359" s="16">
        <v>22301147</v>
      </c>
      <c r="C1359" s="16" t="s">
        <v>421</v>
      </c>
      <c r="D1359" s="16" t="str">
        <f>VLOOKUP(C1359,[1]master_data!$A$2:$E$495,2,FALSE)</f>
        <v>KOI SLAYER K</v>
      </c>
      <c r="E1359" s="16">
        <v>20</v>
      </c>
      <c r="F1359" s="16">
        <f>VLOOKUP(C1359,[1]master_data!$A$2:$E$495,3,FALSE)</f>
        <v>3500</v>
      </c>
      <c r="G1359" s="16">
        <f>VLOOKUP(C1359,[1]master_data!$A$2:$E$495,4,FALSE)</f>
        <v>10000</v>
      </c>
      <c r="H1359" s="16">
        <f>E1359*F1359</f>
        <v>70000</v>
      </c>
      <c r="I1359" s="16">
        <f>E1359*G1359</f>
        <v>200000</v>
      </c>
      <c r="J1359" s="16">
        <f>I1359-H1359</f>
        <v>130000</v>
      </c>
      <c r="K1359" s="16" t="str">
        <f>VLOOKUP(C1359,[1]master_data!$A$2:$E$495,5,FALSE)</f>
        <v>Ikan</v>
      </c>
      <c r="L1359" s="1"/>
    </row>
    <row r="1360" spans="1:12" ht="12" customHeight="1" x14ac:dyDescent="0.25">
      <c r="A1360" s="15">
        <v>45113</v>
      </c>
      <c r="B1360" s="16">
        <v>22301148</v>
      </c>
      <c r="C1360" s="16" t="s">
        <v>245</v>
      </c>
      <c r="D1360" s="16" t="str">
        <f>VLOOKUP(C1360,[1]master_data!$A$2:$E$495,2,FALSE)</f>
        <v>AIRSTONE BAKSO B</v>
      </c>
      <c r="E1360" s="16">
        <v>15</v>
      </c>
      <c r="F1360" s="16">
        <f>VLOOKUP(C1360,[1]master_data!$A$2:$E$495,3,FALSE)</f>
        <v>7700</v>
      </c>
      <c r="G1360" s="16">
        <f>VLOOKUP(C1360,[1]master_data!$A$2:$E$495,4,FALSE)</f>
        <v>10000</v>
      </c>
      <c r="H1360" s="16">
        <f>E1360*F1360</f>
        <v>115500</v>
      </c>
      <c r="I1360" s="16">
        <f>E1360*G1360</f>
        <v>150000</v>
      </c>
      <c r="J1360" s="16">
        <f>I1360-H1360</f>
        <v>34500</v>
      </c>
      <c r="K1360" s="16" t="str">
        <f>VLOOKUP(C1360,[1]master_data!$A$2:$E$495,5,FALSE)</f>
        <v>Aksesoris</v>
      </c>
      <c r="L1360" s="1"/>
    </row>
    <row r="1361" spans="1:12" ht="12" customHeight="1" x14ac:dyDescent="0.25">
      <c r="A1361" s="15">
        <v>45113</v>
      </c>
      <c r="B1361" s="16">
        <v>22301149</v>
      </c>
      <c r="C1361" s="16" t="s">
        <v>128</v>
      </c>
      <c r="D1361" s="16" t="str">
        <f>VLOOKUP(C1361,[1]master_data!$A$2:$E$495,2,FALSE)</f>
        <v>LED YAMANO 6W</v>
      </c>
      <c r="E1361" s="16">
        <v>1</v>
      </c>
      <c r="F1361" s="16">
        <f>VLOOKUP(C1361,[1]master_data!$A$2:$E$495,3,FALSE)</f>
        <v>45000</v>
      </c>
      <c r="G1361" s="16">
        <f>VLOOKUP(C1361,[1]master_data!$A$2:$E$495,4,FALSE)</f>
        <v>75000</v>
      </c>
      <c r="H1361" s="16">
        <f>E1361*F1361</f>
        <v>45000</v>
      </c>
      <c r="I1361" s="16">
        <f>E1361*G1361</f>
        <v>75000</v>
      </c>
      <c r="J1361" s="16">
        <f>I1361-H1361</f>
        <v>30000</v>
      </c>
      <c r="K1361" s="16" t="str">
        <f>VLOOKUP(C1361,[1]master_data!$A$2:$E$495,5,FALSE)</f>
        <v>Aksesoris</v>
      </c>
      <c r="L1361" s="1"/>
    </row>
    <row r="1362" spans="1:12" ht="12" customHeight="1" x14ac:dyDescent="0.25">
      <c r="A1362" s="15">
        <v>45112</v>
      </c>
      <c r="B1362" s="16">
        <v>22301136</v>
      </c>
      <c r="C1362" s="16" t="s">
        <v>395</v>
      </c>
      <c r="D1362" s="16" t="str">
        <f>VLOOKUP(C1362,[1]master_data!$A$2:$E$495,2,FALSE)</f>
        <v>ALIGATOR</v>
      </c>
      <c r="E1362" s="16">
        <v>5</v>
      </c>
      <c r="F1362" s="16">
        <f>VLOOKUP(C1362,[1]master_data!$A$2:$E$495,3,FALSE)</f>
        <v>17000</v>
      </c>
      <c r="G1362" s="16">
        <f>VLOOKUP(C1362,[1]master_data!$A$2:$E$495,4,FALSE)</f>
        <v>35000</v>
      </c>
      <c r="H1362" s="16">
        <f>E1362*F1362</f>
        <v>85000</v>
      </c>
      <c r="I1362" s="16">
        <f>E1362*G1362</f>
        <v>175000</v>
      </c>
      <c r="J1362" s="16">
        <f>I1362-H1362</f>
        <v>90000</v>
      </c>
      <c r="K1362" s="16" t="str">
        <f>VLOOKUP(C1362,[1]master_data!$A$2:$E$495,5,FALSE)</f>
        <v>Ikan</v>
      </c>
      <c r="L1362" s="1"/>
    </row>
    <row r="1363" spans="1:12" ht="12" customHeight="1" x14ac:dyDescent="0.25">
      <c r="A1363" s="15">
        <v>45112</v>
      </c>
      <c r="B1363" s="16">
        <v>22301137</v>
      </c>
      <c r="C1363" s="16" t="s">
        <v>428</v>
      </c>
      <c r="D1363" s="16" t="str">
        <f>VLOOKUP(C1363,[1]master_data!$A$2:$E$495,2,FALSE)</f>
        <v>MANFISH K</v>
      </c>
      <c r="E1363" s="16">
        <v>20</v>
      </c>
      <c r="F1363" s="16">
        <f>VLOOKUP(C1363,[1]master_data!$A$2:$E$495,3,FALSE)</f>
        <v>2000</v>
      </c>
      <c r="G1363" s="16">
        <f>VLOOKUP(C1363,[1]master_data!$A$2:$E$495,4,FALSE)</f>
        <v>5000</v>
      </c>
      <c r="H1363" s="16">
        <f>E1363*F1363</f>
        <v>40000</v>
      </c>
      <c r="I1363" s="16">
        <f>E1363*G1363</f>
        <v>100000</v>
      </c>
      <c r="J1363" s="16">
        <f>I1363-H1363</f>
        <v>60000</v>
      </c>
      <c r="K1363" s="16" t="str">
        <f>VLOOKUP(C1363,[1]master_data!$A$2:$E$495,5,FALSE)</f>
        <v>Ikan</v>
      </c>
      <c r="L1363" s="1"/>
    </row>
    <row r="1364" spans="1:12" ht="12" customHeight="1" x14ac:dyDescent="0.25">
      <c r="A1364" s="15">
        <v>45112</v>
      </c>
      <c r="B1364" s="16">
        <v>22301138</v>
      </c>
      <c r="C1364" s="16" t="s">
        <v>430</v>
      </c>
      <c r="D1364" s="16" t="str">
        <f>VLOOKUP(C1364,[1]master_data!$A$2:$E$495,2,FALSE)</f>
        <v>MARU K</v>
      </c>
      <c r="E1364" s="16">
        <v>1</v>
      </c>
      <c r="F1364" s="16">
        <f>VLOOKUP(C1364,[1]master_data!$A$2:$E$495,3,FALSE)</f>
        <v>23000</v>
      </c>
      <c r="G1364" s="16">
        <f>VLOOKUP(C1364,[1]master_data!$A$2:$E$495,4,FALSE)</f>
        <v>50000</v>
      </c>
      <c r="H1364" s="16">
        <f>E1364*F1364</f>
        <v>23000</v>
      </c>
      <c r="I1364" s="16">
        <f>E1364*G1364</f>
        <v>50000</v>
      </c>
      <c r="J1364" s="16">
        <f>I1364-H1364</f>
        <v>27000</v>
      </c>
      <c r="K1364" s="16" t="str">
        <f>VLOOKUP(C1364,[1]master_data!$A$2:$E$495,5,FALSE)</f>
        <v>Ikan</v>
      </c>
      <c r="L1364" s="1"/>
    </row>
    <row r="1365" spans="1:12" ht="12" customHeight="1" x14ac:dyDescent="0.25">
      <c r="A1365" s="15">
        <v>45112</v>
      </c>
      <c r="B1365" s="16">
        <v>22301139</v>
      </c>
      <c r="C1365" s="16" t="s">
        <v>438</v>
      </c>
      <c r="D1365" s="16" t="str">
        <f>VLOOKUP(C1365,[1]master_data!$A$2:$E$495,2,FALSE)</f>
        <v>OSCAR</v>
      </c>
      <c r="E1365" s="16">
        <v>10</v>
      </c>
      <c r="F1365" s="16">
        <f>VLOOKUP(C1365,[1]master_data!$A$2:$E$495,3,FALSE)</f>
        <v>25000</v>
      </c>
      <c r="G1365" s="16">
        <f>VLOOKUP(C1365,[1]master_data!$A$2:$E$495,4,FALSE)</f>
        <v>50000</v>
      </c>
      <c r="H1365" s="16">
        <f>E1365*F1365</f>
        <v>250000</v>
      </c>
      <c r="I1365" s="16">
        <f>E1365*G1365</f>
        <v>500000</v>
      </c>
      <c r="J1365" s="16">
        <f>I1365-H1365</f>
        <v>250000</v>
      </c>
      <c r="K1365" s="16" t="str">
        <f>VLOOKUP(C1365,[1]master_data!$A$2:$E$495,5,FALSE)</f>
        <v>Ikan</v>
      </c>
      <c r="L1365" s="1"/>
    </row>
    <row r="1366" spans="1:12" ht="12" customHeight="1" x14ac:dyDescent="0.25">
      <c r="A1366" s="15">
        <v>45112</v>
      </c>
      <c r="B1366" s="16">
        <v>22301140</v>
      </c>
      <c r="C1366" s="16" t="s">
        <v>442</v>
      </c>
      <c r="D1366" s="16" t="str">
        <f>VLOOKUP(C1366,[1]master_data!$A$2:$E$495,2,FALSE)</f>
        <v>PARROT</v>
      </c>
      <c r="E1366" s="16">
        <v>1</v>
      </c>
      <c r="F1366" s="16">
        <f>VLOOKUP(C1366,[1]master_data!$A$2:$E$495,3,FALSE)</f>
        <v>27000</v>
      </c>
      <c r="G1366" s="16">
        <f>VLOOKUP(C1366,[1]master_data!$A$2:$E$495,4,FALSE)</f>
        <v>60000</v>
      </c>
      <c r="H1366" s="16">
        <f>E1366*F1366</f>
        <v>27000</v>
      </c>
      <c r="I1366" s="16">
        <f>E1366*G1366</f>
        <v>60000</v>
      </c>
      <c r="J1366" s="16">
        <f>I1366-H1366</f>
        <v>33000</v>
      </c>
      <c r="K1366" s="16" t="str">
        <f>VLOOKUP(C1366,[1]master_data!$A$2:$E$495,5,FALSE)</f>
        <v>Ikan</v>
      </c>
      <c r="L1366" s="1"/>
    </row>
    <row r="1367" spans="1:12" ht="12" customHeight="1" x14ac:dyDescent="0.25">
      <c r="A1367" s="15">
        <v>45112</v>
      </c>
      <c r="B1367" s="16">
        <v>22301141</v>
      </c>
      <c r="C1367" s="16" t="s">
        <v>380</v>
      </c>
      <c r="D1367" s="16" t="str">
        <f>VLOOKUP(C1367,[1]master_data!$A$2:$E$495,2,FALSE)</f>
        <v>BATU WARNA FOSFOR K</v>
      </c>
      <c r="E1367" s="16">
        <v>6</v>
      </c>
      <c r="F1367" s="16">
        <f>VLOOKUP(C1367,[1]master_data!$A$2:$E$495,3,FALSE)</f>
        <v>5500</v>
      </c>
      <c r="G1367" s="16">
        <f>VLOOKUP(C1367,[1]master_data!$A$2:$E$495,4,FALSE)</f>
        <v>10000</v>
      </c>
      <c r="H1367" s="16">
        <f>E1367*F1367</f>
        <v>33000</v>
      </c>
      <c r="I1367" s="16">
        <f>E1367*G1367</f>
        <v>60000</v>
      </c>
      <c r="J1367" s="16">
        <f>I1367-H1367</f>
        <v>27000</v>
      </c>
      <c r="K1367" s="16" t="str">
        <f>VLOOKUP(C1367,[1]master_data!$A$2:$E$495,5,FALSE)</f>
        <v>Aksesoris</v>
      </c>
      <c r="L1367" s="1"/>
    </row>
    <row r="1368" spans="1:12" ht="12" customHeight="1" x14ac:dyDescent="0.25">
      <c r="A1368" s="15">
        <v>45112</v>
      </c>
      <c r="B1368" s="16">
        <v>22301142</v>
      </c>
      <c r="C1368" s="16" t="s">
        <v>211</v>
      </c>
      <c r="D1368" s="16" t="str">
        <f>VLOOKUP(C1368,[1]master_data!$A$2:$E$495,2,FALSE)</f>
        <v>UDANG KERING</v>
      </c>
      <c r="E1368" s="16">
        <v>1</v>
      </c>
      <c r="F1368" s="16">
        <f>VLOOKUP(C1368,[1]master_data!$A$2:$E$495,3,FALSE)</f>
        <v>4500</v>
      </c>
      <c r="G1368" s="16">
        <f>VLOOKUP(C1368,[1]master_data!$A$2:$E$495,4,FALSE)</f>
        <v>10000</v>
      </c>
      <c r="H1368" s="16">
        <f>E1368*F1368</f>
        <v>4500</v>
      </c>
      <c r="I1368" s="16">
        <f>E1368*G1368</f>
        <v>10000</v>
      </c>
      <c r="J1368" s="16">
        <f>I1368-H1368</f>
        <v>5500</v>
      </c>
      <c r="K1368" s="16" t="str">
        <f>VLOOKUP(C1368,[1]master_data!$A$2:$E$495,5,FALSE)</f>
        <v>Aksesoris</v>
      </c>
      <c r="L1368" s="1"/>
    </row>
    <row r="1369" spans="1:12" ht="12" customHeight="1" x14ac:dyDescent="0.25">
      <c r="A1369" s="15">
        <v>45111</v>
      </c>
      <c r="B1369" s="16">
        <v>22301123</v>
      </c>
      <c r="C1369" s="16" t="s">
        <v>455</v>
      </c>
      <c r="D1369" s="16" t="str">
        <f>VLOOKUP(C1369,[1]master_data!$A$2:$E$495,2,FALSE)</f>
        <v>ZEBRA PINK</v>
      </c>
      <c r="E1369" s="16">
        <v>30</v>
      </c>
      <c r="F1369" s="16">
        <f>VLOOKUP(C1369,[1]master_data!$A$2:$E$495,3,FALSE)</f>
        <v>800</v>
      </c>
      <c r="G1369" s="16">
        <f>VLOOKUP(C1369,[1]master_data!$A$2:$E$495,4,FALSE)</f>
        <v>2000</v>
      </c>
      <c r="H1369" s="16">
        <f>E1369*F1369</f>
        <v>24000</v>
      </c>
      <c r="I1369" s="16">
        <f>E1369*G1369</f>
        <v>60000</v>
      </c>
      <c r="J1369" s="16">
        <f>I1369-H1369</f>
        <v>36000</v>
      </c>
      <c r="K1369" s="16" t="str">
        <f>VLOOKUP(C1369,[1]master_data!$A$2:$E$495,5,FALSE)</f>
        <v>Ikan</v>
      </c>
      <c r="L1369" s="1"/>
    </row>
    <row r="1370" spans="1:12" ht="12" customHeight="1" x14ac:dyDescent="0.25">
      <c r="A1370" s="15">
        <v>45111</v>
      </c>
      <c r="B1370" s="16">
        <v>22301124</v>
      </c>
      <c r="C1370" s="16" t="s">
        <v>412</v>
      </c>
      <c r="D1370" s="16" t="str">
        <f>VLOOKUP(C1370,[1]master_data!$A$2:$E$495,2,FALSE)</f>
        <v>KOKI T</v>
      </c>
      <c r="E1370" s="16">
        <v>5</v>
      </c>
      <c r="F1370" s="16">
        <f>VLOOKUP(C1370,[1]master_data!$A$2:$E$495,3,FALSE)</f>
        <v>8000</v>
      </c>
      <c r="G1370" s="16">
        <f>VLOOKUP(C1370,[1]master_data!$A$2:$E$495,4,FALSE)</f>
        <v>15000</v>
      </c>
      <c r="H1370" s="16">
        <f>E1370*F1370</f>
        <v>40000</v>
      </c>
      <c r="I1370" s="16">
        <f>E1370*G1370</f>
        <v>75000</v>
      </c>
      <c r="J1370" s="16">
        <f>I1370-H1370</f>
        <v>35000</v>
      </c>
      <c r="K1370" s="16" t="str">
        <f>VLOOKUP(C1370,[1]master_data!$A$2:$E$495,5,FALSE)</f>
        <v>Ikan</v>
      </c>
      <c r="L1370" s="1"/>
    </row>
    <row r="1371" spans="1:12" ht="12" customHeight="1" x14ac:dyDescent="0.25">
      <c r="A1371" s="15">
        <v>45111</v>
      </c>
      <c r="B1371" s="16">
        <v>22301125</v>
      </c>
      <c r="C1371" s="16" t="s">
        <v>412</v>
      </c>
      <c r="D1371" s="16" t="str">
        <f>VLOOKUP(C1371,[1]master_data!$A$2:$E$495,2,FALSE)</f>
        <v>KOKI T</v>
      </c>
      <c r="E1371" s="16">
        <v>5</v>
      </c>
      <c r="F1371" s="16">
        <f>VLOOKUP(C1371,[1]master_data!$A$2:$E$495,3,FALSE)</f>
        <v>8000</v>
      </c>
      <c r="G1371" s="16">
        <f>VLOOKUP(C1371,[1]master_data!$A$2:$E$495,4,FALSE)</f>
        <v>15000</v>
      </c>
      <c r="H1371" s="16">
        <f>E1371*F1371</f>
        <v>40000</v>
      </c>
      <c r="I1371" s="16">
        <f>E1371*G1371</f>
        <v>75000</v>
      </c>
      <c r="J1371" s="16">
        <f>I1371-H1371</f>
        <v>35000</v>
      </c>
      <c r="K1371" s="16" t="str">
        <f>VLOOKUP(C1371,[1]master_data!$A$2:$E$495,5,FALSE)</f>
        <v>Ikan</v>
      </c>
      <c r="L1371" s="1"/>
    </row>
    <row r="1372" spans="1:12" ht="12" customHeight="1" x14ac:dyDescent="0.25">
      <c r="A1372" s="15">
        <v>45111</v>
      </c>
      <c r="B1372" s="16">
        <v>22301126</v>
      </c>
      <c r="C1372" s="16" t="s">
        <v>460</v>
      </c>
      <c r="D1372" s="16" t="str">
        <f>VLOOKUP(C1372,[1]master_data!$A$2:$E$495,2,FALSE)</f>
        <v>SEPAT ALBINO</v>
      </c>
      <c r="E1372" s="16">
        <v>15</v>
      </c>
      <c r="F1372" s="16">
        <f>VLOOKUP(C1372,[1]master_data!$A$2:$E$495,3,FALSE)</f>
        <v>2000</v>
      </c>
      <c r="G1372" s="16">
        <f>VLOOKUP(C1372,[1]master_data!$A$2:$E$495,4,FALSE)</f>
        <v>5000</v>
      </c>
      <c r="H1372" s="16">
        <f>E1372*F1372</f>
        <v>30000</v>
      </c>
      <c r="I1372" s="16">
        <f>E1372*G1372</f>
        <v>75000</v>
      </c>
      <c r="J1372" s="16">
        <f>I1372-H1372</f>
        <v>45000</v>
      </c>
      <c r="K1372" s="16" t="str">
        <f>VLOOKUP(C1372,[1]master_data!$A$2:$E$495,5,FALSE)</f>
        <v>Ikan</v>
      </c>
      <c r="L1372" s="1"/>
    </row>
    <row r="1373" spans="1:12" ht="12" customHeight="1" x14ac:dyDescent="0.25">
      <c r="A1373" s="15">
        <v>45111</v>
      </c>
      <c r="B1373" s="16">
        <v>22301127</v>
      </c>
      <c r="C1373" s="16" t="s">
        <v>436</v>
      </c>
      <c r="D1373" s="16" t="str">
        <f>VLOOKUP(C1373,[1]master_data!$A$2:$E$495,2,FALSE)</f>
        <v>NENTINEN</v>
      </c>
      <c r="E1373" s="16">
        <v>20</v>
      </c>
      <c r="F1373" s="16">
        <f>VLOOKUP(C1373,[1]master_data!$A$2:$E$495,3,FALSE)</f>
        <v>1000</v>
      </c>
      <c r="G1373" s="16">
        <f>VLOOKUP(C1373,[1]master_data!$A$2:$E$495,4,FALSE)</f>
        <v>2500</v>
      </c>
      <c r="H1373" s="16">
        <f>E1373*F1373</f>
        <v>20000</v>
      </c>
      <c r="I1373" s="16">
        <f>E1373*G1373</f>
        <v>50000</v>
      </c>
      <c r="J1373" s="16">
        <f>I1373-H1373</f>
        <v>30000</v>
      </c>
      <c r="K1373" s="16" t="str">
        <f>VLOOKUP(C1373,[1]master_data!$A$2:$E$495,5,FALSE)</f>
        <v>Ikan</v>
      </c>
      <c r="L1373" s="1"/>
    </row>
    <row r="1374" spans="1:12" ht="12" customHeight="1" x14ac:dyDescent="0.25">
      <c r="A1374" s="15">
        <v>45111</v>
      </c>
      <c r="B1374" s="16">
        <v>22301128</v>
      </c>
      <c r="C1374" s="16" t="s">
        <v>435</v>
      </c>
      <c r="D1374" s="16" t="str">
        <f>VLOOKUP(C1374,[1]master_data!$A$2:$E$495,2,FALSE)</f>
        <v>RED EYE TETRA</v>
      </c>
      <c r="E1374" s="16">
        <v>30</v>
      </c>
      <c r="F1374" s="16">
        <f>VLOOKUP(C1374,[1]master_data!$A$2:$E$495,3,FALSE)</f>
        <v>900</v>
      </c>
      <c r="G1374" s="16">
        <f>VLOOKUP(C1374,[1]master_data!$A$2:$E$495,4,FALSE)</f>
        <v>2000</v>
      </c>
      <c r="H1374" s="16">
        <f>E1374*F1374</f>
        <v>27000</v>
      </c>
      <c r="I1374" s="16">
        <f>E1374*G1374</f>
        <v>60000</v>
      </c>
      <c r="J1374" s="16">
        <f>I1374-H1374</f>
        <v>33000</v>
      </c>
      <c r="K1374" s="16" t="str">
        <f>VLOOKUP(C1374,[1]master_data!$A$2:$E$495,5,FALSE)</f>
        <v>Ikan</v>
      </c>
      <c r="L1374" s="1"/>
    </row>
    <row r="1375" spans="1:12" ht="12" customHeight="1" x14ac:dyDescent="0.25">
      <c r="A1375" s="15">
        <v>45111</v>
      </c>
      <c r="B1375" s="16">
        <v>22301129</v>
      </c>
      <c r="C1375" s="16" t="s">
        <v>146</v>
      </c>
      <c r="D1375" s="16" t="str">
        <f>VLOOKUP(C1375,[1]master_data!$A$2:$E$495,2,FALSE)</f>
        <v>LED KIYOSAKI 3 MODE 30 CM</v>
      </c>
      <c r="E1375" s="16">
        <v>5</v>
      </c>
      <c r="F1375" s="16">
        <f>VLOOKUP(C1375,[1]master_data!$A$2:$E$495,3,FALSE)</f>
        <v>40000</v>
      </c>
      <c r="G1375" s="16">
        <f>VLOOKUP(C1375,[1]master_data!$A$2:$E$495,4,FALSE)</f>
        <v>55000</v>
      </c>
      <c r="H1375" s="16">
        <f>E1375*F1375</f>
        <v>200000</v>
      </c>
      <c r="I1375" s="16">
        <f>E1375*G1375</f>
        <v>275000</v>
      </c>
      <c r="J1375" s="16">
        <f>I1375-H1375</f>
        <v>75000</v>
      </c>
      <c r="K1375" s="16" t="str">
        <f>VLOOKUP(C1375,[1]master_data!$A$2:$E$495,5,FALSE)</f>
        <v>Aksesoris</v>
      </c>
      <c r="L1375" s="1"/>
    </row>
    <row r="1376" spans="1:12" ht="12" customHeight="1" x14ac:dyDescent="0.25">
      <c r="A1376" s="15">
        <v>45111</v>
      </c>
      <c r="B1376" s="16">
        <v>22301130</v>
      </c>
      <c r="C1376" s="16" t="s">
        <v>375</v>
      </c>
      <c r="D1376" s="16" t="str">
        <f>VLOOKUP(C1376,[1]master_data!$A$2:$E$495,2,FALSE)</f>
        <v>PASIR MEARAH B</v>
      </c>
      <c r="E1376" s="16">
        <v>1</v>
      </c>
      <c r="F1376" s="16">
        <f>VLOOKUP(C1376,[1]master_data!$A$2:$E$495,3,FALSE)</f>
        <v>8000</v>
      </c>
      <c r="G1376" s="16">
        <f>VLOOKUP(C1376,[1]master_data!$A$2:$E$495,4,FALSE)</f>
        <v>25000</v>
      </c>
      <c r="H1376" s="16">
        <f>E1376*F1376</f>
        <v>8000</v>
      </c>
      <c r="I1376" s="16">
        <f>E1376*G1376</f>
        <v>25000</v>
      </c>
      <c r="J1376" s="16">
        <f>I1376-H1376</f>
        <v>17000</v>
      </c>
      <c r="K1376" s="16" t="str">
        <f>VLOOKUP(C1376,[1]master_data!$A$2:$E$495,5,FALSE)</f>
        <v>Aksesoris</v>
      </c>
      <c r="L1376" s="1"/>
    </row>
    <row r="1377" spans="1:12" ht="12" customHeight="1" x14ac:dyDescent="0.25">
      <c r="A1377" s="15">
        <v>45111</v>
      </c>
      <c r="B1377" s="16">
        <v>22301131</v>
      </c>
      <c r="C1377" s="16" t="s">
        <v>98</v>
      </c>
      <c r="D1377" s="16" t="str">
        <f>VLOOKUP(C1377,[1]master_data!$A$2:$E$495,2,FALSE)</f>
        <v>MESIN AMARA 104</v>
      </c>
      <c r="E1377" s="16">
        <v>2</v>
      </c>
      <c r="F1377" s="16">
        <f>VLOOKUP(C1377,[1]master_data!$A$2:$E$495,3,FALSE)</f>
        <v>120000</v>
      </c>
      <c r="G1377" s="16">
        <f>VLOOKUP(C1377,[1]master_data!$A$2:$E$495,4,FALSE)</f>
        <v>160000</v>
      </c>
      <c r="H1377" s="16">
        <f>E1377*F1377</f>
        <v>240000</v>
      </c>
      <c r="I1377" s="16">
        <f>E1377*G1377</f>
        <v>320000</v>
      </c>
      <c r="J1377" s="16">
        <f>I1377-H1377</f>
        <v>80000</v>
      </c>
      <c r="K1377" s="16" t="str">
        <f>VLOOKUP(C1377,[1]master_data!$A$2:$E$495,5,FALSE)</f>
        <v>Aksesoris</v>
      </c>
      <c r="L1377" s="1"/>
    </row>
    <row r="1378" spans="1:12" ht="12" customHeight="1" x14ac:dyDescent="0.25">
      <c r="A1378" s="15">
        <v>45111</v>
      </c>
      <c r="B1378" s="16">
        <v>22301132</v>
      </c>
      <c r="C1378" s="16" t="s">
        <v>371</v>
      </c>
      <c r="D1378" s="16" t="str">
        <f>VLOOKUP(C1378,[1]master_data!$A$2:$E$495,2,FALSE)</f>
        <v>SOLITER C1</v>
      </c>
      <c r="E1378" s="16">
        <v>1</v>
      </c>
      <c r="F1378" s="16">
        <f>VLOOKUP(C1378,[1]master_data!$A$2:$E$495,3,FALSE)</f>
        <v>55000</v>
      </c>
      <c r="G1378" s="16">
        <f>VLOOKUP(C1378,[1]master_data!$A$2:$E$495,4,FALSE)</f>
        <v>75000</v>
      </c>
      <c r="H1378" s="16">
        <f>E1378*F1378</f>
        <v>55000</v>
      </c>
      <c r="I1378" s="16">
        <f>E1378*G1378</f>
        <v>75000</v>
      </c>
      <c r="J1378" s="16">
        <f>I1378-H1378</f>
        <v>20000</v>
      </c>
      <c r="K1378" s="16" t="str">
        <f>VLOOKUP(C1378,[1]master_data!$A$2:$E$495,5,FALSE)</f>
        <v>Aksesoris</v>
      </c>
      <c r="L1378" s="1"/>
    </row>
    <row r="1379" spans="1:12" ht="12" customHeight="1" x14ac:dyDescent="0.25">
      <c r="A1379" s="15">
        <v>45111</v>
      </c>
      <c r="B1379" s="16">
        <v>22301133</v>
      </c>
      <c r="C1379" s="16" t="s">
        <v>443</v>
      </c>
      <c r="D1379" s="16" t="str">
        <f>VLOOKUP(C1379,[1]master_data!$A$2:$E$495,2,FALSE)</f>
        <v>PESO</v>
      </c>
      <c r="E1379" s="16">
        <v>4</v>
      </c>
      <c r="F1379" s="16">
        <f>VLOOKUP(C1379,[1]master_data!$A$2:$E$495,3,FALSE)</f>
        <v>19000</v>
      </c>
      <c r="G1379" s="16">
        <f>VLOOKUP(C1379,[1]master_data!$A$2:$E$495,4,FALSE)</f>
        <v>40000</v>
      </c>
      <c r="H1379" s="16">
        <f>E1379*F1379</f>
        <v>76000</v>
      </c>
      <c r="I1379" s="16">
        <f>E1379*G1379</f>
        <v>160000</v>
      </c>
      <c r="J1379" s="16">
        <f>I1379-H1379</f>
        <v>84000</v>
      </c>
      <c r="K1379" s="16" t="str">
        <f>VLOOKUP(C1379,[1]master_data!$A$2:$E$495,5,FALSE)</f>
        <v>Ikan</v>
      </c>
      <c r="L1379" s="1"/>
    </row>
    <row r="1380" spans="1:12" ht="12" customHeight="1" x14ac:dyDescent="0.25">
      <c r="A1380" s="15">
        <v>45111</v>
      </c>
      <c r="B1380" s="16">
        <v>22301134</v>
      </c>
      <c r="C1380" s="16" t="s">
        <v>397</v>
      </c>
      <c r="D1380" s="16" t="str">
        <f>VLOOKUP(C1380,[1]master_data!$A$2:$E$495,2,FALSE)</f>
        <v>BUENOS AIRES TETRA</v>
      </c>
      <c r="E1380" s="16">
        <v>14</v>
      </c>
      <c r="F1380" s="16">
        <f>VLOOKUP(C1380,[1]master_data!$A$2:$E$495,3,FALSE)</f>
        <v>800</v>
      </c>
      <c r="G1380" s="16">
        <f>VLOOKUP(C1380,[1]master_data!$A$2:$E$495,4,FALSE)</f>
        <v>2000</v>
      </c>
      <c r="H1380" s="16">
        <f>E1380*F1380</f>
        <v>11200</v>
      </c>
      <c r="I1380" s="16">
        <f>E1380*G1380</f>
        <v>28000</v>
      </c>
      <c r="J1380" s="16">
        <f>I1380-H1380</f>
        <v>16800</v>
      </c>
      <c r="K1380" s="16" t="str">
        <f>VLOOKUP(C1380,[1]master_data!$A$2:$E$495,5,FALSE)</f>
        <v>Ikan</v>
      </c>
      <c r="L1380" s="1"/>
    </row>
    <row r="1381" spans="1:12" ht="12" customHeight="1" x14ac:dyDescent="0.25">
      <c r="A1381" s="15">
        <v>45111</v>
      </c>
      <c r="B1381" s="16">
        <v>22301135</v>
      </c>
      <c r="C1381" s="16" t="s">
        <v>267</v>
      </c>
      <c r="D1381" s="16" t="str">
        <f>VLOOKUP(C1381,[1]master_data!$A$2:$E$495,2,FALSE)</f>
        <v>GARAM</v>
      </c>
      <c r="E1381" s="16">
        <v>1</v>
      </c>
      <c r="F1381" s="16">
        <f>VLOOKUP(C1381,[1]master_data!$A$2:$E$495,3,FALSE)</f>
        <v>3000</v>
      </c>
      <c r="G1381" s="16">
        <f>VLOOKUP(C1381,[1]master_data!$A$2:$E$495,4,FALSE)</f>
        <v>5000</v>
      </c>
      <c r="H1381" s="16">
        <f>E1381*F1381</f>
        <v>3000</v>
      </c>
      <c r="I1381" s="16">
        <f>E1381*G1381</f>
        <v>5000</v>
      </c>
      <c r="J1381" s="16">
        <f>I1381-H1381</f>
        <v>2000</v>
      </c>
      <c r="K1381" s="16" t="str">
        <f>VLOOKUP(C1381,[1]master_data!$A$2:$E$495,5,FALSE)</f>
        <v>Aksesoris</v>
      </c>
      <c r="L1381" s="1"/>
    </row>
    <row r="1382" spans="1:12" ht="12" customHeight="1" x14ac:dyDescent="0.25">
      <c r="A1382" s="15">
        <v>45110</v>
      </c>
      <c r="B1382" s="16">
        <v>22301118</v>
      </c>
      <c r="C1382" s="16" t="s">
        <v>413</v>
      </c>
      <c r="D1382" s="16" t="str">
        <f>VLOOKUP(C1382,[1]master_data!$A$2:$E$495,2,FALSE)</f>
        <v>KOKI B</v>
      </c>
      <c r="E1382" s="16">
        <v>2</v>
      </c>
      <c r="F1382" s="16">
        <f>VLOOKUP(C1382,[1]master_data!$A$2:$E$495,3,FALSE)</f>
        <v>20000</v>
      </c>
      <c r="G1382" s="16">
        <f>VLOOKUP(C1382,[1]master_data!$A$2:$E$495,4,FALSE)</f>
        <v>50000</v>
      </c>
      <c r="H1382" s="16">
        <f>E1382*F1382</f>
        <v>40000</v>
      </c>
      <c r="I1382" s="16">
        <f>E1382*G1382</f>
        <v>100000</v>
      </c>
      <c r="J1382" s="16">
        <f>I1382-H1382</f>
        <v>60000</v>
      </c>
      <c r="K1382" s="16" t="str">
        <f>VLOOKUP(C1382,[1]master_data!$A$2:$E$495,5,FALSE)</f>
        <v>Ikan</v>
      </c>
      <c r="L1382" s="1"/>
    </row>
    <row r="1383" spans="1:12" ht="12" customHeight="1" x14ac:dyDescent="0.25">
      <c r="A1383" s="15">
        <v>45110</v>
      </c>
      <c r="B1383" s="16">
        <v>22301119</v>
      </c>
      <c r="C1383" s="16" t="s">
        <v>438</v>
      </c>
      <c r="D1383" s="16" t="str">
        <f>VLOOKUP(C1383,[1]master_data!$A$2:$E$495,2,FALSE)</f>
        <v>OSCAR</v>
      </c>
      <c r="E1383" s="16">
        <v>5</v>
      </c>
      <c r="F1383" s="16">
        <f>VLOOKUP(C1383,[1]master_data!$A$2:$E$495,3,FALSE)</f>
        <v>25000</v>
      </c>
      <c r="G1383" s="16">
        <f>VLOOKUP(C1383,[1]master_data!$A$2:$E$495,4,FALSE)</f>
        <v>50000</v>
      </c>
      <c r="H1383" s="16">
        <f>E1383*F1383</f>
        <v>125000</v>
      </c>
      <c r="I1383" s="16">
        <f>E1383*G1383</f>
        <v>250000</v>
      </c>
      <c r="J1383" s="16">
        <f>I1383-H1383</f>
        <v>125000</v>
      </c>
      <c r="K1383" s="16" t="str">
        <f>VLOOKUP(C1383,[1]master_data!$A$2:$E$495,5,FALSE)</f>
        <v>Ikan</v>
      </c>
      <c r="L1383" s="1"/>
    </row>
    <row r="1384" spans="1:12" ht="12" customHeight="1" x14ac:dyDescent="0.25">
      <c r="A1384" s="15">
        <v>45110</v>
      </c>
      <c r="B1384" s="16">
        <v>22301120</v>
      </c>
      <c r="C1384" s="16" t="s">
        <v>349</v>
      </c>
      <c r="D1384" s="16" t="str">
        <f>VLOOKUP(C1384,[1]master_data!$A$2:$E$495,2,FALSE)</f>
        <v>AKUARIUM 70 ROBOT</v>
      </c>
      <c r="E1384" s="16">
        <v>2</v>
      </c>
      <c r="F1384" s="16">
        <f>VLOOKUP(C1384,[1]master_data!$A$2:$E$495,3,FALSE)</f>
        <v>260000</v>
      </c>
      <c r="G1384" s="16">
        <f>VLOOKUP(C1384,[1]master_data!$A$2:$E$495,4,FALSE)</f>
        <v>350000</v>
      </c>
      <c r="H1384" s="16">
        <f>E1384*F1384</f>
        <v>520000</v>
      </c>
      <c r="I1384" s="16">
        <f>E1384*G1384</f>
        <v>700000</v>
      </c>
      <c r="J1384" s="16">
        <f>I1384-H1384</f>
        <v>180000</v>
      </c>
      <c r="K1384" s="16" t="str">
        <f>VLOOKUP(C1384,[1]master_data!$A$2:$E$495,5,FALSE)</f>
        <v>Aksesoris</v>
      </c>
      <c r="L1384" s="1"/>
    </row>
    <row r="1385" spans="1:12" ht="12" customHeight="1" x14ac:dyDescent="0.25">
      <c r="A1385" s="15">
        <v>45110</v>
      </c>
      <c r="B1385" s="16">
        <v>22301121</v>
      </c>
      <c r="C1385" s="16" t="s">
        <v>33</v>
      </c>
      <c r="D1385" s="16" t="str">
        <f>VLOOKUP(C1385,[1]master_data!$A$2:$E$495,2,FALSE)</f>
        <v>MESIN YAMANO 1200</v>
      </c>
      <c r="E1385" s="16">
        <v>8</v>
      </c>
      <c r="F1385" s="16">
        <f>VLOOKUP(C1385,[1]master_data!$A$2:$E$495,3,FALSE)</f>
        <v>27000</v>
      </c>
      <c r="G1385" s="16">
        <f>VLOOKUP(C1385,[1]master_data!$A$2:$E$495,4,FALSE)</f>
        <v>40000</v>
      </c>
      <c r="H1385" s="16">
        <f>E1385*F1385</f>
        <v>216000</v>
      </c>
      <c r="I1385" s="16">
        <f>E1385*G1385</f>
        <v>320000</v>
      </c>
      <c r="J1385" s="16">
        <f>I1385-H1385</f>
        <v>104000</v>
      </c>
      <c r="K1385" s="16" t="str">
        <f>VLOOKUP(C1385,[1]master_data!$A$2:$E$495,5,FALSE)</f>
        <v>Aksesoris</v>
      </c>
      <c r="L1385" s="1"/>
    </row>
    <row r="1386" spans="1:12" ht="12" customHeight="1" x14ac:dyDescent="0.25">
      <c r="A1386" s="15">
        <v>45110</v>
      </c>
      <c r="B1386" s="16">
        <v>22301122</v>
      </c>
      <c r="C1386" s="16" t="s">
        <v>430</v>
      </c>
      <c r="D1386" s="16" t="str">
        <f>VLOOKUP(C1386,[1]master_data!$A$2:$E$495,2,FALSE)</f>
        <v>MARU K</v>
      </c>
      <c r="E1386" s="16">
        <v>1</v>
      </c>
      <c r="F1386" s="16">
        <f>VLOOKUP(C1386,[1]master_data!$A$2:$E$495,3,FALSE)</f>
        <v>23000</v>
      </c>
      <c r="G1386" s="16">
        <f>VLOOKUP(C1386,[1]master_data!$A$2:$E$495,4,FALSE)</f>
        <v>50000</v>
      </c>
      <c r="H1386" s="16">
        <f>E1386*F1386</f>
        <v>23000</v>
      </c>
      <c r="I1386" s="16">
        <f>E1386*G1386</f>
        <v>50000</v>
      </c>
      <c r="J1386" s="16">
        <f>I1386-H1386</f>
        <v>27000</v>
      </c>
      <c r="K1386" s="16" t="str">
        <f>VLOOKUP(C1386,[1]master_data!$A$2:$E$495,5,FALSE)</f>
        <v>Ikan</v>
      </c>
      <c r="L1386" s="1"/>
    </row>
    <row r="1387" spans="1:12" ht="12" customHeight="1" x14ac:dyDescent="0.25">
      <c r="A1387" s="15">
        <v>45109</v>
      </c>
      <c r="B1387" s="16">
        <v>22301109</v>
      </c>
      <c r="C1387" s="16" t="s">
        <v>423</v>
      </c>
      <c r="D1387" s="16" t="str">
        <f>VLOOKUP(C1387,[1]master_data!$A$2:$E$495,2,FALSE)</f>
        <v>CAROLINE</v>
      </c>
      <c r="E1387" s="16">
        <v>30</v>
      </c>
      <c r="F1387" s="16">
        <f>VLOOKUP(C1387,[1]master_data!$A$2:$E$495,3,FALSE)</f>
        <v>900</v>
      </c>
      <c r="G1387" s="16">
        <f>VLOOKUP(C1387,[1]master_data!$A$2:$E$495,4,FALSE)</f>
        <v>2000</v>
      </c>
      <c r="H1387" s="16">
        <f>E1387*F1387</f>
        <v>27000</v>
      </c>
      <c r="I1387" s="16">
        <f>E1387*G1387</f>
        <v>60000</v>
      </c>
      <c r="J1387" s="16">
        <f>I1387-H1387</f>
        <v>33000</v>
      </c>
      <c r="K1387" s="16" t="str">
        <f>VLOOKUP(C1387,[1]master_data!$A$2:$E$495,5,FALSE)</f>
        <v>Ikan</v>
      </c>
      <c r="L1387" s="1"/>
    </row>
    <row r="1388" spans="1:12" ht="12" customHeight="1" x14ac:dyDescent="0.25">
      <c r="A1388" s="15">
        <v>45109</v>
      </c>
      <c r="B1388" s="16">
        <v>22301110</v>
      </c>
      <c r="C1388" s="16" t="s">
        <v>375</v>
      </c>
      <c r="D1388" s="16" t="str">
        <f>VLOOKUP(C1388,[1]master_data!$A$2:$E$495,2,FALSE)</f>
        <v>PASIR MEARAH B</v>
      </c>
      <c r="E1388" s="16">
        <v>10</v>
      </c>
      <c r="F1388" s="16">
        <f>VLOOKUP(C1388,[1]master_data!$A$2:$E$495,3,FALSE)</f>
        <v>8000</v>
      </c>
      <c r="G1388" s="16">
        <f>VLOOKUP(C1388,[1]master_data!$A$2:$E$495,4,FALSE)</f>
        <v>25000</v>
      </c>
      <c r="H1388" s="16">
        <f>E1388*F1388</f>
        <v>80000</v>
      </c>
      <c r="I1388" s="16">
        <f>E1388*G1388</f>
        <v>250000</v>
      </c>
      <c r="J1388" s="16">
        <f>I1388-H1388</f>
        <v>170000</v>
      </c>
      <c r="K1388" s="16" t="str">
        <f>VLOOKUP(C1388,[1]master_data!$A$2:$E$495,5,FALSE)</f>
        <v>Aksesoris</v>
      </c>
      <c r="L1388" s="1"/>
    </row>
    <row r="1389" spans="1:12" ht="12" customHeight="1" x14ac:dyDescent="0.25">
      <c r="A1389" s="15">
        <v>45109</v>
      </c>
      <c r="B1389" s="16">
        <v>22301111</v>
      </c>
      <c r="C1389" s="16" t="s">
        <v>252</v>
      </c>
      <c r="D1389" s="16" t="str">
        <f>VLOOKUP(C1389,[1]master_data!$A$2:$E$495,2,FALSE)</f>
        <v>STOP KUTU</v>
      </c>
      <c r="E1389" s="16">
        <v>5</v>
      </c>
      <c r="F1389" s="16">
        <f>VLOOKUP(C1389,[1]master_data!$A$2:$E$495,3,FALSE)</f>
        <v>10000</v>
      </c>
      <c r="G1389" s="16">
        <f>VLOOKUP(C1389,[1]master_data!$A$2:$E$495,4,FALSE)</f>
        <v>15000</v>
      </c>
      <c r="H1389" s="16">
        <f>E1389*F1389</f>
        <v>50000</v>
      </c>
      <c r="I1389" s="16">
        <f>E1389*G1389</f>
        <v>75000</v>
      </c>
      <c r="J1389" s="16">
        <f>I1389-H1389</f>
        <v>25000</v>
      </c>
      <c r="K1389" s="16" t="str">
        <f>VLOOKUP(C1389,[1]master_data!$A$2:$E$495,5,FALSE)</f>
        <v>Aksesoris</v>
      </c>
      <c r="L1389" s="1"/>
    </row>
    <row r="1390" spans="1:12" ht="12" customHeight="1" x14ac:dyDescent="0.25">
      <c r="A1390" s="15">
        <v>45109</v>
      </c>
      <c r="B1390" s="16">
        <v>22301112</v>
      </c>
      <c r="C1390" s="16" t="s">
        <v>18</v>
      </c>
      <c r="D1390" s="16" t="str">
        <f>VLOOKUP(C1390,[1]master_data!$A$2:$E$495,2,FALSE)</f>
        <v>MESIN YANG WAVE MAKER 200</v>
      </c>
      <c r="E1390" s="16">
        <v>2</v>
      </c>
      <c r="F1390" s="16">
        <f>VLOOKUP(C1390,[1]master_data!$A$2:$E$495,3,FALSE)</f>
        <v>118000</v>
      </c>
      <c r="G1390" s="16">
        <f>VLOOKUP(C1390,[1]master_data!$A$2:$E$495,4,FALSE)</f>
        <v>150000</v>
      </c>
      <c r="H1390" s="16">
        <f>E1390*F1390</f>
        <v>236000</v>
      </c>
      <c r="I1390" s="16">
        <f>E1390*G1390</f>
        <v>300000</v>
      </c>
      <c r="J1390" s="16">
        <f>I1390-H1390</f>
        <v>64000</v>
      </c>
      <c r="K1390" s="16" t="str">
        <f>VLOOKUP(C1390,[1]master_data!$A$2:$E$495,5,FALSE)</f>
        <v>Aksesoris</v>
      </c>
      <c r="L1390" s="1"/>
    </row>
    <row r="1391" spans="1:12" ht="12" customHeight="1" x14ac:dyDescent="0.25">
      <c r="A1391" s="15">
        <v>45109</v>
      </c>
      <c r="B1391" s="16">
        <v>22301113</v>
      </c>
      <c r="C1391" s="16" t="s">
        <v>177</v>
      </c>
      <c r="D1391" s="16" t="str">
        <f>VLOOKUP(C1391,[1]master_data!$A$2:$E$495,2,FALSE)</f>
        <v>LED KANDILA PRO RED 180 CM</v>
      </c>
      <c r="E1391" s="16">
        <v>1</v>
      </c>
      <c r="F1391" s="16">
        <f>VLOOKUP(C1391,[1]master_data!$A$2:$E$495,3,FALSE)</f>
        <v>317000</v>
      </c>
      <c r="G1391" s="16">
        <f>VLOOKUP(C1391,[1]master_data!$A$2:$E$495,4,FALSE)</f>
        <v>425000</v>
      </c>
      <c r="H1391" s="16">
        <f>E1391*F1391</f>
        <v>317000</v>
      </c>
      <c r="I1391" s="16">
        <f>E1391*G1391</f>
        <v>425000</v>
      </c>
      <c r="J1391" s="16">
        <f>I1391-H1391</f>
        <v>108000</v>
      </c>
      <c r="K1391" s="16" t="str">
        <f>VLOOKUP(C1391,[1]master_data!$A$2:$E$495,5,FALSE)</f>
        <v>Aksesoris</v>
      </c>
      <c r="L1391" s="1"/>
    </row>
    <row r="1392" spans="1:12" ht="12" customHeight="1" x14ac:dyDescent="0.25">
      <c r="A1392" s="15">
        <v>45109</v>
      </c>
      <c r="B1392" s="16">
        <v>22301114</v>
      </c>
      <c r="C1392" s="16" t="s">
        <v>221</v>
      </c>
      <c r="D1392" s="16" t="str">
        <f>VLOOKUP(C1392,[1]master_data!$A$2:$E$495,2,FALSE)</f>
        <v>HOKKY KOI COLOUR</v>
      </c>
      <c r="E1392" s="16">
        <v>5</v>
      </c>
      <c r="F1392" s="16">
        <f>VLOOKUP(C1392,[1]master_data!$A$2:$E$495,3,FALSE)</f>
        <v>55000</v>
      </c>
      <c r="G1392" s="16">
        <f>VLOOKUP(C1392,[1]master_data!$A$2:$E$495,4,FALSE)</f>
        <v>60000</v>
      </c>
      <c r="H1392" s="16">
        <f>E1392*F1392</f>
        <v>275000</v>
      </c>
      <c r="I1392" s="16">
        <f>E1392*G1392</f>
        <v>300000</v>
      </c>
      <c r="J1392" s="16">
        <f>I1392-H1392</f>
        <v>25000</v>
      </c>
      <c r="K1392" s="16" t="str">
        <f>VLOOKUP(C1392,[1]master_data!$A$2:$E$495,5,FALSE)</f>
        <v>Aksesoris</v>
      </c>
      <c r="L1392" s="1"/>
    </row>
    <row r="1393" spans="1:12" ht="12" customHeight="1" x14ac:dyDescent="0.25">
      <c r="A1393" s="15">
        <v>45109</v>
      </c>
      <c r="B1393" s="16">
        <v>22301115</v>
      </c>
      <c r="C1393" s="16" t="s">
        <v>382</v>
      </c>
      <c r="D1393" s="16" t="str">
        <f>VLOOKUP(C1393,[1]master_data!$A$2:$E$495,2,FALSE)</f>
        <v>BATU GOMBONG K</v>
      </c>
      <c r="E1393" s="16">
        <v>1</v>
      </c>
      <c r="F1393" s="16">
        <f>VLOOKUP(C1393,[1]master_data!$A$2:$E$495,3,FALSE)</f>
        <v>20000</v>
      </c>
      <c r="G1393" s="16">
        <f>VLOOKUP(C1393,[1]master_data!$A$2:$E$495,4,FALSE)</f>
        <v>40000</v>
      </c>
      <c r="H1393" s="16">
        <f>E1393*F1393</f>
        <v>20000</v>
      </c>
      <c r="I1393" s="16">
        <f>E1393*G1393</f>
        <v>40000</v>
      </c>
      <c r="J1393" s="16">
        <f>I1393-H1393</f>
        <v>20000</v>
      </c>
      <c r="K1393" s="16" t="str">
        <f>VLOOKUP(C1393,[1]master_data!$A$2:$E$495,5,FALSE)</f>
        <v>Aksesoris</v>
      </c>
      <c r="L1393" s="1"/>
    </row>
    <row r="1394" spans="1:12" ht="12" customHeight="1" x14ac:dyDescent="0.25">
      <c r="A1394" s="15">
        <v>45109</v>
      </c>
      <c r="B1394" s="16">
        <v>22301116</v>
      </c>
      <c r="C1394" s="16" t="s">
        <v>444</v>
      </c>
      <c r="D1394" s="16" t="str">
        <f>VLOOKUP(C1394,[1]master_data!$A$2:$E$495,2,FALSE)</f>
        <v>REDFIN HITAM</v>
      </c>
      <c r="E1394" s="16">
        <v>12</v>
      </c>
      <c r="F1394" s="16">
        <f>VLOOKUP(C1394,[1]master_data!$A$2:$E$495,3,FALSE)</f>
        <v>1500</v>
      </c>
      <c r="G1394" s="16">
        <f>VLOOKUP(C1394,[1]master_data!$A$2:$E$495,4,FALSE)</f>
        <v>4000</v>
      </c>
      <c r="H1394" s="16">
        <f>E1394*F1394</f>
        <v>18000</v>
      </c>
      <c r="I1394" s="16">
        <f>E1394*G1394</f>
        <v>48000</v>
      </c>
      <c r="J1394" s="16">
        <f>I1394-H1394</f>
        <v>30000</v>
      </c>
      <c r="K1394" s="16" t="str">
        <f>VLOOKUP(C1394,[1]master_data!$A$2:$E$495,5,FALSE)</f>
        <v>Ikan</v>
      </c>
      <c r="L1394" s="1"/>
    </row>
    <row r="1395" spans="1:12" ht="12" customHeight="1" x14ac:dyDescent="0.25">
      <c r="A1395" s="15">
        <v>45109</v>
      </c>
      <c r="B1395" s="16">
        <v>22301117</v>
      </c>
      <c r="C1395" s="16" t="s">
        <v>36</v>
      </c>
      <c r="D1395" s="16" t="str">
        <f>VLOOKUP(C1395,[1]master_data!$A$2:$E$495,2,FALSE)</f>
        <v>MESIN YAMANO ACT 3800</v>
      </c>
      <c r="E1395" s="16">
        <v>1</v>
      </c>
      <c r="F1395" s="16">
        <f>VLOOKUP(C1395,[1]master_data!$A$2:$E$495,3,FALSE)</f>
        <v>400000</v>
      </c>
      <c r="G1395" s="16">
        <f>VLOOKUP(C1395,[1]master_data!$A$2:$E$495,4,FALSE)</f>
        <v>475000</v>
      </c>
      <c r="H1395" s="16">
        <f>E1395*F1395</f>
        <v>400000</v>
      </c>
      <c r="I1395" s="16">
        <f>E1395*G1395</f>
        <v>475000</v>
      </c>
      <c r="J1395" s="16">
        <f>I1395-H1395</f>
        <v>75000</v>
      </c>
      <c r="K1395" s="16" t="str">
        <f>VLOOKUP(C1395,[1]master_data!$A$2:$E$495,5,FALSE)</f>
        <v>Aksesoris</v>
      </c>
      <c r="L1395" s="1"/>
    </row>
    <row r="1396" spans="1:12" ht="12" customHeight="1" x14ac:dyDescent="0.25">
      <c r="A1396" s="15">
        <v>45108</v>
      </c>
      <c r="B1396" s="16">
        <v>22301101</v>
      </c>
      <c r="C1396" s="16" t="s">
        <v>448</v>
      </c>
      <c r="D1396" s="16" t="str">
        <f>VLOOKUP(C1396,[1]master_data!$A$2:$E$495,2,FALSE)</f>
        <v>SUMATRA BIASA</v>
      </c>
      <c r="E1396" s="16">
        <v>20</v>
      </c>
      <c r="F1396" s="16">
        <f>VLOOKUP(C1396,[1]master_data!$A$2:$E$495,3,FALSE)</f>
        <v>800</v>
      </c>
      <c r="G1396" s="16">
        <f>VLOOKUP(C1396,[1]master_data!$A$2:$E$495,4,FALSE)</f>
        <v>2000</v>
      </c>
      <c r="H1396" s="16">
        <f>E1396*F1396</f>
        <v>16000</v>
      </c>
      <c r="I1396" s="16">
        <f>E1396*G1396</f>
        <v>40000</v>
      </c>
      <c r="J1396" s="16">
        <f>I1396-H1396</f>
        <v>24000</v>
      </c>
      <c r="K1396" s="16" t="str">
        <f>VLOOKUP(C1396,[1]master_data!$A$2:$E$495,5,FALSE)</f>
        <v>Ikan</v>
      </c>
      <c r="L1396" s="1"/>
    </row>
    <row r="1397" spans="1:12" ht="12" customHeight="1" x14ac:dyDescent="0.25">
      <c r="A1397" s="15">
        <v>45108</v>
      </c>
      <c r="B1397" s="16">
        <v>22301102</v>
      </c>
      <c r="C1397" s="16" t="s">
        <v>446</v>
      </c>
      <c r="D1397" s="16" t="str">
        <f>VLOOKUP(C1397,[1]master_data!$A$2:$E$495,2,FALSE)</f>
        <v xml:space="preserve"> CHANNA RED BARITO K</v>
      </c>
      <c r="E1397" s="16">
        <v>1</v>
      </c>
      <c r="F1397" s="16">
        <f>VLOOKUP(C1397,[1]master_data!$A$2:$E$495,3,FALSE)</f>
        <v>45000</v>
      </c>
      <c r="G1397" s="16">
        <f>VLOOKUP(C1397,[1]master_data!$A$2:$E$495,4,FALSE)</f>
        <v>100000</v>
      </c>
      <c r="H1397" s="16">
        <f>E1397*F1397</f>
        <v>45000</v>
      </c>
      <c r="I1397" s="16">
        <f>E1397*G1397</f>
        <v>100000</v>
      </c>
      <c r="J1397" s="16">
        <f>I1397-H1397</f>
        <v>55000</v>
      </c>
      <c r="K1397" s="16" t="str">
        <f>VLOOKUP(C1397,[1]master_data!$A$2:$E$495,5,FALSE)</f>
        <v>Ikan</v>
      </c>
      <c r="L1397" s="1"/>
    </row>
    <row r="1398" spans="1:12" ht="12" customHeight="1" x14ac:dyDescent="0.25">
      <c r="A1398" s="15">
        <v>45108</v>
      </c>
      <c r="B1398" s="16">
        <v>22301103</v>
      </c>
      <c r="C1398" s="16" t="s">
        <v>440</v>
      </c>
      <c r="D1398" s="16" t="str">
        <f>VLOOKUP(C1398,[1]master_data!$A$2:$E$495,2,FALSE)</f>
        <v>PEMBERSIH KACA ALBINO</v>
      </c>
      <c r="E1398" s="16">
        <v>20</v>
      </c>
      <c r="F1398" s="16">
        <f>VLOOKUP(C1398,[1]master_data!$A$2:$E$495,3,FALSE)</f>
        <v>2500</v>
      </c>
      <c r="G1398" s="16">
        <f>VLOOKUP(C1398,[1]master_data!$A$2:$E$495,4,FALSE)</f>
        <v>5000</v>
      </c>
      <c r="H1398" s="16">
        <f>E1398*F1398</f>
        <v>50000</v>
      </c>
      <c r="I1398" s="16">
        <f>E1398*G1398</f>
        <v>100000</v>
      </c>
      <c r="J1398" s="16">
        <f>I1398-H1398</f>
        <v>50000</v>
      </c>
      <c r="K1398" s="16" t="str">
        <f>VLOOKUP(C1398,[1]master_data!$A$2:$E$495,5,FALSE)</f>
        <v>Ikan</v>
      </c>
      <c r="L1398" s="1"/>
    </row>
    <row r="1399" spans="1:12" ht="12" customHeight="1" x14ac:dyDescent="0.25">
      <c r="A1399" s="15">
        <v>45108</v>
      </c>
      <c r="B1399" s="16">
        <v>22301104</v>
      </c>
      <c r="C1399" s="16" t="s">
        <v>401</v>
      </c>
      <c r="D1399" s="16" t="str">
        <f>VLOOKUP(C1399,[1]master_data!$A$2:$E$495,2,FALSE)</f>
        <v>CHANNA BLUE PULCHRA K</v>
      </c>
      <c r="E1399" s="16">
        <v>1</v>
      </c>
      <c r="F1399" s="16">
        <f>VLOOKUP(C1399,[1]master_data!$A$2:$E$495,3,FALSE)</f>
        <v>25000</v>
      </c>
      <c r="G1399" s="16">
        <f>VLOOKUP(C1399,[1]master_data!$A$2:$E$495,4,FALSE)</f>
        <v>50000</v>
      </c>
      <c r="H1399" s="16">
        <f>E1399*F1399</f>
        <v>25000</v>
      </c>
      <c r="I1399" s="16">
        <f>E1399*G1399</f>
        <v>50000</v>
      </c>
      <c r="J1399" s="16">
        <f>I1399-H1399</f>
        <v>25000</v>
      </c>
      <c r="K1399" s="16" t="str">
        <f>VLOOKUP(C1399,[1]master_data!$A$2:$E$495,5,FALSE)</f>
        <v>Ikan</v>
      </c>
      <c r="L1399" s="1"/>
    </row>
    <row r="1400" spans="1:12" ht="12" customHeight="1" x14ac:dyDescent="0.25">
      <c r="A1400" s="15">
        <v>45108</v>
      </c>
      <c r="B1400" s="16">
        <v>22301105</v>
      </c>
      <c r="C1400" s="16" t="s">
        <v>438</v>
      </c>
      <c r="D1400" s="16" t="str">
        <f>VLOOKUP(C1400,[1]master_data!$A$2:$E$495,2,FALSE)</f>
        <v>OSCAR</v>
      </c>
      <c r="E1400" s="16">
        <v>5</v>
      </c>
      <c r="F1400" s="16">
        <f>VLOOKUP(C1400,[1]master_data!$A$2:$E$495,3,FALSE)</f>
        <v>25000</v>
      </c>
      <c r="G1400" s="16">
        <f>VLOOKUP(C1400,[1]master_data!$A$2:$E$495,4,FALSE)</f>
        <v>50000</v>
      </c>
      <c r="H1400" s="16">
        <f>E1400*F1400</f>
        <v>125000</v>
      </c>
      <c r="I1400" s="16">
        <f>E1400*G1400</f>
        <v>250000</v>
      </c>
      <c r="J1400" s="16">
        <f>I1400-H1400</f>
        <v>125000</v>
      </c>
      <c r="K1400" s="16" t="str">
        <f>VLOOKUP(C1400,[1]master_data!$A$2:$E$495,5,FALSE)</f>
        <v>Ikan</v>
      </c>
      <c r="L1400" s="1"/>
    </row>
    <row r="1401" spans="1:12" ht="12" customHeight="1" x14ac:dyDescent="0.25">
      <c r="A1401" s="15">
        <v>45108</v>
      </c>
      <c r="B1401" s="16">
        <v>22301106</v>
      </c>
      <c r="C1401" s="16" t="s">
        <v>227</v>
      </c>
      <c r="D1401" s="16" t="str">
        <f>VLOOKUP(C1401,[1]master_data!$A$2:$E$495,2,FALSE)</f>
        <v>OK IKO LOUHAN HITAM</v>
      </c>
      <c r="E1401" s="16">
        <v>10</v>
      </c>
      <c r="F1401" s="16">
        <f>VLOOKUP(C1401,[1]master_data!$A$2:$E$495,3,FALSE)</f>
        <v>31500</v>
      </c>
      <c r="G1401" s="16">
        <f>VLOOKUP(C1401,[1]master_data!$A$2:$E$495,4,FALSE)</f>
        <v>50000</v>
      </c>
      <c r="H1401" s="16">
        <f>E1401*F1401</f>
        <v>315000</v>
      </c>
      <c r="I1401" s="16">
        <f>E1401*G1401</f>
        <v>500000</v>
      </c>
      <c r="J1401" s="16">
        <f>I1401-H1401</f>
        <v>185000</v>
      </c>
      <c r="K1401" s="16" t="str">
        <f>VLOOKUP(C1401,[1]master_data!$A$2:$E$495,5,FALSE)</f>
        <v>Aksesoris</v>
      </c>
      <c r="L1401" s="1"/>
    </row>
    <row r="1402" spans="1:12" ht="12" customHeight="1" x14ac:dyDescent="0.25">
      <c r="A1402" s="15">
        <v>45108</v>
      </c>
      <c r="B1402" s="16">
        <v>22301107</v>
      </c>
      <c r="C1402" s="16" t="s">
        <v>302</v>
      </c>
      <c r="D1402" s="16" t="str">
        <f>VLOOKUP(C1402,[1]master_data!$A$2:$E$495,2,FALSE)</f>
        <v>PIPA LONJOR 2 M</v>
      </c>
      <c r="E1402" s="16">
        <v>2</v>
      </c>
      <c r="F1402" s="16">
        <f>VLOOKUP(C1402,[1]master_data!$A$2:$E$495,3,FALSE)</f>
        <v>5000</v>
      </c>
      <c r="G1402" s="16">
        <f>VLOOKUP(C1402,[1]master_data!$A$2:$E$495,4,FALSE)</f>
        <v>10000</v>
      </c>
      <c r="H1402" s="16">
        <f>E1402*F1402</f>
        <v>10000</v>
      </c>
      <c r="I1402" s="16">
        <f>E1402*G1402</f>
        <v>20000</v>
      </c>
      <c r="J1402" s="16">
        <f>I1402-H1402</f>
        <v>10000</v>
      </c>
      <c r="K1402" s="16" t="str">
        <f>VLOOKUP(C1402,[1]master_data!$A$2:$E$495,5,FALSE)</f>
        <v>Aksesoris</v>
      </c>
      <c r="L1402" s="1"/>
    </row>
    <row r="1403" spans="1:12" ht="12" customHeight="1" x14ac:dyDescent="0.25">
      <c r="A1403" s="15">
        <v>45108</v>
      </c>
      <c r="B1403" s="16">
        <v>22301108</v>
      </c>
      <c r="C1403" s="16" t="s">
        <v>415</v>
      </c>
      <c r="D1403" s="16" t="str">
        <f>VLOOKUP(C1403,[1]master_data!$A$2:$E$495,2,FALSE)</f>
        <v>KOI T</v>
      </c>
      <c r="E1403" s="16">
        <v>1</v>
      </c>
      <c r="F1403" s="16">
        <f>VLOOKUP(C1403,[1]master_data!$A$2:$E$495,3,FALSE)</f>
        <v>7000</v>
      </c>
      <c r="G1403" s="16">
        <f>VLOOKUP(C1403,[1]master_data!$A$2:$E$495,4,FALSE)</f>
        <v>20000</v>
      </c>
      <c r="H1403" s="16">
        <f>E1403*F1403</f>
        <v>7000</v>
      </c>
      <c r="I1403" s="16">
        <f>E1403*G1403</f>
        <v>20000</v>
      </c>
      <c r="J1403" s="16">
        <f>I1403-H1403</f>
        <v>13000</v>
      </c>
      <c r="K1403" s="16" t="str">
        <f>VLOOKUP(C1403,[1]master_data!$A$2:$E$495,5,FALSE)</f>
        <v>Ikan</v>
      </c>
      <c r="L1403" s="1"/>
    </row>
    <row r="1404" spans="1:12" ht="12" customHeight="1" x14ac:dyDescent="0.25">
      <c r="A1404" s="15">
        <v>45107</v>
      </c>
      <c r="B1404" s="16">
        <v>22301096</v>
      </c>
      <c r="C1404" s="16" t="s">
        <v>410</v>
      </c>
      <c r="D1404" s="16" t="str">
        <f>VLOOKUP(C1404,[1]master_data!$A$2:$E$495,2,FALSE)</f>
        <v>HIU TAWAR</v>
      </c>
      <c r="E1404" s="16">
        <v>15</v>
      </c>
      <c r="F1404" s="16">
        <f>VLOOKUP(C1404,[1]master_data!$A$2:$E$495,3,FALSE)</f>
        <v>600</v>
      </c>
      <c r="G1404" s="16">
        <f>VLOOKUP(C1404,[1]master_data!$A$2:$E$495,4,FALSE)</f>
        <v>2000</v>
      </c>
      <c r="H1404" s="16">
        <f>E1404*F1404</f>
        <v>9000</v>
      </c>
      <c r="I1404" s="16">
        <f>E1404*G1404</f>
        <v>30000</v>
      </c>
      <c r="J1404" s="16">
        <f>I1404-H1404</f>
        <v>21000</v>
      </c>
      <c r="K1404" s="16" t="str">
        <f>VLOOKUP(C1404,[1]master_data!$A$2:$E$495,5,FALSE)</f>
        <v>Ikan</v>
      </c>
      <c r="L1404" s="1"/>
    </row>
    <row r="1405" spans="1:12" ht="12" customHeight="1" x14ac:dyDescent="0.25">
      <c r="A1405" s="15">
        <v>45107</v>
      </c>
      <c r="B1405" s="16">
        <v>22301097</v>
      </c>
      <c r="C1405" s="16" t="s">
        <v>160</v>
      </c>
      <c r="D1405" s="16" t="str">
        <f>VLOOKUP(C1405,[1]master_data!$A$2:$E$495,2,FALSE)</f>
        <v>LED KANDILA PRO RED 80 CM</v>
      </c>
      <c r="E1405" s="16">
        <v>2</v>
      </c>
      <c r="F1405" s="16">
        <f>VLOOKUP(C1405,[1]master_data!$A$2:$E$495,3,FALSE)</f>
        <v>176500</v>
      </c>
      <c r="G1405" s="16">
        <f>VLOOKUP(C1405,[1]master_data!$A$2:$E$495,4,FALSE)</f>
        <v>235000</v>
      </c>
      <c r="H1405" s="16">
        <f>E1405*F1405</f>
        <v>353000</v>
      </c>
      <c r="I1405" s="16">
        <f>E1405*G1405</f>
        <v>470000</v>
      </c>
      <c r="J1405" s="16">
        <f>I1405-H1405</f>
        <v>117000</v>
      </c>
      <c r="K1405" s="16" t="str">
        <f>VLOOKUP(C1405,[1]master_data!$A$2:$E$495,5,FALSE)</f>
        <v>Aksesoris</v>
      </c>
      <c r="L1405" s="1"/>
    </row>
    <row r="1406" spans="1:12" ht="12" customHeight="1" x14ac:dyDescent="0.25">
      <c r="A1406" s="15">
        <v>45107</v>
      </c>
      <c r="B1406" s="16">
        <v>22301098</v>
      </c>
      <c r="C1406" s="16" t="s">
        <v>446</v>
      </c>
      <c r="D1406" s="16" t="str">
        <f>VLOOKUP(C1406,[1]master_data!$A$2:$E$495,2,FALSE)</f>
        <v xml:space="preserve"> CHANNA RED BARITO K</v>
      </c>
      <c r="E1406" s="16">
        <v>4</v>
      </c>
      <c r="F1406" s="16">
        <f>VLOOKUP(C1406,[1]master_data!$A$2:$E$495,3,FALSE)</f>
        <v>45000</v>
      </c>
      <c r="G1406" s="16">
        <f>VLOOKUP(C1406,[1]master_data!$A$2:$E$495,4,FALSE)</f>
        <v>100000</v>
      </c>
      <c r="H1406" s="16">
        <f>E1406*F1406</f>
        <v>180000</v>
      </c>
      <c r="I1406" s="16">
        <f>E1406*G1406</f>
        <v>400000</v>
      </c>
      <c r="J1406" s="16">
        <f>I1406-H1406</f>
        <v>220000</v>
      </c>
      <c r="K1406" s="16" t="str">
        <f>VLOOKUP(C1406,[1]master_data!$A$2:$E$495,5,FALSE)</f>
        <v>Ikan</v>
      </c>
      <c r="L1406" s="1"/>
    </row>
    <row r="1407" spans="1:12" ht="12" customHeight="1" x14ac:dyDescent="0.25">
      <c r="A1407" s="15">
        <v>45107</v>
      </c>
      <c r="B1407" s="16">
        <v>22301099</v>
      </c>
      <c r="C1407" s="16" t="s">
        <v>455</v>
      </c>
      <c r="D1407" s="16" t="str">
        <f>VLOOKUP(C1407,[1]master_data!$A$2:$E$495,2,FALSE)</f>
        <v>ZEBRA PINK</v>
      </c>
      <c r="E1407" s="16">
        <v>18</v>
      </c>
      <c r="F1407" s="16">
        <f>VLOOKUP(C1407,[1]master_data!$A$2:$E$495,3,FALSE)</f>
        <v>800</v>
      </c>
      <c r="G1407" s="16">
        <f>VLOOKUP(C1407,[1]master_data!$A$2:$E$495,4,FALSE)</f>
        <v>2000</v>
      </c>
      <c r="H1407" s="16">
        <f>E1407*F1407</f>
        <v>14400</v>
      </c>
      <c r="I1407" s="16">
        <f>E1407*G1407</f>
        <v>36000</v>
      </c>
      <c r="J1407" s="16">
        <f>I1407-H1407</f>
        <v>21600</v>
      </c>
      <c r="K1407" s="16" t="str">
        <f>VLOOKUP(C1407,[1]master_data!$A$2:$E$495,5,FALSE)</f>
        <v>Ikan</v>
      </c>
      <c r="L1407" s="1"/>
    </row>
    <row r="1408" spans="1:12" ht="12" customHeight="1" x14ac:dyDescent="0.25">
      <c r="A1408" s="15">
        <v>45107</v>
      </c>
      <c r="B1408" s="16">
        <v>22301100</v>
      </c>
      <c r="C1408" s="16" t="s">
        <v>420</v>
      </c>
      <c r="D1408" s="16" t="str">
        <f>VLOOKUP(C1408,[1]master_data!$A$2:$E$495,2,FALSE)</f>
        <v>KOMET SLAYER</v>
      </c>
      <c r="E1408" s="16">
        <v>1</v>
      </c>
      <c r="F1408" s="16">
        <f>VLOOKUP(C1408,[1]master_data!$A$2:$E$495,3,FALSE)</f>
        <v>2000</v>
      </c>
      <c r="G1408" s="16">
        <f>VLOOKUP(C1408,[1]master_data!$A$2:$E$495,4,FALSE)</f>
        <v>5000</v>
      </c>
      <c r="H1408" s="16">
        <f>E1408*F1408</f>
        <v>2000</v>
      </c>
      <c r="I1408" s="16">
        <f>E1408*G1408</f>
        <v>5000</v>
      </c>
      <c r="J1408" s="16">
        <f>I1408-H1408</f>
        <v>3000</v>
      </c>
      <c r="K1408" s="16" t="str">
        <f>VLOOKUP(C1408,[1]master_data!$A$2:$E$495,5,FALSE)</f>
        <v>Ikan</v>
      </c>
      <c r="L1408" s="1"/>
    </row>
    <row r="1409" spans="1:12" ht="12" customHeight="1" x14ac:dyDescent="0.25">
      <c r="A1409" s="15">
        <v>45106</v>
      </c>
      <c r="B1409" s="16">
        <v>22301088</v>
      </c>
      <c r="C1409" s="16" t="s">
        <v>422</v>
      </c>
      <c r="D1409" s="16" t="str">
        <f>VLOOKUP(C1409,[1]master_data!$A$2:$E$495,2,FALSE)</f>
        <v>KOI SLAYER B</v>
      </c>
      <c r="E1409" s="16">
        <v>2</v>
      </c>
      <c r="F1409" s="16">
        <f>VLOOKUP(C1409,[1]master_data!$A$2:$E$495,3,FALSE)</f>
        <v>8000</v>
      </c>
      <c r="G1409" s="16">
        <f>VLOOKUP(C1409,[1]master_data!$A$2:$E$495,4,FALSE)</f>
        <v>20000</v>
      </c>
      <c r="H1409" s="16">
        <f>E1409*F1409</f>
        <v>16000</v>
      </c>
      <c r="I1409" s="16">
        <f>E1409*G1409</f>
        <v>40000</v>
      </c>
      <c r="J1409" s="16">
        <f>I1409-H1409</f>
        <v>24000</v>
      </c>
      <c r="K1409" s="16" t="str">
        <f>VLOOKUP(C1409,[1]master_data!$A$2:$E$495,5,FALSE)</f>
        <v>Ikan</v>
      </c>
      <c r="L1409" s="1"/>
    </row>
    <row r="1410" spans="1:12" ht="12" customHeight="1" x14ac:dyDescent="0.25">
      <c r="A1410" s="15">
        <v>45106</v>
      </c>
      <c r="B1410" s="16">
        <v>22301089</v>
      </c>
      <c r="C1410" s="16" t="s">
        <v>395</v>
      </c>
      <c r="D1410" s="16" t="str">
        <f>VLOOKUP(C1410,[1]master_data!$A$2:$E$495,2,FALSE)</f>
        <v>ALIGATOR</v>
      </c>
      <c r="E1410" s="16">
        <v>1</v>
      </c>
      <c r="F1410" s="16">
        <f>VLOOKUP(C1410,[1]master_data!$A$2:$E$495,3,FALSE)</f>
        <v>17000</v>
      </c>
      <c r="G1410" s="16">
        <f>VLOOKUP(C1410,[1]master_data!$A$2:$E$495,4,FALSE)</f>
        <v>35000</v>
      </c>
      <c r="H1410" s="16">
        <f>E1410*F1410</f>
        <v>17000</v>
      </c>
      <c r="I1410" s="16">
        <f>E1410*G1410</f>
        <v>35000</v>
      </c>
      <c r="J1410" s="16">
        <f>I1410-H1410</f>
        <v>18000</v>
      </c>
      <c r="K1410" s="16" t="str">
        <f>VLOOKUP(C1410,[1]master_data!$A$2:$E$495,5,FALSE)</f>
        <v>Ikan</v>
      </c>
      <c r="L1410" s="1"/>
    </row>
    <row r="1411" spans="1:12" ht="12" customHeight="1" x14ac:dyDescent="0.25">
      <c r="A1411" s="15">
        <v>45106</v>
      </c>
      <c r="B1411" s="16">
        <v>22301090</v>
      </c>
      <c r="C1411" s="16" t="s">
        <v>457</v>
      </c>
      <c r="D1411" s="16" t="str">
        <f>VLOOKUP(C1411,[1]master_data!$A$2:$E$495,2,FALSE)</f>
        <v>ZEBRA UNGU</v>
      </c>
      <c r="E1411" s="16">
        <v>30</v>
      </c>
      <c r="F1411" s="16">
        <f>VLOOKUP(C1411,[1]master_data!$A$2:$E$495,3,FALSE)</f>
        <v>800</v>
      </c>
      <c r="G1411" s="16">
        <f>VLOOKUP(C1411,[1]master_data!$A$2:$E$495,4,FALSE)</f>
        <v>2000</v>
      </c>
      <c r="H1411" s="16">
        <f>E1411*F1411</f>
        <v>24000</v>
      </c>
      <c r="I1411" s="16">
        <f>E1411*G1411</f>
        <v>60000</v>
      </c>
      <c r="J1411" s="16">
        <f>I1411-H1411</f>
        <v>36000</v>
      </c>
      <c r="K1411" s="16" t="str">
        <f>VLOOKUP(C1411,[1]master_data!$A$2:$E$495,5,FALSE)</f>
        <v>Ikan</v>
      </c>
      <c r="L1411" s="1"/>
    </row>
    <row r="1412" spans="1:12" ht="12" customHeight="1" x14ac:dyDescent="0.25">
      <c r="A1412" s="15">
        <v>45106</v>
      </c>
      <c r="B1412" s="16">
        <v>22301091</v>
      </c>
      <c r="C1412" s="16" t="s">
        <v>444</v>
      </c>
      <c r="D1412" s="16" t="str">
        <f>VLOOKUP(C1412,[1]master_data!$A$2:$E$495,2,FALSE)</f>
        <v>REDFIN HITAM</v>
      </c>
      <c r="E1412" s="16">
        <v>20</v>
      </c>
      <c r="F1412" s="16">
        <f>VLOOKUP(C1412,[1]master_data!$A$2:$E$495,3,FALSE)</f>
        <v>1500</v>
      </c>
      <c r="G1412" s="16">
        <f>VLOOKUP(C1412,[1]master_data!$A$2:$E$495,4,FALSE)</f>
        <v>4000</v>
      </c>
      <c r="H1412" s="16">
        <f>E1412*F1412</f>
        <v>30000</v>
      </c>
      <c r="I1412" s="16">
        <f>E1412*G1412</f>
        <v>80000</v>
      </c>
      <c r="J1412" s="16">
        <f>I1412-H1412</f>
        <v>50000</v>
      </c>
      <c r="K1412" s="16" t="str">
        <f>VLOOKUP(C1412,[1]master_data!$A$2:$E$495,5,FALSE)</f>
        <v>Ikan</v>
      </c>
      <c r="L1412" s="1"/>
    </row>
    <row r="1413" spans="1:12" ht="12" customHeight="1" x14ac:dyDescent="0.25">
      <c r="A1413" s="15">
        <v>45106</v>
      </c>
      <c r="B1413" s="16">
        <v>22301092</v>
      </c>
      <c r="C1413" s="16" t="s">
        <v>406</v>
      </c>
      <c r="D1413" s="16" t="str">
        <f>VLOOKUP(C1413,[1]master_data!$A$2:$E$495,2,FALSE)</f>
        <v>CATFISH</v>
      </c>
      <c r="E1413" s="16">
        <v>2</v>
      </c>
      <c r="F1413" s="16">
        <f>VLOOKUP(C1413,[1]master_data!$A$2:$E$495,3,FALSE)</f>
        <v>20000</v>
      </c>
      <c r="G1413" s="16">
        <f>VLOOKUP(C1413,[1]master_data!$A$2:$E$495,4,FALSE)</f>
        <v>50000</v>
      </c>
      <c r="H1413" s="16">
        <f>E1413*F1413</f>
        <v>40000</v>
      </c>
      <c r="I1413" s="16">
        <f>E1413*G1413</f>
        <v>100000</v>
      </c>
      <c r="J1413" s="16">
        <f>I1413-H1413</f>
        <v>60000</v>
      </c>
      <c r="K1413" s="16" t="str">
        <f>VLOOKUP(C1413,[1]master_data!$A$2:$E$495,5,FALSE)</f>
        <v>Ikan</v>
      </c>
      <c r="L1413" s="1"/>
    </row>
    <row r="1414" spans="1:12" ht="12" customHeight="1" x14ac:dyDescent="0.25">
      <c r="A1414" s="15">
        <v>45106</v>
      </c>
      <c r="B1414" s="16">
        <v>22301093</v>
      </c>
      <c r="C1414" s="16" t="s">
        <v>428</v>
      </c>
      <c r="D1414" s="16" t="str">
        <f>VLOOKUP(C1414,[1]master_data!$A$2:$E$495,2,FALSE)</f>
        <v>MANFISH K</v>
      </c>
      <c r="E1414" s="16">
        <v>30</v>
      </c>
      <c r="F1414" s="16">
        <f>VLOOKUP(C1414,[1]master_data!$A$2:$E$495,3,FALSE)</f>
        <v>2000</v>
      </c>
      <c r="G1414" s="16">
        <f>VLOOKUP(C1414,[1]master_data!$A$2:$E$495,4,FALSE)</f>
        <v>5000</v>
      </c>
      <c r="H1414" s="16">
        <f>E1414*F1414</f>
        <v>60000</v>
      </c>
      <c r="I1414" s="16">
        <f>E1414*G1414</f>
        <v>150000</v>
      </c>
      <c r="J1414" s="16">
        <f>I1414-H1414</f>
        <v>90000</v>
      </c>
      <c r="K1414" s="16" t="str">
        <f>VLOOKUP(C1414,[1]master_data!$A$2:$E$495,5,FALSE)</f>
        <v>Ikan</v>
      </c>
      <c r="L1414" s="1"/>
    </row>
    <row r="1415" spans="1:12" ht="12" customHeight="1" x14ac:dyDescent="0.25">
      <c r="A1415" s="15">
        <v>45106</v>
      </c>
      <c r="B1415" s="16">
        <v>22301094</v>
      </c>
      <c r="C1415" s="16" t="s">
        <v>419</v>
      </c>
      <c r="D1415" s="16" t="str">
        <f>VLOOKUP(C1415,[1]master_data!$A$2:$E$495,2,FALSE)</f>
        <v>KOMET PAKAN</v>
      </c>
      <c r="E1415" s="16">
        <v>45</v>
      </c>
      <c r="F1415" s="16">
        <f>VLOOKUP(C1415,[1]master_data!$A$2:$E$495,3,FALSE)</f>
        <v>300</v>
      </c>
      <c r="G1415" s="16">
        <f>VLOOKUP(C1415,[1]master_data!$A$2:$E$495,4,FALSE)</f>
        <v>1000</v>
      </c>
      <c r="H1415" s="16">
        <f>E1415*F1415</f>
        <v>13500</v>
      </c>
      <c r="I1415" s="16">
        <f>E1415*G1415</f>
        <v>45000</v>
      </c>
      <c r="J1415" s="16">
        <f>I1415-H1415</f>
        <v>31500</v>
      </c>
      <c r="K1415" s="16" t="str">
        <f>VLOOKUP(C1415,[1]master_data!$A$2:$E$495,5,FALSE)</f>
        <v>Ikan</v>
      </c>
      <c r="L1415" s="1"/>
    </row>
    <row r="1416" spans="1:12" ht="12" customHeight="1" x14ac:dyDescent="0.25">
      <c r="A1416" s="15">
        <v>45106</v>
      </c>
      <c r="B1416" s="16">
        <v>22301095</v>
      </c>
      <c r="C1416" s="16" t="s">
        <v>390</v>
      </c>
      <c r="D1416" s="16" t="str">
        <f>VLOOKUP(C1416,[1]master_data!$A$2:$E$495,2,FALSE)</f>
        <v>CHANNA ASIATICA B</v>
      </c>
      <c r="E1416" s="16">
        <v>2</v>
      </c>
      <c r="F1416" s="16">
        <f>VLOOKUP(C1416,[1]master_data!$A$2:$E$495,3,FALSE)</f>
        <v>40000</v>
      </c>
      <c r="G1416" s="16">
        <f>VLOOKUP(C1416,[1]master_data!$A$2:$E$495,4,FALSE)</f>
        <v>100000</v>
      </c>
      <c r="H1416" s="16">
        <f>E1416*F1416</f>
        <v>80000</v>
      </c>
      <c r="I1416" s="16">
        <f>E1416*G1416</f>
        <v>200000</v>
      </c>
      <c r="J1416" s="16">
        <f>I1416-H1416</f>
        <v>120000</v>
      </c>
      <c r="K1416" s="16" t="str">
        <f>VLOOKUP(C1416,[1]master_data!$A$2:$E$495,5,FALSE)</f>
        <v>Ikan</v>
      </c>
      <c r="L1416" s="1"/>
    </row>
    <row r="1417" spans="1:12" ht="12" customHeight="1" x14ac:dyDescent="0.25">
      <c r="A1417" s="15">
        <v>45105</v>
      </c>
      <c r="B1417" s="16">
        <v>22301084</v>
      </c>
      <c r="C1417" s="16" t="s">
        <v>422</v>
      </c>
      <c r="D1417" s="16" t="str">
        <f>VLOOKUP(C1417,[1]master_data!$A$2:$E$495,2,FALSE)</f>
        <v>KOI SLAYER B</v>
      </c>
      <c r="E1417" s="16">
        <v>10</v>
      </c>
      <c r="F1417" s="16">
        <f>VLOOKUP(C1417,[1]master_data!$A$2:$E$495,3,FALSE)</f>
        <v>8000</v>
      </c>
      <c r="G1417" s="16">
        <f>VLOOKUP(C1417,[1]master_data!$A$2:$E$495,4,FALSE)</f>
        <v>20000</v>
      </c>
      <c r="H1417" s="16">
        <f>E1417*F1417</f>
        <v>80000</v>
      </c>
      <c r="I1417" s="16">
        <f>E1417*G1417</f>
        <v>200000</v>
      </c>
      <c r="J1417" s="16">
        <f>I1417-H1417</f>
        <v>120000</v>
      </c>
      <c r="K1417" s="16" t="str">
        <f>VLOOKUP(C1417,[1]master_data!$A$2:$E$495,5,FALSE)</f>
        <v>Ikan</v>
      </c>
      <c r="L1417" s="1"/>
    </row>
    <row r="1418" spans="1:12" ht="12" customHeight="1" x14ac:dyDescent="0.25">
      <c r="A1418" s="15">
        <v>45105</v>
      </c>
      <c r="B1418" s="16">
        <v>22301085</v>
      </c>
      <c r="C1418" s="16" t="s">
        <v>112</v>
      </c>
      <c r="D1418" s="16" t="str">
        <f>VLOOKUP(C1418,[1]master_data!$A$2:$E$495,2,FALSE)</f>
        <v>AIRATOR VOSSO LUB 1</v>
      </c>
      <c r="E1418" s="16">
        <v>10</v>
      </c>
      <c r="F1418" s="16">
        <f>VLOOKUP(C1418,[1]master_data!$A$2:$E$495,3,FALSE)</f>
        <v>16000</v>
      </c>
      <c r="G1418" s="16">
        <f>VLOOKUP(C1418,[1]master_data!$A$2:$E$495,4,FALSE)</f>
        <v>25000</v>
      </c>
      <c r="H1418" s="16">
        <f>E1418*F1418</f>
        <v>160000</v>
      </c>
      <c r="I1418" s="16">
        <f>E1418*G1418</f>
        <v>250000</v>
      </c>
      <c r="J1418" s="16">
        <f>I1418-H1418</f>
        <v>90000</v>
      </c>
      <c r="K1418" s="16" t="str">
        <f>VLOOKUP(C1418,[1]master_data!$A$2:$E$495,5,FALSE)</f>
        <v>Aksesoris</v>
      </c>
      <c r="L1418" s="1"/>
    </row>
    <row r="1419" spans="1:12" ht="12" customHeight="1" x14ac:dyDescent="0.25">
      <c r="A1419" s="15">
        <v>45105</v>
      </c>
      <c r="B1419" s="16">
        <v>22301086</v>
      </c>
      <c r="C1419" s="16" t="s">
        <v>129</v>
      </c>
      <c r="D1419" s="16" t="str">
        <f>VLOOKUP(C1419,[1]master_data!$A$2:$E$495,2,FALSE)</f>
        <v>LED YAMANO S400</v>
      </c>
      <c r="E1419" s="16">
        <v>5</v>
      </c>
      <c r="F1419" s="16">
        <f>VLOOKUP(C1419,[1]master_data!$A$2:$E$495,3,FALSE)</f>
        <v>50000</v>
      </c>
      <c r="G1419" s="16">
        <f>VLOOKUP(C1419,[1]master_data!$A$2:$E$495,4,FALSE)</f>
        <v>75000</v>
      </c>
      <c r="H1419" s="16">
        <f>E1419*F1419</f>
        <v>250000</v>
      </c>
      <c r="I1419" s="16">
        <f>E1419*G1419</f>
        <v>375000</v>
      </c>
      <c r="J1419" s="16">
        <f>I1419-H1419</f>
        <v>125000</v>
      </c>
      <c r="K1419" s="16" t="str">
        <f>VLOOKUP(C1419,[1]master_data!$A$2:$E$495,5,FALSE)</f>
        <v>Aksesoris</v>
      </c>
      <c r="L1419" s="1"/>
    </row>
    <row r="1420" spans="1:12" ht="12" customHeight="1" x14ac:dyDescent="0.25">
      <c r="A1420" s="15">
        <v>45105</v>
      </c>
      <c r="B1420" s="16">
        <v>22301087</v>
      </c>
      <c r="C1420" s="16" t="s">
        <v>328</v>
      </c>
      <c r="D1420" s="16" t="str">
        <f>VLOOKUP(C1420,[1]master_data!$A$2:$E$495,2,FALSE)</f>
        <v>AIRSONE PUTIH</v>
      </c>
      <c r="E1420" s="16">
        <v>1</v>
      </c>
      <c r="F1420" s="16">
        <f>VLOOKUP(C1420,[1]master_data!$A$2:$E$495,3,FALSE)</f>
        <v>3000</v>
      </c>
      <c r="G1420" s="16">
        <f>VLOOKUP(C1420,[1]master_data!$A$2:$E$495,4,FALSE)</f>
        <v>5000</v>
      </c>
      <c r="H1420" s="16">
        <f>E1420*F1420</f>
        <v>3000</v>
      </c>
      <c r="I1420" s="16">
        <f>E1420*G1420</f>
        <v>5000</v>
      </c>
      <c r="J1420" s="16">
        <f>I1420-H1420</f>
        <v>2000</v>
      </c>
      <c r="K1420" s="16" t="str">
        <f>VLOOKUP(C1420,[1]master_data!$A$2:$E$495,5,FALSE)</f>
        <v>Aksesoris</v>
      </c>
      <c r="L1420" s="1"/>
    </row>
    <row r="1421" spans="1:12" ht="12" customHeight="1" x14ac:dyDescent="0.25">
      <c r="A1421" s="15">
        <v>45104</v>
      </c>
      <c r="B1421" s="16">
        <v>22301080</v>
      </c>
      <c r="C1421" s="16" t="s">
        <v>433</v>
      </c>
      <c r="D1421" s="16" t="str">
        <f>VLOOKUP(C1421,[1]master_data!$A$2:$E$495,2,FALSE)</f>
        <v>MOLI BALON</v>
      </c>
      <c r="E1421" s="16">
        <v>10</v>
      </c>
      <c r="F1421" s="16">
        <f>VLOOKUP(C1421,[1]master_data!$A$2:$E$495,3,FALSE)</f>
        <v>800</v>
      </c>
      <c r="G1421" s="16">
        <f>VLOOKUP(C1421,[1]master_data!$A$2:$E$495,4,FALSE)</f>
        <v>2000</v>
      </c>
      <c r="H1421" s="16">
        <f>E1421*F1421</f>
        <v>8000</v>
      </c>
      <c r="I1421" s="16">
        <f>E1421*G1421</f>
        <v>20000</v>
      </c>
      <c r="J1421" s="16">
        <f>I1421-H1421</f>
        <v>12000</v>
      </c>
      <c r="K1421" s="16" t="str">
        <f>VLOOKUP(C1421,[1]master_data!$A$2:$E$495,5,FALSE)</f>
        <v>Ikan</v>
      </c>
      <c r="L1421" s="1"/>
    </row>
    <row r="1422" spans="1:12" ht="12" customHeight="1" x14ac:dyDescent="0.25">
      <c r="A1422" s="15">
        <v>45104</v>
      </c>
      <c r="B1422" s="16">
        <v>22301081</v>
      </c>
      <c r="C1422" s="16" t="s">
        <v>178</v>
      </c>
      <c r="D1422" s="16" t="str">
        <f>VLOOKUP(C1422,[1]master_data!$A$2:$E$495,2,FALSE)</f>
        <v>LED HAILONG H400</v>
      </c>
      <c r="E1422" s="16">
        <v>1</v>
      </c>
      <c r="F1422" s="16">
        <f>VLOOKUP(C1422,[1]master_data!$A$2:$E$495,3,FALSE)</f>
        <v>54000</v>
      </c>
      <c r="G1422" s="16">
        <f>VLOOKUP(C1422,[1]master_data!$A$2:$E$495,4,FALSE)</f>
        <v>80000</v>
      </c>
      <c r="H1422" s="16">
        <f>E1422*F1422</f>
        <v>54000</v>
      </c>
      <c r="I1422" s="16">
        <f>E1422*G1422</f>
        <v>80000</v>
      </c>
      <c r="J1422" s="16">
        <f>I1422-H1422</f>
        <v>26000</v>
      </c>
      <c r="K1422" s="16" t="str">
        <f>VLOOKUP(C1422,[1]master_data!$A$2:$E$495,5,FALSE)</f>
        <v>Aksesoris</v>
      </c>
      <c r="L1422" s="1"/>
    </row>
    <row r="1423" spans="1:12" ht="12" customHeight="1" x14ac:dyDescent="0.25">
      <c r="A1423" s="15">
        <v>45104</v>
      </c>
      <c r="B1423" s="16">
        <v>22301082</v>
      </c>
      <c r="C1423" s="16" t="s">
        <v>101</v>
      </c>
      <c r="D1423" s="16" t="str">
        <f>VLOOKUP(C1423,[1]master_data!$A$2:$E$495,2,FALSE)</f>
        <v>MESIN AMARA 1800</v>
      </c>
      <c r="E1423" s="16">
        <v>8</v>
      </c>
      <c r="F1423" s="16">
        <f>VLOOKUP(C1423,[1]master_data!$A$2:$E$495,3,FALSE)</f>
        <v>52500</v>
      </c>
      <c r="G1423" s="16">
        <f>VLOOKUP(C1423,[1]master_data!$A$2:$E$495,4,FALSE)</f>
        <v>90000</v>
      </c>
      <c r="H1423" s="16">
        <f>E1423*F1423</f>
        <v>420000</v>
      </c>
      <c r="I1423" s="16">
        <f>E1423*G1423</f>
        <v>720000</v>
      </c>
      <c r="J1423" s="16">
        <f>I1423-H1423</f>
        <v>300000</v>
      </c>
      <c r="K1423" s="16" t="str">
        <f>VLOOKUP(C1423,[1]master_data!$A$2:$E$495,5,FALSE)</f>
        <v>Aksesoris</v>
      </c>
      <c r="L1423" s="1"/>
    </row>
    <row r="1424" spans="1:12" ht="12" customHeight="1" x14ac:dyDescent="0.25">
      <c r="A1424" s="15">
        <v>45104</v>
      </c>
      <c r="B1424" s="16">
        <v>22301083</v>
      </c>
      <c r="C1424" s="16" t="s">
        <v>401</v>
      </c>
      <c r="D1424" s="16" t="str">
        <f>VLOOKUP(C1424,[1]master_data!$A$2:$E$495,2,FALSE)</f>
        <v>CHANNA BLUE PULCHRA K</v>
      </c>
      <c r="E1424" s="16">
        <v>1</v>
      </c>
      <c r="F1424" s="16">
        <f>VLOOKUP(C1424,[1]master_data!$A$2:$E$495,3,FALSE)</f>
        <v>25000</v>
      </c>
      <c r="G1424" s="16">
        <f>VLOOKUP(C1424,[1]master_data!$A$2:$E$495,4,FALSE)</f>
        <v>50000</v>
      </c>
      <c r="H1424" s="16">
        <f>E1424*F1424</f>
        <v>25000</v>
      </c>
      <c r="I1424" s="16">
        <f>E1424*G1424</f>
        <v>50000</v>
      </c>
      <c r="J1424" s="16">
        <f>I1424-H1424</f>
        <v>25000</v>
      </c>
      <c r="K1424" s="16" t="str">
        <f>VLOOKUP(C1424,[1]master_data!$A$2:$E$495,5,FALSE)</f>
        <v>Ikan</v>
      </c>
      <c r="L1424" s="1"/>
    </row>
    <row r="1425" spans="1:12" ht="12" customHeight="1" x14ac:dyDescent="0.25">
      <c r="A1425" s="15">
        <v>45103</v>
      </c>
      <c r="B1425" s="16">
        <v>22301073</v>
      </c>
      <c r="C1425" s="16" t="s">
        <v>99</v>
      </c>
      <c r="D1425" s="16" t="str">
        <f>VLOOKUP(C1425,[1]master_data!$A$2:$E$495,2,FALSE)</f>
        <v>MESIN AMARA 105</v>
      </c>
      <c r="E1425" s="16">
        <v>1</v>
      </c>
      <c r="F1425" s="16">
        <f>VLOOKUP(C1425,[1]master_data!$A$2:$E$495,3,FALSE)</f>
        <v>155000</v>
      </c>
      <c r="G1425" s="16">
        <f>VLOOKUP(C1425,[1]master_data!$A$2:$E$495,4,FALSE)</f>
        <v>200000</v>
      </c>
      <c r="H1425" s="16">
        <f>E1425*F1425</f>
        <v>155000</v>
      </c>
      <c r="I1425" s="16">
        <f>E1425*G1425</f>
        <v>200000</v>
      </c>
      <c r="J1425" s="16">
        <f>I1425-H1425</f>
        <v>45000</v>
      </c>
      <c r="K1425" s="16" t="str">
        <f>VLOOKUP(C1425,[1]master_data!$A$2:$E$495,5,FALSE)</f>
        <v>Aksesoris</v>
      </c>
      <c r="L1425" s="1"/>
    </row>
    <row r="1426" spans="1:12" ht="12" customHeight="1" x14ac:dyDescent="0.25">
      <c r="A1426" s="15">
        <v>45103</v>
      </c>
      <c r="B1426" s="16">
        <v>22301074</v>
      </c>
      <c r="C1426" s="16" t="s">
        <v>404</v>
      </c>
      <c r="D1426" s="16" t="str">
        <f>VLOOKUP(C1426,[1]master_data!$A$2:$E$495,2,FALSE)</f>
        <v>BARBIR</v>
      </c>
      <c r="E1426" s="16">
        <v>15</v>
      </c>
      <c r="F1426" s="16">
        <f>VLOOKUP(C1426,[1]master_data!$A$2:$E$495,3,FALSE)</f>
        <v>800</v>
      </c>
      <c r="G1426" s="16">
        <f>VLOOKUP(C1426,[1]master_data!$A$2:$E$495,4,FALSE)</f>
        <v>2000</v>
      </c>
      <c r="H1426" s="16">
        <f>E1426*F1426</f>
        <v>12000</v>
      </c>
      <c r="I1426" s="16">
        <f>E1426*G1426</f>
        <v>30000</v>
      </c>
      <c r="J1426" s="16">
        <f>I1426-H1426</f>
        <v>18000</v>
      </c>
      <c r="K1426" s="16" t="str">
        <f>VLOOKUP(C1426,[1]master_data!$A$2:$E$495,5,FALSE)</f>
        <v>Ikan</v>
      </c>
      <c r="L1426" s="1"/>
    </row>
    <row r="1427" spans="1:12" ht="12" customHeight="1" x14ac:dyDescent="0.25">
      <c r="A1427" s="15">
        <v>45103</v>
      </c>
      <c r="B1427" s="16">
        <v>22301075</v>
      </c>
      <c r="C1427" s="16" t="s">
        <v>199</v>
      </c>
      <c r="D1427" s="16" t="str">
        <f>VLOOKUP(C1427,[1]master_data!$A$2:$E$495,2,FALSE)</f>
        <v>AKARI PREMIUM BLUE</v>
      </c>
      <c r="E1427" s="16">
        <v>10</v>
      </c>
      <c r="F1427" s="16">
        <f>VLOOKUP(C1427,[1]master_data!$A$2:$E$495,3,FALSE)</f>
        <v>37000</v>
      </c>
      <c r="G1427" s="16">
        <f>VLOOKUP(C1427,[1]master_data!$A$2:$E$495,4,FALSE)</f>
        <v>50000</v>
      </c>
      <c r="H1427" s="16">
        <f>E1427*F1427</f>
        <v>370000</v>
      </c>
      <c r="I1427" s="16">
        <f>E1427*G1427</f>
        <v>500000</v>
      </c>
      <c r="J1427" s="16">
        <f>I1427-H1427</f>
        <v>130000</v>
      </c>
      <c r="K1427" s="16" t="str">
        <f>VLOOKUP(C1427,[1]master_data!$A$2:$E$495,5,FALSE)</f>
        <v>Aksesoris</v>
      </c>
      <c r="L1427" s="1"/>
    </row>
    <row r="1428" spans="1:12" ht="12" customHeight="1" x14ac:dyDescent="0.25">
      <c r="A1428" s="15">
        <v>45103</v>
      </c>
      <c r="B1428" s="16">
        <v>22301076</v>
      </c>
      <c r="C1428" s="16" t="s">
        <v>392</v>
      </c>
      <c r="D1428" s="16" t="str">
        <f>VLOOKUP(C1428,[1]master_data!$A$2:$E$495,2,FALSE)</f>
        <v>ARWANA SILVER K</v>
      </c>
      <c r="E1428" s="16">
        <v>2</v>
      </c>
      <c r="F1428" s="16">
        <f>VLOOKUP(C1428,[1]master_data!$A$2:$E$495,3,FALSE)</f>
        <v>100000</v>
      </c>
      <c r="G1428" s="16">
        <f>VLOOKUP(C1428,[1]master_data!$A$2:$E$495,4,FALSE)</f>
        <v>200000</v>
      </c>
      <c r="H1428" s="16">
        <f>E1428*F1428</f>
        <v>200000</v>
      </c>
      <c r="I1428" s="16">
        <f>E1428*G1428</f>
        <v>400000</v>
      </c>
      <c r="J1428" s="16">
        <f>I1428-H1428</f>
        <v>200000</v>
      </c>
      <c r="K1428" s="16" t="str">
        <f>VLOOKUP(C1428,[1]master_data!$A$2:$E$495,5,FALSE)</f>
        <v>Ikan</v>
      </c>
      <c r="L1428" s="1"/>
    </row>
    <row r="1429" spans="1:12" ht="12" customHeight="1" x14ac:dyDescent="0.25">
      <c r="A1429" s="15">
        <v>45103</v>
      </c>
      <c r="B1429" s="16">
        <v>22301077</v>
      </c>
      <c r="C1429" s="16" t="s">
        <v>419</v>
      </c>
      <c r="D1429" s="16" t="str">
        <f>VLOOKUP(C1429,[1]master_data!$A$2:$E$495,2,FALSE)</f>
        <v>KOMET PAKAN</v>
      </c>
      <c r="E1429" s="16">
        <v>75</v>
      </c>
      <c r="F1429" s="16">
        <f>VLOOKUP(C1429,[1]master_data!$A$2:$E$495,3,FALSE)</f>
        <v>300</v>
      </c>
      <c r="G1429" s="16">
        <f>VLOOKUP(C1429,[1]master_data!$A$2:$E$495,4,FALSE)</f>
        <v>1000</v>
      </c>
      <c r="H1429" s="16">
        <f>E1429*F1429</f>
        <v>22500</v>
      </c>
      <c r="I1429" s="16">
        <f>E1429*G1429</f>
        <v>75000</v>
      </c>
      <c r="J1429" s="16">
        <f>I1429-H1429</f>
        <v>52500</v>
      </c>
      <c r="K1429" s="16" t="str">
        <f>VLOOKUP(C1429,[1]master_data!$A$2:$E$495,5,FALSE)</f>
        <v>Ikan</v>
      </c>
      <c r="L1429" s="1"/>
    </row>
    <row r="1430" spans="1:12" ht="12" customHeight="1" x14ac:dyDescent="0.25">
      <c r="A1430" s="15">
        <v>45103</v>
      </c>
      <c r="B1430" s="16">
        <v>22301078</v>
      </c>
      <c r="C1430" s="16" t="s">
        <v>445</v>
      </c>
      <c r="D1430" s="16" t="str">
        <f>VLOOKUP(C1430,[1]master_data!$A$2:$E$495,2,FALSE)</f>
        <v>REDFIN ALBINO</v>
      </c>
      <c r="E1430" s="16">
        <v>8</v>
      </c>
      <c r="F1430" s="16">
        <f>VLOOKUP(C1430,[1]master_data!$A$2:$E$495,3,FALSE)</f>
        <v>1500</v>
      </c>
      <c r="G1430" s="16">
        <f>VLOOKUP(C1430,[1]master_data!$A$2:$E$495,4,FALSE)</f>
        <v>4000</v>
      </c>
      <c r="H1430" s="16">
        <f>E1430*F1430</f>
        <v>12000</v>
      </c>
      <c r="I1430" s="16">
        <f>E1430*G1430</f>
        <v>32000</v>
      </c>
      <c r="J1430" s="16">
        <f>I1430-H1430</f>
        <v>20000</v>
      </c>
      <c r="K1430" s="16" t="str">
        <f>VLOOKUP(C1430,[1]master_data!$A$2:$E$495,5,FALSE)</f>
        <v>Ikan</v>
      </c>
      <c r="L1430" s="1"/>
    </row>
    <row r="1431" spans="1:12" ht="12" customHeight="1" x14ac:dyDescent="0.25">
      <c r="A1431" s="15">
        <v>45103</v>
      </c>
      <c r="B1431" s="16">
        <v>22301079</v>
      </c>
      <c r="C1431" s="16" t="s">
        <v>200</v>
      </c>
      <c r="D1431" s="16" t="str">
        <f>VLOOKUP(C1431,[1]master_data!$A$2:$E$495,2,FALSE)</f>
        <v>AKARI PREMIUM MAXI</v>
      </c>
      <c r="E1431" s="16">
        <v>1</v>
      </c>
      <c r="F1431" s="16">
        <f>VLOOKUP(C1431,[1]master_data!$A$2:$E$495,3,FALSE)</f>
        <v>42000</v>
      </c>
      <c r="G1431" s="16">
        <f>VLOOKUP(C1431,[1]master_data!$A$2:$E$495,4,FALSE)</f>
        <v>50000</v>
      </c>
      <c r="H1431" s="16">
        <f>E1431*F1431</f>
        <v>42000</v>
      </c>
      <c r="I1431" s="16">
        <f>E1431*G1431</f>
        <v>50000</v>
      </c>
      <c r="J1431" s="16">
        <f>I1431-H1431</f>
        <v>8000</v>
      </c>
      <c r="K1431" s="16" t="str">
        <f>VLOOKUP(C1431,[1]master_data!$A$2:$E$495,5,FALSE)</f>
        <v>Aksesoris</v>
      </c>
      <c r="L1431" s="1"/>
    </row>
    <row r="1432" spans="1:12" ht="12" customHeight="1" x14ac:dyDescent="0.25">
      <c r="A1432" s="15">
        <v>45102</v>
      </c>
      <c r="B1432" s="16">
        <v>22301070</v>
      </c>
      <c r="C1432" s="16" t="s">
        <v>388</v>
      </c>
      <c r="D1432" s="16" t="str">
        <f>VLOOKUP(C1432,[1]master_data!$A$2:$E$495,2,FALSE)</f>
        <v>CHANNA ASIATICA K</v>
      </c>
      <c r="E1432" s="16">
        <v>10</v>
      </c>
      <c r="F1432" s="16">
        <f>VLOOKUP(C1432,[1]master_data!$A$2:$E$495,3,FALSE)</f>
        <v>10000</v>
      </c>
      <c r="G1432" s="16">
        <f>VLOOKUP(C1432,[1]master_data!$A$2:$E$495,4,FALSE)</f>
        <v>40000</v>
      </c>
      <c r="H1432" s="16">
        <f>E1432*F1432</f>
        <v>100000</v>
      </c>
      <c r="I1432" s="16">
        <f>E1432*G1432</f>
        <v>400000</v>
      </c>
      <c r="J1432" s="16">
        <f>I1432-H1432</f>
        <v>300000</v>
      </c>
      <c r="K1432" s="16" t="str">
        <f>VLOOKUP(C1432,[1]master_data!$A$2:$E$495,5,FALSE)</f>
        <v>Ikan</v>
      </c>
      <c r="L1432" s="1"/>
    </row>
    <row r="1433" spans="1:12" ht="12" customHeight="1" x14ac:dyDescent="0.25">
      <c r="A1433" s="15">
        <v>45102</v>
      </c>
      <c r="B1433" s="16">
        <v>22301071</v>
      </c>
      <c r="C1433" s="16" t="s">
        <v>370</v>
      </c>
      <c r="D1433" s="16" t="str">
        <f>VLOOKUP(C1433,[1]master_data!$A$2:$E$495,2,FALSE)</f>
        <v>SOLITER B1</v>
      </c>
      <c r="E1433" s="16">
        <v>1</v>
      </c>
      <c r="F1433" s="16">
        <f>VLOOKUP(C1433,[1]master_data!$A$2:$E$495,3,FALSE)</f>
        <v>45000</v>
      </c>
      <c r="G1433" s="16">
        <f>VLOOKUP(C1433,[1]master_data!$A$2:$E$495,4,FALSE)</f>
        <v>60000</v>
      </c>
      <c r="H1433" s="16">
        <f>E1433*F1433</f>
        <v>45000</v>
      </c>
      <c r="I1433" s="16">
        <f>E1433*G1433</f>
        <v>60000</v>
      </c>
      <c r="J1433" s="16">
        <f>I1433-H1433</f>
        <v>15000</v>
      </c>
      <c r="K1433" s="16" t="str">
        <f>VLOOKUP(C1433,[1]master_data!$A$2:$E$495,5,FALSE)</f>
        <v>Aksesoris</v>
      </c>
      <c r="L1433" s="1"/>
    </row>
    <row r="1434" spans="1:12" ht="12" customHeight="1" x14ac:dyDescent="0.25">
      <c r="A1434" s="15">
        <v>45102</v>
      </c>
      <c r="B1434" s="16">
        <v>22301072</v>
      </c>
      <c r="C1434" s="16" t="s">
        <v>441</v>
      </c>
      <c r="D1434" s="16" t="str">
        <f>VLOOKUP(C1434,[1]master_data!$A$2:$E$495,2,FALSE)</f>
        <v>PALMAS</v>
      </c>
      <c r="E1434" s="16">
        <v>1</v>
      </c>
      <c r="F1434" s="16">
        <f>VLOOKUP(C1434,[1]master_data!$A$2:$E$495,3,FALSE)</f>
        <v>10000</v>
      </c>
      <c r="G1434" s="16">
        <f>VLOOKUP(C1434,[1]master_data!$A$2:$E$495,4,FALSE)</f>
        <v>25000</v>
      </c>
      <c r="H1434" s="16">
        <f>E1434*F1434</f>
        <v>10000</v>
      </c>
      <c r="I1434" s="16">
        <f>E1434*G1434</f>
        <v>25000</v>
      </c>
      <c r="J1434" s="16">
        <f>I1434-H1434</f>
        <v>15000</v>
      </c>
      <c r="K1434" s="16" t="str">
        <f>VLOOKUP(C1434,[1]master_data!$A$2:$E$495,5,FALSE)</f>
        <v>Ikan</v>
      </c>
      <c r="L1434" s="1"/>
    </row>
    <row r="1435" spans="1:12" ht="12" customHeight="1" x14ac:dyDescent="0.25">
      <c r="A1435" s="15">
        <v>45101</v>
      </c>
      <c r="B1435" s="16">
        <v>22301063</v>
      </c>
      <c r="C1435" s="16" t="s">
        <v>55</v>
      </c>
      <c r="D1435" s="16" t="str">
        <f>VLOOKUP(C1435,[1]master_data!$A$2:$E$495,2,FALSE)</f>
        <v>MESIN RECENT 203</v>
      </c>
      <c r="E1435" s="16">
        <v>1</v>
      </c>
      <c r="F1435" s="16">
        <f>VLOOKUP(C1435,[1]master_data!$A$2:$E$495,3,FALSE)</f>
        <v>43500</v>
      </c>
      <c r="G1435" s="16">
        <f>VLOOKUP(C1435,[1]master_data!$A$2:$E$495,4,FALSE)</f>
        <v>70000</v>
      </c>
      <c r="H1435" s="16">
        <f>E1435*F1435</f>
        <v>43500</v>
      </c>
      <c r="I1435" s="16">
        <f>E1435*G1435</f>
        <v>70000</v>
      </c>
      <c r="J1435" s="16">
        <f>I1435-H1435</f>
        <v>26500</v>
      </c>
      <c r="K1435" s="16" t="str">
        <f>VLOOKUP(C1435,[1]master_data!$A$2:$E$495,5,FALSE)</f>
        <v>Aksesoris</v>
      </c>
      <c r="L1435" s="1"/>
    </row>
    <row r="1436" spans="1:12" ht="12" customHeight="1" x14ac:dyDescent="0.25">
      <c r="A1436" s="15">
        <v>45101</v>
      </c>
      <c r="B1436" s="16">
        <v>22301064</v>
      </c>
      <c r="C1436" s="16" t="s">
        <v>400</v>
      </c>
      <c r="D1436" s="16" t="str">
        <f>VLOOKUP(C1436,[1]master_data!$A$2:$E$495,2,FALSE)</f>
        <v>BLACK GHOST</v>
      </c>
      <c r="E1436" s="16">
        <v>20</v>
      </c>
      <c r="F1436" s="16">
        <f>VLOOKUP(C1436,[1]master_data!$A$2:$E$495,3,FALSE)</f>
        <v>4000</v>
      </c>
      <c r="G1436" s="16">
        <f>VLOOKUP(C1436,[1]master_data!$A$2:$E$495,4,FALSE)</f>
        <v>10000</v>
      </c>
      <c r="H1436" s="16">
        <f>E1436*F1436</f>
        <v>80000</v>
      </c>
      <c r="I1436" s="16">
        <f>E1436*G1436</f>
        <v>200000</v>
      </c>
      <c r="J1436" s="16">
        <f>I1436-H1436</f>
        <v>120000</v>
      </c>
      <c r="K1436" s="16" t="str">
        <f>VLOOKUP(C1436,[1]master_data!$A$2:$E$495,5,FALSE)</f>
        <v>Ikan</v>
      </c>
      <c r="L1436" s="1"/>
    </row>
    <row r="1437" spans="1:12" ht="12" customHeight="1" x14ac:dyDescent="0.25">
      <c r="A1437" s="15">
        <v>45101</v>
      </c>
      <c r="B1437" s="16">
        <v>22301065</v>
      </c>
      <c r="C1437" s="16" t="s">
        <v>419</v>
      </c>
      <c r="D1437" s="16" t="str">
        <f>VLOOKUP(C1437,[1]master_data!$A$2:$E$495,2,FALSE)</f>
        <v>KOMET PAKAN</v>
      </c>
      <c r="E1437" s="16">
        <v>15</v>
      </c>
      <c r="F1437" s="16">
        <f>VLOOKUP(C1437,[1]master_data!$A$2:$E$495,3,FALSE)</f>
        <v>300</v>
      </c>
      <c r="G1437" s="16">
        <f>VLOOKUP(C1437,[1]master_data!$A$2:$E$495,4,FALSE)</f>
        <v>1000</v>
      </c>
      <c r="H1437" s="16">
        <f>E1437*F1437</f>
        <v>4500</v>
      </c>
      <c r="I1437" s="16">
        <f>E1437*G1437</f>
        <v>15000</v>
      </c>
      <c r="J1437" s="16">
        <f>I1437-H1437</f>
        <v>10500</v>
      </c>
      <c r="K1437" s="16" t="str">
        <f>VLOOKUP(C1437,[1]master_data!$A$2:$E$495,5,FALSE)</f>
        <v>Ikan</v>
      </c>
      <c r="L1437" s="1"/>
    </row>
    <row r="1438" spans="1:12" ht="12" customHeight="1" x14ac:dyDescent="0.25">
      <c r="A1438" s="15">
        <v>45101</v>
      </c>
      <c r="B1438" s="16">
        <v>22301066</v>
      </c>
      <c r="C1438" s="16" t="s">
        <v>288</v>
      </c>
      <c r="D1438" s="16" t="str">
        <f>VLOOKUP(C1438,[1]master_data!$A$2:$E$495,2,FALSE)</f>
        <v>JARING 8</v>
      </c>
      <c r="E1438" s="16">
        <v>30</v>
      </c>
      <c r="F1438" s="16">
        <f>VLOOKUP(C1438,[1]master_data!$A$2:$E$495,3,FALSE)</f>
        <v>3000</v>
      </c>
      <c r="G1438" s="16">
        <f>VLOOKUP(C1438,[1]master_data!$A$2:$E$495,4,FALSE)</f>
        <v>5000</v>
      </c>
      <c r="H1438" s="16">
        <f>E1438*F1438</f>
        <v>90000</v>
      </c>
      <c r="I1438" s="16">
        <f>E1438*G1438</f>
        <v>150000</v>
      </c>
      <c r="J1438" s="16">
        <f>I1438-H1438</f>
        <v>60000</v>
      </c>
      <c r="K1438" s="16" t="str">
        <f>VLOOKUP(C1438,[1]master_data!$A$2:$E$495,5,FALSE)</f>
        <v>Aksesoris</v>
      </c>
      <c r="L1438" s="1"/>
    </row>
    <row r="1439" spans="1:12" ht="12" customHeight="1" x14ac:dyDescent="0.25">
      <c r="A1439" s="15">
        <v>45101</v>
      </c>
      <c r="B1439" s="16">
        <v>22301067</v>
      </c>
      <c r="C1439" s="16" t="s">
        <v>419</v>
      </c>
      <c r="D1439" s="16" t="str">
        <f>VLOOKUP(C1439,[1]master_data!$A$2:$E$495,2,FALSE)</f>
        <v>KOMET PAKAN</v>
      </c>
      <c r="E1439" s="16">
        <v>45</v>
      </c>
      <c r="F1439" s="16">
        <f>VLOOKUP(C1439,[1]master_data!$A$2:$E$495,3,FALSE)</f>
        <v>300</v>
      </c>
      <c r="G1439" s="16">
        <f>VLOOKUP(C1439,[1]master_data!$A$2:$E$495,4,FALSE)</f>
        <v>1000</v>
      </c>
      <c r="H1439" s="16">
        <f>E1439*F1439</f>
        <v>13500</v>
      </c>
      <c r="I1439" s="16">
        <f>E1439*G1439</f>
        <v>45000</v>
      </c>
      <c r="J1439" s="16">
        <f>I1439-H1439</f>
        <v>31500</v>
      </c>
      <c r="K1439" s="16" t="str">
        <f>VLOOKUP(C1439,[1]master_data!$A$2:$E$495,5,FALSE)</f>
        <v>Ikan</v>
      </c>
      <c r="L1439" s="1"/>
    </row>
    <row r="1440" spans="1:12" ht="12" customHeight="1" x14ac:dyDescent="0.25">
      <c r="A1440" s="15">
        <v>45101</v>
      </c>
      <c r="B1440" s="16">
        <v>22301068</v>
      </c>
      <c r="C1440" s="16" t="s">
        <v>398</v>
      </c>
      <c r="D1440" s="16" t="str">
        <f>VLOOKUP(C1440,[1]master_data!$A$2:$E$495,2,FALSE)</f>
        <v>BALA BALA K</v>
      </c>
      <c r="E1440" s="16">
        <v>10</v>
      </c>
      <c r="F1440" s="16">
        <f>VLOOKUP(C1440,[1]master_data!$A$2:$E$495,3,FALSE)</f>
        <v>4000</v>
      </c>
      <c r="G1440" s="16">
        <f>VLOOKUP(C1440,[1]master_data!$A$2:$E$495,4,FALSE)</f>
        <v>8000</v>
      </c>
      <c r="H1440" s="16">
        <f>E1440*F1440</f>
        <v>40000</v>
      </c>
      <c r="I1440" s="16">
        <f>E1440*G1440</f>
        <v>80000</v>
      </c>
      <c r="J1440" s="16">
        <f>I1440-H1440</f>
        <v>40000</v>
      </c>
      <c r="K1440" s="16" t="str">
        <f>VLOOKUP(C1440,[1]master_data!$A$2:$E$495,5,FALSE)</f>
        <v>Ikan</v>
      </c>
      <c r="L1440" s="1"/>
    </row>
    <row r="1441" spans="1:12" ht="12" customHeight="1" x14ac:dyDescent="0.25">
      <c r="A1441" s="15">
        <v>45101</v>
      </c>
      <c r="B1441" s="16">
        <v>22301069</v>
      </c>
      <c r="C1441" s="16" t="s">
        <v>424</v>
      </c>
      <c r="D1441" s="16" t="str">
        <f>VLOOKUP(C1441,[1]master_data!$A$2:$E$495,2,FALSE)</f>
        <v>DISCUS</v>
      </c>
      <c r="E1441" s="16">
        <v>2</v>
      </c>
      <c r="F1441" s="16">
        <f>VLOOKUP(C1441,[1]master_data!$A$2:$E$495,3,FALSE)</f>
        <v>50000</v>
      </c>
      <c r="G1441" s="16">
        <f>VLOOKUP(C1441,[1]master_data!$A$2:$E$495,4,FALSE)</f>
        <v>150000</v>
      </c>
      <c r="H1441" s="16">
        <f>E1441*F1441</f>
        <v>100000</v>
      </c>
      <c r="I1441" s="16">
        <f>E1441*G1441</f>
        <v>300000</v>
      </c>
      <c r="J1441" s="16">
        <f>I1441-H1441</f>
        <v>200000</v>
      </c>
      <c r="K1441" s="16" t="str">
        <f>VLOOKUP(C1441,[1]master_data!$A$2:$E$495,5,FALSE)</f>
        <v>Ikan</v>
      </c>
      <c r="L1441" s="1"/>
    </row>
    <row r="1442" spans="1:12" ht="12" customHeight="1" x14ac:dyDescent="0.25">
      <c r="A1442" s="15">
        <v>45100</v>
      </c>
      <c r="B1442" s="16">
        <v>22301055</v>
      </c>
      <c r="C1442" s="16" t="s">
        <v>98</v>
      </c>
      <c r="D1442" s="16" t="str">
        <f>VLOOKUP(C1442,[1]master_data!$A$2:$E$495,2,FALSE)</f>
        <v>MESIN AMARA 104</v>
      </c>
      <c r="E1442" s="16">
        <v>1</v>
      </c>
      <c r="F1442" s="16">
        <f>VLOOKUP(C1442,[1]master_data!$A$2:$E$495,3,FALSE)</f>
        <v>120000</v>
      </c>
      <c r="G1442" s="16">
        <f>VLOOKUP(C1442,[1]master_data!$A$2:$E$495,4,FALSE)</f>
        <v>160000</v>
      </c>
      <c r="H1442" s="16">
        <f>E1442*F1442</f>
        <v>120000</v>
      </c>
      <c r="I1442" s="16">
        <f>E1442*G1442</f>
        <v>160000</v>
      </c>
      <c r="J1442" s="16">
        <f>I1442-H1442</f>
        <v>40000</v>
      </c>
      <c r="K1442" s="16" t="str">
        <f>VLOOKUP(C1442,[1]master_data!$A$2:$E$495,5,FALSE)</f>
        <v>Aksesoris</v>
      </c>
      <c r="L1442" s="1"/>
    </row>
    <row r="1443" spans="1:12" ht="12" customHeight="1" x14ac:dyDescent="0.25">
      <c r="A1443" s="15">
        <v>45100</v>
      </c>
      <c r="B1443" s="16">
        <v>22301056</v>
      </c>
      <c r="C1443" s="16" t="s">
        <v>392</v>
      </c>
      <c r="D1443" s="16" t="str">
        <f>VLOOKUP(C1443,[1]master_data!$A$2:$E$495,2,FALSE)</f>
        <v>ARWANA SILVER K</v>
      </c>
      <c r="E1443" s="16">
        <v>1</v>
      </c>
      <c r="F1443" s="16">
        <f>VLOOKUP(C1443,[1]master_data!$A$2:$E$495,3,FALSE)</f>
        <v>100000</v>
      </c>
      <c r="G1443" s="16">
        <f>VLOOKUP(C1443,[1]master_data!$A$2:$E$495,4,FALSE)</f>
        <v>200000</v>
      </c>
      <c r="H1443" s="16">
        <f>E1443*F1443</f>
        <v>100000</v>
      </c>
      <c r="I1443" s="16">
        <f>E1443*G1443</f>
        <v>200000</v>
      </c>
      <c r="J1443" s="16">
        <f>I1443-H1443</f>
        <v>100000</v>
      </c>
      <c r="K1443" s="16" t="str">
        <f>VLOOKUP(C1443,[1]master_data!$A$2:$E$495,5,FALSE)</f>
        <v>Ikan</v>
      </c>
      <c r="L1443" s="1"/>
    </row>
    <row r="1444" spans="1:12" ht="12" customHeight="1" x14ac:dyDescent="0.25">
      <c r="A1444" s="15">
        <v>45100</v>
      </c>
      <c r="B1444" s="16">
        <v>22301057</v>
      </c>
      <c r="C1444" s="16" t="s">
        <v>414</v>
      </c>
      <c r="D1444" s="16" t="str">
        <f>VLOOKUP(C1444,[1]master_data!$A$2:$E$495,2,FALSE)</f>
        <v>KOI K</v>
      </c>
      <c r="E1444" s="16">
        <v>10</v>
      </c>
      <c r="F1444" s="16">
        <f>VLOOKUP(C1444,[1]master_data!$A$2:$E$495,3,FALSE)</f>
        <v>2500</v>
      </c>
      <c r="G1444" s="16">
        <f>VLOOKUP(C1444,[1]master_data!$A$2:$E$495,4,FALSE)</f>
        <v>10000</v>
      </c>
      <c r="H1444" s="16">
        <f>E1444*F1444</f>
        <v>25000</v>
      </c>
      <c r="I1444" s="16">
        <f>E1444*G1444</f>
        <v>100000</v>
      </c>
      <c r="J1444" s="16">
        <f>I1444-H1444</f>
        <v>75000</v>
      </c>
      <c r="K1444" s="16" t="str">
        <f>VLOOKUP(C1444,[1]master_data!$A$2:$E$495,5,FALSE)</f>
        <v>Ikan</v>
      </c>
      <c r="L1444" s="1"/>
    </row>
    <row r="1445" spans="1:12" ht="12" customHeight="1" x14ac:dyDescent="0.25">
      <c r="A1445" s="15">
        <v>45100</v>
      </c>
      <c r="B1445" s="16">
        <v>22301058</v>
      </c>
      <c r="C1445" s="16" t="s">
        <v>441</v>
      </c>
      <c r="D1445" s="16" t="str">
        <f>VLOOKUP(C1445,[1]master_data!$A$2:$E$495,2,FALSE)</f>
        <v>PALMAS</v>
      </c>
      <c r="E1445" s="16">
        <v>1</v>
      </c>
      <c r="F1445" s="16">
        <f>VLOOKUP(C1445,[1]master_data!$A$2:$E$495,3,FALSE)</f>
        <v>10000</v>
      </c>
      <c r="G1445" s="16">
        <f>VLOOKUP(C1445,[1]master_data!$A$2:$E$495,4,FALSE)</f>
        <v>25000</v>
      </c>
      <c r="H1445" s="16">
        <f>E1445*F1445</f>
        <v>10000</v>
      </c>
      <c r="I1445" s="16">
        <f>E1445*G1445</f>
        <v>25000</v>
      </c>
      <c r="J1445" s="16">
        <f>I1445-H1445</f>
        <v>15000</v>
      </c>
      <c r="K1445" s="16" t="str">
        <f>VLOOKUP(C1445,[1]master_data!$A$2:$E$495,5,FALSE)</f>
        <v>Ikan</v>
      </c>
      <c r="L1445" s="1"/>
    </row>
    <row r="1446" spans="1:12" ht="12" customHeight="1" x14ac:dyDescent="0.25">
      <c r="A1446" s="15">
        <v>45100</v>
      </c>
      <c r="B1446" s="16">
        <v>22301059</v>
      </c>
      <c r="C1446" s="16" t="s">
        <v>210</v>
      </c>
      <c r="D1446" s="16" t="str">
        <f>VLOOKUP(C1446,[1]master_data!$A$2:$E$495,2,FALSE)</f>
        <v>CRISTAL PAKAN CUPANG</v>
      </c>
      <c r="E1446" s="16">
        <v>10</v>
      </c>
      <c r="F1446" s="16">
        <f>VLOOKUP(C1446,[1]master_data!$A$2:$E$495,3,FALSE)</f>
        <v>1500</v>
      </c>
      <c r="G1446" s="16">
        <f>VLOOKUP(C1446,[1]master_data!$A$2:$E$495,4,FALSE)</f>
        <v>3000</v>
      </c>
      <c r="H1446" s="16">
        <f>E1446*F1446</f>
        <v>15000</v>
      </c>
      <c r="I1446" s="16">
        <f>E1446*G1446</f>
        <v>30000</v>
      </c>
      <c r="J1446" s="16">
        <f>I1446-H1446</f>
        <v>15000</v>
      </c>
      <c r="K1446" s="16" t="str">
        <f>VLOOKUP(C1446,[1]master_data!$A$2:$E$495,5,FALSE)</f>
        <v>Aksesoris</v>
      </c>
      <c r="L1446" s="1"/>
    </row>
    <row r="1447" spans="1:12" ht="12" customHeight="1" x14ac:dyDescent="0.25">
      <c r="A1447" s="15">
        <v>45100</v>
      </c>
      <c r="B1447" s="16">
        <v>22301060</v>
      </c>
      <c r="C1447" s="16" t="s">
        <v>396</v>
      </c>
      <c r="D1447" s="16" t="str">
        <f>VLOOKUP(C1447,[1]master_data!$A$2:$E$495,2,FALSE)</f>
        <v>BIPOLAR</v>
      </c>
      <c r="E1447" s="16">
        <v>20</v>
      </c>
      <c r="F1447" s="16">
        <f>VLOOKUP(C1447,[1]master_data!$A$2:$E$495,3,FALSE)</f>
        <v>1000</v>
      </c>
      <c r="G1447" s="16">
        <f>VLOOKUP(C1447,[1]master_data!$A$2:$E$495,4,FALSE)</f>
        <v>2500</v>
      </c>
      <c r="H1447" s="16">
        <f>E1447*F1447</f>
        <v>20000</v>
      </c>
      <c r="I1447" s="16">
        <f>E1447*G1447</f>
        <v>50000</v>
      </c>
      <c r="J1447" s="16">
        <f>I1447-H1447</f>
        <v>30000</v>
      </c>
      <c r="K1447" s="16" t="str">
        <f>VLOOKUP(C1447,[1]master_data!$A$2:$E$495,5,FALSE)</f>
        <v>Ikan</v>
      </c>
      <c r="L1447" s="1"/>
    </row>
    <row r="1448" spans="1:12" ht="12" customHeight="1" x14ac:dyDescent="0.25">
      <c r="A1448" s="15">
        <v>45100</v>
      </c>
      <c r="B1448" s="16">
        <v>22301061</v>
      </c>
      <c r="C1448" s="16" t="s">
        <v>453</v>
      </c>
      <c r="D1448" s="16" t="str">
        <f>VLOOKUP(C1448,[1]master_data!$A$2:$E$495,2,FALSE)</f>
        <v>TETRA</v>
      </c>
      <c r="E1448" s="16">
        <v>20</v>
      </c>
      <c r="F1448" s="16">
        <f>VLOOKUP(C1448,[1]master_data!$A$2:$E$495,3,FALSE)</f>
        <v>800</v>
      </c>
      <c r="G1448" s="16">
        <f>VLOOKUP(C1448,[1]master_data!$A$2:$E$495,4,FALSE)</f>
        <v>2000</v>
      </c>
      <c r="H1448" s="16">
        <f>E1448*F1448</f>
        <v>16000</v>
      </c>
      <c r="I1448" s="16">
        <f>E1448*G1448</f>
        <v>40000</v>
      </c>
      <c r="J1448" s="16">
        <f>I1448-H1448</f>
        <v>24000</v>
      </c>
      <c r="K1448" s="16" t="str">
        <f>VLOOKUP(C1448,[1]master_data!$A$2:$E$495,5,FALSE)</f>
        <v>Ikan</v>
      </c>
      <c r="L1448" s="1"/>
    </row>
    <row r="1449" spans="1:12" ht="12" customHeight="1" x14ac:dyDescent="0.25">
      <c r="A1449" s="15">
        <v>45100</v>
      </c>
      <c r="B1449" s="16">
        <v>22301062</v>
      </c>
      <c r="C1449" s="16" t="s">
        <v>145</v>
      </c>
      <c r="D1449" s="16" t="str">
        <f>VLOOKUP(C1449,[1]master_data!$A$2:$E$495,2,FALSE)</f>
        <v>LED KIYOSAKI 3 MODE 20 CM</v>
      </c>
      <c r="E1449" s="16">
        <v>1</v>
      </c>
      <c r="F1449" s="16">
        <f>VLOOKUP(C1449,[1]master_data!$A$2:$E$495,3,FALSE)</f>
        <v>35000</v>
      </c>
      <c r="G1449" s="16">
        <f>VLOOKUP(C1449,[1]master_data!$A$2:$E$495,4,FALSE)</f>
        <v>50000</v>
      </c>
      <c r="H1449" s="16">
        <f>E1449*F1449</f>
        <v>35000</v>
      </c>
      <c r="I1449" s="16">
        <f>E1449*G1449</f>
        <v>50000</v>
      </c>
      <c r="J1449" s="16">
        <f>I1449-H1449</f>
        <v>15000</v>
      </c>
      <c r="K1449" s="16" t="str">
        <f>VLOOKUP(C1449,[1]master_data!$A$2:$E$495,5,FALSE)</f>
        <v>Aksesoris</v>
      </c>
      <c r="L1449" s="1"/>
    </row>
    <row r="1450" spans="1:12" ht="12" customHeight="1" x14ac:dyDescent="0.25">
      <c r="A1450" s="15">
        <v>45099</v>
      </c>
      <c r="B1450" s="16">
        <v>22301047</v>
      </c>
      <c r="C1450" s="16" t="s">
        <v>173</v>
      </c>
      <c r="D1450" s="16" t="str">
        <f>VLOOKUP(C1450,[1]master_data!$A$2:$E$495,2,FALSE)</f>
        <v>LED AQURA 40 CM</v>
      </c>
      <c r="E1450" s="16">
        <v>2</v>
      </c>
      <c r="F1450" s="16">
        <f>VLOOKUP(C1450,[1]master_data!$A$2:$E$495,3,FALSE)</f>
        <v>21000</v>
      </c>
      <c r="G1450" s="16">
        <f>VLOOKUP(C1450,[1]master_data!$A$2:$E$495,4,FALSE)</f>
        <v>40000</v>
      </c>
      <c r="H1450" s="16">
        <f>E1450*F1450</f>
        <v>42000</v>
      </c>
      <c r="I1450" s="16">
        <f>E1450*G1450</f>
        <v>80000</v>
      </c>
      <c r="J1450" s="16">
        <f>I1450-H1450</f>
        <v>38000</v>
      </c>
      <c r="K1450" s="16" t="str">
        <f>VLOOKUP(C1450,[1]master_data!$A$2:$E$495,5,FALSE)</f>
        <v>Aksesoris</v>
      </c>
      <c r="L1450" s="1"/>
    </row>
    <row r="1451" spans="1:12" ht="12" customHeight="1" x14ac:dyDescent="0.25">
      <c r="A1451" s="15">
        <v>45099</v>
      </c>
      <c r="B1451" s="16">
        <v>22301048</v>
      </c>
      <c r="C1451" s="16" t="s">
        <v>213</v>
      </c>
      <c r="D1451" s="16" t="str">
        <f>VLOOKUP(C1451,[1]master_data!$A$2:$E$495,2,FALSE)</f>
        <v>MEM PRIME 10 GR</v>
      </c>
      <c r="E1451" s="16">
        <v>10</v>
      </c>
      <c r="F1451" s="16">
        <f>VLOOKUP(C1451,[1]master_data!$A$2:$E$495,3,FALSE)</f>
        <v>5000</v>
      </c>
      <c r="G1451" s="16">
        <f>VLOOKUP(C1451,[1]master_data!$A$2:$E$495,4,FALSE)</f>
        <v>10000</v>
      </c>
      <c r="H1451" s="16">
        <f>E1451*F1451</f>
        <v>50000</v>
      </c>
      <c r="I1451" s="16">
        <f>E1451*G1451</f>
        <v>100000</v>
      </c>
      <c r="J1451" s="16">
        <f>I1451-H1451</f>
        <v>50000</v>
      </c>
      <c r="K1451" s="16" t="str">
        <f>VLOOKUP(C1451,[1]master_data!$A$2:$E$495,5,FALSE)</f>
        <v>Aksesoris</v>
      </c>
      <c r="L1451" s="1"/>
    </row>
    <row r="1452" spans="1:12" ht="12" customHeight="1" x14ac:dyDescent="0.25">
      <c r="A1452" s="15">
        <v>45099</v>
      </c>
      <c r="B1452" s="16">
        <v>22301049</v>
      </c>
      <c r="C1452" s="16" t="s">
        <v>405</v>
      </c>
      <c r="D1452" s="16" t="str">
        <f>VLOOKUP(C1452,[1]master_data!$A$2:$E$495,2,FALSE)</f>
        <v>CUPANG</v>
      </c>
      <c r="E1452" s="16">
        <v>20</v>
      </c>
      <c r="F1452" s="16">
        <f>VLOOKUP(C1452,[1]master_data!$A$2:$E$495,3,FALSE)</f>
        <v>2000</v>
      </c>
      <c r="G1452" s="16">
        <f>VLOOKUP(C1452,[1]master_data!$A$2:$E$495,4,FALSE)</f>
        <v>5000</v>
      </c>
      <c r="H1452" s="16">
        <f>E1452*F1452</f>
        <v>40000</v>
      </c>
      <c r="I1452" s="16">
        <f>E1452*G1452</f>
        <v>100000</v>
      </c>
      <c r="J1452" s="16">
        <f>I1452-H1452</f>
        <v>60000</v>
      </c>
      <c r="K1452" s="16" t="str">
        <f>VLOOKUP(C1452,[1]master_data!$A$2:$E$495,5,FALSE)</f>
        <v>Ikan</v>
      </c>
      <c r="L1452" s="1"/>
    </row>
    <row r="1453" spans="1:12" ht="12" customHeight="1" x14ac:dyDescent="0.25">
      <c r="A1453" s="15">
        <v>45099</v>
      </c>
      <c r="B1453" s="16">
        <v>22301050</v>
      </c>
      <c r="C1453" s="16" t="s">
        <v>249</v>
      </c>
      <c r="D1453" s="16" t="str">
        <f>VLOOKUP(C1453,[1]master_data!$A$2:$E$495,2,FALSE)</f>
        <v>AIRSTONE 100</v>
      </c>
      <c r="E1453" s="16">
        <v>3</v>
      </c>
      <c r="F1453" s="16">
        <f>VLOOKUP(C1453,[1]master_data!$A$2:$E$495,3,FALSE)</f>
        <v>15000</v>
      </c>
      <c r="G1453" s="16">
        <f>VLOOKUP(C1453,[1]master_data!$A$2:$E$495,4,FALSE)</f>
        <v>35000</v>
      </c>
      <c r="H1453" s="16">
        <f>E1453*F1453</f>
        <v>45000</v>
      </c>
      <c r="I1453" s="16">
        <f>E1453*G1453</f>
        <v>105000</v>
      </c>
      <c r="J1453" s="16">
        <f>I1453-H1453</f>
        <v>60000</v>
      </c>
      <c r="K1453" s="16" t="str">
        <f>VLOOKUP(C1453,[1]master_data!$A$2:$E$495,5,FALSE)</f>
        <v>Aksesoris</v>
      </c>
      <c r="L1453" s="1"/>
    </row>
    <row r="1454" spans="1:12" ht="12" customHeight="1" x14ac:dyDescent="0.25">
      <c r="A1454" s="15">
        <v>45099</v>
      </c>
      <c r="B1454" s="16">
        <v>22301051</v>
      </c>
      <c r="C1454" s="16" t="s">
        <v>440</v>
      </c>
      <c r="D1454" s="16" t="str">
        <f>VLOOKUP(C1454,[1]master_data!$A$2:$E$495,2,FALSE)</f>
        <v>PEMBERSIH KACA ALBINO</v>
      </c>
      <c r="E1454" s="16">
        <v>50</v>
      </c>
      <c r="F1454" s="16">
        <f>VLOOKUP(C1454,[1]master_data!$A$2:$E$495,3,FALSE)</f>
        <v>2500</v>
      </c>
      <c r="G1454" s="16">
        <f>VLOOKUP(C1454,[1]master_data!$A$2:$E$495,4,FALSE)</f>
        <v>5000</v>
      </c>
      <c r="H1454" s="16">
        <f>E1454*F1454</f>
        <v>125000</v>
      </c>
      <c r="I1454" s="16">
        <f>E1454*G1454</f>
        <v>250000</v>
      </c>
      <c r="J1454" s="16">
        <f>I1454-H1454</f>
        <v>125000</v>
      </c>
      <c r="K1454" s="16" t="str">
        <f>VLOOKUP(C1454,[1]master_data!$A$2:$E$495,5,FALSE)</f>
        <v>Ikan</v>
      </c>
      <c r="L1454" s="1"/>
    </row>
    <row r="1455" spans="1:12" ht="12" customHeight="1" x14ac:dyDescent="0.25">
      <c r="A1455" s="15">
        <v>45099</v>
      </c>
      <c r="B1455" s="16">
        <v>22301052</v>
      </c>
      <c r="C1455" s="16" t="s">
        <v>284</v>
      </c>
      <c r="D1455" s="16" t="str">
        <f>VLOOKUP(C1455,[1]master_data!$A$2:$E$495,2,FALSE)</f>
        <v>KAPAS 3 LAPIS</v>
      </c>
      <c r="E1455" s="16">
        <v>10</v>
      </c>
      <c r="F1455" s="16">
        <f>VLOOKUP(C1455,[1]master_data!$A$2:$E$495,3,FALSE)</f>
        <v>3200</v>
      </c>
      <c r="G1455" s="16">
        <f>VLOOKUP(C1455,[1]master_data!$A$2:$E$495,4,FALSE)</f>
        <v>5000</v>
      </c>
      <c r="H1455" s="16">
        <f>E1455*F1455</f>
        <v>32000</v>
      </c>
      <c r="I1455" s="16">
        <f>E1455*G1455</f>
        <v>50000</v>
      </c>
      <c r="J1455" s="16">
        <f>I1455-H1455</f>
        <v>18000</v>
      </c>
      <c r="K1455" s="16" t="str">
        <f>VLOOKUP(C1455,[1]master_data!$A$2:$E$495,5,FALSE)</f>
        <v>Aksesoris</v>
      </c>
      <c r="L1455" s="1"/>
    </row>
    <row r="1456" spans="1:12" ht="12" customHeight="1" x14ac:dyDescent="0.25">
      <c r="A1456" s="15">
        <v>45099</v>
      </c>
      <c r="B1456" s="16">
        <v>22301053</v>
      </c>
      <c r="C1456" s="16" t="s">
        <v>404</v>
      </c>
      <c r="D1456" s="16" t="str">
        <f>VLOOKUP(C1456,[1]master_data!$A$2:$E$495,2,FALSE)</f>
        <v>BARBIR</v>
      </c>
      <c r="E1456" s="16">
        <v>30</v>
      </c>
      <c r="F1456" s="16">
        <f>VLOOKUP(C1456,[1]master_data!$A$2:$E$495,3,FALSE)</f>
        <v>800</v>
      </c>
      <c r="G1456" s="16">
        <f>VLOOKUP(C1456,[1]master_data!$A$2:$E$495,4,FALSE)</f>
        <v>2000</v>
      </c>
      <c r="H1456" s="16">
        <f>E1456*F1456</f>
        <v>24000</v>
      </c>
      <c r="I1456" s="16">
        <f>E1456*G1456</f>
        <v>60000</v>
      </c>
      <c r="J1456" s="16">
        <f>I1456-H1456</f>
        <v>36000</v>
      </c>
      <c r="K1456" s="16" t="str">
        <f>VLOOKUP(C1456,[1]master_data!$A$2:$E$495,5,FALSE)</f>
        <v>Ikan</v>
      </c>
      <c r="L1456" s="1"/>
    </row>
    <row r="1457" spans="1:12" ht="12" customHeight="1" x14ac:dyDescent="0.25">
      <c r="A1457" s="15">
        <v>45099</v>
      </c>
      <c r="B1457" s="16">
        <v>22301054</v>
      </c>
      <c r="C1457" s="16" t="s">
        <v>113</v>
      </c>
      <c r="D1457" s="16" t="str">
        <f>VLOOKUP(C1457,[1]master_data!$A$2:$E$495,2,FALSE)</f>
        <v>AIRATOR ARMADA BATERAI 001</v>
      </c>
      <c r="E1457" s="16">
        <v>1</v>
      </c>
      <c r="F1457" s="16">
        <f>VLOOKUP(C1457,[1]master_data!$A$2:$E$495,3,FALSE)</f>
        <v>27000</v>
      </c>
      <c r="G1457" s="16">
        <f>VLOOKUP(C1457,[1]master_data!$A$2:$E$495,4,FALSE)</f>
        <v>45000</v>
      </c>
      <c r="H1457" s="16">
        <f>E1457*F1457</f>
        <v>27000</v>
      </c>
      <c r="I1457" s="16">
        <f>E1457*G1457</f>
        <v>45000</v>
      </c>
      <c r="J1457" s="16">
        <f>I1457-H1457</f>
        <v>18000</v>
      </c>
      <c r="K1457" s="16" t="str">
        <f>VLOOKUP(C1457,[1]master_data!$A$2:$E$495,5,FALSE)</f>
        <v>Aksesoris</v>
      </c>
      <c r="L1457" s="1"/>
    </row>
    <row r="1458" spans="1:12" ht="12" customHeight="1" x14ac:dyDescent="0.25">
      <c r="A1458" s="15">
        <v>45098</v>
      </c>
      <c r="B1458" s="16">
        <v>22301044</v>
      </c>
      <c r="C1458" s="16" t="s">
        <v>422</v>
      </c>
      <c r="D1458" s="16" t="str">
        <f>VLOOKUP(C1458,[1]master_data!$A$2:$E$495,2,FALSE)</f>
        <v>KOI SLAYER B</v>
      </c>
      <c r="E1458" s="16">
        <v>5</v>
      </c>
      <c r="F1458" s="16">
        <f>VLOOKUP(C1458,[1]master_data!$A$2:$E$495,3,FALSE)</f>
        <v>8000</v>
      </c>
      <c r="G1458" s="16">
        <f>VLOOKUP(C1458,[1]master_data!$A$2:$E$495,4,FALSE)</f>
        <v>20000</v>
      </c>
      <c r="H1458" s="16">
        <f>E1458*F1458</f>
        <v>40000</v>
      </c>
      <c r="I1458" s="16">
        <f>E1458*G1458</f>
        <v>100000</v>
      </c>
      <c r="J1458" s="16">
        <f>I1458-H1458</f>
        <v>60000</v>
      </c>
      <c r="K1458" s="16" t="str">
        <f>VLOOKUP(C1458,[1]master_data!$A$2:$E$495,5,FALSE)</f>
        <v>Ikan</v>
      </c>
      <c r="L1458" s="1"/>
    </row>
    <row r="1459" spans="1:12" ht="12" customHeight="1" x14ac:dyDescent="0.25">
      <c r="A1459" s="15">
        <v>45098</v>
      </c>
      <c r="B1459" s="16">
        <v>22301045</v>
      </c>
      <c r="C1459" s="16" t="s">
        <v>430</v>
      </c>
      <c r="D1459" s="16" t="str">
        <f>VLOOKUP(C1459,[1]master_data!$A$2:$E$495,2,FALSE)</f>
        <v>MARU K</v>
      </c>
      <c r="E1459" s="16">
        <v>8</v>
      </c>
      <c r="F1459" s="16">
        <f>VLOOKUP(C1459,[1]master_data!$A$2:$E$495,3,FALSE)</f>
        <v>23000</v>
      </c>
      <c r="G1459" s="16">
        <f>VLOOKUP(C1459,[1]master_data!$A$2:$E$495,4,FALSE)</f>
        <v>50000</v>
      </c>
      <c r="H1459" s="16">
        <f>E1459*F1459</f>
        <v>184000</v>
      </c>
      <c r="I1459" s="16">
        <f>E1459*G1459</f>
        <v>400000</v>
      </c>
      <c r="J1459" s="16">
        <f>I1459-H1459</f>
        <v>216000</v>
      </c>
      <c r="K1459" s="16" t="str">
        <f>VLOOKUP(C1459,[1]master_data!$A$2:$E$495,5,FALSE)</f>
        <v>Ikan</v>
      </c>
      <c r="L1459" s="1"/>
    </row>
    <row r="1460" spans="1:12" ht="12" customHeight="1" x14ac:dyDescent="0.25">
      <c r="A1460" s="15">
        <v>45098</v>
      </c>
      <c r="B1460" s="16">
        <v>22301046</v>
      </c>
      <c r="C1460" s="16" t="s">
        <v>364</v>
      </c>
      <c r="D1460" s="16" t="str">
        <f>VLOOKUP(C1460,[1]master_data!$A$2:$E$495,2,FALSE)</f>
        <v>AKUARIUM 50 ROBOT</v>
      </c>
      <c r="E1460" s="16">
        <v>1</v>
      </c>
      <c r="F1460" s="16">
        <f>VLOOKUP(C1460,[1]master_data!$A$2:$E$495,3,FALSE)</f>
        <v>115000</v>
      </c>
      <c r="G1460" s="16">
        <f>VLOOKUP(C1460,[1]master_data!$A$2:$E$495,4,FALSE)</f>
        <v>165000</v>
      </c>
      <c r="H1460" s="16">
        <f>E1460*F1460</f>
        <v>115000</v>
      </c>
      <c r="I1460" s="16">
        <f>E1460*G1460</f>
        <v>165000</v>
      </c>
      <c r="J1460" s="16">
        <f>I1460-H1460</f>
        <v>50000</v>
      </c>
      <c r="K1460" s="16" t="str">
        <f>VLOOKUP(C1460,[1]master_data!$A$2:$E$495,5,FALSE)</f>
        <v>Aksesoris</v>
      </c>
      <c r="L1460" s="1"/>
    </row>
    <row r="1461" spans="1:12" ht="12" customHeight="1" x14ac:dyDescent="0.25">
      <c r="A1461" s="15">
        <v>45097</v>
      </c>
      <c r="B1461" s="16">
        <v>22301036</v>
      </c>
      <c r="C1461" s="16" t="s">
        <v>438</v>
      </c>
      <c r="D1461" s="16" t="str">
        <f>VLOOKUP(C1461,[1]master_data!$A$2:$E$495,2,FALSE)</f>
        <v>OSCAR</v>
      </c>
      <c r="E1461" s="16">
        <v>2</v>
      </c>
      <c r="F1461" s="16">
        <f>VLOOKUP(C1461,[1]master_data!$A$2:$E$495,3,FALSE)</f>
        <v>25000</v>
      </c>
      <c r="G1461" s="16">
        <f>VLOOKUP(C1461,[1]master_data!$A$2:$E$495,4,FALSE)</f>
        <v>50000</v>
      </c>
      <c r="H1461" s="16">
        <f>E1461*F1461</f>
        <v>50000</v>
      </c>
      <c r="I1461" s="16">
        <f>E1461*G1461</f>
        <v>100000</v>
      </c>
      <c r="J1461" s="16">
        <f>I1461-H1461</f>
        <v>50000</v>
      </c>
      <c r="K1461" s="16" t="str">
        <f>VLOOKUP(C1461,[1]master_data!$A$2:$E$495,5,FALSE)</f>
        <v>Ikan</v>
      </c>
      <c r="L1461" s="1"/>
    </row>
    <row r="1462" spans="1:12" ht="12" customHeight="1" x14ac:dyDescent="0.25">
      <c r="A1462" s="15">
        <v>45097</v>
      </c>
      <c r="B1462" s="16">
        <v>22301037</v>
      </c>
      <c r="C1462" s="16" t="s">
        <v>399</v>
      </c>
      <c r="D1462" s="16" t="str">
        <f>VLOOKUP(C1462,[1]master_data!$A$2:$E$495,2,FALSE)</f>
        <v>BALA BALA B</v>
      </c>
      <c r="E1462" s="16">
        <v>1</v>
      </c>
      <c r="F1462" s="16">
        <f>VLOOKUP(C1462,[1]master_data!$A$2:$E$495,3,FALSE)</f>
        <v>7000</v>
      </c>
      <c r="G1462" s="16">
        <f>VLOOKUP(C1462,[1]master_data!$A$2:$E$495,4,FALSE)</f>
        <v>15000</v>
      </c>
      <c r="H1462" s="16">
        <f>E1462*F1462</f>
        <v>7000</v>
      </c>
      <c r="I1462" s="16">
        <f>E1462*G1462</f>
        <v>15000</v>
      </c>
      <c r="J1462" s="16">
        <f>I1462-H1462</f>
        <v>8000</v>
      </c>
      <c r="K1462" s="16" t="str">
        <f>VLOOKUP(C1462,[1]master_data!$A$2:$E$495,5,FALSE)</f>
        <v>Ikan</v>
      </c>
      <c r="L1462" s="1"/>
    </row>
    <row r="1463" spans="1:12" ht="12" customHeight="1" x14ac:dyDescent="0.25">
      <c r="A1463" s="15">
        <v>45097</v>
      </c>
      <c r="B1463" s="16">
        <v>22301038</v>
      </c>
      <c r="C1463" s="16" t="s">
        <v>454</v>
      </c>
      <c r="D1463" s="16" t="str">
        <f>VLOOKUP(C1463,[1]master_data!$A$2:$E$495,2,FALSE)</f>
        <v>TOMAN</v>
      </c>
      <c r="E1463" s="16">
        <v>10</v>
      </c>
      <c r="F1463" s="16">
        <f>VLOOKUP(C1463,[1]master_data!$A$2:$E$495,3,FALSE)</f>
        <v>10000</v>
      </c>
      <c r="G1463" s="16">
        <f>VLOOKUP(C1463,[1]master_data!$A$2:$E$495,4,FALSE)</f>
        <v>25000</v>
      </c>
      <c r="H1463" s="16">
        <f>E1463*F1463</f>
        <v>100000</v>
      </c>
      <c r="I1463" s="16">
        <f>E1463*G1463</f>
        <v>250000</v>
      </c>
      <c r="J1463" s="16">
        <f>I1463-H1463</f>
        <v>150000</v>
      </c>
      <c r="K1463" s="16" t="str">
        <f>VLOOKUP(C1463,[1]master_data!$A$2:$E$495,5,FALSE)</f>
        <v>Ikan</v>
      </c>
      <c r="L1463" s="1"/>
    </row>
    <row r="1464" spans="1:12" ht="12" customHeight="1" x14ac:dyDescent="0.25">
      <c r="A1464" s="15">
        <v>45097</v>
      </c>
      <c r="B1464" s="16">
        <v>22301039</v>
      </c>
      <c r="C1464" s="16" t="s">
        <v>117</v>
      </c>
      <c r="D1464" s="16" t="str">
        <f>VLOOKUP(C1464,[1]master_data!$A$2:$E$495,2,FALSE)</f>
        <v>LED VOSSO 20 CM</v>
      </c>
      <c r="E1464" s="16">
        <v>2</v>
      </c>
      <c r="F1464" s="16">
        <f>VLOOKUP(C1464,[1]master_data!$A$2:$E$495,3,FALSE)</f>
        <v>20000</v>
      </c>
      <c r="G1464" s="16">
        <f>VLOOKUP(C1464,[1]master_data!$A$2:$E$495,4,FALSE)</f>
        <v>30000</v>
      </c>
      <c r="H1464" s="16">
        <f>E1464*F1464</f>
        <v>40000</v>
      </c>
      <c r="I1464" s="16">
        <f>E1464*G1464</f>
        <v>60000</v>
      </c>
      <c r="J1464" s="16">
        <f>I1464-H1464</f>
        <v>20000</v>
      </c>
      <c r="K1464" s="16" t="str">
        <f>VLOOKUP(C1464,[1]master_data!$A$2:$E$495,5,FALSE)</f>
        <v>Aksesoris</v>
      </c>
      <c r="L1464" s="1"/>
    </row>
    <row r="1465" spans="1:12" ht="12" customHeight="1" x14ac:dyDescent="0.25">
      <c r="A1465" s="15">
        <v>45097</v>
      </c>
      <c r="B1465" s="16">
        <v>22301040</v>
      </c>
      <c r="C1465" s="16" t="s">
        <v>408</v>
      </c>
      <c r="D1465" s="16" t="str">
        <f>VLOOKUP(C1465,[1]master_data!$A$2:$E$495,2,FALSE)</f>
        <v>GUPY</v>
      </c>
      <c r="E1465" s="16">
        <v>30</v>
      </c>
      <c r="F1465" s="16">
        <f>VLOOKUP(C1465,[1]master_data!$A$2:$E$495,3,FALSE)</f>
        <v>1200</v>
      </c>
      <c r="G1465" s="16">
        <f>VLOOKUP(C1465,[1]master_data!$A$2:$E$495,4,FALSE)</f>
        <v>2500</v>
      </c>
      <c r="H1465" s="16">
        <f>E1465*F1465</f>
        <v>36000</v>
      </c>
      <c r="I1465" s="16">
        <f>E1465*G1465</f>
        <v>75000</v>
      </c>
      <c r="J1465" s="16">
        <f>I1465-H1465</f>
        <v>39000</v>
      </c>
      <c r="K1465" s="16" t="str">
        <f>VLOOKUP(C1465,[1]master_data!$A$2:$E$495,5,FALSE)</f>
        <v>Ikan</v>
      </c>
      <c r="L1465" s="1"/>
    </row>
    <row r="1466" spans="1:12" ht="12" customHeight="1" x14ac:dyDescent="0.25">
      <c r="A1466" s="15">
        <v>45097</v>
      </c>
      <c r="B1466" s="16">
        <v>22301041</v>
      </c>
      <c r="C1466" s="16" t="s">
        <v>400</v>
      </c>
      <c r="D1466" s="16" t="str">
        <f>VLOOKUP(C1466,[1]master_data!$A$2:$E$495,2,FALSE)</f>
        <v>BLACK GHOST</v>
      </c>
      <c r="E1466" s="16">
        <v>5</v>
      </c>
      <c r="F1466" s="16">
        <f>VLOOKUP(C1466,[1]master_data!$A$2:$E$495,3,FALSE)</f>
        <v>4000</v>
      </c>
      <c r="G1466" s="16">
        <f>VLOOKUP(C1466,[1]master_data!$A$2:$E$495,4,FALSE)</f>
        <v>10000</v>
      </c>
      <c r="H1466" s="16">
        <f>E1466*F1466</f>
        <v>20000</v>
      </c>
      <c r="I1466" s="16">
        <f>E1466*G1466</f>
        <v>50000</v>
      </c>
      <c r="J1466" s="16">
        <f>I1466-H1466</f>
        <v>30000</v>
      </c>
      <c r="K1466" s="16" t="str">
        <f>VLOOKUP(C1466,[1]master_data!$A$2:$E$495,5,FALSE)</f>
        <v>Ikan</v>
      </c>
      <c r="L1466" s="1"/>
    </row>
    <row r="1467" spans="1:12" ht="12" customHeight="1" x14ac:dyDescent="0.25">
      <c r="A1467" s="15">
        <v>45097</v>
      </c>
      <c r="B1467" s="16">
        <v>22301042</v>
      </c>
      <c r="C1467" s="16" t="s">
        <v>230</v>
      </c>
      <c r="D1467" s="16" t="str">
        <f>VLOOKUP(C1467,[1]master_data!$A$2:$E$495,2,FALSE)</f>
        <v>FISH LOVE PAKAN</v>
      </c>
      <c r="E1467" s="16">
        <v>1</v>
      </c>
      <c r="F1467" s="16">
        <f>VLOOKUP(C1467,[1]master_data!$A$2:$E$495,3,FALSE)</f>
        <v>2500</v>
      </c>
      <c r="G1467" s="16">
        <f>VLOOKUP(C1467,[1]master_data!$A$2:$E$495,4,FALSE)</f>
        <v>5000</v>
      </c>
      <c r="H1467" s="16">
        <f>E1467*F1467</f>
        <v>2500</v>
      </c>
      <c r="I1467" s="16">
        <f>E1467*G1467</f>
        <v>5000</v>
      </c>
      <c r="J1467" s="16">
        <f>I1467-H1467</f>
        <v>2500</v>
      </c>
      <c r="K1467" s="16" t="str">
        <f>VLOOKUP(C1467,[1]master_data!$A$2:$E$495,5,FALSE)</f>
        <v>Aksesoris</v>
      </c>
      <c r="L1467" s="1"/>
    </row>
    <row r="1468" spans="1:12" ht="12" customHeight="1" x14ac:dyDescent="0.25">
      <c r="A1468" s="15">
        <v>45097</v>
      </c>
      <c r="B1468" s="16">
        <v>22301043</v>
      </c>
      <c r="C1468" s="16" t="s">
        <v>406</v>
      </c>
      <c r="D1468" s="16" t="str">
        <f>VLOOKUP(C1468,[1]master_data!$A$2:$E$495,2,FALSE)</f>
        <v>CATFISH</v>
      </c>
      <c r="E1468" s="16">
        <v>1</v>
      </c>
      <c r="F1468" s="16">
        <f>VLOOKUP(C1468,[1]master_data!$A$2:$E$495,3,FALSE)</f>
        <v>20000</v>
      </c>
      <c r="G1468" s="16">
        <f>VLOOKUP(C1468,[1]master_data!$A$2:$E$495,4,FALSE)</f>
        <v>50000</v>
      </c>
      <c r="H1468" s="16">
        <f>E1468*F1468</f>
        <v>20000</v>
      </c>
      <c r="I1468" s="16">
        <f>E1468*G1468</f>
        <v>50000</v>
      </c>
      <c r="J1468" s="16">
        <f>I1468-H1468</f>
        <v>30000</v>
      </c>
      <c r="K1468" s="16" t="str">
        <f>VLOOKUP(C1468,[1]master_data!$A$2:$E$495,5,FALSE)</f>
        <v>Ikan</v>
      </c>
      <c r="L1468" s="1"/>
    </row>
    <row r="1469" spans="1:12" ht="12" customHeight="1" x14ac:dyDescent="0.25">
      <c r="A1469" s="15">
        <v>45096</v>
      </c>
      <c r="B1469" s="16">
        <v>22301026</v>
      </c>
      <c r="C1469" s="16" t="s">
        <v>446</v>
      </c>
      <c r="D1469" s="16" t="str">
        <f>VLOOKUP(C1469,[1]master_data!$A$2:$E$495,2,FALSE)</f>
        <v xml:space="preserve"> CHANNA RED BARITO K</v>
      </c>
      <c r="E1469" s="16">
        <v>2</v>
      </c>
      <c r="F1469" s="16">
        <f>VLOOKUP(C1469,[1]master_data!$A$2:$E$495,3,FALSE)</f>
        <v>45000</v>
      </c>
      <c r="G1469" s="16">
        <f>VLOOKUP(C1469,[1]master_data!$A$2:$E$495,4,FALSE)</f>
        <v>100000</v>
      </c>
      <c r="H1469" s="16">
        <f>E1469*F1469</f>
        <v>90000</v>
      </c>
      <c r="I1469" s="16">
        <f>E1469*G1469</f>
        <v>200000</v>
      </c>
      <c r="J1469" s="16">
        <f>I1469-H1469</f>
        <v>110000</v>
      </c>
      <c r="K1469" s="16" t="str">
        <f>VLOOKUP(C1469,[1]master_data!$A$2:$E$495,5,FALSE)</f>
        <v>Ikan</v>
      </c>
      <c r="L1469" s="1"/>
    </row>
    <row r="1470" spans="1:12" ht="12" customHeight="1" x14ac:dyDescent="0.25">
      <c r="A1470" s="15">
        <v>45096</v>
      </c>
      <c r="B1470" s="16">
        <v>22301027</v>
      </c>
      <c r="C1470" s="16" t="s">
        <v>118</v>
      </c>
      <c r="D1470" s="16" t="str">
        <f>VLOOKUP(C1470,[1]master_data!$A$2:$E$495,2,FALSE)</f>
        <v>LED ROSTON 3 MODE 20 CM</v>
      </c>
      <c r="E1470" s="16">
        <v>2</v>
      </c>
      <c r="F1470" s="16">
        <f>VLOOKUP(C1470,[1]master_data!$A$2:$E$495,3,FALSE)</f>
        <v>23000</v>
      </c>
      <c r="G1470" s="16">
        <f>VLOOKUP(C1470,[1]master_data!$A$2:$E$495,4,FALSE)</f>
        <v>40000</v>
      </c>
      <c r="H1470" s="16">
        <f>E1470*F1470</f>
        <v>46000</v>
      </c>
      <c r="I1470" s="16">
        <f>E1470*G1470</f>
        <v>80000</v>
      </c>
      <c r="J1470" s="16">
        <f>I1470-H1470</f>
        <v>34000</v>
      </c>
      <c r="K1470" s="16" t="str">
        <f>VLOOKUP(C1470,[1]master_data!$A$2:$E$495,5,FALSE)</f>
        <v>Aksesoris</v>
      </c>
      <c r="L1470" s="1"/>
    </row>
    <row r="1471" spans="1:12" ht="12" customHeight="1" x14ac:dyDescent="0.25">
      <c r="A1471" s="15">
        <v>45096</v>
      </c>
      <c r="B1471" s="16">
        <v>22301028</v>
      </c>
      <c r="C1471" s="16" t="s">
        <v>248</v>
      </c>
      <c r="D1471" s="16" t="str">
        <f>VLOOKUP(C1471,[1]master_data!$A$2:$E$495,2,FALSE)</f>
        <v>AIRSTONE 80</v>
      </c>
      <c r="E1471" s="16">
        <v>2</v>
      </c>
      <c r="F1471" s="16">
        <f>VLOOKUP(C1471,[1]master_data!$A$2:$E$495,3,FALSE)</f>
        <v>14000</v>
      </c>
      <c r="G1471" s="16">
        <f>VLOOKUP(C1471,[1]master_data!$A$2:$E$495,4,FALSE)</f>
        <v>22000</v>
      </c>
      <c r="H1471" s="16">
        <f>E1471*F1471</f>
        <v>28000</v>
      </c>
      <c r="I1471" s="16">
        <f>E1471*G1471</f>
        <v>44000</v>
      </c>
      <c r="J1471" s="16">
        <f>I1471-H1471</f>
        <v>16000</v>
      </c>
      <c r="K1471" s="16" t="str">
        <f>VLOOKUP(C1471,[1]master_data!$A$2:$E$495,5,FALSE)</f>
        <v>Aksesoris</v>
      </c>
      <c r="L1471" s="1"/>
    </row>
    <row r="1472" spans="1:12" ht="12" customHeight="1" x14ac:dyDescent="0.25">
      <c r="A1472" s="15">
        <v>45096</v>
      </c>
      <c r="B1472" s="16">
        <v>22301029</v>
      </c>
      <c r="C1472" s="16" t="s">
        <v>422</v>
      </c>
      <c r="D1472" s="16" t="str">
        <f>VLOOKUP(C1472,[1]master_data!$A$2:$E$495,2,FALSE)</f>
        <v>KOI SLAYER B</v>
      </c>
      <c r="E1472" s="16">
        <v>5</v>
      </c>
      <c r="F1472" s="16">
        <f>VLOOKUP(C1472,[1]master_data!$A$2:$E$495,3,FALSE)</f>
        <v>8000</v>
      </c>
      <c r="G1472" s="16">
        <f>VLOOKUP(C1472,[1]master_data!$A$2:$E$495,4,FALSE)</f>
        <v>20000</v>
      </c>
      <c r="H1472" s="16">
        <f>E1472*F1472</f>
        <v>40000</v>
      </c>
      <c r="I1472" s="16">
        <f>E1472*G1472</f>
        <v>100000</v>
      </c>
      <c r="J1472" s="16">
        <f>I1472-H1472</f>
        <v>60000</v>
      </c>
      <c r="K1472" s="16" t="str">
        <f>VLOOKUP(C1472,[1]master_data!$A$2:$E$495,5,FALSE)</f>
        <v>Ikan</v>
      </c>
      <c r="L1472" s="1"/>
    </row>
    <row r="1473" spans="1:12" ht="12" customHeight="1" x14ac:dyDescent="0.25">
      <c r="A1473" s="15">
        <v>45096</v>
      </c>
      <c r="B1473" s="16">
        <v>22301030</v>
      </c>
      <c r="C1473" s="16" t="s">
        <v>407</v>
      </c>
      <c r="D1473" s="16" t="str">
        <f>VLOOKUP(C1473,[1]master_data!$A$2:$E$495,2,FALSE)</f>
        <v>GOLD FISH</v>
      </c>
      <c r="E1473" s="16">
        <v>30</v>
      </c>
      <c r="F1473" s="16">
        <f>VLOOKUP(C1473,[1]master_data!$A$2:$E$495,3,FALSE)</f>
        <v>800</v>
      </c>
      <c r="G1473" s="16">
        <f>VLOOKUP(C1473,[1]master_data!$A$2:$E$495,4,FALSE)</f>
        <v>2000</v>
      </c>
      <c r="H1473" s="16">
        <f>E1473*F1473</f>
        <v>24000</v>
      </c>
      <c r="I1473" s="16">
        <f>E1473*G1473</f>
        <v>60000</v>
      </c>
      <c r="J1473" s="16">
        <f>I1473-H1473</f>
        <v>36000</v>
      </c>
      <c r="K1473" s="16" t="str">
        <f>VLOOKUP(C1473,[1]master_data!$A$2:$E$495,5,FALSE)</f>
        <v>Ikan</v>
      </c>
      <c r="L1473" s="1"/>
    </row>
    <row r="1474" spans="1:12" ht="12" customHeight="1" x14ac:dyDescent="0.25">
      <c r="A1474" s="15">
        <v>45096</v>
      </c>
      <c r="B1474" s="16">
        <v>22301031</v>
      </c>
      <c r="C1474" s="16" t="s">
        <v>436</v>
      </c>
      <c r="D1474" s="16" t="str">
        <f>VLOOKUP(C1474,[1]master_data!$A$2:$E$495,2,FALSE)</f>
        <v>NENTINEN</v>
      </c>
      <c r="E1474" s="16">
        <v>15</v>
      </c>
      <c r="F1474" s="16">
        <f>VLOOKUP(C1474,[1]master_data!$A$2:$E$495,3,FALSE)</f>
        <v>1000</v>
      </c>
      <c r="G1474" s="16">
        <f>VLOOKUP(C1474,[1]master_data!$A$2:$E$495,4,FALSE)</f>
        <v>2500</v>
      </c>
      <c r="H1474" s="16">
        <f>E1474*F1474</f>
        <v>15000</v>
      </c>
      <c r="I1474" s="16">
        <f>E1474*G1474</f>
        <v>37500</v>
      </c>
      <c r="J1474" s="16">
        <f>I1474-H1474</f>
        <v>22500</v>
      </c>
      <c r="K1474" s="16" t="str">
        <f>VLOOKUP(C1474,[1]master_data!$A$2:$E$495,5,FALSE)</f>
        <v>Ikan</v>
      </c>
      <c r="L1474" s="1"/>
    </row>
    <row r="1475" spans="1:12" ht="12" customHeight="1" x14ac:dyDescent="0.25">
      <c r="A1475" s="15">
        <v>45096</v>
      </c>
      <c r="B1475" s="16">
        <v>22301032</v>
      </c>
      <c r="C1475" s="16" t="s">
        <v>146</v>
      </c>
      <c r="D1475" s="16" t="str">
        <f>VLOOKUP(C1475,[1]master_data!$A$2:$E$495,2,FALSE)</f>
        <v>LED KIYOSAKI 3 MODE 30 CM</v>
      </c>
      <c r="E1475" s="16">
        <v>4</v>
      </c>
      <c r="F1475" s="16">
        <f>VLOOKUP(C1475,[1]master_data!$A$2:$E$495,3,FALSE)</f>
        <v>40000</v>
      </c>
      <c r="G1475" s="16">
        <f>VLOOKUP(C1475,[1]master_data!$A$2:$E$495,4,FALSE)</f>
        <v>55000</v>
      </c>
      <c r="H1475" s="16">
        <f>E1475*F1475</f>
        <v>160000</v>
      </c>
      <c r="I1475" s="16">
        <f>E1475*G1475</f>
        <v>220000</v>
      </c>
      <c r="J1475" s="16">
        <f>I1475-H1475</f>
        <v>60000</v>
      </c>
      <c r="K1475" s="16" t="str">
        <f>VLOOKUP(C1475,[1]master_data!$A$2:$E$495,5,FALSE)</f>
        <v>Aksesoris</v>
      </c>
      <c r="L1475" s="1"/>
    </row>
    <row r="1476" spans="1:12" ht="12" customHeight="1" x14ac:dyDescent="0.25">
      <c r="A1476" s="15">
        <v>45096</v>
      </c>
      <c r="B1476" s="16">
        <v>22301033</v>
      </c>
      <c r="C1476" s="16" t="s">
        <v>397</v>
      </c>
      <c r="D1476" s="16" t="str">
        <f>VLOOKUP(C1476,[1]master_data!$A$2:$E$495,2,FALSE)</f>
        <v>BUENOS AIRES TETRA</v>
      </c>
      <c r="E1476" s="16">
        <v>4</v>
      </c>
      <c r="F1476" s="16">
        <f>VLOOKUP(C1476,[1]master_data!$A$2:$E$495,3,FALSE)</f>
        <v>800</v>
      </c>
      <c r="G1476" s="16">
        <f>VLOOKUP(C1476,[1]master_data!$A$2:$E$495,4,FALSE)</f>
        <v>2000</v>
      </c>
      <c r="H1476" s="16">
        <f>E1476*F1476</f>
        <v>3200</v>
      </c>
      <c r="I1476" s="16">
        <f>E1476*G1476</f>
        <v>8000</v>
      </c>
      <c r="J1476" s="16">
        <f>I1476-H1476</f>
        <v>4800</v>
      </c>
      <c r="K1476" s="16" t="str">
        <f>VLOOKUP(C1476,[1]master_data!$A$2:$E$495,5,FALSE)</f>
        <v>Ikan</v>
      </c>
      <c r="L1476" s="1"/>
    </row>
    <row r="1477" spans="1:12" ht="12" customHeight="1" x14ac:dyDescent="0.25">
      <c r="A1477" s="15">
        <v>45096</v>
      </c>
      <c r="B1477" s="16">
        <v>22301034</v>
      </c>
      <c r="C1477" s="16" t="s">
        <v>410</v>
      </c>
      <c r="D1477" s="16" t="str">
        <f>VLOOKUP(C1477,[1]master_data!$A$2:$E$495,2,FALSE)</f>
        <v>HIU TAWAR</v>
      </c>
      <c r="E1477" s="16">
        <v>1</v>
      </c>
      <c r="F1477" s="16">
        <f>VLOOKUP(C1477,[1]master_data!$A$2:$E$495,3,FALSE)</f>
        <v>600</v>
      </c>
      <c r="G1477" s="16">
        <f>VLOOKUP(C1477,[1]master_data!$A$2:$E$495,4,FALSE)</f>
        <v>2000</v>
      </c>
      <c r="H1477" s="16">
        <f>E1477*F1477</f>
        <v>600</v>
      </c>
      <c r="I1477" s="16">
        <f>E1477*G1477</f>
        <v>2000</v>
      </c>
      <c r="J1477" s="16">
        <f>I1477-H1477</f>
        <v>1400</v>
      </c>
      <c r="K1477" s="16" t="str">
        <f>VLOOKUP(C1477,[1]master_data!$A$2:$E$495,5,FALSE)</f>
        <v>Ikan</v>
      </c>
      <c r="L1477" s="1"/>
    </row>
    <row r="1478" spans="1:12" ht="12" customHeight="1" x14ac:dyDescent="0.25">
      <c r="A1478" s="15">
        <v>45096</v>
      </c>
      <c r="B1478" s="16">
        <v>22301035</v>
      </c>
      <c r="C1478" s="16" t="s">
        <v>437</v>
      </c>
      <c r="D1478" s="16" t="str">
        <f>VLOOKUP(C1478,[1]master_data!$A$2:$E$495,2,FALSE)</f>
        <v>NEON</v>
      </c>
      <c r="E1478" s="16">
        <v>50</v>
      </c>
      <c r="F1478" s="16">
        <f>VLOOKUP(C1478,[1]master_data!$A$2:$E$495,3,FALSE)</f>
        <v>1250</v>
      </c>
      <c r="G1478" s="16">
        <f>VLOOKUP(C1478,[1]master_data!$A$2:$E$495,4,FALSE)</f>
        <v>5000</v>
      </c>
      <c r="H1478" s="16">
        <f>E1478*F1478</f>
        <v>62500</v>
      </c>
      <c r="I1478" s="16">
        <f>E1478*G1478</f>
        <v>250000</v>
      </c>
      <c r="J1478" s="16">
        <f>I1478-H1478</f>
        <v>187500</v>
      </c>
      <c r="K1478" s="16" t="str">
        <f>VLOOKUP(C1478,[1]master_data!$A$2:$E$495,5,FALSE)</f>
        <v>Ikan</v>
      </c>
      <c r="L1478" s="1"/>
    </row>
    <row r="1479" spans="1:12" ht="12" customHeight="1" x14ac:dyDescent="0.25">
      <c r="A1479" s="15">
        <v>45095</v>
      </c>
      <c r="B1479" s="16">
        <v>22301019</v>
      </c>
      <c r="C1479" s="16" t="s">
        <v>94</v>
      </c>
      <c r="D1479" s="16" t="str">
        <f>VLOOKUP(C1479,[1]master_data!$A$2:$E$495,2,FALSE)</f>
        <v>MESIN KANDILA MAGURA 104</v>
      </c>
      <c r="E1479" s="16">
        <v>2</v>
      </c>
      <c r="F1479" s="16">
        <f>VLOOKUP(C1479,[1]master_data!$A$2:$E$495,3,FALSE)</f>
        <v>100000</v>
      </c>
      <c r="G1479" s="16">
        <f>VLOOKUP(C1479,[1]master_data!$A$2:$E$495,4,FALSE)</f>
        <v>135000</v>
      </c>
      <c r="H1479" s="16">
        <f>E1479*F1479</f>
        <v>200000</v>
      </c>
      <c r="I1479" s="16">
        <f>E1479*G1479</f>
        <v>270000</v>
      </c>
      <c r="J1479" s="16">
        <f>I1479-H1479</f>
        <v>70000</v>
      </c>
      <c r="K1479" s="16" t="str">
        <f>VLOOKUP(C1479,[1]master_data!$A$2:$E$495,5,FALSE)</f>
        <v>Aksesoris</v>
      </c>
      <c r="L1479" s="1"/>
    </row>
    <row r="1480" spans="1:12" ht="12" customHeight="1" x14ac:dyDescent="0.25">
      <c r="A1480" s="15">
        <v>45095</v>
      </c>
      <c r="B1480" s="16">
        <v>22301020</v>
      </c>
      <c r="C1480" s="16" t="s">
        <v>400</v>
      </c>
      <c r="D1480" s="16" t="str">
        <f>VLOOKUP(C1480,[1]master_data!$A$2:$E$495,2,FALSE)</f>
        <v>BLACK GHOST</v>
      </c>
      <c r="E1480" s="16">
        <v>1</v>
      </c>
      <c r="F1480" s="16">
        <f>VLOOKUP(C1480,[1]master_data!$A$2:$E$495,3,FALSE)</f>
        <v>4000</v>
      </c>
      <c r="G1480" s="16">
        <f>VLOOKUP(C1480,[1]master_data!$A$2:$E$495,4,FALSE)</f>
        <v>10000</v>
      </c>
      <c r="H1480" s="16">
        <f>E1480*F1480</f>
        <v>4000</v>
      </c>
      <c r="I1480" s="16">
        <f>E1480*G1480</f>
        <v>10000</v>
      </c>
      <c r="J1480" s="16">
        <f>I1480-H1480</f>
        <v>6000</v>
      </c>
      <c r="K1480" s="16" t="str">
        <f>VLOOKUP(C1480,[1]master_data!$A$2:$E$495,5,FALSE)</f>
        <v>Ikan</v>
      </c>
      <c r="L1480" s="1"/>
    </row>
    <row r="1481" spans="1:12" ht="12" customHeight="1" x14ac:dyDescent="0.25">
      <c r="A1481" s="15">
        <v>45095</v>
      </c>
      <c r="B1481" s="16">
        <v>22301021</v>
      </c>
      <c r="C1481" s="16" t="s">
        <v>297</v>
      </c>
      <c r="D1481" s="16" t="str">
        <f>VLOOKUP(C1481,[1]master_data!$A$2:$E$495,2,FALSE)</f>
        <v>MAGNET L</v>
      </c>
      <c r="E1481" s="16">
        <v>5</v>
      </c>
      <c r="F1481" s="16">
        <f>VLOOKUP(C1481,[1]master_data!$A$2:$E$495,3,FALSE)</f>
        <v>70000</v>
      </c>
      <c r="G1481" s="16">
        <f>VLOOKUP(C1481,[1]master_data!$A$2:$E$495,4,FALSE)</f>
        <v>90000</v>
      </c>
      <c r="H1481" s="16">
        <f>E1481*F1481</f>
        <v>350000</v>
      </c>
      <c r="I1481" s="16">
        <f>E1481*G1481</f>
        <v>450000</v>
      </c>
      <c r="J1481" s="16">
        <f>I1481-H1481</f>
        <v>100000</v>
      </c>
      <c r="K1481" s="16" t="str">
        <f>VLOOKUP(C1481,[1]master_data!$A$2:$E$495,5,FALSE)</f>
        <v>Aksesoris</v>
      </c>
      <c r="L1481" s="1"/>
    </row>
    <row r="1482" spans="1:12" ht="12" customHeight="1" x14ac:dyDescent="0.25">
      <c r="A1482" s="15">
        <v>45095</v>
      </c>
      <c r="B1482" s="16">
        <v>22301022</v>
      </c>
      <c r="C1482" s="16" t="s">
        <v>144</v>
      </c>
      <c r="D1482" s="16" t="str">
        <f>VLOOKUP(C1482,[1]master_data!$A$2:$E$495,2,FALSE)</f>
        <v>LED KANDILA DnN 40 CM</v>
      </c>
      <c r="E1482" s="16">
        <v>1</v>
      </c>
      <c r="F1482" s="16">
        <f>VLOOKUP(C1482,[1]master_data!$A$2:$E$495,3,FALSE)</f>
        <v>30000</v>
      </c>
      <c r="G1482" s="16">
        <f>VLOOKUP(C1482,[1]master_data!$A$2:$E$495,4,FALSE)</f>
        <v>50000</v>
      </c>
      <c r="H1482" s="16">
        <f>E1482*F1482</f>
        <v>30000</v>
      </c>
      <c r="I1482" s="16">
        <f>E1482*G1482</f>
        <v>50000</v>
      </c>
      <c r="J1482" s="16">
        <f>I1482-H1482</f>
        <v>20000</v>
      </c>
      <c r="K1482" s="16" t="str">
        <f>VLOOKUP(C1482,[1]master_data!$A$2:$E$495,5,FALSE)</f>
        <v>Aksesoris</v>
      </c>
      <c r="L1482" s="1"/>
    </row>
    <row r="1483" spans="1:12" ht="12" customHeight="1" x14ac:dyDescent="0.25">
      <c r="A1483" s="15">
        <v>45095</v>
      </c>
      <c r="B1483" s="16">
        <v>22301023</v>
      </c>
      <c r="C1483" s="16" t="s">
        <v>423</v>
      </c>
      <c r="D1483" s="16" t="str">
        <f>VLOOKUP(C1483,[1]master_data!$A$2:$E$495,2,FALSE)</f>
        <v>CAROLINE</v>
      </c>
      <c r="E1483" s="16">
        <v>15</v>
      </c>
      <c r="F1483" s="16">
        <f>VLOOKUP(C1483,[1]master_data!$A$2:$E$495,3,FALSE)</f>
        <v>900</v>
      </c>
      <c r="G1483" s="16">
        <f>VLOOKUP(C1483,[1]master_data!$A$2:$E$495,4,FALSE)</f>
        <v>2000</v>
      </c>
      <c r="H1483" s="16">
        <f>E1483*F1483</f>
        <v>13500</v>
      </c>
      <c r="I1483" s="16">
        <f>E1483*G1483</f>
        <v>30000</v>
      </c>
      <c r="J1483" s="16">
        <f>I1483-H1483</f>
        <v>16500</v>
      </c>
      <c r="K1483" s="16" t="str">
        <f>VLOOKUP(C1483,[1]master_data!$A$2:$E$495,5,FALSE)</f>
        <v>Ikan</v>
      </c>
      <c r="L1483" s="1"/>
    </row>
    <row r="1484" spans="1:12" ht="12" customHeight="1" x14ac:dyDescent="0.25">
      <c r="A1484" s="15">
        <v>45095</v>
      </c>
      <c r="B1484" s="16">
        <v>22301024</v>
      </c>
      <c r="C1484" s="16" t="s">
        <v>218</v>
      </c>
      <c r="D1484" s="16" t="str">
        <f>VLOOKUP(C1484,[1]master_data!$A$2:$E$495,2,FALSE)</f>
        <v>HIRO COLOUR</v>
      </c>
      <c r="E1484" s="16">
        <v>3</v>
      </c>
      <c r="F1484" s="16">
        <f>VLOOKUP(C1484,[1]master_data!$A$2:$E$495,3,FALSE)</f>
        <v>72000</v>
      </c>
      <c r="G1484" s="16">
        <f>VLOOKUP(C1484,[1]master_data!$A$2:$E$495,4,FALSE)</f>
        <v>80000</v>
      </c>
      <c r="H1484" s="16">
        <f>E1484*F1484</f>
        <v>216000</v>
      </c>
      <c r="I1484" s="16">
        <f>E1484*G1484</f>
        <v>240000</v>
      </c>
      <c r="J1484" s="16">
        <f>I1484-H1484</f>
        <v>24000</v>
      </c>
      <c r="K1484" s="16" t="str">
        <f>VLOOKUP(C1484,[1]master_data!$A$2:$E$495,5,FALSE)</f>
        <v>Aksesoris</v>
      </c>
      <c r="L1484" s="1"/>
    </row>
    <row r="1485" spans="1:12" ht="12" customHeight="1" x14ac:dyDescent="0.25">
      <c r="A1485" s="15">
        <v>45095</v>
      </c>
      <c r="B1485" s="16">
        <v>22301025</v>
      </c>
      <c r="C1485" s="16" t="s">
        <v>242</v>
      </c>
      <c r="D1485" s="16" t="str">
        <f>VLOOKUP(C1485,[1]master_data!$A$2:$E$495,2,FALSE)</f>
        <v>BACTERIAL STATER</v>
      </c>
      <c r="E1485" s="16">
        <v>1</v>
      </c>
      <c r="F1485" s="16">
        <f>VLOOKUP(C1485,[1]master_data!$A$2:$E$495,3,FALSE)</f>
        <v>10000</v>
      </c>
      <c r="G1485" s="16">
        <f>VLOOKUP(C1485,[1]master_data!$A$2:$E$495,4,FALSE)</f>
        <v>15000</v>
      </c>
      <c r="H1485" s="16">
        <f>E1485*F1485</f>
        <v>10000</v>
      </c>
      <c r="I1485" s="16">
        <f>E1485*G1485</f>
        <v>15000</v>
      </c>
      <c r="J1485" s="16">
        <f>I1485-H1485</f>
        <v>5000</v>
      </c>
      <c r="K1485" s="16" t="str">
        <f>VLOOKUP(C1485,[1]master_data!$A$2:$E$495,5,FALSE)</f>
        <v>Aksesoris</v>
      </c>
      <c r="L1485" s="1"/>
    </row>
    <row r="1486" spans="1:12" ht="12" customHeight="1" x14ac:dyDescent="0.25">
      <c r="A1486" s="15">
        <v>45094</v>
      </c>
      <c r="B1486" s="16">
        <v>22301015</v>
      </c>
      <c r="C1486" s="16" t="s">
        <v>461</v>
      </c>
      <c r="D1486" s="16" t="str">
        <f>VLOOKUP(C1486,[1]master_data!$A$2:$E$495,2,FALSE)</f>
        <v>CHANNA STEWARTI</v>
      </c>
      <c r="E1486" s="16">
        <v>6</v>
      </c>
      <c r="F1486" s="16">
        <f>VLOOKUP(C1486,[1]master_data!$A$2:$E$495,3,FALSE)</f>
        <v>15000</v>
      </c>
      <c r="G1486" s="16">
        <f>VLOOKUP(C1486,[1]master_data!$A$2:$E$495,4,FALSE)</f>
        <v>40000</v>
      </c>
      <c r="H1486" s="16">
        <f>E1486*F1486</f>
        <v>90000</v>
      </c>
      <c r="I1486" s="16">
        <f>E1486*G1486</f>
        <v>240000</v>
      </c>
      <c r="J1486" s="16">
        <f>I1486-H1486</f>
        <v>150000</v>
      </c>
      <c r="K1486" s="16" t="str">
        <f>VLOOKUP(C1486,[1]master_data!$A$2:$E$495,5,FALSE)</f>
        <v>Ikan</v>
      </c>
      <c r="L1486" s="1"/>
    </row>
    <row r="1487" spans="1:12" ht="12" customHeight="1" x14ac:dyDescent="0.25">
      <c r="A1487" s="15">
        <v>45094</v>
      </c>
      <c r="B1487" s="16">
        <v>22301016</v>
      </c>
      <c r="C1487" s="16" t="s">
        <v>169</v>
      </c>
      <c r="D1487" s="16" t="str">
        <f>VLOOKUP(C1487,[1]master_data!$A$2:$E$495,2,FALSE)</f>
        <v>LED KANDILA DnN 60 CM</v>
      </c>
      <c r="E1487" s="16">
        <v>4</v>
      </c>
      <c r="F1487" s="16">
        <f>VLOOKUP(C1487,[1]master_data!$A$2:$E$495,3,FALSE)</f>
        <v>32000</v>
      </c>
      <c r="G1487" s="16">
        <f>VLOOKUP(C1487,[1]master_data!$A$2:$E$495,4,FALSE)</f>
        <v>70000</v>
      </c>
      <c r="H1487" s="16">
        <f>E1487*F1487</f>
        <v>128000</v>
      </c>
      <c r="I1487" s="16">
        <f>E1487*G1487</f>
        <v>280000</v>
      </c>
      <c r="J1487" s="16">
        <f>I1487-H1487</f>
        <v>152000</v>
      </c>
      <c r="K1487" s="16" t="str">
        <f>VLOOKUP(C1487,[1]master_data!$A$2:$E$495,5,FALSE)</f>
        <v>Aksesoris</v>
      </c>
      <c r="L1487" s="1"/>
    </row>
    <row r="1488" spans="1:12" ht="12" customHeight="1" x14ac:dyDescent="0.25">
      <c r="A1488" s="15">
        <v>45094</v>
      </c>
      <c r="B1488" s="16">
        <v>22301017</v>
      </c>
      <c r="C1488" s="16" t="s">
        <v>439</v>
      </c>
      <c r="D1488" s="16" t="str">
        <f>VLOOKUP(C1488,[1]master_data!$A$2:$E$495,2,FALSE)</f>
        <v>PEMBERSIH KACA BIASA</v>
      </c>
      <c r="E1488" s="16">
        <v>7</v>
      </c>
      <c r="F1488" s="16">
        <f>VLOOKUP(C1488,[1]master_data!$A$2:$E$495,3,FALSE)</f>
        <v>2000</v>
      </c>
      <c r="G1488" s="16">
        <f>VLOOKUP(C1488,[1]master_data!$A$2:$E$495,4,FALSE)</f>
        <v>5000</v>
      </c>
      <c r="H1488" s="16">
        <f>E1488*F1488</f>
        <v>14000</v>
      </c>
      <c r="I1488" s="16">
        <f>E1488*G1488</f>
        <v>35000</v>
      </c>
      <c r="J1488" s="16">
        <f>I1488-H1488</f>
        <v>21000</v>
      </c>
      <c r="K1488" s="16" t="str">
        <f>VLOOKUP(C1488,[1]master_data!$A$2:$E$495,5,FALSE)</f>
        <v>Ikan</v>
      </c>
      <c r="L1488" s="1"/>
    </row>
    <row r="1489" spans="1:12" ht="12" customHeight="1" x14ac:dyDescent="0.25">
      <c r="A1489" s="15">
        <v>45094</v>
      </c>
      <c r="B1489" s="16">
        <v>22301018</v>
      </c>
      <c r="C1489" s="16" t="s">
        <v>57</v>
      </c>
      <c r="D1489" s="16" t="str">
        <f>VLOOKUP(C1489,[1]master_data!$A$2:$E$495,2,FALSE)</f>
        <v>MESIN  ARMDA 1200</v>
      </c>
      <c r="E1489" s="16">
        <v>2</v>
      </c>
      <c r="F1489" s="16">
        <f>VLOOKUP(C1489,[1]master_data!$A$2:$E$495,3,FALSE)</f>
        <v>20000</v>
      </c>
      <c r="G1489" s="16">
        <f>VLOOKUP(C1489,[1]master_data!$A$2:$E$495,4,FALSE)</f>
        <v>30000</v>
      </c>
      <c r="H1489" s="16">
        <f>E1489*F1489</f>
        <v>40000</v>
      </c>
      <c r="I1489" s="16">
        <f>E1489*G1489</f>
        <v>60000</v>
      </c>
      <c r="J1489" s="16">
        <f>I1489-H1489</f>
        <v>20000</v>
      </c>
      <c r="K1489" s="16" t="str">
        <f>VLOOKUP(C1489,[1]master_data!$A$2:$E$495,5,FALSE)</f>
        <v>Aksesoris</v>
      </c>
      <c r="L1489" s="1"/>
    </row>
    <row r="1490" spans="1:12" ht="12" customHeight="1" x14ac:dyDescent="0.25">
      <c r="A1490" s="15">
        <v>45093</v>
      </c>
      <c r="B1490" s="16">
        <v>22301010</v>
      </c>
      <c r="C1490" s="16" t="s">
        <v>429</v>
      </c>
      <c r="D1490" s="16" t="str">
        <f>VLOOKUP(C1490,[1]master_data!$A$2:$E$495,2,FALSE)</f>
        <v>MANFISH B</v>
      </c>
      <c r="E1490" s="16">
        <v>25</v>
      </c>
      <c r="F1490" s="16">
        <f>VLOOKUP(C1490,[1]master_data!$A$2:$E$495,3,FALSE)</f>
        <v>4000</v>
      </c>
      <c r="G1490" s="16">
        <f>VLOOKUP(C1490,[1]master_data!$A$2:$E$495,4,FALSE)</f>
        <v>10000</v>
      </c>
      <c r="H1490" s="16">
        <f>E1490*F1490</f>
        <v>100000</v>
      </c>
      <c r="I1490" s="16">
        <f>E1490*G1490</f>
        <v>250000</v>
      </c>
      <c r="J1490" s="16">
        <f>I1490-H1490</f>
        <v>150000</v>
      </c>
      <c r="K1490" s="16" t="str">
        <f>VLOOKUP(C1490,[1]master_data!$A$2:$E$495,5,FALSE)</f>
        <v>Ikan</v>
      </c>
      <c r="L1490" s="1"/>
    </row>
    <row r="1491" spans="1:12" ht="12" customHeight="1" x14ac:dyDescent="0.25">
      <c r="A1491" s="15">
        <v>45093</v>
      </c>
      <c r="B1491" s="16">
        <v>22301011</v>
      </c>
      <c r="C1491" s="16" t="s">
        <v>405</v>
      </c>
      <c r="D1491" s="16" t="str">
        <f>VLOOKUP(C1491,[1]master_data!$A$2:$E$495,2,FALSE)</f>
        <v>CUPANG</v>
      </c>
      <c r="E1491" s="16">
        <v>25</v>
      </c>
      <c r="F1491" s="16">
        <f>VLOOKUP(C1491,[1]master_data!$A$2:$E$495,3,FALSE)</f>
        <v>2000</v>
      </c>
      <c r="G1491" s="16">
        <f>VLOOKUP(C1491,[1]master_data!$A$2:$E$495,4,FALSE)</f>
        <v>5000</v>
      </c>
      <c r="H1491" s="16">
        <f>E1491*F1491</f>
        <v>50000</v>
      </c>
      <c r="I1491" s="16">
        <f>E1491*G1491</f>
        <v>125000</v>
      </c>
      <c r="J1491" s="16">
        <f>I1491-H1491</f>
        <v>75000</v>
      </c>
      <c r="K1491" s="16" t="str">
        <f>VLOOKUP(C1491,[1]master_data!$A$2:$E$495,5,FALSE)</f>
        <v>Ikan</v>
      </c>
      <c r="L1491" s="1"/>
    </row>
    <row r="1492" spans="1:12" ht="12" customHeight="1" x14ac:dyDescent="0.25">
      <c r="A1492" s="15">
        <v>45093</v>
      </c>
      <c r="B1492" s="16">
        <v>22301012</v>
      </c>
      <c r="C1492" s="16" t="s">
        <v>434</v>
      </c>
      <c r="D1492" s="16" t="str">
        <f>VLOOKUP(C1492,[1]master_data!$A$2:$E$495,2,FALSE)</f>
        <v>NIASA</v>
      </c>
      <c r="E1492" s="16">
        <v>20</v>
      </c>
      <c r="F1492" s="16">
        <f>VLOOKUP(C1492,[1]master_data!$A$2:$E$495,3,FALSE)</f>
        <v>900</v>
      </c>
      <c r="G1492" s="16">
        <f>VLOOKUP(C1492,[1]master_data!$A$2:$E$495,4,FALSE)</f>
        <v>2000</v>
      </c>
      <c r="H1492" s="16">
        <f>E1492*F1492</f>
        <v>18000</v>
      </c>
      <c r="I1492" s="16">
        <f>E1492*G1492</f>
        <v>40000</v>
      </c>
      <c r="J1492" s="16">
        <f>I1492-H1492</f>
        <v>22000</v>
      </c>
      <c r="K1492" s="16" t="str">
        <f>VLOOKUP(C1492,[1]master_data!$A$2:$E$495,5,FALSE)</f>
        <v>Ikan</v>
      </c>
      <c r="L1492" s="1"/>
    </row>
    <row r="1493" spans="1:12" ht="12" customHeight="1" x14ac:dyDescent="0.25">
      <c r="A1493" s="15">
        <v>45093</v>
      </c>
      <c r="B1493" s="16">
        <v>22301013</v>
      </c>
      <c r="C1493" s="16" t="s">
        <v>340</v>
      </c>
      <c r="D1493" s="16" t="str">
        <f>VLOOKUP(C1493,[1]master_data!$A$2:$E$495,2,FALSE)</f>
        <v>KUTUB LAS</v>
      </c>
      <c r="E1493" s="16">
        <v>5</v>
      </c>
      <c r="F1493" s="16">
        <f>VLOOKUP(C1493,[1]master_data!$A$2:$E$495,3,FALSE)</f>
        <v>15000</v>
      </c>
      <c r="G1493" s="16">
        <f>VLOOKUP(C1493,[1]master_data!$A$2:$E$495,4,FALSE)</f>
        <v>25000</v>
      </c>
      <c r="H1493" s="16">
        <f>E1493*F1493</f>
        <v>75000</v>
      </c>
      <c r="I1493" s="16">
        <f>E1493*G1493</f>
        <v>125000</v>
      </c>
      <c r="J1493" s="16">
        <f>I1493-H1493</f>
        <v>50000</v>
      </c>
      <c r="K1493" s="16" t="str">
        <f>VLOOKUP(C1493,[1]master_data!$A$2:$E$495,5,FALSE)</f>
        <v>Aksesoris</v>
      </c>
      <c r="L1493" s="1"/>
    </row>
    <row r="1494" spans="1:12" ht="12" customHeight="1" x14ac:dyDescent="0.25">
      <c r="A1494" s="15">
        <v>45093</v>
      </c>
      <c r="B1494" s="16">
        <v>22301014</v>
      </c>
      <c r="C1494" s="16" t="s">
        <v>206</v>
      </c>
      <c r="D1494" s="16" t="str">
        <f>VLOOKUP(C1494,[1]master_data!$A$2:$E$495,2,FALSE)</f>
        <v>TAKARI K</v>
      </c>
      <c r="E1494" s="16">
        <v>10</v>
      </c>
      <c r="F1494" s="16">
        <f>VLOOKUP(C1494,[1]master_data!$A$2:$E$495,3,FALSE)</f>
        <v>3500</v>
      </c>
      <c r="G1494" s="16">
        <f>VLOOKUP(C1494,[1]master_data!$A$2:$E$495,4,FALSE)</f>
        <v>5000</v>
      </c>
      <c r="H1494" s="16">
        <f>E1494*F1494</f>
        <v>35000</v>
      </c>
      <c r="I1494" s="16">
        <f>E1494*G1494</f>
        <v>50000</v>
      </c>
      <c r="J1494" s="16">
        <f>I1494-H1494</f>
        <v>15000</v>
      </c>
      <c r="K1494" s="16" t="str">
        <f>VLOOKUP(C1494,[1]master_data!$A$2:$E$495,5,FALSE)</f>
        <v>Aksesoris</v>
      </c>
      <c r="L1494" s="1"/>
    </row>
    <row r="1495" spans="1:12" ht="12" customHeight="1" x14ac:dyDescent="0.25">
      <c r="A1495" s="15">
        <v>45092</v>
      </c>
      <c r="B1495" s="16">
        <v>22301004</v>
      </c>
      <c r="C1495" s="16" t="s">
        <v>396</v>
      </c>
      <c r="D1495" s="16" t="str">
        <f>VLOOKUP(C1495,[1]master_data!$A$2:$E$495,2,FALSE)</f>
        <v>BIPOLAR</v>
      </c>
      <c r="E1495" s="16">
        <v>15</v>
      </c>
      <c r="F1495" s="16">
        <f>VLOOKUP(C1495,[1]master_data!$A$2:$E$495,3,FALSE)</f>
        <v>1000</v>
      </c>
      <c r="G1495" s="16">
        <f>VLOOKUP(C1495,[1]master_data!$A$2:$E$495,4,FALSE)</f>
        <v>2500</v>
      </c>
      <c r="H1495" s="16">
        <f>E1495*F1495</f>
        <v>15000</v>
      </c>
      <c r="I1495" s="16">
        <f>E1495*G1495</f>
        <v>37500</v>
      </c>
      <c r="J1495" s="16">
        <f>I1495-H1495</f>
        <v>22500</v>
      </c>
      <c r="K1495" s="16" t="str">
        <f>VLOOKUP(C1495,[1]master_data!$A$2:$E$495,5,FALSE)</f>
        <v>Ikan</v>
      </c>
      <c r="L1495" s="1"/>
    </row>
    <row r="1496" spans="1:12" ht="12" customHeight="1" x14ac:dyDescent="0.25">
      <c r="A1496" s="15">
        <v>45092</v>
      </c>
      <c r="B1496" s="16">
        <v>22301005</v>
      </c>
      <c r="C1496" s="16" t="s">
        <v>404</v>
      </c>
      <c r="D1496" s="16" t="str">
        <f>VLOOKUP(C1496,[1]master_data!$A$2:$E$495,2,FALSE)</f>
        <v>BARBIR</v>
      </c>
      <c r="E1496" s="16">
        <v>30</v>
      </c>
      <c r="F1496" s="16">
        <f>VLOOKUP(C1496,[1]master_data!$A$2:$E$495,3,FALSE)</f>
        <v>800</v>
      </c>
      <c r="G1496" s="16">
        <f>VLOOKUP(C1496,[1]master_data!$A$2:$E$495,4,FALSE)</f>
        <v>2000</v>
      </c>
      <c r="H1496" s="16">
        <f>E1496*F1496</f>
        <v>24000</v>
      </c>
      <c r="I1496" s="16">
        <f>E1496*G1496</f>
        <v>60000</v>
      </c>
      <c r="J1496" s="16">
        <f>I1496-H1496</f>
        <v>36000</v>
      </c>
      <c r="K1496" s="16" t="str">
        <f>VLOOKUP(C1496,[1]master_data!$A$2:$E$495,5,FALSE)</f>
        <v>Ikan</v>
      </c>
      <c r="L1496" s="1"/>
    </row>
    <row r="1497" spans="1:12" ht="12" customHeight="1" x14ac:dyDescent="0.25">
      <c r="A1497" s="15">
        <v>45092</v>
      </c>
      <c r="B1497" s="16">
        <v>22301006</v>
      </c>
      <c r="C1497" s="16" t="s">
        <v>446</v>
      </c>
      <c r="D1497" s="16" t="str">
        <f>VLOOKUP(C1497,[1]master_data!$A$2:$E$495,2,FALSE)</f>
        <v xml:space="preserve"> CHANNA RED BARITO K</v>
      </c>
      <c r="E1497" s="16">
        <v>2</v>
      </c>
      <c r="F1497" s="16">
        <f>VLOOKUP(C1497,[1]master_data!$A$2:$E$495,3,FALSE)</f>
        <v>45000</v>
      </c>
      <c r="G1497" s="16">
        <f>VLOOKUP(C1497,[1]master_data!$A$2:$E$495,4,FALSE)</f>
        <v>100000</v>
      </c>
      <c r="H1497" s="16">
        <f>E1497*F1497</f>
        <v>90000</v>
      </c>
      <c r="I1497" s="16">
        <f>E1497*G1497</f>
        <v>200000</v>
      </c>
      <c r="J1497" s="16">
        <f>I1497-H1497</f>
        <v>110000</v>
      </c>
      <c r="K1497" s="16" t="str">
        <f>VLOOKUP(C1497,[1]master_data!$A$2:$E$495,5,FALSE)</f>
        <v>Ikan</v>
      </c>
      <c r="L1497" s="1"/>
    </row>
    <row r="1498" spans="1:12" ht="12" customHeight="1" x14ac:dyDescent="0.25">
      <c r="A1498" s="15">
        <v>45092</v>
      </c>
      <c r="B1498" s="16">
        <v>22301007</v>
      </c>
      <c r="C1498" s="16" t="s">
        <v>78</v>
      </c>
      <c r="D1498" s="16" t="str">
        <f>VLOOKUP(C1498,[1]master_data!$A$2:$E$495,2,FALSE)</f>
        <v>MESIN KIYOSAKI 1200</v>
      </c>
      <c r="E1498" s="16">
        <v>2</v>
      </c>
      <c r="F1498" s="16">
        <f>VLOOKUP(C1498,[1]master_data!$A$2:$E$495,3,FALSE)</f>
        <v>21500</v>
      </c>
      <c r="G1498" s="16">
        <f>VLOOKUP(C1498,[1]master_data!$A$2:$E$495,4,FALSE)</f>
        <v>35000</v>
      </c>
      <c r="H1498" s="16">
        <f>E1498*F1498</f>
        <v>43000</v>
      </c>
      <c r="I1498" s="16">
        <f>E1498*G1498</f>
        <v>70000</v>
      </c>
      <c r="J1498" s="16">
        <f>I1498-H1498</f>
        <v>27000</v>
      </c>
      <c r="K1498" s="16" t="str">
        <f>VLOOKUP(C1498,[1]master_data!$A$2:$E$495,5,FALSE)</f>
        <v>Aksesoris</v>
      </c>
      <c r="L1498" s="1"/>
    </row>
    <row r="1499" spans="1:12" ht="12" customHeight="1" x14ac:dyDescent="0.25">
      <c r="A1499" s="15">
        <v>45092</v>
      </c>
      <c r="B1499" s="16">
        <v>22301008</v>
      </c>
      <c r="C1499" s="16" t="s">
        <v>190</v>
      </c>
      <c r="D1499" s="16" t="str">
        <f>VLOOKUP(C1499,[1]master_data!$A$2:$E$495,2,FALSE)</f>
        <v>LED KANDILA PRO RED ECO 50 CM</v>
      </c>
      <c r="E1499" s="16">
        <v>5</v>
      </c>
      <c r="F1499" s="16">
        <f>VLOOKUP(C1499,[1]master_data!$A$2:$E$495,3,FALSE)</f>
        <v>50000</v>
      </c>
      <c r="G1499" s="16">
        <f>VLOOKUP(C1499,[1]master_data!$A$2:$E$495,4,FALSE)</f>
        <v>70000</v>
      </c>
      <c r="H1499" s="16">
        <f>E1499*F1499</f>
        <v>250000</v>
      </c>
      <c r="I1499" s="16">
        <f>E1499*G1499</f>
        <v>350000</v>
      </c>
      <c r="J1499" s="16">
        <f>I1499-H1499</f>
        <v>100000</v>
      </c>
      <c r="K1499" s="16" t="str">
        <f>VLOOKUP(C1499,[1]master_data!$A$2:$E$495,5,FALSE)</f>
        <v>Aksesoris</v>
      </c>
      <c r="L1499" s="1"/>
    </row>
    <row r="1500" spans="1:12" ht="12" customHeight="1" x14ac:dyDescent="0.25">
      <c r="A1500" s="15">
        <v>45092</v>
      </c>
      <c r="B1500" s="16">
        <v>22301009</v>
      </c>
      <c r="C1500" s="16" t="s">
        <v>447</v>
      </c>
      <c r="D1500" s="16" t="str">
        <f>VLOOKUP(C1500,[1]master_data!$A$2:$E$495,2,FALSE)</f>
        <v>CHANNA RED BARITO B</v>
      </c>
      <c r="E1500" s="16">
        <v>1</v>
      </c>
      <c r="F1500" s="16">
        <f>VLOOKUP(C1500,[1]master_data!$A$2:$E$495,3,FALSE)</f>
        <v>120000</v>
      </c>
      <c r="G1500" s="16">
        <f>VLOOKUP(C1500,[1]master_data!$A$2:$E$495,4,FALSE)</f>
        <v>200000</v>
      </c>
      <c r="H1500" s="16">
        <f>E1500*F1500</f>
        <v>120000</v>
      </c>
      <c r="I1500" s="16">
        <f>E1500*G1500</f>
        <v>200000</v>
      </c>
      <c r="J1500" s="16">
        <f>I1500-H1500</f>
        <v>80000</v>
      </c>
      <c r="K1500" s="16" t="str">
        <f>VLOOKUP(C1500,[1]master_data!$A$2:$E$495,5,FALSE)</f>
        <v>Ikan</v>
      </c>
      <c r="L1500" s="1"/>
    </row>
    <row r="1501" spans="1:12" ht="12" customHeight="1" x14ac:dyDescent="0.25">
      <c r="A1501" s="15">
        <v>45091</v>
      </c>
      <c r="B1501" s="16">
        <v>22300999</v>
      </c>
      <c r="C1501" s="16" t="s">
        <v>437</v>
      </c>
      <c r="D1501" s="16" t="str">
        <f>VLOOKUP(C1501,[1]master_data!$A$2:$E$495,2,FALSE)</f>
        <v>NEON</v>
      </c>
      <c r="E1501" s="16">
        <v>30</v>
      </c>
      <c r="F1501" s="16">
        <f>VLOOKUP(C1501,[1]master_data!$A$2:$E$495,3,FALSE)</f>
        <v>1250</v>
      </c>
      <c r="G1501" s="16">
        <f>VLOOKUP(C1501,[1]master_data!$A$2:$E$495,4,FALSE)</f>
        <v>5000</v>
      </c>
      <c r="H1501" s="16">
        <f>E1501*F1501</f>
        <v>37500</v>
      </c>
      <c r="I1501" s="16">
        <f>E1501*G1501</f>
        <v>150000</v>
      </c>
      <c r="J1501" s="16">
        <f>I1501-H1501</f>
        <v>112500</v>
      </c>
      <c r="K1501" s="16" t="str">
        <f>VLOOKUP(C1501,[1]master_data!$A$2:$E$495,5,FALSE)</f>
        <v>Ikan</v>
      </c>
      <c r="L1501" s="1"/>
    </row>
    <row r="1502" spans="1:12" ht="12" customHeight="1" x14ac:dyDescent="0.25">
      <c r="A1502" s="15">
        <v>45091</v>
      </c>
      <c r="B1502" s="16">
        <v>22301000</v>
      </c>
      <c r="C1502" s="16" t="s">
        <v>389</v>
      </c>
      <c r="D1502" s="16" t="str">
        <f>VLOOKUP(C1502,[1]master_data!$A$2:$E$495,2,FALSE)</f>
        <v>CHANNA ANDRAO K</v>
      </c>
      <c r="E1502" s="16">
        <v>12</v>
      </c>
      <c r="F1502" s="16">
        <f>VLOOKUP(C1502,[1]master_data!$A$2:$E$495,3,FALSE)</f>
        <v>20000</v>
      </c>
      <c r="G1502" s="16">
        <f>VLOOKUP(C1502,[1]master_data!$A$2:$E$495,4,FALSE)</f>
        <v>50000</v>
      </c>
      <c r="H1502" s="16">
        <f>E1502*F1502</f>
        <v>240000</v>
      </c>
      <c r="I1502" s="16">
        <f>E1502*G1502</f>
        <v>600000</v>
      </c>
      <c r="J1502" s="16">
        <f>I1502-H1502</f>
        <v>360000</v>
      </c>
      <c r="K1502" s="16" t="str">
        <f>VLOOKUP(C1502,[1]master_data!$A$2:$E$495,5,FALSE)</f>
        <v>Ikan</v>
      </c>
      <c r="L1502" s="1"/>
    </row>
    <row r="1503" spans="1:12" ht="12" customHeight="1" x14ac:dyDescent="0.25">
      <c r="A1503" s="15">
        <v>45091</v>
      </c>
      <c r="B1503" s="16">
        <v>22301001</v>
      </c>
      <c r="C1503" s="16" t="s">
        <v>451</v>
      </c>
      <c r="D1503" s="16" t="str">
        <f>VLOOKUP(C1503,[1]master_data!$A$2:$E$495,2,FALSE)</f>
        <v>SYNODONTIS K</v>
      </c>
      <c r="E1503" s="16">
        <v>2</v>
      </c>
      <c r="F1503" s="16">
        <f>VLOOKUP(C1503,[1]master_data!$A$2:$E$495,3,FALSE)</f>
        <v>1500</v>
      </c>
      <c r="G1503" s="16">
        <f>VLOOKUP(C1503,[1]master_data!$A$2:$E$495,4,FALSE)</f>
        <v>5000</v>
      </c>
      <c r="H1503" s="16">
        <f>E1503*F1503</f>
        <v>3000</v>
      </c>
      <c r="I1503" s="16">
        <f>E1503*G1503</f>
        <v>10000</v>
      </c>
      <c r="J1503" s="16">
        <f>I1503-H1503</f>
        <v>7000</v>
      </c>
      <c r="K1503" s="16" t="str">
        <f>VLOOKUP(C1503,[1]master_data!$A$2:$E$495,5,FALSE)</f>
        <v>Ikan</v>
      </c>
      <c r="L1503" s="1"/>
    </row>
    <row r="1504" spans="1:12" ht="12" customHeight="1" x14ac:dyDescent="0.25">
      <c r="A1504" s="15">
        <v>45091</v>
      </c>
      <c r="B1504" s="16">
        <v>22301002</v>
      </c>
      <c r="C1504" s="16" t="s">
        <v>417</v>
      </c>
      <c r="D1504" s="16" t="str">
        <f>VLOOKUP(C1504,[1]master_data!$A$2:$E$495,2,FALSE)</f>
        <v>KURA - KURA</v>
      </c>
      <c r="E1504" s="16">
        <v>1</v>
      </c>
      <c r="F1504" s="16">
        <f>VLOOKUP(C1504,[1]master_data!$A$2:$E$495,3,FALSE)</f>
        <v>25000</v>
      </c>
      <c r="G1504" s="16">
        <f>VLOOKUP(C1504,[1]master_data!$A$2:$E$495,4,FALSE)</f>
        <v>35000</v>
      </c>
      <c r="H1504" s="16">
        <f>E1504*F1504</f>
        <v>25000</v>
      </c>
      <c r="I1504" s="16">
        <f>E1504*G1504</f>
        <v>35000</v>
      </c>
      <c r="J1504" s="16">
        <f>I1504-H1504</f>
        <v>10000</v>
      </c>
      <c r="K1504" s="16" t="str">
        <f>VLOOKUP(C1504,[1]master_data!$A$2:$E$495,5,FALSE)</f>
        <v>Ikan</v>
      </c>
      <c r="L1504" s="1"/>
    </row>
    <row r="1505" spans="1:12" ht="12" customHeight="1" x14ac:dyDescent="0.25">
      <c r="A1505" s="15">
        <v>45091</v>
      </c>
      <c r="B1505" s="16">
        <v>22301003</v>
      </c>
      <c r="C1505" s="16" t="s">
        <v>416</v>
      </c>
      <c r="D1505" s="16" t="str">
        <f>VLOOKUP(C1505,[1]master_data!$A$2:$E$495,2,FALSE)</f>
        <v>KOI B</v>
      </c>
      <c r="E1505" s="16">
        <v>10</v>
      </c>
      <c r="F1505" s="16">
        <f>VLOOKUP(C1505,[1]master_data!$A$2:$E$495,3,FALSE)</f>
        <v>9000</v>
      </c>
      <c r="G1505" s="16">
        <f>VLOOKUP(C1505,[1]master_data!$A$2:$E$495,4,FALSE)</f>
        <v>30000</v>
      </c>
      <c r="H1505" s="16">
        <f>E1505*F1505</f>
        <v>90000</v>
      </c>
      <c r="I1505" s="16">
        <f>E1505*G1505</f>
        <v>300000</v>
      </c>
      <c r="J1505" s="16">
        <f>I1505-H1505</f>
        <v>210000</v>
      </c>
      <c r="K1505" s="16" t="str">
        <f>VLOOKUP(C1505,[1]master_data!$A$2:$E$495,5,FALSE)</f>
        <v>Ikan</v>
      </c>
      <c r="L1505" s="1"/>
    </row>
    <row r="1506" spans="1:12" ht="12" customHeight="1" x14ac:dyDescent="0.25">
      <c r="A1506" s="15">
        <v>45090</v>
      </c>
      <c r="B1506" s="16">
        <v>22300995</v>
      </c>
      <c r="C1506" s="16" t="s">
        <v>415</v>
      </c>
      <c r="D1506" s="16" t="str">
        <f>VLOOKUP(C1506,[1]master_data!$A$2:$E$495,2,FALSE)</f>
        <v>KOI T</v>
      </c>
      <c r="E1506" s="16">
        <v>2</v>
      </c>
      <c r="F1506" s="16">
        <f>VLOOKUP(C1506,[1]master_data!$A$2:$E$495,3,FALSE)</f>
        <v>7000</v>
      </c>
      <c r="G1506" s="16">
        <f>VLOOKUP(C1506,[1]master_data!$A$2:$E$495,4,FALSE)</f>
        <v>20000</v>
      </c>
      <c r="H1506" s="16">
        <f>E1506*F1506</f>
        <v>14000</v>
      </c>
      <c r="I1506" s="16">
        <f>E1506*G1506</f>
        <v>40000</v>
      </c>
      <c r="J1506" s="16">
        <f>I1506-H1506</f>
        <v>26000</v>
      </c>
      <c r="K1506" s="16" t="str">
        <f>VLOOKUP(C1506,[1]master_data!$A$2:$E$495,5,FALSE)</f>
        <v>Ikan</v>
      </c>
      <c r="L1506" s="1"/>
    </row>
    <row r="1507" spans="1:12" ht="12" customHeight="1" x14ac:dyDescent="0.25">
      <c r="A1507" s="15">
        <v>45090</v>
      </c>
      <c r="B1507" s="16">
        <v>22300996</v>
      </c>
      <c r="C1507" s="16" t="s">
        <v>438</v>
      </c>
      <c r="D1507" s="16" t="str">
        <f>VLOOKUP(C1507,[1]master_data!$A$2:$E$495,2,FALSE)</f>
        <v>OSCAR</v>
      </c>
      <c r="E1507" s="16">
        <v>10</v>
      </c>
      <c r="F1507" s="16">
        <f>VLOOKUP(C1507,[1]master_data!$A$2:$E$495,3,FALSE)</f>
        <v>25000</v>
      </c>
      <c r="G1507" s="16">
        <f>VLOOKUP(C1507,[1]master_data!$A$2:$E$495,4,FALSE)</f>
        <v>50000</v>
      </c>
      <c r="H1507" s="16">
        <f>E1507*F1507</f>
        <v>250000</v>
      </c>
      <c r="I1507" s="16">
        <f>E1507*G1507</f>
        <v>500000</v>
      </c>
      <c r="J1507" s="16">
        <f>I1507-H1507</f>
        <v>250000</v>
      </c>
      <c r="K1507" s="16" t="str">
        <f>VLOOKUP(C1507,[1]master_data!$A$2:$E$495,5,FALSE)</f>
        <v>Ikan</v>
      </c>
      <c r="L1507" s="1"/>
    </row>
    <row r="1508" spans="1:12" ht="12" customHeight="1" x14ac:dyDescent="0.25">
      <c r="A1508" s="15">
        <v>45090</v>
      </c>
      <c r="B1508" s="16">
        <v>22300997</v>
      </c>
      <c r="C1508" s="16" t="s">
        <v>418</v>
      </c>
      <c r="D1508" s="16" t="str">
        <f>VLOOKUP(C1508,[1]master_data!$A$2:$E$495,2,FALSE)</f>
        <v>KAVIAT</v>
      </c>
      <c r="E1508" s="16">
        <v>5</v>
      </c>
      <c r="F1508" s="16">
        <f>VLOOKUP(C1508,[1]master_data!$A$2:$E$495,3,FALSE)</f>
        <v>3500</v>
      </c>
      <c r="G1508" s="16">
        <f>VLOOKUP(C1508,[1]master_data!$A$2:$E$495,4,FALSE)</f>
        <v>8000</v>
      </c>
      <c r="H1508" s="16">
        <f>E1508*F1508</f>
        <v>17500</v>
      </c>
      <c r="I1508" s="16">
        <f>E1508*G1508</f>
        <v>40000</v>
      </c>
      <c r="J1508" s="16">
        <f>I1508-H1508</f>
        <v>22500</v>
      </c>
      <c r="K1508" s="16" t="str">
        <f>VLOOKUP(C1508,[1]master_data!$A$2:$E$495,5,FALSE)</f>
        <v>Ikan</v>
      </c>
      <c r="L1508" s="1"/>
    </row>
    <row r="1509" spans="1:12" ht="12" customHeight="1" x14ac:dyDescent="0.25">
      <c r="A1509" s="15">
        <v>45090</v>
      </c>
      <c r="B1509" s="16">
        <v>22300998</v>
      </c>
      <c r="C1509" s="16" t="s">
        <v>405</v>
      </c>
      <c r="D1509" s="16" t="str">
        <f>VLOOKUP(C1509,[1]master_data!$A$2:$E$495,2,FALSE)</f>
        <v>CUPANG</v>
      </c>
      <c r="E1509" s="16">
        <v>1</v>
      </c>
      <c r="F1509" s="16">
        <f>VLOOKUP(C1509,[1]master_data!$A$2:$E$495,3,FALSE)</f>
        <v>2000</v>
      </c>
      <c r="G1509" s="16">
        <f>VLOOKUP(C1509,[1]master_data!$A$2:$E$495,4,FALSE)</f>
        <v>5000</v>
      </c>
      <c r="H1509" s="16">
        <f>E1509*F1509</f>
        <v>2000</v>
      </c>
      <c r="I1509" s="16">
        <f>E1509*G1509</f>
        <v>5000</v>
      </c>
      <c r="J1509" s="16">
        <f>I1509-H1509</f>
        <v>3000</v>
      </c>
      <c r="K1509" s="16" t="str">
        <f>VLOOKUP(C1509,[1]master_data!$A$2:$E$495,5,FALSE)</f>
        <v>Ikan</v>
      </c>
      <c r="L1509" s="1"/>
    </row>
    <row r="1510" spans="1:12" ht="12" customHeight="1" x14ac:dyDescent="0.25">
      <c r="A1510" s="15">
        <v>45089</v>
      </c>
      <c r="B1510" s="16">
        <v>22300989</v>
      </c>
      <c r="C1510" s="16" t="s">
        <v>457</v>
      </c>
      <c r="D1510" s="16" t="str">
        <f>VLOOKUP(C1510,[1]master_data!$A$2:$E$495,2,FALSE)</f>
        <v>ZEBRA UNGU</v>
      </c>
      <c r="E1510" s="16">
        <v>25</v>
      </c>
      <c r="F1510" s="16">
        <f>VLOOKUP(C1510,[1]master_data!$A$2:$E$495,3,FALSE)</f>
        <v>800</v>
      </c>
      <c r="G1510" s="16">
        <f>VLOOKUP(C1510,[1]master_data!$A$2:$E$495,4,FALSE)</f>
        <v>2000</v>
      </c>
      <c r="H1510" s="16">
        <f>E1510*F1510</f>
        <v>20000</v>
      </c>
      <c r="I1510" s="16">
        <f>E1510*G1510</f>
        <v>50000</v>
      </c>
      <c r="J1510" s="16">
        <f>I1510-H1510</f>
        <v>30000</v>
      </c>
      <c r="K1510" s="16" t="str">
        <f>VLOOKUP(C1510,[1]master_data!$A$2:$E$495,5,FALSE)</f>
        <v>Ikan</v>
      </c>
      <c r="L1510" s="1"/>
    </row>
    <row r="1511" spans="1:12" ht="12" customHeight="1" x14ac:dyDescent="0.25">
      <c r="A1511" s="15">
        <v>45089</v>
      </c>
      <c r="B1511" s="16">
        <v>22300990</v>
      </c>
      <c r="C1511" s="16" t="s">
        <v>158</v>
      </c>
      <c r="D1511" s="16" t="str">
        <f>VLOOKUP(C1511,[1]master_data!$A$2:$E$495,2,FALSE)</f>
        <v>LED KANDILA PRO RED 40 CM</v>
      </c>
      <c r="E1511" s="16">
        <v>1</v>
      </c>
      <c r="F1511" s="16">
        <f>VLOOKUP(C1511,[1]master_data!$A$2:$E$495,3,FALSE)</f>
        <v>120000</v>
      </c>
      <c r="G1511" s="16">
        <f>VLOOKUP(C1511,[1]master_data!$A$2:$E$495,4,FALSE)</f>
        <v>160000</v>
      </c>
      <c r="H1511" s="16">
        <f>E1511*F1511</f>
        <v>120000</v>
      </c>
      <c r="I1511" s="16">
        <f>E1511*G1511</f>
        <v>160000</v>
      </c>
      <c r="J1511" s="16">
        <f>I1511-H1511</f>
        <v>40000</v>
      </c>
      <c r="K1511" s="16" t="str">
        <f>VLOOKUP(C1511,[1]master_data!$A$2:$E$495,5,FALSE)</f>
        <v>Aksesoris</v>
      </c>
      <c r="L1511" s="1"/>
    </row>
    <row r="1512" spans="1:12" ht="12" customHeight="1" x14ac:dyDescent="0.25">
      <c r="A1512" s="15">
        <v>45089</v>
      </c>
      <c r="B1512" s="16">
        <v>22300991</v>
      </c>
      <c r="C1512" s="16" t="s">
        <v>87</v>
      </c>
      <c r="D1512" s="16" t="str">
        <f>VLOOKUP(C1512,[1]master_data!$A$2:$E$495,2,FALSE)</f>
        <v>TOP FILTER ARMADA B</v>
      </c>
      <c r="E1512" s="16">
        <v>2</v>
      </c>
      <c r="F1512" s="16">
        <f>VLOOKUP(C1512,[1]master_data!$A$2:$E$495,3,FALSE)</f>
        <v>38000</v>
      </c>
      <c r="G1512" s="16">
        <f>VLOOKUP(C1512,[1]master_data!$A$2:$E$495,4,FALSE)</f>
        <v>60000</v>
      </c>
      <c r="H1512" s="16">
        <f>E1512*F1512</f>
        <v>76000</v>
      </c>
      <c r="I1512" s="16">
        <f>E1512*G1512</f>
        <v>120000</v>
      </c>
      <c r="J1512" s="16">
        <f>I1512-H1512</f>
        <v>44000</v>
      </c>
      <c r="K1512" s="16" t="str">
        <f>VLOOKUP(C1512,[1]master_data!$A$2:$E$495,5,FALSE)</f>
        <v>Aksesoris</v>
      </c>
      <c r="L1512" s="1"/>
    </row>
    <row r="1513" spans="1:12" ht="12" customHeight="1" x14ac:dyDescent="0.25">
      <c r="A1513" s="15">
        <v>45089</v>
      </c>
      <c r="B1513" s="16">
        <v>22300992</v>
      </c>
      <c r="C1513" s="16" t="s">
        <v>429</v>
      </c>
      <c r="D1513" s="16" t="str">
        <f>VLOOKUP(C1513,[1]master_data!$A$2:$E$495,2,FALSE)</f>
        <v>MANFISH B</v>
      </c>
      <c r="E1513" s="16">
        <v>25</v>
      </c>
      <c r="F1513" s="16">
        <f>VLOOKUP(C1513,[1]master_data!$A$2:$E$495,3,FALSE)</f>
        <v>4000</v>
      </c>
      <c r="G1513" s="16">
        <f>VLOOKUP(C1513,[1]master_data!$A$2:$E$495,4,FALSE)</f>
        <v>10000</v>
      </c>
      <c r="H1513" s="16">
        <f>E1513*F1513</f>
        <v>100000</v>
      </c>
      <c r="I1513" s="16">
        <f>E1513*G1513</f>
        <v>250000</v>
      </c>
      <c r="J1513" s="16">
        <f>I1513-H1513</f>
        <v>150000</v>
      </c>
      <c r="K1513" s="16" t="str">
        <f>VLOOKUP(C1513,[1]master_data!$A$2:$E$495,5,FALSE)</f>
        <v>Ikan</v>
      </c>
      <c r="L1513" s="1"/>
    </row>
    <row r="1514" spans="1:12" ht="12" customHeight="1" x14ac:dyDescent="0.25">
      <c r="A1514" s="15">
        <v>45089</v>
      </c>
      <c r="B1514" s="16">
        <v>22300993</v>
      </c>
      <c r="C1514" s="16" t="s">
        <v>193</v>
      </c>
      <c r="D1514" s="16" t="str">
        <f>VLOOKUP(C1514,[1]master_data!$A$2:$E$495,2,FALSE)</f>
        <v>LED KANDILA DnN ECO 80 CM</v>
      </c>
      <c r="E1514" s="16">
        <v>1</v>
      </c>
      <c r="F1514" s="16">
        <f>VLOOKUP(C1514,[1]master_data!$A$2:$E$495,3,FALSE)</f>
        <v>78000</v>
      </c>
      <c r="G1514" s="16">
        <f>VLOOKUP(C1514,[1]master_data!$A$2:$E$495,4,FALSE)</f>
        <v>110000</v>
      </c>
      <c r="H1514" s="16">
        <f>E1514*F1514</f>
        <v>78000</v>
      </c>
      <c r="I1514" s="16">
        <f>E1514*G1514</f>
        <v>110000</v>
      </c>
      <c r="J1514" s="16">
        <f>I1514-H1514</f>
        <v>32000</v>
      </c>
      <c r="K1514" s="16" t="str">
        <f>VLOOKUP(C1514,[1]master_data!$A$2:$E$495,5,FALSE)</f>
        <v>Aksesoris</v>
      </c>
      <c r="L1514" s="1"/>
    </row>
    <row r="1515" spans="1:12" ht="12" customHeight="1" x14ac:dyDescent="0.25">
      <c r="A1515" s="15">
        <v>45089</v>
      </c>
      <c r="B1515" s="16">
        <v>22300994</v>
      </c>
      <c r="C1515" s="16" t="s">
        <v>430</v>
      </c>
      <c r="D1515" s="16" t="str">
        <f>VLOOKUP(C1515,[1]master_data!$A$2:$E$495,2,FALSE)</f>
        <v>MARU K</v>
      </c>
      <c r="E1515" s="16">
        <v>1</v>
      </c>
      <c r="F1515" s="16">
        <f>VLOOKUP(C1515,[1]master_data!$A$2:$E$495,3,FALSE)</f>
        <v>23000</v>
      </c>
      <c r="G1515" s="16">
        <f>VLOOKUP(C1515,[1]master_data!$A$2:$E$495,4,FALSE)</f>
        <v>50000</v>
      </c>
      <c r="H1515" s="16">
        <f>E1515*F1515</f>
        <v>23000</v>
      </c>
      <c r="I1515" s="16">
        <f>E1515*G1515</f>
        <v>50000</v>
      </c>
      <c r="J1515" s="16">
        <f>I1515-H1515</f>
        <v>27000</v>
      </c>
      <c r="K1515" s="16" t="str">
        <f>VLOOKUP(C1515,[1]master_data!$A$2:$E$495,5,FALSE)</f>
        <v>Ikan</v>
      </c>
      <c r="L1515" s="1"/>
    </row>
    <row r="1516" spans="1:12" ht="12" customHeight="1" x14ac:dyDescent="0.25">
      <c r="A1516" s="15">
        <v>45088</v>
      </c>
      <c r="B1516" s="16">
        <v>22300981</v>
      </c>
      <c r="C1516" s="16" t="s">
        <v>397</v>
      </c>
      <c r="D1516" s="16" t="str">
        <f>VLOOKUP(C1516,[1]master_data!$A$2:$E$495,2,FALSE)</f>
        <v>BUENOS AIRES TETRA</v>
      </c>
      <c r="E1516" s="16">
        <v>20</v>
      </c>
      <c r="F1516" s="16">
        <f>VLOOKUP(C1516,[1]master_data!$A$2:$E$495,3,FALSE)</f>
        <v>800</v>
      </c>
      <c r="G1516" s="16">
        <f>VLOOKUP(C1516,[1]master_data!$A$2:$E$495,4,FALSE)</f>
        <v>2000</v>
      </c>
      <c r="H1516" s="16">
        <f>E1516*F1516</f>
        <v>16000</v>
      </c>
      <c r="I1516" s="16">
        <f>E1516*G1516</f>
        <v>40000</v>
      </c>
      <c r="J1516" s="16">
        <f>I1516-H1516</f>
        <v>24000</v>
      </c>
      <c r="K1516" s="16" t="str">
        <f>VLOOKUP(C1516,[1]master_data!$A$2:$E$495,5,FALSE)</f>
        <v>Ikan</v>
      </c>
      <c r="L1516" s="1"/>
    </row>
    <row r="1517" spans="1:12" ht="12" customHeight="1" x14ac:dyDescent="0.25">
      <c r="A1517" s="15">
        <v>45088</v>
      </c>
      <c r="B1517" s="16">
        <v>22300982</v>
      </c>
      <c r="C1517" s="16" t="s">
        <v>62</v>
      </c>
      <c r="D1517" s="16" t="str">
        <f>VLOOKUP(C1517,[1]master_data!$A$2:$E$495,2,FALSE)</f>
        <v>MESIN KANDILA 1200</v>
      </c>
      <c r="E1517" s="16">
        <v>10</v>
      </c>
      <c r="F1517" s="16">
        <f>VLOOKUP(C1517,[1]master_data!$A$2:$E$495,3,FALSE)</f>
        <v>19000</v>
      </c>
      <c r="G1517" s="16">
        <f>VLOOKUP(C1517,[1]master_data!$A$2:$E$495,4,FALSE)</f>
        <v>30000</v>
      </c>
      <c r="H1517" s="16">
        <f>E1517*F1517</f>
        <v>190000</v>
      </c>
      <c r="I1517" s="16">
        <f>E1517*G1517</f>
        <v>300000</v>
      </c>
      <c r="J1517" s="16">
        <f>I1517-H1517</f>
        <v>110000</v>
      </c>
      <c r="K1517" s="16" t="str">
        <f>VLOOKUP(C1517,[1]master_data!$A$2:$E$495,5,FALSE)</f>
        <v>Aksesoris</v>
      </c>
      <c r="L1517" s="1"/>
    </row>
    <row r="1518" spans="1:12" ht="12" customHeight="1" x14ac:dyDescent="0.25">
      <c r="A1518" s="15">
        <v>45088</v>
      </c>
      <c r="B1518" s="16">
        <v>22300983</v>
      </c>
      <c r="C1518" s="16" t="s">
        <v>435</v>
      </c>
      <c r="D1518" s="16" t="str">
        <f>VLOOKUP(C1518,[1]master_data!$A$2:$E$495,2,FALSE)</f>
        <v>RED EYE TETRA</v>
      </c>
      <c r="E1518" s="16">
        <v>20</v>
      </c>
      <c r="F1518" s="16">
        <f>VLOOKUP(C1518,[1]master_data!$A$2:$E$495,3,FALSE)</f>
        <v>900</v>
      </c>
      <c r="G1518" s="16">
        <f>VLOOKUP(C1518,[1]master_data!$A$2:$E$495,4,FALSE)</f>
        <v>2000</v>
      </c>
      <c r="H1518" s="16">
        <f>E1518*F1518</f>
        <v>18000</v>
      </c>
      <c r="I1518" s="16">
        <f>E1518*G1518</f>
        <v>40000</v>
      </c>
      <c r="J1518" s="16">
        <f>I1518-H1518</f>
        <v>22000</v>
      </c>
      <c r="K1518" s="16" t="str">
        <f>VLOOKUP(C1518,[1]master_data!$A$2:$E$495,5,FALSE)</f>
        <v>Ikan</v>
      </c>
      <c r="L1518" s="1"/>
    </row>
    <row r="1519" spans="1:12" ht="12" customHeight="1" x14ac:dyDescent="0.25">
      <c r="A1519" s="15">
        <v>45088</v>
      </c>
      <c r="B1519" s="16">
        <v>22300984</v>
      </c>
      <c r="C1519" s="16" t="s">
        <v>79</v>
      </c>
      <c r="D1519" s="16" t="str">
        <f>VLOOKUP(C1519,[1]master_data!$A$2:$E$495,2,FALSE)</f>
        <v>MESIN KIYOSAKI 1600</v>
      </c>
      <c r="E1519" s="16">
        <v>1</v>
      </c>
      <c r="F1519" s="16">
        <f>VLOOKUP(C1519,[1]master_data!$A$2:$E$495,3,FALSE)</f>
        <v>35000</v>
      </c>
      <c r="G1519" s="16">
        <f>VLOOKUP(C1519,[1]master_data!$A$2:$E$495,4,FALSE)</f>
        <v>65000</v>
      </c>
      <c r="H1519" s="16">
        <f>E1519*F1519</f>
        <v>35000</v>
      </c>
      <c r="I1519" s="16">
        <f>E1519*G1519</f>
        <v>65000</v>
      </c>
      <c r="J1519" s="16">
        <f>I1519-H1519</f>
        <v>30000</v>
      </c>
      <c r="K1519" s="16" t="str">
        <f>VLOOKUP(C1519,[1]master_data!$A$2:$E$495,5,FALSE)</f>
        <v>Aksesoris</v>
      </c>
      <c r="L1519" s="1"/>
    </row>
    <row r="1520" spans="1:12" ht="12" customHeight="1" x14ac:dyDescent="0.25">
      <c r="A1520" s="15">
        <v>45088</v>
      </c>
      <c r="B1520" s="16">
        <v>22300985</v>
      </c>
      <c r="C1520" s="16" t="s">
        <v>115</v>
      </c>
      <c r="D1520" s="16" t="str">
        <f>VLOOKUP(C1520,[1]master_data!$A$2:$E$495,2,FALSE)</f>
        <v>AIRATOR  YANG LUB 2</v>
      </c>
      <c r="E1520" s="16">
        <v>4</v>
      </c>
      <c r="F1520" s="16">
        <f>VLOOKUP(C1520,[1]master_data!$A$2:$E$495,3,FALSE)</f>
        <v>26500</v>
      </c>
      <c r="G1520" s="16">
        <f>VLOOKUP(C1520,[1]master_data!$A$2:$E$495,4,FALSE)</f>
        <v>50000</v>
      </c>
      <c r="H1520" s="16">
        <f>E1520*F1520</f>
        <v>106000</v>
      </c>
      <c r="I1520" s="16">
        <f>E1520*G1520</f>
        <v>200000</v>
      </c>
      <c r="J1520" s="16">
        <f>I1520-H1520</f>
        <v>94000</v>
      </c>
      <c r="K1520" s="16" t="str">
        <f>VLOOKUP(C1520,[1]master_data!$A$2:$E$495,5,FALSE)</f>
        <v>Aksesoris</v>
      </c>
      <c r="L1520" s="1"/>
    </row>
    <row r="1521" spans="1:12" ht="12" customHeight="1" x14ac:dyDescent="0.25">
      <c r="A1521" s="15">
        <v>45088</v>
      </c>
      <c r="B1521" s="16">
        <v>22300986</v>
      </c>
      <c r="C1521" s="16" t="s">
        <v>409</v>
      </c>
      <c r="D1521" s="16" t="str">
        <f>VLOOKUP(C1521,[1]master_data!$A$2:$E$495,2,FALSE)</f>
        <v>GOLDEN BLACK</v>
      </c>
      <c r="E1521" s="16">
        <v>15</v>
      </c>
      <c r="F1521" s="16">
        <f>VLOOKUP(C1521,[1]master_data!$A$2:$E$495,3,FALSE)</f>
        <v>800</v>
      </c>
      <c r="G1521" s="16">
        <f>VLOOKUP(C1521,[1]master_data!$A$2:$E$495,4,FALSE)</f>
        <v>2000</v>
      </c>
      <c r="H1521" s="16">
        <f>E1521*F1521</f>
        <v>12000</v>
      </c>
      <c r="I1521" s="16">
        <f>E1521*G1521</f>
        <v>30000</v>
      </c>
      <c r="J1521" s="16">
        <f>I1521-H1521</f>
        <v>18000</v>
      </c>
      <c r="K1521" s="16" t="str">
        <f>VLOOKUP(C1521,[1]master_data!$A$2:$E$495,5,FALSE)</f>
        <v>Ikan</v>
      </c>
      <c r="L1521" s="1"/>
    </row>
    <row r="1522" spans="1:12" ht="12" customHeight="1" x14ac:dyDescent="0.25">
      <c r="A1522" s="15">
        <v>45088</v>
      </c>
      <c r="B1522" s="16">
        <v>22300987</v>
      </c>
      <c r="C1522" s="16" t="s">
        <v>456</v>
      </c>
      <c r="D1522" s="16" t="str">
        <f>VLOOKUP(C1522,[1]master_data!$A$2:$E$495,2,FALSE)</f>
        <v>ZEBRA HIJAU</v>
      </c>
      <c r="E1522" s="16">
        <v>1</v>
      </c>
      <c r="F1522" s="16">
        <f>VLOOKUP(C1522,[1]master_data!$A$2:$E$495,3,FALSE)</f>
        <v>800</v>
      </c>
      <c r="G1522" s="16">
        <f>VLOOKUP(C1522,[1]master_data!$A$2:$E$495,4,FALSE)</f>
        <v>2000</v>
      </c>
      <c r="H1522" s="16">
        <f>E1522*F1522</f>
        <v>800</v>
      </c>
      <c r="I1522" s="16">
        <f>E1522*G1522</f>
        <v>2000</v>
      </c>
      <c r="J1522" s="16">
        <f>I1522-H1522</f>
        <v>1200</v>
      </c>
      <c r="K1522" s="16" t="str">
        <f>VLOOKUP(C1522,[1]master_data!$A$2:$E$495,5,FALSE)</f>
        <v>Ikan</v>
      </c>
      <c r="L1522" s="1"/>
    </row>
    <row r="1523" spans="1:12" ht="12" customHeight="1" x14ac:dyDescent="0.25">
      <c r="A1523" s="15">
        <v>45088</v>
      </c>
      <c r="B1523" s="16">
        <v>22300988</v>
      </c>
      <c r="C1523" s="16" t="s">
        <v>229</v>
      </c>
      <c r="D1523" s="16" t="str">
        <f>VLOOKUP(C1523,[1]master_data!$A$2:$E$495,2,FALSE)</f>
        <v>KOHAKO GROWTH</v>
      </c>
      <c r="E1523" s="16">
        <v>1</v>
      </c>
      <c r="F1523" s="16">
        <f>VLOOKUP(C1523,[1]master_data!$A$2:$E$495,3,FALSE)</f>
        <v>33500</v>
      </c>
      <c r="G1523" s="16">
        <f>VLOOKUP(C1523,[1]master_data!$A$2:$E$495,4,FALSE)</f>
        <v>45000</v>
      </c>
      <c r="H1523" s="16">
        <f>E1523*F1523</f>
        <v>33500</v>
      </c>
      <c r="I1523" s="16">
        <f>E1523*G1523</f>
        <v>45000</v>
      </c>
      <c r="J1523" s="16">
        <f>I1523-H1523</f>
        <v>11500</v>
      </c>
      <c r="K1523" s="16" t="str">
        <f>VLOOKUP(C1523,[1]master_data!$A$2:$E$495,5,FALSE)</f>
        <v>Aksesoris</v>
      </c>
      <c r="L1523" s="1"/>
    </row>
    <row r="1524" spans="1:12" ht="12" customHeight="1" x14ac:dyDescent="0.25">
      <c r="A1524" s="15">
        <v>45087</v>
      </c>
      <c r="B1524" s="16">
        <v>22300973</v>
      </c>
      <c r="C1524" s="16" t="s">
        <v>327</v>
      </c>
      <c r="D1524" s="16" t="str">
        <f>VLOOKUP(C1524,[1]master_data!$A$2:$E$495,2,FALSE)</f>
        <v>AIRSTONE K</v>
      </c>
      <c r="E1524" s="16">
        <v>30</v>
      </c>
      <c r="F1524" s="16">
        <f>VLOOKUP(C1524,[1]master_data!$A$2:$E$495,3,FALSE)</f>
        <v>850</v>
      </c>
      <c r="G1524" s="16">
        <f>VLOOKUP(C1524,[1]master_data!$A$2:$E$495,4,FALSE)</f>
        <v>3000</v>
      </c>
      <c r="H1524" s="16">
        <f>E1524*F1524</f>
        <v>25500</v>
      </c>
      <c r="I1524" s="16">
        <f>E1524*G1524</f>
        <v>90000</v>
      </c>
      <c r="J1524" s="16">
        <f>I1524-H1524</f>
        <v>64500</v>
      </c>
      <c r="K1524" s="16" t="str">
        <f>VLOOKUP(C1524,[1]master_data!$A$2:$E$495,5,FALSE)</f>
        <v>Aksesoris</v>
      </c>
      <c r="L1524" s="1"/>
    </row>
    <row r="1525" spans="1:12" ht="12" customHeight="1" x14ac:dyDescent="0.25">
      <c r="A1525" s="15">
        <v>45087</v>
      </c>
      <c r="B1525" s="16">
        <v>22300974</v>
      </c>
      <c r="C1525" s="16" t="s">
        <v>388</v>
      </c>
      <c r="D1525" s="16" t="str">
        <f>VLOOKUP(C1525,[1]master_data!$A$2:$E$495,2,FALSE)</f>
        <v>CHANNA ASIATICA K</v>
      </c>
      <c r="E1525" s="16">
        <v>1</v>
      </c>
      <c r="F1525" s="16">
        <f>VLOOKUP(C1525,[1]master_data!$A$2:$E$495,3,FALSE)</f>
        <v>10000</v>
      </c>
      <c r="G1525" s="16">
        <f>VLOOKUP(C1525,[1]master_data!$A$2:$E$495,4,FALSE)</f>
        <v>40000</v>
      </c>
      <c r="H1525" s="16">
        <f>E1525*F1525</f>
        <v>10000</v>
      </c>
      <c r="I1525" s="16">
        <f>E1525*G1525</f>
        <v>40000</v>
      </c>
      <c r="J1525" s="16">
        <f>I1525-H1525</f>
        <v>30000</v>
      </c>
      <c r="K1525" s="16" t="str">
        <f>VLOOKUP(C1525,[1]master_data!$A$2:$E$495,5,FALSE)</f>
        <v>Ikan</v>
      </c>
      <c r="L1525" s="1"/>
    </row>
    <row r="1526" spans="1:12" ht="12" customHeight="1" x14ac:dyDescent="0.25">
      <c r="A1526" s="15">
        <v>45087</v>
      </c>
      <c r="B1526" s="16">
        <v>22300975</v>
      </c>
      <c r="C1526" s="16" t="s">
        <v>260</v>
      </c>
      <c r="D1526" s="16" t="str">
        <f>VLOOKUP(C1526,[1]master_data!$A$2:$E$495,2,FALSE)</f>
        <v>COP PIPA</v>
      </c>
      <c r="E1526" s="16">
        <v>10</v>
      </c>
      <c r="F1526" s="16">
        <f>VLOOKUP(C1526,[1]master_data!$A$2:$E$495,3,FALSE)</f>
        <v>800</v>
      </c>
      <c r="G1526" s="16">
        <f>VLOOKUP(C1526,[1]master_data!$A$2:$E$495,4,FALSE)</f>
        <v>2000</v>
      </c>
      <c r="H1526" s="16">
        <f>E1526*F1526</f>
        <v>8000</v>
      </c>
      <c r="I1526" s="16">
        <f>E1526*G1526</f>
        <v>20000</v>
      </c>
      <c r="J1526" s="16">
        <f>I1526-H1526</f>
        <v>12000</v>
      </c>
      <c r="K1526" s="16" t="str">
        <f>VLOOKUP(C1526,[1]master_data!$A$2:$E$495,5,FALSE)</f>
        <v>Aksesoris</v>
      </c>
      <c r="L1526" s="1"/>
    </row>
    <row r="1527" spans="1:12" ht="12" customHeight="1" x14ac:dyDescent="0.25">
      <c r="A1527" s="15">
        <v>45087</v>
      </c>
      <c r="B1527" s="16">
        <v>22300976</v>
      </c>
      <c r="C1527" s="16" t="s">
        <v>210</v>
      </c>
      <c r="D1527" s="16" t="str">
        <f>VLOOKUP(C1527,[1]master_data!$A$2:$E$495,2,FALSE)</f>
        <v>CRISTAL PAKAN CUPANG</v>
      </c>
      <c r="E1527" s="16">
        <v>15</v>
      </c>
      <c r="F1527" s="16">
        <f>VLOOKUP(C1527,[1]master_data!$A$2:$E$495,3,FALSE)</f>
        <v>1500</v>
      </c>
      <c r="G1527" s="16">
        <f>VLOOKUP(C1527,[1]master_data!$A$2:$E$495,4,FALSE)</f>
        <v>3000</v>
      </c>
      <c r="H1527" s="16">
        <f>E1527*F1527</f>
        <v>22500</v>
      </c>
      <c r="I1527" s="16">
        <f>E1527*G1527</f>
        <v>45000</v>
      </c>
      <c r="J1527" s="16">
        <f>I1527-H1527</f>
        <v>22500</v>
      </c>
      <c r="K1527" s="16" t="str">
        <f>VLOOKUP(C1527,[1]master_data!$A$2:$E$495,5,FALSE)</f>
        <v>Aksesoris</v>
      </c>
      <c r="L1527" s="1"/>
    </row>
    <row r="1528" spans="1:12" ht="12" customHeight="1" x14ac:dyDescent="0.25">
      <c r="A1528" s="15">
        <v>45087</v>
      </c>
      <c r="B1528" s="16">
        <v>22300977</v>
      </c>
      <c r="C1528" s="16" t="s">
        <v>431</v>
      </c>
      <c r="D1528" s="16" t="str">
        <f>VLOOKUP(C1528,[1]master_data!$A$2:$E$495,2,FALSE)</f>
        <v>MARU B</v>
      </c>
      <c r="E1528" s="16">
        <v>2</v>
      </c>
      <c r="F1528" s="16">
        <f>VLOOKUP(C1528,[1]master_data!$A$2:$E$495,3,FALSE)</f>
        <v>90000</v>
      </c>
      <c r="G1528" s="16">
        <f>VLOOKUP(C1528,[1]master_data!$A$2:$E$495,4,FALSE)</f>
        <v>150000</v>
      </c>
      <c r="H1528" s="16">
        <f>E1528*F1528</f>
        <v>180000</v>
      </c>
      <c r="I1528" s="16">
        <f>E1528*G1528</f>
        <v>300000</v>
      </c>
      <c r="J1528" s="16">
        <f>I1528-H1528</f>
        <v>120000</v>
      </c>
      <c r="K1528" s="16" t="str">
        <f>VLOOKUP(C1528,[1]master_data!$A$2:$E$495,5,FALSE)</f>
        <v>Ikan</v>
      </c>
      <c r="L1528" s="1"/>
    </row>
    <row r="1529" spans="1:12" ht="12" customHeight="1" x14ac:dyDescent="0.25">
      <c r="A1529" s="15">
        <v>45087</v>
      </c>
      <c r="B1529" s="16">
        <v>22300978</v>
      </c>
      <c r="C1529" s="16" t="s">
        <v>79</v>
      </c>
      <c r="D1529" s="16" t="str">
        <f>VLOOKUP(C1529,[1]master_data!$A$2:$E$495,2,FALSE)</f>
        <v>MESIN KIYOSAKI 1600</v>
      </c>
      <c r="E1529" s="16">
        <v>1</v>
      </c>
      <c r="F1529" s="16">
        <f>VLOOKUP(C1529,[1]master_data!$A$2:$E$495,3,FALSE)</f>
        <v>35000</v>
      </c>
      <c r="G1529" s="16">
        <f>VLOOKUP(C1529,[1]master_data!$A$2:$E$495,4,FALSE)</f>
        <v>65000</v>
      </c>
      <c r="H1529" s="16">
        <f>E1529*F1529</f>
        <v>35000</v>
      </c>
      <c r="I1529" s="16">
        <f>E1529*G1529</f>
        <v>65000</v>
      </c>
      <c r="J1529" s="16">
        <f>I1529-H1529</f>
        <v>30000</v>
      </c>
      <c r="K1529" s="16" t="str">
        <f>VLOOKUP(C1529,[1]master_data!$A$2:$E$495,5,FALSE)</f>
        <v>Aksesoris</v>
      </c>
      <c r="L1529" s="1"/>
    </row>
    <row r="1530" spans="1:12" ht="12" customHeight="1" x14ac:dyDescent="0.25">
      <c r="A1530" s="15">
        <v>45087</v>
      </c>
      <c r="B1530" s="16">
        <v>22300979</v>
      </c>
      <c r="C1530" s="16" t="s">
        <v>247</v>
      </c>
      <c r="D1530" s="16" t="str">
        <f>VLOOKUP(C1530,[1]master_data!$A$2:$E$495,2,FALSE)</f>
        <v>AIRSTONE 60</v>
      </c>
      <c r="E1530" s="16">
        <v>1</v>
      </c>
      <c r="F1530" s="16">
        <f>VLOOKUP(C1530,[1]master_data!$A$2:$E$495,3,FALSE)</f>
        <v>8000</v>
      </c>
      <c r="G1530" s="16">
        <f>VLOOKUP(C1530,[1]master_data!$A$2:$E$495,4,FALSE)</f>
        <v>17000</v>
      </c>
      <c r="H1530" s="16">
        <f>E1530*F1530</f>
        <v>8000</v>
      </c>
      <c r="I1530" s="16">
        <f>E1530*G1530</f>
        <v>17000</v>
      </c>
      <c r="J1530" s="16">
        <f>I1530-H1530</f>
        <v>9000</v>
      </c>
      <c r="K1530" s="16" t="str">
        <f>VLOOKUP(C1530,[1]master_data!$A$2:$E$495,5,FALSE)</f>
        <v>Aksesoris</v>
      </c>
      <c r="L1530" s="1"/>
    </row>
    <row r="1531" spans="1:12" ht="12" customHeight="1" x14ac:dyDescent="0.25">
      <c r="A1531" s="15">
        <v>45087</v>
      </c>
      <c r="B1531" s="16">
        <v>22300980</v>
      </c>
      <c r="C1531" s="16" t="s">
        <v>31</v>
      </c>
      <c r="D1531" s="16" t="str">
        <f>VLOOKUP(C1531,[1]master_data!$A$2:$E$495,2,FALSE)</f>
        <v>TOP FILTER ROSTON B</v>
      </c>
      <c r="E1531" s="16">
        <v>1</v>
      </c>
      <c r="F1531" s="16">
        <f>VLOOKUP(C1531,[1]master_data!$A$2:$E$495,3,FALSE)</f>
        <v>35000</v>
      </c>
      <c r="G1531" s="16">
        <f>VLOOKUP(C1531,[1]master_data!$A$2:$E$495,4,FALSE)</f>
        <v>65000</v>
      </c>
      <c r="H1531" s="16">
        <f>E1531*F1531</f>
        <v>35000</v>
      </c>
      <c r="I1531" s="16">
        <f>E1531*G1531</f>
        <v>65000</v>
      </c>
      <c r="J1531" s="16">
        <f>I1531-H1531</f>
        <v>30000</v>
      </c>
      <c r="K1531" s="16" t="str">
        <f>VLOOKUP(C1531,[1]master_data!$A$2:$E$495,5,FALSE)</f>
        <v>Aksesoris</v>
      </c>
      <c r="L1531" s="1"/>
    </row>
    <row r="1532" spans="1:12" ht="12" customHeight="1" x14ac:dyDescent="0.25">
      <c r="A1532" s="15">
        <v>45086</v>
      </c>
      <c r="B1532" s="16">
        <v>22300970</v>
      </c>
      <c r="C1532" s="16" t="s">
        <v>421</v>
      </c>
      <c r="D1532" s="16" t="str">
        <f>VLOOKUP(C1532,[1]master_data!$A$2:$E$495,2,FALSE)</f>
        <v>KOI SLAYER K</v>
      </c>
      <c r="E1532" s="16">
        <v>30</v>
      </c>
      <c r="F1532" s="16">
        <f>VLOOKUP(C1532,[1]master_data!$A$2:$E$495,3,FALSE)</f>
        <v>3500</v>
      </c>
      <c r="G1532" s="16">
        <f>VLOOKUP(C1532,[1]master_data!$A$2:$E$495,4,FALSE)</f>
        <v>10000</v>
      </c>
      <c r="H1532" s="16">
        <f>E1532*F1532</f>
        <v>105000</v>
      </c>
      <c r="I1532" s="16">
        <f>E1532*G1532</f>
        <v>300000</v>
      </c>
      <c r="J1532" s="16">
        <f>I1532-H1532</f>
        <v>195000</v>
      </c>
      <c r="K1532" s="16" t="str">
        <f>VLOOKUP(C1532,[1]master_data!$A$2:$E$495,5,FALSE)</f>
        <v>Ikan</v>
      </c>
      <c r="L1532" s="1"/>
    </row>
    <row r="1533" spans="1:12" ht="12" customHeight="1" x14ac:dyDescent="0.25">
      <c r="A1533" s="15">
        <v>45086</v>
      </c>
      <c r="B1533" s="16">
        <v>22300971</v>
      </c>
      <c r="C1533" s="16" t="s">
        <v>365</v>
      </c>
      <c r="D1533" s="16" t="str">
        <f>VLOOKUP(C1533,[1]master_data!$A$2:$E$495,2,FALSE)</f>
        <v>AKUARIUM 40 ROBOT</v>
      </c>
      <c r="E1533" s="16">
        <v>1</v>
      </c>
      <c r="F1533" s="16">
        <f>VLOOKUP(C1533,[1]master_data!$A$2:$E$495,3,FALSE)</f>
        <v>9000</v>
      </c>
      <c r="G1533" s="16">
        <f>VLOOKUP(C1533,[1]master_data!$A$2:$E$495,4,FALSE)</f>
        <v>135000</v>
      </c>
      <c r="H1533" s="16">
        <f>E1533*F1533</f>
        <v>9000</v>
      </c>
      <c r="I1533" s="16">
        <f>E1533*G1533</f>
        <v>135000</v>
      </c>
      <c r="J1533" s="16">
        <f>I1533-H1533</f>
        <v>126000</v>
      </c>
      <c r="K1533" s="16" t="str">
        <f>VLOOKUP(C1533,[1]master_data!$A$2:$E$495,5,FALSE)</f>
        <v>Aksesoris</v>
      </c>
      <c r="L1533" s="1"/>
    </row>
    <row r="1534" spans="1:12" ht="12" customHeight="1" x14ac:dyDescent="0.25">
      <c r="A1534" s="15">
        <v>45086</v>
      </c>
      <c r="B1534" s="16">
        <v>22300972</v>
      </c>
      <c r="C1534" s="16" t="s">
        <v>437</v>
      </c>
      <c r="D1534" s="16" t="str">
        <f>VLOOKUP(C1534,[1]master_data!$A$2:$E$495,2,FALSE)</f>
        <v>NEON</v>
      </c>
      <c r="E1534" s="16">
        <v>50</v>
      </c>
      <c r="F1534" s="16">
        <f>VLOOKUP(C1534,[1]master_data!$A$2:$E$495,3,FALSE)</f>
        <v>1250</v>
      </c>
      <c r="G1534" s="16">
        <f>VLOOKUP(C1534,[1]master_data!$A$2:$E$495,4,FALSE)</f>
        <v>5000</v>
      </c>
      <c r="H1534" s="16">
        <f>E1534*F1534</f>
        <v>62500</v>
      </c>
      <c r="I1534" s="16">
        <f>E1534*G1534</f>
        <v>250000</v>
      </c>
      <c r="J1534" s="16">
        <f>I1534-H1534</f>
        <v>187500</v>
      </c>
      <c r="K1534" s="16" t="str">
        <f>VLOOKUP(C1534,[1]master_data!$A$2:$E$495,5,FALSE)</f>
        <v>Ikan</v>
      </c>
      <c r="L1534" s="1"/>
    </row>
    <row r="1535" spans="1:12" ht="12" customHeight="1" x14ac:dyDescent="0.25">
      <c r="A1535" s="15">
        <v>45085</v>
      </c>
      <c r="B1535" s="16">
        <v>22300966</v>
      </c>
      <c r="C1535" s="16" t="s">
        <v>459</v>
      </c>
      <c r="D1535" s="16" t="str">
        <f>VLOOKUP(C1535,[1]master_data!$A$2:$E$495,2,FALSE)</f>
        <v>SEPAT</v>
      </c>
      <c r="E1535" s="16">
        <v>30</v>
      </c>
      <c r="F1535" s="16">
        <f>VLOOKUP(C1535,[1]master_data!$A$2:$E$495,3,FALSE)</f>
        <v>600</v>
      </c>
      <c r="G1535" s="16">
        <f>VLOOKUP(C1535,[1]master_data!$A$2:$E$495,4,FALSE)</f>
        <v>2000</v>
      </c>
      <c r="H1535" s="16">
        <f>E1535*F1535</f>
        <v>18000</v>
      </c>
      <c r="I1535" s="16">
        <f>E1535*G1535</f>
        <v>60000</v>
      </c>
      <c r="J1535" s="16">
        <f>I1535-H1535</f>
        <v>42000</v>
      </c>
      <c r="K1535" s="16" t="str">
        <f>VLOOKUP(C1535,[1]master_data!$A$2:$E$495,5,FALSE)</f>
        <v>Ikan</v>
      </c>
      <c r="L1535" s="1"/>
    </row>
    <row r="1536" spans="1:12" ht="12" customHeight="1" x14ac:dyDescent="0.25">
      <c r="A1536" s="15">
        <v>45085</v>
      </c>
      <c r="B1536" s="16">
        <v>22300967</v>
      </c>
      <c r="C1536" s="16" t="s">
        <v>433</v>
      </c>
      <c r="D1536" s="16" t="str">
        <f>VLOOKUP(C1536,[1]master_data!$A$2:$E$495,2,FALSE)</f>
        <v>MOLI BALON</v>
      </c>
      <c r="E1536" s="16">
        <v>25</v>
      </c>
      <c r="F1536" s="16">
        <f>VLOOKUP(C1536,[1]master_data!$A$2:$E$495,3,FALSE)</f>
        <v>800</v>
      </c>
      <c r="G1536" s="16">
        <f>VLOOKUP(C1536,[1]master_data!$A$2:$E$495,4,FALSE)</f>
        <v>2000</v>
      </c>
      <c r="H1536" s="16">
        <f>E1536*F1536</f>
        <v>20000</v>
      </c>
      <c r="I1536" s="16">
        <f>E1536*G1536</f>
        <v>50000</v>
      </c>
      <c r="J1536" s="16">
        <f>I1536-H1536</f>
        <v>30000</v>
      </c>
      <c r="K1536" s="16" t="str">
        <f>VLOOKUP(C1536,[1]master_data!$A$2:$E$495,5,FALSE)</f>
        <v>Ikan</v>
      </c>
      <c r="L1536" s="1"/>
    </row>
    <row r="1537" spans="1:12" ht="12" customHeight="1" x14ac:dyDescent="0.25">
      <c r="A1537" s="15">
        <v>45085</v>
      </c>
      <c r="B1537" s="16">
        <v>22300968</v>
      </c>
      <c r="C1537" s="16" t="s">
        <v>54</v>
      </c>
      <c r="D1537" s="16" t="str">
        <f>VLOOKUP(C1537,[1]master_data!$A$2:$E$495,2,FALSE)</f>
        <v>TOP FILTER LENGKAP B</v>
      </c>
      <c r="E1537" s="16">
        <v>8</v>
      </c>
      <c r="F1537" s="16">
        <f>VLOOKUP(C1537,[1]master_data!$A$2:$E$495,3,FALSE)</f>
        <v>37500</v>
      </c>
      <c r="G1537" s="16">
        <f>VLOOKUP(C1537,[1]master_data!$A$2:$E$495,4,FALSE)</f>
        <v>65000</v>
      </c>
      <c r="H1537" s="16">
        <f>E1537*F1537</f>
        <v>300000</v>
      </c>
      <c r="I1537" s="16">
        <f>E1537*G1537</f>
        <v>520000</v>
      </c>
      <c r="J1537" s="16">
        <f>I1537-H1537</f>
        <v>220000</v>
      </c>
      <c r="K1537" s="16" t="str">
        <f>VLOOKUP(C1537,[1]master_data!$A$2:$E$495,5,FALSE)</f>
        <v>Aksesoris</v>
      </c>
      <c r="L1537" s="1"/>
    </row>
    <row r="1538" spans="1:12" ht="12" customHeight="1" x14ac:dyDescent="0.25">
      <c r="A1538" s="15">
        <v>45085</v>
      </c>
      <c r="B1538" s="16">
        <v>22300969</v>
      </c>
      <c r="C1538" s="16" t="s">
        <v>41</v>
      </c>
      <c r="D1538" s="16" t="str">
        <f>VLOOKUP(C1538,[1]master_data!$A$2:$E$495,2,FALSE)</f>
        <v>MESIN YAMANO 107</v>
      </c>
      <c r="E1538" s="16">
        <v>1</v>
      </c>
      <c r="F1538" s="16">
        <f>VLOOKUP(C1538,[1]master_data!$A$2:$E$495,3,FALSE)</f>
        <v>280000</v>
      </c>
      <c r="G1538" s="16">
        <f>VLOOKUP(C1538,[1]master_data!$A$2:$E$495,4,FALSE)</f>
        <v>321000</v>
      </c>
      <c r="H1538" s="16">
        <f>E1538*F1538</f>
        <v>280000</v>
      </c>
      <c r="I1538" s="16">
        <f>E1538*G1538</f>
        <v>321000</v>
      </c>
      <c r="J1538" s="16">
        <f>I1538-H1538</f>
        <v>41000</v>
      </c>
      <c r="K1538" s="16" t="str">
        <f>VLOOKUP(C1538,[1]master_data!$A$2:$E$495,5,FALSE)</f>
        <v>Aksesoris</v>
      </c>
      <c r="L1538" s="1"/>
    </row>
    <row r="1539" spans="1:12" ht="12" customHeight="1" x14ac:dyDescent="0.25">
      <c r="A1539" s="15">
        <v>45084</v>
      </c>
      <c r="B1539" s="16">
        <v>22300958</v>
      </c>
      <c r="C1539" s="16" t="s">
        <v>399</v>
      </c>
      <c r="D1539" s="16" t="str">
        <f>VLOOKUP(C1539,[1]master_data!$A$2:$E$495,2,FALSE)</f>
        <v>BALA BALA B</v>
      </c>
      <c r="E1539" s="16">
        <v>10</v>
      </c>
      <c r="F1539" s="16">
        <f>VLOOKUP(C1539,[1]master_data!$A$2:$E$495,3,FALSE)</f>
        <v>7000</v>
      </c>
      <c r="G1539" s="16">
        <f>VLOOKUP(C1539,[1]master_data!$A$2:$E$495,4,FALSE)</f>
        <v>15000</v>
      </c>
      <c r="H1539" s="16">
        <f>E1539*F1539</f>
        <v>70000</v>
      </c>
      <c r="I1539" s="16">
        <f>E1539*G1539</f>
        <v>150000</v>
      </c>
      <c r="J1539" s="16">
        <f>I1539-H1539</f>
        <v>80000</v>
      </c>
      <c r="K1539" s="16" t="str">
        <f>VLOOKUP(C1539,[1]master_data!$A$2:$E$495,5,FALSE)</f>
        <v>Ikan</v>
      </c>
      <c r="L1539" s="1"/>
    </row>
    <row r="1540" spans="1:12" ht="12" customHeight="1" x14ac:dyDescent="0.25">
      <c r="A1540" s="15">
        <v>45084</v>
      </c>
      <c r="B1540" s="16">
        <v>22300959</v>
      </c>
      <c r="C1540" s="16" t="s">
        <v>435</v>
      </c>
      <c r="D1540" s="16" t="str">
        <f>VLOOKUP(C1540,[1]master_data!$A$2:$E$495,2,FALSE)</f>
        <v>RED EYE TETRA</v>
      </c>
      <c r="E1540" s="16">
        <v>15</v>
      </c>
      <c r="F1540" s="16">
        <f>VLOOKUP(C1540,[1]master_data!$A$2:$E$495,3,FALSE)</f>
        <v>900</v>
      </c>
      <c r="G1540" s="16">
        <f>VLOOKUP(C1540,[1]master_data!$A$2:$E$495,4,FALSE)</f>
        <v>2000</v>
      </c>
      <c r="H1540" s="16">
        <f>E1540*F1540</f>
        <v>13500</v>
      </c>
      <c r="I1540" s="16">
        <f>E1540*G1540</f>
        <v>30000</v>
      </c>
      <c r="J1540" s="16">
        <f>I1540-H1540</f>
        <v>16500</v>
      </c>
      <c r="K1540" s="16" t="str">
        <f>VLOOKUP(C1540,[1]master_data!$A$2:$E$495,5,FALSE)</f>
        <v>Ikan</v>
      </c>
      <c r="L1540" s="1"/>
    </row>
    <row r="1541" spans="1:12" ht="12" customHeight="1" x14ac:dyDescent="0.25">
      <c r="A1541" s="15">
        <v>45084</v>
      </c>
      <c r="B1541" s="16">
        <v>22300960</v>
      </c>
      <c r="C1541" s="16" t="s">
        <v>435</v>
      </c>
      <c r="D1541" s="16" t="str">
        <f>VLOOKUP(C1541,[1]master_data!$A$2:$E$495,2,FALSE)</f>
        <v>RED EYE TETRA</v>
      </c>
      <c r="E1541" s="16">
        <v>15</v>
      </c>
      <c r="F1541" s="16">
        <f>VLOOKUP(C1541,[1]master_data!$A$2:$E$495,3,FALSE)</f>
        <v>900</v>
      </c>
      <c r="G1541" s="16">
        <f>VLOOKUP(C1541,[1]master_data!$A$2:$E$495,4,FALSE)</f>
        <v>2000</v>
      </c>
      <c r="H1541" s="16">
        <f>E1541*F1541</f>
        <v>13500</v>
      </c>
      <c r="I1541" s="16">
        <f>E1541*G1541</f>
        <v>30000</v>
      </c>
      <c r="J1541" s="16">
        <f>I1541-H1541</f>
        <v>16500</v>
      </c>
      <c r="K1541" s="16" t="str">
        <f>VLOOKUP(C1541,[1]master_data!$A$2:$E$495,5,FALSE)</f>
        <v>Ikan</v>
      </c>
      <c r="L1541" s="1"/>
    </row>
    <row r="1542" spans="1:12" ht="12" customHeight="1" x14ac:dyDescent="0.25">
      <c r="A1542" s="15">
        <v>45084</v>
      </c>
      <c r="B1542" s="16">
        <v>22300961</v>
      </c>
      <c r="C1542" s="16" t="s">
        <v>442</v>
      </c>
      <c r="D1542" s="16" t="str">
        <f>VLOOKUP(C1542,[1]master_data!$A$2:$E$495,2,FALSE)</f>
        <v>PARROT</v>
      </c>
      <c r="E1542" s="16">
        <v>1</v>
      </c>
      <c r="F1542" s="16">
        <f>VLOOKUP(C1542,[1]master_data!$A$2:$E$495,3,FALSE)</f>
        <v>27000</v>
      </c>
      <c r="G1542" s="16">
        <f>VLOOKUP(C1542,[1]master_data!$A$2:$E$495,4,FALSE)</f>
        <v>60000</v>
      </c>
      <c r="H1542" s="16">
        <f>E1542*F1542</f>
        <v>27000</v>
      </c>
      <c r="I1542" s="16">
        <f>E1542*G1542</f>
        <v>60000</v>
      </c>
      <c r="J1542" s="16">
        <f>I1542-H1542</f>
        <v>33000</v>
      </c>
      <c r="K1542" s="16" t="str">
        <f>VLOOKUP(C1542,[1]master_data!$A$2:$E$495,5,FALSE)</f>
        <v>Ikan</v>
      </c>
      <c r="L1542" s="1"/>
    </row>
    <row r="1543" spans="1:12" ht="12" customHeight="1" x14ac:dyDescent="0.25">
      <c r="A1543" s="15">
        <v>45084</v>
      </c>
      <c r="B1543" s="16">
        <v>22300962</v>
      </c>
      <c r="C1543" s="16" t="s">
        <v>232</v>
      </c>
      <c r="D1543" s="16" t="str">
        <f>VLOOKUP(C1543,[1]master_data!$A$2:$E$495,2,FALSE)</f>
        <v>MIZUKO</v>
      </c>
      <c r="E1543" s="16">
        <v>2</v>
      </c>
      <c r="F1543" s="16">
        <f>VLOOKUP(C1543,[1]master_data!$A$2:$E$495,3,FALSE)</f>
        <v>30000</v>
      </c>
      <c r="G1543" s="16">
        <f>VLOOKUP(C1543,[1]master_data!$A$2:$E$495,4,FALSE)</f>
        <v>50000</v>
      </c>
      <c r="H1543" s="16">
        <f>E1543*F1543</f>
        <v>60000</v>
      </c>
      <c r="I1543" s="16">
        <f>E1543*G1543</f>
        <v>100000</v>
      </c>
      <c r="J1543" s="16">
        <f>I1543-H1543</f>
        <v>40000</v>
      </c>
      <c r="K1543" s="16" t="str">
        <f>VLOOKUP(C1543,[1]master_data!$A$2:$E$495,5,FALSE)</f>
        <v>Aksesoris</v>
      </c>
      <c r="L1543" s="1"/>
    </row>
    <row r="1544" spans="1:12" ht="12" customHeight="1" x14ac:dyDescent="0.25">
      <c r="A1544" s="15">
        <v>45084</v>
      </c>
      <c r="B1544" s="16">
        <v>22300963</v>
      </c>
      <c r="C1544" s="16" t="s">
        <v>446</v>
      </c>
      <c r="D1544" s="16" t="str">
        <f>VLOOKUP(C1544,[1]master_data!$A$2:$E$495,2,FALSE)</f>
        <v xml:space="preserve"> CHANNA RED BARITO K</v>
      </c>
      <c r="E1544" s="16">
        <v>2</v>
      </c>
      <c r="F1544" s="16">
        <f>VLOOKUP(C1544,[1]master_data!$A$2:$E$495,3,FALSE)</f>
        <v>45000</v>
      </c>
      <c r="G1544" s="16">
        <f>VLOOKUP(C1544,[1]master_data!$A$2:$E$495,4,FALSE)</f>
        <v>100000</v>
      </c>
      <c r="H1544" s="16">
        <f>E1544*F1544</f>
        <v>90000</v>
      </c>
      <c r="I1544" s="16">
        <f>E1544*G1544</f>
        <v>200000</v>
      </c>
      <c r="J1544" s="16">
        <f>I1544-H1544</f>
        <v>110000</v>
      </c>
      <c r="K1544" s="16" t="str">
        <f>VLOOKUP(C1544,[1]master_data!$A$2:$E$495,5,FALSE)</f>
        <v>Ikan</v>
      </c>
      <c r="L1544" s="1"/>
    </row>
    <row r="1545" spans="1:12" ht="12" customHeight="1" x14ac:dyDescent="0.25">
      <c r="A1545" s="15">
        <v>45084</v>
      </c>
      <c r="B1545" s="16">
        <v>22300964</v>
      </c>
      <c r="C1545" s="16" t="s">
        <v>366</v>
      </c>
      <c r="D1545" s="16" t="str">
        <f>VLOOKUP(C1545,[1]master_data!$A$2:$E$495,2,FALSE)</f>
        <v>TUTUP AKUARIUM M</v>
      </c>
      <c r="E1545" s="16">
        <v>2</v>
      </c>
      <c r="F1545" s="16">
        <f>VLOOKUP(C1545,[1]master_data!$A$2:$E$495,3,FALSE)</f>
        <v>25000</v>
      </c>
      <c r="G1545" s="16">
        <f>VLOOKUP(C1545,[1]master_data!$A$2:$E$495,4,FALSE)</f>
        <v>35000</v>
      </c>
      <c r="H1545" s="16">
        <f>E1545*F1545</f>
        <v>50000</v>
      </c>
      <c r="I1545" s="16">
        <f>E1545*G1545</f>
        <v>70000</v>
      </c>
      <c r="J1545" s="16">
        <f>I1545-H1545</f>
        <v>20000</v>
      </c>
      <c r="K1545" s="16" t="str">
        <f>VLOOKUP(C1545,[1]master_data!$A$2:$E$495,5,FALSE)</f>
        <v>Aksesoris</v>
      </c>
      <c r="L1545" s="1"/>
    </row>
    <row r="1546" spans="1:12" ht="12" customHeight="1" x14ac:dyDescent="0.25">
      <c r="A1546" s="15">
        <v>45084</v>
      </c>
      <c r="B1546" s="16">
        <v>22300965</v>
      </c>
      <c r="C1546" s="16" t="s">
        <v>97</v>
      </c>
      <c r="D1546" s="16" t="str">
        <f>VLOOKUP(C1546,[1]master_data!$A$2:$E$495,2,FALSE)</f>
        <v>MESIN AMARA 1000 L</v>
      </c>
      <c r="E1546" s="16">
        <v>1</v>
      </c>
      <c r="F1546" s="16">
        <f>VLOOKUP(C1546,[1]master_data!$A$2:$E$495,3,FALSE)</f>
        <v>34500</v>
      </c>
      <c r="G1546" s="16">
        <f>VLOOKUP(C1546,[1]master_data!$A$2:$E$495,4,FALSE)</f>
        <v>50000</v>
      </c>
      <c r="H1546" s="16">
        <f>E1546*F1546</f>
        <v>34500</v>
      </c>
      <c r="I1546" s="16">
        <f>E1546*G1546</f>
        <v>50000</v>
      </c>
      <c r="J1546" s="16">
        <f>I1546-H1546</f>
        <v>15500</v>
      </c>
      <c r="K1546" s="16" t="str">
        <f>VLOOKUP(C1546,[1]master_data!$A$2:$E$495,5,FALSE)</f>
        <v>Aksesoris</v>
      </c>
      <c r="L1546" s="1"/>
    </row>
    <row r="1547" spans="1:12" ht="12" customHeight="1" x14ac:dyDescent="0.25">
      <c r="A1547" s="15">
        <v>45083</v>
      </c>
      <c r="B1547" s="16">
        <v>22300950</v>
      </c>
      <c r="C1547" s="16" t="s">
        <v>450</v>
      </c>
      <c r="D1547" s="16" t="str">
        <f>VLOOKUP(C1547,[1]master_data!$A$2:$E$495,2,FALSE)</f>
        <v>SNOW WHITE</v>
      </c>
      <c r="E1547" s="16">
        <v>30</v>
      </c>
      <c r="F1547" s="16">
        <f>VLOOKUP(C1547,[1]master_data!$A$2:$E$495,3,FALSE)</f>
        <v>1500</v>
      </c>
      <c r="G1547" s="16">
        <f>VLOOKUP(C1547,[1]master_data!$A$2:$E$495,4,FALSE)</f>
        <v>3000</v>
      </c>
      <c r="H1547" s="16">
        <f>E1547*F1547</f>
        <v>45000</v>
      </c>
      <c r="I1547" s="16">
        <f>E1547*G1547</f>
        <v>90000</v>
      </c>
      <c r="J1547" s="16">
        <f>I1547-H1547</f>
        <v>45000</v>
      </c>
      <c r="K1547" s="16" t="str">
        <f>VLOOKUP(C1547,[1]master_data!$A$2:$E$495,5,FALSE)</f>
        <v>Ikan</v>
      </c>
      <c r="L1547" s="1"/>
    </row>
    <row r="1548" spans="1:12" ht="12" customHeight="1" x14ac:dyDescent="0.25">
      <c r="A1548" s="15">
        <v>45083</v>
      </c>
      <c r="B1548" s="16">
        <v>22300951</v>
      </c>
      <c r="C1548" s="16" t="s">
        <v>450</v>
      </c>
      <c r="D1548" s="16" t="str">
        <f>VLOOKUP(C1548,[1]master_data!$A$2:$E$495,2,FALSE)</f>
        <v>SNOW WHITE</v>
      </c>
      <c r="E1548" s="16">
        <v>25</v>
      </c>
      <c r="F1548" s="16">
        <f>VLOOKUP(C1548,[1]master_data!$A$2:$E$495,3,FALSE)</f>
        <v>1500</v>
      </c>
      <c r="G1548" s="16">
        <f>VLOOKUP(C1548,[1]master_data!$A$2:$E$495,4,FALSE)</f>
        <v>3000</v>
      </c>
      <c r="H1548" s="16">
        <f>E1548*F1548</f>
        <v>37500</v>
      </c>
      <c r="I1548" s="16">
        <f>E1548*G1548</f>
        <v>75000</v>
      </c>
      <c r="J1548" s="16">
        <f>I1548-H1548</f>
        <v>37500</v>
      </c>
      <c r="K1548" s="16" t="str">
        <f>VLOOKUP(C1548,[1]master_data!$A$2:$E$495,5,FALSE)</f>
        <v>Ikan</v>
      </c>
      <c r="L1548" s="1"/>
    </row>
    <row r="1549" spans="1:12" ht="12" customHeight="1" x14ac:dyDescent="0.25">
      <c r="A1549" s="15">
        <v>45083</v>
      </c>
      <c r="B1549" s="16">
        <v>22300952</v>
      </c>
      <c r="C1549" s="16" t="s">
        <v>166</v>
      </c>
      <c r="D1549" s="16" t="str">
        <f>VLOOKUP(C1549,[1]master_data!$A$2:$E$495,2,FALSE)</f>
        <v>LAMPU ARMADA UV 15W</v>
      </c>
      <c r="E1549" s="16">
        <v>1</v>
      </c>
      <c r="F1549" s="16">
        <f>VLOOKUP(C1549,[1]master_data!$A$2:$E$495,3,FALSE)</f>
        <v>88000</v>
      </c>
      <c r="G1549" s="16">
        <f>VLOOKUP(C1549,[1]master_data!$A$2:$E$495,4,FALSE)</f>
        <v>115000</v>
      </c>
      <c r="H1549" s="16">
        <f>E1549*F1549</f>
        <v>88000</v>
      </c>
      <c r="I1549" s="16">
        <f>E1549*G1549</f>
        <v>115000</v>
      </c>
      <c r="J1549" s="16">
        <f>I1549-H1549</f>
        <v>27000</v>
      </c>
      <c r="K1549" s="16" t="str">
        <f>VLOOKUP(C1549,[1]master_data!$A$2:$E$495,5,FALSE)</f>
        <v>Aksesoris</v>
      </c>
      <c r="L1549" s="1"/>
    </row>
    <row r="1550" spans="1:12" ht="12" customHeight="1" x14ac:dyDescent="0.25">
      <c r="A1550" s="15">
        <v>45083</v>
      </c>
      <c r="B1550" s="16">
        <v>22300953</v>
      </c>
      <c r="C1550" s="16" t="s">
        <v>14</v>
      </c>
      <c r="D1550" s="16" t="str">
        <f>VLOOKUP(C1550,[1]master_data!$A$2:$E$495,2,FALSE)</f>
        <v>MESIN YANG 106</v>
      </c>
      <c r="E1550" s="16">
        <v>2</v>
      </c>
      <c r="F1550" s="16">
        <f>VLOOKUP(C1550,[1]master_data!$A$2:$E$495,3,FALSE)</f>
        <v>220000</v>
      </c>
      <c r="G1550" s="16">
        <f>VLOOKUP(C1550,[1]master_data!$A$2:$E$495,4,FALSE)</f>
        <v>300000</v>
      </c>
      <c r="H1550" s="16">
        <f>E1550*F1550</f>
        <v>440000</v>
      </c>
      <c r="I1550" s="16">
        <f>E1550*G1550</f>
        <v>600000</v>
      </c>
      <c r="J1550" s="16">
        <f>I1550-H1550</f>
        <v>160000</v>
      </c>
      <c r="K1550" s="16" t="str">
        <f>VLOOKUP(C1550,[1]master_data!$A$2:$E$495,5,FALSE)</f>
        <v>Aksesoris</v>
      </c>
      <c r="L1550" s="1"/>
    </row>
    <row r="1551" spans="1:12" ht="12" customHeight="1" x14ac:dyDescent="0.25">
      <c r="A1551" s="15">
        <v>45083</v>
      </c>
      <c r="B1551" s="16">
        <v>22300954</v>
      </c>
      <c r="C1551" s="16" t="s">
        <v>387</v>
      </c>
      <c r="D1551" s="16" t="str">
        <f>VLOOKUP(C1551,[1]master_data!$A$2:$E$495,2,FALSE)</f>
        <v>BATU ALAM K</v>
      </c>
      <c r="E1551" s="16">
        <v>11</v>
      </c>
      <c r="F1551" s="16">
        <f>VLOOKUP(C1551,[1]master_data!$A$2:$E$495,3,FALSE)</f>
        <v>5000</v>
      </c>
      <c r="G1551" s="16">
        <f>VLOOKUP(C1551,[1]master_data!$A$2:$E$495,4,FALSE)</f>
        <v>10000</v>
      </c>
      <c r="H1551" s="16">
        <f>E1551*F1551</f>
        <v>55000</v>
      </c>
      <c r="I1551" s="16">
        <f>E1551*G1551</f>
        <v>110000</v>
      </c>
      <c r="J1551" s="16">
        <f>I1551-H1551</f>
        <v>55000</v>
      </c>
      <c r="K1551" s="16" t="str">
        <f>VLOOKUP(C1551,[1]master_data!$A$2:$E$495,5,FALSE)</f>
        <v>Aksesoris</v>
      </c>
      <c r="L1551" s="1"/>
    </row>
    <row r="1552" spans="1:12" ht="12" customHeight="1" x14ac:dyDescent="0.25">
      <c r="A1552" s="15">
        <v>45083</v>
      </c>
      <c r="B1552" s="16">
        <v>22300955</v>
      </c>
      <c r="C1552" s="16" t="s">
        <v>449</v>
      </c>
      <c r="D1552" s="16" t="str">
        <f>VLOOKUP(C1552,[1]master_data!$A$2:$E$495,2,FALSE)</f>
        <v>SUMATRA GOLD FISH</v>
      </c>
      <c r="E1552" s="16">
        <v>10</v>
      </c>
      <c r="F1552" s="16">
        <f>VLOOKUP(C1552,[1]master_data!$A$2:$E$495,3,FALSE)</f>
        <v>2500</v>
      </c>
      <c r="G1552" s="16">
        <f>VLOOKUP(C1552,[1]master_data!$A$2:$E$495,4,FALSE)</f>
        <v>4000</v>
      </c>
      <c r="H1552" s="16">
        <f>E1552*F1552</f>
        <v>25000</v>
      </c>
      <c r="I1552" s="16">
        <f>E1552*G1552</f>
        <v>40000</v>
      </c>
      <c r="J1552" s="16">
        <f>I1552-H1552</f>
        <v>15000</v>
      </c>
      <c r="K1552" s="16" t="str">
        <f>VLOOKUP(C1552,[1]master_data!$A$2:$E$495,5,FALSE)</f>
        <v>Ikan</v>
      </c>
      <c r="L1552" s="1"/>
    </row>
    <row r="1553" spans="1:12" ht="12" customHeight="1" x14ac:dyDescent="0.25">
      <c r="A1553" s="15">
        <v>45083</v>
      </c>
      <c r="B1553" s="16">
        <v>22300956</v>
      </c>
      <c r="C1553" s="16" t="s">
        <v>391</v>
      </c>
      <c r="D1553" s="16" t="str">
        <f>VLOOKUP(C1553,[1]master_data!$A$2:$E$495,2,FALSE)</f>
        <v>CHANNA ANDRAO B</v>
      </c>
      <c r="E1553" s="16">
        <v>2</v>
      </c>
      <c r="F1553" s="16">
        <f>VLOOKUP(C1553,[1]master_data!$A$2:$E$495,3,FALSE)</f>
        <v>100000</v>
      </c>
      <c r="G1553" s="16">
        <f>VLOOKUP(C1553,[1]master_data!$A$2:$E$495,4,FALSE)</f>
        <v>200000</v>
      </c>
      <c r="H1553" s="16">
        <f>E1553*F1553</f>
        <v>200000</v>
      </c>
      <c r="I1553" s="16">
        <f>E1553*G1553</f>
        <v>400000</v>
      </c>
      <c r="J1553" s="16">
        <f>I1553-H1553</f>
        <v>200000</v>
      </c>
      <c r="K1553" s="16" t="str">
        <f>VLOOKUP(C1553,[1]master_data!$A$2:$E$495,5,FALSE)</f>
        <v>Ikan</v>
      </c>
      <c r="L1553" s="1"/>
    </row>
    <row r="1554" spans="1:12" ht="12" customHeight="1" x14ac:dyDescent="0.25">
      <c r="A1554" s="15">
        <v>45083</v>
      </c>
      <c r="B1554" s="16">
        <v>22300957</v>
      </c>
      <c r="C1554" s="16" t="s">
        <v>399</v>
      </c>
      <c r="D1554" s="16" t="str">
        <f>VLOOKUP(C1554,[1]master_data!$A$2:$E$495,2,FALSE)</f>
        <v>BALA BALA B</v>
      </c>
      <c r="E1554" s="16">
        <v>30</v>
      </c>
      <c r="F1554" s="16">
        <f>VLOOKUP(C1554,[1]master_data!$A$2:$E$495,3,FALSE)</f>
        <v>7000</v>
      </c>
      <c r="G1554" s="16">
        <f>VLOOKUP(C1554,[1]master_data!$A$2:$E$495,4,FALSE)</f>
        <v>15000</v>
      </c>
      <c r="H1554" s="16">
        <f>E1554*F1554</f>
        <v>210000</v>
      </c>
      <c r="I1554" s="16">
        <f>E1554*G1554</f>
        <v>450000</v>
      </c>
      <c r="J1554" s="16">
        <f>I1554-H1554</f>
        <v>240000</v>
      </c>
      <c r="K1554" s="16" t="str">
        <f>VLOOKUP(C1554,[1]master_data!$A$2:$E$495,5,FALSE)</f>
        <v>Ikan</v>
      </c>
      <c r="L1554" s="1"/>
    </row>
    <row r="1555" spans="1:12" ht="12" customHeight="1" x14ac:dyDescent="0.25">
      <c r="A1555" s="15">
        <v>45082</v>
      </c>
      <c r="B1555" s="16">
        <v>22300944</v>
      </c>
      <c r="C1555" s="16" t="s">
        <v>396</v>
      </c>
      <c r="D1555" s="16" t="str">
        <f>VLOOKUP(C1555,[1]master_data!$A$2:$E$495,2,FALSE)</f>
        <v>BIPOLAR</v>
      </c>
      <c r="E1555" s="16">
        <v>10</v>
      </c>
      <c r="F1555" s="16">
        <f>VLOOKUP(C1555,[1]master_data!$A$2:$E$495,3,FALSE)</f>
        <v>1000</v>
      </c>
      <c r="G1555" s="16">
        <f>VLOOKUP(C1555,[1]master_data!$A$2:$E$495,4,FALSE)</f>
        <v>2500</v>
      </c>
      <c r="H1555" s="16">
        <f>E1555*F1555</f>
        <v>10000</v>
      </c>
      <c r="I1555" s="16">
        <f>E1555*G1555</f>
        <v>25000</v>
      </c>
      <c r="J1555" s="16">
        <f>I1555-H1555</f>
        <v>15000</v>
      </c>
      <c r="K1555" s="16" t="str">
        <f>VLOOKUP(C1555,[1]master_data!$A$2:$E$495,5,FALSE)</f>
        <v>Ikan</v>
      </c>
      <c r="L1555" s="1"/>
    </row>
    <row r="1556" spans="1:12" ht="12" customHeight="1" x14ac:dyDescent="0.25">
      <c r="A1556" s="15">
        <v>45082</v>
      </c>
      <c r="B1556" s="16">
        <v>22300945</v>
      </c>
      <c r="C1556" s="16" t="s">
        <v>443</v>
      </c>
      <c r="D1556" s="16" t="str">
        <f>VLOOKUP(C1556,[1]master_data!$A$2:$E$495,2,FALSE)</f>
        <v>PESO</v>
      </c>
      <c r="E1556" s="16">
        <v>2</v>
      </c>
      <c r="F1556" s="16">
        <f>VLOOKUP(C1556,[1]master_data!$A$2:$E$495,3,FALSE)</f>
        <v>19000</v>
      </c>
      <c r="G1556" s="16">
        <f>VLOOKUP(C1556,[1]master_data!$A$2:$E$495,4,FALSE)</f>
        <v>40000</v>
      </c>
      <c r="H1556" s="16">
        <f>E1556*F1556</f>
        <v>38000</v>
      </c>
      <c r="I1556" s="16">
        <f>E1556*G1556</f>
        <v>80000</v>
      </c>
      <c r="J1556" s="16">
        <f>I1556-H1556</f>
        <v>42000</v>
      </c>
      <c r="K1556" s="16" t="str">
        <f>VLOOKUP(C1556,[1]master_data!$A$2:$E$495,5,FALSE)</f>
        <v>Ikan</v>
      </c>
      <c r="L1556" s="1"/>
    </row>
    <row r="1557" spans="1:12" ht="12" customHeight="1" x14ac:dyDescent="0.25">
      <c r="A1557" s="15">
        <v>45082</v>
      </c>
      <c r="B1557" s="16">
        <v>22300946</v>
      </c>
      <c r="C1557" s="16" t="s">
        <v>413</v>
      </c>
      <c r="D1557" s="16" t="str">
        <f>VLOOKUP(C1557,[1]master_data!$A$2:$E$495,2,FALSE)</f>
        <v>KOKI B</v>
      </c>
      <c r="E1557" s="16">
        <v>2</v>
      </c>
      <c r="F1557" s="16">
        <f>VLOOKUP(C1557,[1]master_data!$A$2:$E$495,3,FALSE)</f>
        <v>20000</v>
      </c>
      <c r="G1557" s="16">
        <f>VLOOKUP(C1557,[1]master_data!$A$2:$E$495,4,FALSE)</f>
        <v>50000</v>
      </c>
      <c r="H1557" s="16">
        <f>E1557*F1557</f>
        <v>40000</v>
      </c>
      <c r="I1557" s="16">
        <f>E1557*G1557</f>
        <v>100000</v>
      </c>
      <c r="J1557" s="16">
        <f>I1557-H1557</f>
        <v>60000</v>
      </c>
      <c r="K1557" s="16" t="str">
        <f>VLOOKUP(C1557,[1]master_data!$A$2:$E$495,5,FALSE)</f>
        <v>Ikan</v>
      </c>
      <c r="L1557" s="1"/>
    </row>
    <row r="1558" spans="1:12" ht="12" customHeight="1" x14ac:dyDescent="0.25">
      <c r="A1558" s="15">
        <v>45082</v>
      </c>
      <c r="B1558" s="16">
        <v>22300947</v>
      </c>
      <c r="C1558" s="16" t="s">
        <v>461</v>
      </c>
      <c r="D1558" s="16" t="str">
        <f>VLOOKUP(C1558,[1]master_data!$A$2:$E$495,2,FALSE)</f>
        <v>CHANNA STEWARTI</v>
      </c>
      <c r="E1558" s="16">
        <v>8</v>
      </c>
      <c r="F1558" s="16">
        <f>VLOOKUP(C1558,[1]master_data!$A$2:$E$495,3,FALSE)</f>
        <v>15000</v>
      </c>
      <c r="G1558" s="16">
        <f>VLOOKUP(C1558,[1]master_data!$A$2:$E$495,4,FALSE)</f>
        <v>40000</v>
      </c>
      <c r="H1558" s="16">
        <f>E1558*F1558</f>
        <v>120000</v>
      </c>
      <c r="I1558" s="16">
        <f>E1558*G1558</f>
        <v>320000</v>
      </c>
      <c r="J1558" s="16">
        <f>I1558-H1558</f>
        <v>200000</v>
      </c>
      <c r="K1558" s="16" t="str">
        <f>VLOOKUP(C1558,[1]master_data!$A$2:$E$495,5,FALSE)</f>
        <v>Ikan</v>
      </c>
      <c r="L1558" s="1"/>
    </row>
    <row r="1559" spans="1:12" ht="12" customHeight="1" x14ac:dyDescent="0.25">
      <c r="A1559" s="15">
        <v>45082</v>
      </c>
      <c r="B1559" s="16">
        <v>22300948</v>
      </c>
      <c r="C1559" s="16" t="s">
        <v>270</v>
      </c>
      <c r="D1559" s="16" t="str">
        <f>VLOOKUP(C1559,[1]master_data!$A$2:$E$495,2,FALSE)</f>
        <v>HEATER KACA 75 W</v>
      </c>
      <c r="E1559" s="16">
        <v>1</v>
      </c>
      <c r="F1559" s="16">
        <f>VLOOKUP(C1559,[1]master_data!$A$2:$E$495,3,FALSE)</f>
        <v>33000</v>
      </c>
      <c r="G1559" s="16">
        <f>VLOOKUP(C1559,[1]master_data!$A$2:$E$495,4,FALSE)</f>
        <v>50000</v>
      </c>
      <c r="H1559" s="16">
        <f>E1559*F1559</f>
        <v>33000</v>
      </c>
      <c r="I1559" s="16">
        <f>E1559*G1559</f>
        <v>50000</v>
      </c>
      <c r="J1559" s="16">
        <f>I1559-H1559</f>
        <v>17000</v>
      </c>
      <c r="K1559" s="16" t="str">
        <f>VLOOKUP(C1559,[1]master_data!$A$2:$E$495,5,FALSE)</f>
        <v>Aksesoris</v>
      </c>
      <c r="L1559" s="1"/>
    </row>
    <row r="1560" spans="1:12" ht="12" customHeight="1" x14ac:dyDescent="0.25">
      <c r="A1560" s="15">
        <v>45082</v>
      </c>
      <c r="B1560" s="16">
        <v>22300949</v>
      </c>
      <c r="C1560" s="16" t="s">
        <v>461</v>
      </c>
      <c r="D1560" s="16" t="str">
        <f>VLOOKUP(C1560,[1]master_data!$A$2:$E$495,2,FALSE)</f>
        <v>CHANNA STEWARTI</v>
      </c>
      <c r="E1560" s="16">
        <v>2</v>
      </c>
      <c r="F1560" s="16">
        <f>VLOOKUP(C1560,[1]master_data!$A$2:$E$495,3,FALSE)</f>
        <v>15000</v>
      </c>
      <c r="G1560" s="16">
        <f>VLOOKUP(C1560,[1]master_data!$A$2:$E$495,4,FALSE)</f>
        <v>40000</v>
      </c>
      <c r="H1560" s="16">
        <f>E1560*F1560</f>
        <v>30000</v>
      </c>
      <c r="I1560" s="16">
        <f>E1560*G1560</f>
        <v>80000</v>
      </c>
      <c r="J1560" s="16">
        <f>I1560-H1560</f>
        <v>50000</v>
      </c>
      <c r="K1560" s="16" t="str">
        <f>VLOOKUP(C1560,[1]master_data!$A$2:$E$495,5,FALSE)</f>
        <v>Ikan</v>
      </c>
      <c r="L1560" s="1"/>
    </row>
    <row r="1561" spans="1:12" ht="12" customHeight="1" x14ac:dyDescent="0.25">
      <c r="A1561" s="15">
        <v>45081</v>
      </c>
      <c r="B1561" s="16">
        <v>22300936</v>
      </c>
      <c r="C1561" s="16" t="s">
        <v>153</v>
      </c>
      <c r="D1561" s="16" t="str">
        <f>VLOOKUP(C1561,[1]master_data!$A$2:$E$495,2,FALSE)</f>
        <v>LED VOSSO A 600</v>
      </c>
      <c r="E1561" s="16">
        <v>2</v>
      </c>
      <c r="F1561" s="16">
        <f>VLOOKUP(C1561,[1]master_data!$A$2:$E$495,3,FALSE)</f>
        <v>55000</v>
      </c>
      <c r="G1561" s="16">
        <f>VLOOKUP(C1561,[1]master_data!$A$2:$E$495,4,FALSE)</f>
        <v>75000</v>
      </c>
      <c r="H1561" s="16">
        <f>E1561*F1561</f>
        <v>110000</v>
      </c>
      <c r="I1561" s="16">
        <f>E1561*G1561</f>
        <v>150000</v>
      </c>
      <c r="J1561" s="16">
        <f>I1561-H1561</f>
        <v>40000</v>
      </c>
      <c r="K1561" s="16" t="str">
        <f>VLOOKUP(C1561,[1]master_data!$A$2:$E$495,5,FALSE)</f>
        <v>Aksesoris</v>
      </c>
      <c r="L1561" s="1"/>
    </row>
    <row r="1562" spans="1:12" ht="12" customHeight="1" x14ac:dyDescent="0.25">
      <c r="A1562" s="15">
        <v>45081</v>
      </c>
      <c r="B1562" s="16">
        <v>22300937</v>
      </c>
      <c r="C1562" s="16" t="s">
        <v>86</v>
      </c>
      <c r="D1562" s="16" t="str">
        <f>VLOOKUP(C1562,[1]master_data!$A$2:$E$495,2,FALSE)</f>
        <v>MESIN KANDILA WAVE MAKER 3000</v>
      </c>
      <c r="E1562" s="16">
        <v>5</v>
      </c>
      <c r="F1562" s="16">
        <f>VLOOKUP(C1562,[1]master_data!$A$2:$E$495,3,FALSE)</f>
        <v>36500</v>
      </c>
      <c r="G1562" s="16">
        <f>VLOOKUP(C1562,[1]master_data!$A$2:$E$495,4,FALSE)</f>
        <v>65000</v>
      </c>
      <c r="H1562" s="16">
        <f>E1562*F1562</f>
        <v>182500</v>
      </c>
      <c r="I1562" s="16">
        <f>E1562*G1562</f>
        <v>325000</v>
      </c>
      <c r="J1562" s="16">
        <f>I1562-H1562</f>
        <v>142500</v>
      </c>
      <c r="K1562" s="16" t="str">
        <f>VLOOKUP(C1562,[1]master_data!$A$2:$E$495,5,FALSE)</f>
        <v>Aksesoris</v>
      </c>
      <c r="L1562" s="1"/>
    </row>
    <row r="1563" spans="1:12" ht="12" customHeight="1" x14ac:dyDescent="0.25">
      <c r="A1563" s="15">
        <v>45081</v>
      </c>
      <c r="B1563" s="16">
        <v>22300938</v>
      </c>
      <c r="C1563" s="16" t="s">
        <v>44</v>
      </c>
      <c r="D1563" s="16" t="str">
        <f>VLOOKUP(C1563,[1]master_data!$A$2:$E$495,2,FALSE)</f>
        <v>MESIN YAMANO ACO 004</v>
      </c>
      <c r="E1563" s="16">
        <v>1</v>
      </c>
      <c r="F1563" s="16">
        <f>VLOOKUP(C1563,[1]master_data!$A$2:$E$495,3,FALSE)</f>
        <v>505000</v>
      </c>
      <c r="G1563" s="16">
        <f>VLOOKUP(C1563,[1]master_data!$A$2:$E$495,4,FALSE)</f>
        <v>550000</v>
      </c>
      <c r="H1563" s="16">
        <f>E1563*F1563</f>
        <v>505000</v>
      </c>
      <c r="I1563" s="16">
        <f>E1563*G1563</f>
        <v>550000</v>
      </c>
      <c r="J1563" s="16">
        <f>I1563-H1563</f>
        <v>45000</v>
      </c>
      <c r="K1563" s="16" t="str">
        <f>VLOOKUP(C1563,[1]master_data!$A$2:$E$495,5,FALSE)</f>
        <v>Aksesoris</v>
      </c>
      <c r="L1563" s="1"/>
    </row>
    <row r="1564" spans="1:12" ht="12" customHeight="1" x14ac:dyDescent="0.25">
      <c r="A1564" s="15">
        <v>45081</v>
      </c>
      <c r="B1564" s="16">
        <v>22300939</v>
      </c>
      <c r="C1564" s="16" t="s">
        <v>418</v>
      </c>
      <c r="D1564" s="16" t="str">
        <f>VLOOKUP(C1564,[1]master_data!$A$2:$E$495,2,FALSE)</f>
        <v>KAVIAT</v>
      </c>
      <c r="E1564" s="16">
        <v>10</v>
      </c>
      <c r="F1564" s="16">
        <f>VLOOKUP(C1564,[1]master_data!$A$2:$E$495,3,FALSE)</f>
        <v>3500</v>
      </c>
      <c r="G1564" s="16">
        <f>VLOOKUP(C1564,[1]master_data!$A$2:$E$495,4,FALSE)</f>
        <v>8000</v>
      </c>
      <c r="H1564" s="16">
        <f>E1564*F1564</f>
        <v>35000</v>
      </c>
      <c r="I1564" s="16">
        <f>E1564*G1564</f>
        <v>80000</v>
      </c>
      <c r="J1564" s="16">
        <f>I1564-H1564</f>
        <v>45000</v>
      </c>
      <c r="K1564" s="16" t="str">
        <f>VLOOKUP(C1564,[1]master_data!$A$2:$E$495,5,FALSE)</f>
        <v>Ikan</v>
      </c>
      <c r="L1564" s="1"/>
    </row>
    <row r="1565" spans="1:12" ht="12" customHeight="1" x14ac:dyDescent="0.25">
      <c r="A1565" s="15">
        <v>45081</v>
      </c>
      <c r="B1565" s="16">
        <v>22300940</v>
      </c>
      <c r="C1565" s="16" t="s">
        <v>314</v>
      </c>
      <c r="D1565" s="16" t="str">
        <f>VLOOKUP(C1565,[1]master_data!$A$2:$E$495,2,FALSE)</f>
        <v>T SELANG</v>
      </c>
      <c r="E1565" s="16">
        <v>20</v>
      </c>
      <c r="F1565" s="16">
        <f>VLOOKUP(C1565,[1]master_data!$A$2:$E$495,3,FALSE)</f>
        <v>750</v>
      </c>
      <c r="G1565" s="16">
        <f>VLOOKUP(C1565,[1]master_data!$A$2:$E$495,4,FALSE)</f>
        <v>1500</v>
      </c>
      <c r="H1565" s="16">
        <f>E1565*F1565</f>
        <v>15000</v>
      </c>
      <c r="I1565" s="16">
        <f>E1565*G1565</f>
        <v>30000</v>
      </c>
      <c r="J1565" s="16">
        <f>I1565-H1565</f>
        <v>15000</v>
      </c>
      <c r="K1565" s="16" t="str">
        <f>VLOOKUP(C1565,[1]master_data!$A$2:$E$495,5,FALSE)</f>
        <v>Aksesoris</v>
      </c>
      <c r="L1565" s="1"/>
    </row>
    <row r="1566" spans="1:12" ht="12" customHeight="1" x14ac:dyDescent="0.25">
      <c r="A1566" s="15">
        <v>45081</v>
      </c>
      <c r="B1566" s="16">
        <v>22300941</v>
      </c>
      <c r="C1566" s="16" t="s">
        <v>369</v>
      </c>
      <c r="D1566" s="16" t="str">
        <f>VLOOKUP(C1566,[1]master_data!$A$2:$E$495,2,FALSE)</f>
        <v>TEMPAT CUPANG</v>
      </c>
      <c r="E1566" s="16">
        <v>20</v>
      </c>
      <c r="F1566" s="16">
        <f>VLOOKUP(C1566,[1]master_data!$A$2:$E$495,3,FALSE)</f>
        <v>2500</v>
      </c>
      <c r="G1566" s="16">
        <f>VLOOKUP(C1566,[1]master_data!$A$2:$E$495,4,FALSE)</f>
        <v>5000</v>
      </c>
      <c r="H1566" s="16">
        <f>E1566*F1566</f>
        <v>50000</v>
      </c>
      <c r="I1566" s="16">
        <f>E1566*G1566</f>
        <v>100000</v>
      </c>
      <c r="J1566" s="16">
        <f>I1566-H1566</f>
        <v>50000</v>
      </c>
      <c r="K1566" s="16" t="str">
        <f>VLOOKUP(C1566,[1]master_data!$A$2:$E$495,5,FALSE)</f>
        <v>Aksesoris</v>
      </c>
      <c r="L1566" s="1"/>
    </row>
    <row r="1567" spans="1:12" ht="12" customHeight="1" x14ac:dyDescent="0.25">
      <c r="A1567" s="15">
        <v>45081</v>
      </c>
      <c r="B1567" s="16">
        <v>22300942</v>
      </c>
      <c r="C1567" s="16" t="s">
        <v>429</v>
      </c>
      <c r="D1567" s="16" t="str">
        <f>VLOOKUP(C1567,[1]master_data!$A$2:$E$495,2,FALSE)</f>
        <v>MANFISH B</v>
      </c>
      <c r="E1567" s="16">
        <v>1</v>
      </c>
      <c r="F1567" s="16">
        <f>VLOOKUP(C1567,[1]master_data!$A$2:$E$495,3,FALSE)</f>
        <v>4000</v>
      </c>
      <c r="G1567" s="16">
        <f>VLOOKUP(C1567,[1]master_data!$A$2:$E$495,4,FALSE)</f>
        <v>10000</v>
      </c>
      <c r="H1567" s="16">
        <f>E1567*F1567</f>
        <v>4000</v>
      </c>
      <c r="I1567" s="16">
        <f>E1567*G1567</f>
        <v>10000</v>
      </c>
      <c r="J1567" s="16">
        <f>I1567-H1567</f>
        <v>6000</v>
      </c>
      <c r="K1567" s="16" t="str">
        <f>VLOOKUP(C1567,[1]master_data!$A$2:$E$495,5,FALSE)</f>
        <v>Ikan</v>
      </c>
      <c r="L1567" s="1"/>
    </row>
    <row r="1568" spans="1:12" ht="12" customHeight="1" x14ac:dyDescent="0.25">
      <c r="A1568" s="15">
        <v>45081</v>
      </c>
      <c r="B1568" s="16">
        <v>22300943</v>
      </c>
      <c r="C1568" s="16" t="s">
        <v>388</v>
      </c>
      <c r="D1568" s="16" t="str">
        <f>VLOOKUP(C1568,[1]master_data!$A$2:$E$495,2,FALSE)</f>
        <v>CHANNA ASIATICA K</v>
      </c>
      <c r="E1568" s="16">
        <v>1</v>
      </c>
      <c r="F1568" s="16">
        <f>VLOOKUP(C1568,[1]master_data!$A$2:$E$495,3,FALSE)</f>
        <v>10000</v>
      </c>
      <c r="G1568" s="16">
        <f>VLOOKUP(C1568,[1]master_data!$A$2:$E$495,4,FALSE)</f>
        <v>40000</v>
      </c>
      <c r="H1568" s="16">
        <f>E1568*F1568</f>
        <v>10000</v>
      </c>
      <c r="I1568" s="16">
        <f>E1568*G1568</f>
        <v>40000</v>
      </c>
      <c r="J1568" s="16">
        <f>I1568-H1568</f>
        <v>30000</v>
      </c>
      <c r="K1568" s="16" t="str">
        <f>VLOOKUP(C1568,[1]master_data!$A$2:$E$495,5,FALSE)</f>
        <v>Ikan</v>
      </c>
      <c r="L1568" s="1"/>
    </row>
    <row r="1569" spans="1:12" ht="12" customHeight="1" x14ac:dyDescent="0.25">
      <c r="A1569" s="15">
        <v>45080</v>
      </c>
      <c r="B1569" s="16">
        <v>22300929</v>
      </c>
      <c r="C1569" s="16" t="s">
        <v>451</v>
      </c>
      <c r="D1569" s="16" t="str">
        <f>VLOOKUP(C1569,[1]master_data!$A$2:$E$495,2,FALSE)</f>
        <v>SYNODONTIS K</v>
      </c>
      <c r="E1569" s="16">
        <v>30</v>
      </c>
      <c r="F1569" s="16">
        <f>VLOOKUP(C1569,[1]master_data!$A$2:$E$495,3,FALSE)</f>
        <v>1500</v>
      </c>
      <c r="G1569" s="16">
        <f>VLOOKUP(C1569,[1]master_data!$A$2:$E$495,4,FALSE)</f>
        <v>5000</v>
      </c>
      <c r="H1569" s="16">
        <f>E1569*F1569</f>
        <v>45000</v>
      </c>
      <c r="I1569" s="16">
        <f>E1569*G1569</f>
        <v>150000</v>
      </c>
      <c r="J1569" s="16">
        <f>I1569-H1569</f>
        <v>105000</v>
      </c>
      <c r="K1569" s="16" t="str">
        <f>VLOOKUP(C1569,[1]master_data!$A$2:$E$495,5,FALSE)</f>
        <v>Ikan</v>
      </c>
      <c r="L1569" s="1"/>
    </row>
    <row r="1570" spans="1:12" ht="12" customHeight="1" x14ac:dyDescent="0.25">
      <c r="A1570" s="15">
        <v>45080</v>
      </c>
      <c r="B1570" s="16">
        <v>22300930</v>
      </c>
      <c r="C1570" s="16" t="s">
        <v>402</v>
      </c>
      <c r="D1570" s="16" t="str">
        <f>VLOOKUP(C1570,[1]master_data!$A$2:$E$495,2,FALSE)</f>
        <v>CHANNA BLUE PULCHRA B</v>
      </c>
      <c r="E1570" s="16">
        <v>2</v>
      </c>
      <c r="F1570" s="16">
        <f>VLOOKUP(C1570,[1]master_data!$A$2:$E$495,3,FALSE)</f>
        <v>125000</v>
      </c>
      <c r="G1570" s="16">
        <f>VLOOKUP(C1570,[1]master_data!$A$2:$E$495,4,FALSE)</f>
        <v>200000</v>
      </c>
      <c r="H1570" s="16">
        <f>E1570*F1570</f>
        <v>250000</v>
      </c>
      <c r="I1570" s="16">
        <f>E1570*G1570</f>
        <v>400000</v>
      </c>
      <c r="J1570" s="16">
        <f>I1570-H1570</f>
        <v>150000</v>
      </c>
      <c r="K1570" s="16" t="str">
        <f>VLOOKUP(C1570,[1]master_data!$A$2:$E$495,5,FALSE)</f>
        <v>Ikan</v>
      </c>
      <c r="L1570" s="1"/>
    </row>
    <row r="1571" spans="1:12" ht="12" customHeight="1" x14ac:dyDescent="0.25">
      <c r="A1571" s="15">
        <v>45080</v>
      </c>
      <c r="B1571" s="16">
        <v>22300931</v>
      </c>
      <c r="C1571" s="16" t="s">
        <v>40</v>
      </c>
      <c r="D1571" s="16" t="str">
        <f>VLOOKUP(C1571,[1]master_data!$A$2:$E$495,2,FALSE)</f>
        <v>MESIN YAMANO 106</v>
      </c>
      <c r="E1571" s="16">
        <v>2</v>
      </c>
      <c r="F1571" s="16">
        <f>VLOOKUP(C1571,[1]master_data!$A$2:$E$495,3,FALSE)</f>
        <v>239000</v>
      </c>
      <c r="G1571" s="16">
        <f>VLOOKUP(C1571,[1]master_data!$A$2:$E$495,4,FALSE)</f>
        <v>285000</v>
      </c>
      <c r="H1571" s="16">
        <f>E1571*F1571</f>
        <v>478000</v>
      </c>
      <c r="I1571" s="16">
        <f>E1571*G1571</f>
        <v>570000</v>
      </c>
      <c r="J1571" s="16">
        <f>I1571-H1571</f>
        <v>92000</v>
      </c>
      <c r="K1571" s="16" t="str">
        <f>VLOOKUP(C1571,[1]master_data!$A$2:$E$495,5,FALSE)</f>
        <v>Aksesoris</v>
      </c>
      <c r="L1571" s="1"/>
    </row>
    <row r="1572" spans="1:12" ht="12" customHeight="1" x14ac:dyDescent="0.25">
      <c r="A1572" s="15">
        <v>45080</v>
      </c>
      <c r="B1572" s="16">
        <v>22300932</v>
      </c>
      <c r="C1572" s="16" t="s">
        <v>421</v>
      </c>
      <c r="D1572" s="16" t="str">
        <f>VLOOKUP(C1572,[1]master_data!$A$2:$E$495,2,FALSE)</f>
        <v>KOI SLAYER K</v>
      </c>
      <c r="E1572" s="16">
        <v>10</v>
      </c>
      <c r="F1572" s="16">
        <f>VLOOKUP(C1572,[1]master_data!$A$2:$E$495,3,FALSE)</f>
        <v>3500</v>
      </c>
      <c r="G1572" s="16">
        <f>VLOOKUP(C1572,[1]master_data!$A$2:$E$495,4,FALSE)</f>
        <v>10000</v>
      </c>
      <c r="H1572" s="16">
        <f>E1572*F1572</f>
        <v>35000</v>
      </c>
      <c r="I1572" s="16">
        <f>E1572*G1572</f>
        <v>100000</v>
      </c>
      <c r="J1572" s="16">
        <f>I1572-H1572</f>
        <v>65000</v>
      </c>
      <c r="K1572" s="16" t="str">
        <f>VLOOKUP(C1572,[1]master_data!$A$2:$E$495,5,FALSE)</f>
        <v>Ikan</v>
      </c>
      <c r="L1572" s="1"/>
    </row>
    <row r="1573" spans="1:12" ht="12" customHeight="1" x14ac:dyDescent="0.25">
      <c r="A1573" s="15">
        <v>45080</v>
      </c>
      <c r="B1573" s="16">
        <v>22300933</v>
      </c>
      <c r="C1573" s="16" t="s">
        <v>429</v>
      </c>
      <c r="D1573" s="16" t="str">
        <f>VLOOKUP(C1573,[1]master_data!$A$2:$E$495,2,FALSE)</f>
        <v>MANFISH B</v>
      </c>
      <c r="E1573" s="16">
        <v>2</v>
      </c>
      <c r="F1573" s="16">
        <f>VLOOKUP(C1573,[1]master_data!$A$2:$E$495,3,FALSE)</f>
        <v>4000</v>
      </c>
      <c r="G1573" s="16">
        <f>VLOOKUP(C1573,[1]master_data!$A$2:$E$495,4,FALSE)</f>
        <v>10000</v>
      </c>
      <c r="H1573" s="16">
        <f>E1573*F1573</f>
        <v>8000</v>
      </c>
      <c r="I1573" s="16">
        <f>E1573*G1573</f>
        <v>20000</v>
      </c>
      <c r="J1573" s="16">
        <f>I1573-H1573</f>
        <v>12000</v>
      </c>
      <c r="K1573" s="16" t="str">
        <f>VLOOKUP(C1573,[1]master_data!$A$2:$E$495,5,FALSE)</f>
        <v>Ikan</v>
      </c>
      <c r="L1573" s="1"/>
    </row>
    <row r="1574" spans="1:12" ht="12" customHeight="1" x14ac:dyDescent="0.25">
      <c r="A1574" s="15">
        <v>45080</v>
      </c>
      <c r="B1574" s="16">
        <v>22300934</v>
      </c>
      <c r="C1574" s="16" t="s">
        <v>444</v>
      </c>
      <c r="D1574" s="16" t="str">
        <f>VLOOKUP(C1574,[1]master_data!$A$2:$E$495,2,FALSE)</f>
        <v>REDFIN HITAM</v>
      </c>
      <c r="E1574" s="16">
        <v>2</v>
      </c>
      <c r="F1574" s="16">
        <f>VLOOKUP(C1574,[1]master_data!$A$2:$E$495,3,FALSE)</f>
        <v>1500</v>
      </c>
      <c r="G1574" s="16">
        <f>VLOOKUP(C1574,[1]master_data!$A$2:$E$495,4,FALSE)</f>
        <v>4000</v>
      </c>
      <c r="H1574" s="16">
        <f>E1574*F1574</f>
        <v>3000</v>
      </c>
      <c r="I1574" s="16">
        <f>E1574*G1574</f>
        <v>8000</v>
      </c>
      <c r="J1574" s="16">
        <f>I1574-H1574</f>
        <v>5000</v>
      </c>
      <c r="K1574" s="16" t="str">
        <f>VLOOKUP(C1574,[1]master_data!$A$2:$E$495,5,FALSE)</f>
        <v>Ikan</v>
      </c>
      <c r="L1574" s="1"/>
    </row>
    <row r="1575" spans="1:12" ht="12" customHeight="1" x14ac:dyDescent="0.25">
      <c r="A1575" s="15">
        <v>45080</v>
      </c>
      <c r="B1575" s="16">
        <v>22300935</v>
      </c>
      <c r="C1575" s="16" t="s">
        <v>41</v>
      </c>
      <c r="D1575" s="16" t="str">
        <f>VLOOKUP(C1575,[1]master_data!$A$2:$E$495,2,FALSE)</f>
        <v>MESIN YAMANO 107</v>
      </c>
      <c r="E1575" s="16">
        <v>1</v>
      </c>
      <c r="F1575" s="16">
        <f>VLOOKUP(C1575,[1]master_data!$A$2:$E$495,3,FALSE)</f>
        <v>280000</v>
      </c>
      <c r="G1575" s="16">
        <f>VLOOKUP(C1575,[1]master_data!$A$2:$E$495,4,FALSE)</f>
        <v>321000</v>
      </c>
      <c r="H1575" s="16">
        <f>E1575*F1575</f>
        <v>280000</v>
      </c>
      <c r="I1575" s="16">
        <f>E1575*G1575</f>
        <v>321000</v>
      </c>
      <c r="J1575" s="16">
        <f>I1575-H1575</f>
        <v>41000</v>
      </c>
      <c r="K1575" s="16" t="str">
        <f>VLOOKUP(C1575,[1]master_data!$A$2:$E$495,5,FALSE)</f>
        <v>Aksesoris</v>
      </c>
      <c r="L1575" s="1"/>
    </row>
    <row r="1576" spans="1:12" ht="12" customHeight="1" x14ac:dyDescent="0.25">
      <c r="A1576" s="15">
        <v>45079</v>
      </c>
      <c r="B1576" s="16">
        <v>22300924</v>
      </c>
      <c r="C1576" s="16" t="s">
        <v>271</v>
      </c>
      <c r="D1576" s="16" t="str">
        <f>VLOOKUP(C1576,[1]master_data!$A$2:$E$495,2,FALSE)</f>
        <v>HEATER KACA 100 W</v>
      </c>
      <c r="E1576" s="16">
        <v>2</v>
      </c>
      <c r="F1576" s="16">
        <f>VLOOKUP(C1576,[1]master_data!$A$2:$E$495,3,FALSE)</f>
        <v>33000</v>
      </c>
      <c r="G1576" s="16">
        <f>VLOOKUP(C1576,[1]master_data!$A$2:$E$495,4,FALSE)</f>
        <v>50000</v>
      </c>
      <c r="H1576" s="16">
        <f>E1576*F1576</f>
        <v>66000</v>
      </c>
      <c r="I1576" s="16">
        <f>E1576*G1576</f>
        <v>100000</v>
      </c>
      <c r="J1576" s="16">
        <f>I1576-H1576</f>
        <v>34000</v>
      </c>
      <c r="K1576" s="16" t="str">
        <f>VLOOKUP(C1576,[1]master_data!$A$2:$E$495,5,FALSE)</f>
        <v>Aksesoris</v>
      </c>
      <c r="L1576" s="1"/>
    </row>
    <row r="1577" spans="1:12" ht="12" customHeight="1" x14ac:dyDescent="0.25">
      <c r="A1577" s="15">
        <v>45079</v>
      </c>
      <c r="B1577" s="16">
        <v>22300925</v>
      </c>
      <c r="C1577" s="16" t="s">
        <v>420</v>
      </c>
      <c r="D1577" s="16" t="str">
        <f>VLOOKUP(C1577,[1]master_data!$A$2:$E$495,2,FALSE)</f>
        <v>KOMET SLAYER</v>
      </c>
      <c r="E1577" s="16">
        <v>25</v>
      </c>
      <c r="F1577" s="16">
        <f>VLOOKUP(C1577,[1]master_data!$A$2:$E$495,3,FALSE)</f>
        <v>2000</v>
      </c>
      <c r="G1577" s="16">
        <f>VLOOKUP(C1577,[1]master_data!$A$2:$E$495,4,FALSE)</f>
        <v>5000</v>
      </c>
      <c r="H1577" s="16">
        <f>E1577*F1577</f>
        <v>50000</v>
      </c>
      <c r="I1577" s="16">
        <f>E1577*G1577</f>
        <v>125000</v>
      </c>
      <c r="J1577" s="16">
        <f>I1577-H1577</f>
        <v>75000</v>
      </c>
      <c r="K1577" s="16" t="str">
        <f>VLOOKUP(C1577,[1]master_data!$A$2:$E$495,5,FALSE)</f>
        <v>Ikan</v>
      </c>
      <c r="L1577" s="1"/>
    </row>
    <row r="1578" spans="1:12" ht="12" customHeight="1" x14ac:dyDescent="0.25">
      <c r="A1578" s="15">
        <v>45079</v>
      </c>
      <c r="B1578" s="16">
        <v>22300926</v>
      </c>
      <c r="C1578" s="16" t="s">
        <v>70</v>
      </c>
      <c r="D1578" s="16" t="str">
        <f>VLOOKUP(C1578,[1]master_data!$A$2:$E$495,2,FALSE)</f>
        <v>MESIN LUKINES K</v>
      </c>
      <c r="E1578" s="16">
        <v>10</v>
      </c>
      <c r="F1578" s="16">
        <f>VLOOKUP(C1578,[1]master_data!$A$2:$E$495,3,FALSE)</f>
        <v>35000</v>
      </c>
      <c r="G1578" s="16">
        <f>VLOOKUP(C1578,[1]master_data!$A$2:$E$495,4,FALSE)</f>
        <v>55000</v>
      </c>
      <c r="H1578" s="16">
        <f>E1578*F1578</f>
        <v>350000</v>
      </c>
      <c r="I1578" s="16">
        <f>E1578*G1578</f>
        <v>550000</v>
      </c>
      <c r="J1578" s="16">
        <f>I1578-H1578</f>
        <v>200000</v>
      </c>
      <c r="K1578" s="16" t="str">
        <f>VLOOKUP(C1578,[1]master_data!$A$2:$E$495,5,FALSE)</f>
        <v>Aksesoris</v>
      </c>
      <c r="L1578" s="1"/>
    </row>
    <row r="1579" spans="1:12" ht="12" customHeight="1" x14ac:dyDescent="0.25">
      <c r="A1579" s="15">
        <v>45079</v>
      </c>
      <c r="B1579" s="16">
        <v>22300927</v>
      </c>
      <c r="C1579" s="16" t="s">
        <v>343</v>
      </c>
      <c r="D1579" s="16" t="str">
        <f>VLOOKUP(C1579,[1]master_data!$A$2:$E$495,2,FALSE)</f>
        <v>KRAN 5 W</v>
      </c>
      <c r="E1579" s="16">
        <v>5</v>
      </c>
      <c r="F1579" s="16">
        <f>VLOOKUP(C1579,[1]master_data!$A$2:$E$495,3,FALSE)</f>
        <v>10000</v>
      </c>
      <c r="G1579" s="16">
        <f>VLOOKUP(C1579,[1]master_data!$A$2:$E$495,4,FALSE)</f>
        <v>15000</v>
      </c>
      <c r="H1579" s="16">
        <f>E1579*F1579</f>
        <v>50000</v>
      </c>
      <c r="I1579" s="16">
        <f>E1579*G1579</f>
        <v>75000</v>
      </c>
      <c r="J1579" s="16">
        <f>I1579-H1579</f>
        <v>25000</v>
      </c>
      <c r="K1579" s="16" t="str">
        <f>VLOOKUP(C1579,[1]master_data!$A$2:$E$495,5,FALSE)</f>
        <v>Aksesoris</v>
      </c>
      <c r="L1579" s="1"/>
    </row>
    <row r="1580" spans="1:12" ht="12" customHeight="1" x14ac:dyDescent="0.25">
      <c r="A1580" s="15">
        <v>45079</v>
      </c>
      <c r="B1580" s="16">
        <v>22300928</v>
      </c>
      <c r="C1580" s="16" t="s">
        <v>424</v>
      </c>
      <c r="D1580" s="16" t="str">
        <f>VLOOKUP(C1580,[1]master_data!$A$2:$E$495,2,FALSE)</f>
        <v>DISCUS</v>
      </c>
      <c r="E1580" s="16">
        <v>2</v>
      </c>
      <c r="F1580" s="16">
        <f>VLOOKUP(C1580,[1]master_data!$A$2:$E$495,3,FALSE)</f>
        <v>50000</v>
      </c>
      <c r="G1580" s="16">
        <f>VLOOKUP(C1580,[1]master_data!$A$2:$E$495,4,FALSE)</f>
        <v>150000</v>
      </c>
      <c r="H1580" s="16">
        <f>E1580*F1580</f>
        <v>100000</v>
      </c>
      <c r="I1580" s="16">
        <f>E1580*G1580</f>
        <v>300000</v>
      </c>
      <c r="J1580" s="16">
        <f>I1580-H1580</f>
        <v>200000</v>
      </c>
      <c r="K1580" s="16" t="str">
        <f>VLOOKUP(C1580,[1]master_data!$A$2:$E$495,5,FALSE)</f>
        <v>Ikan</v>
      </c>
      <c r="L1580" s="1"/>
    </row>
    <row r="1581" spans="1:12" ht="12" customHeight="1" x14ac:dyDescent="0.25">
      <c r="A1581" s="15">
        <v>45078</v>
      </c>
      <c r="B1581" s="16">
        <v>22300916</v>
      </c>
      <c r="C1581" s="16" t="s">
        <v>212</v>
      </c>
      <c r="D1581" s="16" t="str">
        <f>VLOOKUP(C1581,[1]master_data!$A$2:$E$495,2,FALSE)</f>
        <v>ARTEMIA SUPREME PLUS</v>
      </c>
      <c r="E1581" s="16">
        <v>2</v>
      </c>
      <c r="F1581" s="16">
        <f>VLOOKUP(C1581,[1]master_data!$A$2:$E$495,3,FALSE)</f>
        <v>14500</v>
      </c>
      <c r="G1581" s="16">
        <f>VLOOKUP(C1581,[1]master_data!$A$2:$E$495,4,FALSE)</f>
        <v>25000</v>
      </c>
      <c r="H1581" s="16">
        <f>E1581*F1581</f>
        <v>29000</v>
      </c>
      <c r="I1581" s="16">
        <f>E1581*G1581</f>
        <v>50000</v>
      </c>
      <c r="J1581" s="16">
        <f>I1581-H1581</f>
        <v>21000</v>
      </c>
      <c r="K1581" s="16" t="str">
        <f>VLOOKUP(C1581,[1]master_data!$A$2:$E$495,5,FALSE)</f>
        <v>Aksesoris</v>
      </c>
      <c r="L1581" s="1"/>
    </row>
    <row r="1582" spans="1:12" ht="12" customHeight="1" x14ac:dyDescent="0.25">
      <c r="A1582" s="15">
        <v>45078</v>
      </c>
      <c r="B1582" s="16">
        <v>22300917</v>
      </c>
      <c r="C1582" s="16" t="s">
        <v>410</v>
      </c>
      <c r="D1582" s="16" t="str">
        <f>VLOOKUP(C1582,[1]master_data!$A$2:$E$495,2,FALSE)</f>
        <v>HIU TAWAR</v>
      </c>
      <c r="E1582" s="16">
        <v>15</v>
      </c>
      <c r="F1582" s="16">
        <f>VLOOKUP(C1582,[1]master_data!$A$2:$E$495,3,FALSE)</f>
        <v>600</v>
      </c>
      <c r="G1582" s="16">
        <f>VLOOKUP(C1582,[1]master_data!$A$2:$E$495,4,FALSE)</f>
        <v>2000</v>
      </c>
      <c r="H1582" s="16">
        <f>E1582*F1582</f>
        <v>9000</v>
      </c>
      <c r="I1582" s="16">
        <f>E1582*G1582</f>
        <v>30000</v>
      </c>
      <c r="J1582" s="16">
        <f>I1582-H1582</f>
        <v>21000</v>
      </c>
      <c r="K1582" s="16" t="str">
        <f>VLOOKUP(C1582,[1]master_data!$A$2:$E$495,5,FALSE)</f>
        <v>Ikan</v>
      </c>
      <c r="L1582" s="1"/>
    </row>
    <row r="1583" spans="1:12" ht="12" customHeight="1" x14ac:dyDescent="0.25">
      <c r="A1583" s="15">
        <v>45078</v>
      </c>
      <c r="B1583" s="16">
        <v>22300918</v>
      </c>
      <c r="C1583" s="16" t="s">
        <v>451</v>
      </c>
      <c r="D1583" s="16" t="str">
        <f>VLOOKUP(C1583,[1]master_data!$A$2:$E$495,2,FALSE)</f>
        <v>SYNODONTIS K</v>
      </c>
      <c r="E1583" s="16">
        <v>10</v>
      </c>
      <c r="F1583" s="16">
        <f>VLOOKUP(C1583,[1]master_data!$A$2:$E$495,3,FALSE)</f>
        <v>1500</v>
      </c>
      <c r="G1583" s="16">
        <f>VLOOKUP(C1583,[1]master_data!$A$2:$E$495,4,FALSE)</f>
        <v>5000</v>
      </c>
      <c r="H1583" s="16">
        <f>E1583*F1583</f>
        <v>15000</v>
      </c>
      <c r="I1583" s="16">
        <f>E1583*G1583</f>
        <v>50000</v>
      </c>
      <c r="J1583" s="16">
        <f>I1583-H1583</f>
        <v>35000</v>
      </c>
      <c r="K1583" s="16" t="str">
        <f>VLOOKUP(C1583,[1]master_data!$A$2:$E$495,5,FALSE)</f>
        <v>Ikan</v>
      </c>
      <c r="L1583" s="1"/>
    </row>
    <row r="1584" spans="1:12" ht="12" customHeight="1" x14ac:dyDescent="0.25">
      <c r="A1584" s="15">
        <v>45078</v>
      </c>
      <c r="B1584" s="16">
        <v>22300919</v>
      </c>
      <c r="C1584" s="16" t="s">
        <v>400</v>
      </c>
      <c r="D1584" s="16" t="str">
        <f>VLOOKUP(C1584,[1]master_data!$A$2:$E$495,2,FALSE)</f>
        <v>BLACK GHOST</v>
      </c>
      <c r="E1584" s="16">
        <v>15</v>
      </c>
      <c r="F1584" s="16">
        <f>VLOOKUP(C1584,[1]master_data!$A$2:$E$495,3,FALSE)</f>
        <v>4000</v>
      </c>
      <c r="G1584" s="16">
        <f>VLOOKUP(C1584,[1]master_data!$A$2:$E$495,4,FALSE)</f>
        <v>10000</v>
      </c>
      <c r="H1584" s="16">
        <f>E1584*F1584</f>
        <v>60000</v>
      </c>
      <c r="I1584" s="16">
        <f>E1584*G1584</f>
        <v>150000</v>
      </c>
      <c r="J1584" s="16">
        <f>I1584-H1584</f>
        <v>90000</v>
      </c>
      <c r="K1584" s="16" t="str">
        <f>VLOOKUP(C1584,[1]master_data!$A$2:$E$495,5,FALSE)</f>
        <v>Ikan</v>
      </c>
      <c r="L1584" s="1"/>
    </row>
    <row r="1585" spans="1:12" ht="12" customHeight="1" x14ac:dyDescent="0.25">
      <c r="A1585" s="15">
        <v>45078</v>
      </c>
      <c r="B1585" s="16">
        <v>22300920</v>
      </c>
      <c r="C1585" s="16" t="s">
        <v>446</v>
      </c>
      <c r="D1585" s="16" t="str">
        <f>VLOOKUP(C1585,[1]master_data!$A$2:$E$495,2,FALSE)</f>
        <v xml:space="preserve"> CHANNA RED BARITO K</v>
      </c>
      <c r="E1585" s="16">
        <v>3</v>
      </c>
      <c r="F1585" s="16">
        <f>VLOOKUP(C1585,[1]master_data!$A$2:$E$495,3,FALSE)</f>
        <v>45000</v>
      </c>
      <c r="G1585" s="16">
        <f>VLOOKUP(C1585,[1]master_data!$A$2:$E$495,4,FALSE)</f>
        <v>100000</v>
      </c>
      <c r="H1585" s="16">
        <f>E1585*F1585</f>
        <v>135000</v>
      </c>
      <c r="I1585" s="16">
        <f>E1585*G1585</f>
        <v>300000</v>
      </c>
      <c r="J1585" s="16">
        <f>I1585-H1585</f>
        <v>165000</v>
      </c>
      <c r="K1585" s="16" t="str">
        <f>VLOOKUP(C1585,[1]master_data!$A$2:$E$495,5,FALSE)</f>
        <v>Ikan</v>
      </c>
      <c r="L1585" s="1"/>
    </row>
    <row r="1586" spans="1:12" ht="12" customHeight="1" x14ac:dyDescent="0.25">
      <c r="A1586" s="15">
        <v>45078</v>
      </c>
      <c r="B1586" s="16">
        <v>22300921</v>
      </c>
      <c r="C1586" s="16" t="s">
        <v>233</v>
      </c>
      <c r="D1586" s="16" t="str">
        <f>VLOOKUP(C1586,[1]master_data!$A$2:$E$495,2,FALSE)</f>
        <v>PREMIUM GOLD FISH RED</v>
      </c>
      <c r="E1586" s="16">
        <v>3</v>
      </c>
      <c r="F1586" s="16">
        <f>VLOOKUP(C1586,[1]master_data!$A$2:$E$495,3,FALSE)</f>
        <v>37000</v>
      </c>
      <c r="G1586" s="16">
        <f>VLOOKUP(C1586,[1]master_data!$A$2:$E$495,4,FALSE)</f>
        <v>50000</v>
      </c>
      <c r="H1586" s="16">
        <f>E1586*F1586</f>
        <v>111000</v>
      </c>
      <c r="I1586" s="16">
        <f>E1586*G1586</f>
        <v>150000</v>
      </c>
      <c r="J1586" s="16">
        <f>I1586-H1586</f>
        <v>39000</v>
      </c>
      <c r="K1586" s="16" t="str">
        <f>VLOOKUP(C1586,[1]master_data!$A$2:$E$495,5,FALSE)</f>
        <v>Aksesoris</v>
      </c>
      <c r="L1586" s="1"/>
    </row>
    <row r="1587" spans="1:12" ht="12" customHeight="1" x14ac:dyDescent="0.25">
      <c r="A1587" s="15">
        <v>45078</v>
      </c>
      <c r="B1587" s="16">
        <v>22300922</v>
      </c>
      <c r="C1587" s="16" t="s">
        <v>207</v>
      </c>
      <c r="D1587" s="16" t="str">
        <f>VLOOKUP(C1587,[1]master_data!$A$2:$E$495,2,FALSE)</f>
        <v>TAKARI TANGGUNG</v>
      </c>
      <c r="E1587" s="16">
        <v>2</v>
      </c>
      <c r="F1587" s="16">
        <f>VLOOKUP(C1587,[1]master_data!$A$2:$E$495,3,FALSE)</f>
        <v>8500</v>
      </c>
      <c r="G1587" s="16">
        <f>VLOOKUP(C1587,[1]master_data!$A$2:$E$495,4,FALSE)</f>
        <v>10000</v>
      </c>
      <c r="H1587" s="16">
        <f>E1587*F1587</f>
        <v>17000</v>
      </c>
      <c r="I1587" s="16">
        <f>E1587*G1587</f>
        <v>20000</v>
      </c>
      <c r="J1587" s="16">
        <f>I1587-H1587</f>
        <v>3000</v>
      </c>
      <c r="K1587" s="16" t="str">
        <f>VLOOKUP(C1587,[1]master_data!$A$2:$E$495,5,FALSE)</f>
        <v>Aksesoris</v>
      </c>
      <c r="L1587" s="1"/>
    </row>
    <row r="1588" spans="1:12" ht="12" customHeight="1" x14ac:dyDescent="0.25">
      <c r="A1588" s="15">
        <v>45078</v>
      </c>
      <c r="B1588" s="16">
        <v>22300923</v>
      </c>
      <c r="C1588" s="16" t="s">
        <v>225</v>
      </c>
      <c r="D1588" s="16" t="str">
        <f>VLOOKUP(C1588,[1]master_data!$A$2:$E$495,2,FALSE)</f>
        <v>MAGOT BESAR</v>
      </c>
      <c r="E1588" s="16">
        <v>1</v>
      </c>
      <c r="F1588" s="16">
        <f>VLOOKUP(C1588,[1]master_data!$A$2:$E$495,3,FALSE)</f>
        <v>7000</v>
      </c>
      <c r="G1588" s="16">
        <f>VLOOKUP(C1588,[1]master_data!$A$2:$E$495,4,FALSE)</f>
        <v>12000</v>
      </c>
      <c r="H1588" s="16">
        <f>E1588*F1588</f>
        <v>7000</v>
      </c>
      <c r="I1588" s="16">
        <f>E1588*G1588</f>
        <v>12000</v>
      </c>
      <c r="J1588" s="16">
        <f>I1588-H1588</f>
        <v>5000</v>
      </c>
      <c r="K1588" s="16" t="str">
        <f>VLOOKUP(C1588,[1]master_data!$A$2:$E$495,5,FALSE)</f>
        <v>Aksesoris</v>
      </c>
      <c r="L1588" s="1"/>
    </row>
    <row r="1589" spans="1:12" ht="12" customHeight="1" x14ac:dyDescent="0.25">
      <c r="A1589" s="15">
        <v>45077</v>
      </c>
      <c r="B1589" s="16">
        <v>22300910</v>
      </c>
      <c r="C1589" s="16" t="s">
        <v>432</v>
      </c>
      <c r="D1589" s="16" t="str">
        <f>VLOOKUP(C1589,[1]master_data!$A$2:$E$495,2,FALSE)</f>
        <v>MOLI PAKAN</v>
      </c>
      <c r="E1589" s="16">
        <v>25</v>
      </c>
      <c r="F1589" s="16">
        <f>VLOOKUP(C1589,[1]master_data!$A$2:$E$495,3,FALSE)</f>
        <v>100</v>
      </c>
      <c r="G1589" s="16">
        <f>VLOOKUP(C1589,[1]master_data!$A$2:$E$495,4,FALSE)</f>
        <v>200</v>
      </c>
      <c r="H1589" s="16">
        <f>E1589*F1589</f>
        <v>2500</v>
      </c>
      <c r="I1589" s="16">
        <f>E1589*G1589</f>
        <v>5000</v>
      </c>
      <c r="J1589" s="16">
        <f>I1589-H1589</f>
        <v>2500</v>
      </c>
      <c r="K1589" s="16" t="str">
        <f>VLOOKUP(C1589,[1]master_data!$A$2:$E$495,5,FALSE)</f>
        <v>Ikan</v>
      </c>
      <c r="L1589" s="1"/>
    </row>
    <row r="1590" spans="1:12" ht="12" customHeight="1" x14ac:dyDescent="0.25">
      <c r="A1590" s="15">
        <v>45077</v>
      </c>
      <c r="B1590" s="16">
        <v>22300911</v>
      </c>
      <c r="C1590" s="16" t="s">
        <v>381</v>
      </c>
      <c r="D1590" s="16" t="str">
        <f>VLOOKUP(C1590,[1]master_data!$A$2:$E$495,2,FALSE)</f>
        <v>BATU WARNA FOSFOR B</v>
      </c>
      <c r="E1590" s="16">
        <v>2</v>
      </c>
      <c r="F1590" s="16">
        <f>VLOOKUP(C1590,[1]master_data!$A$2:$E$495,3,FALSE)</f>
        <v>8000</v>
      </c>
      <c r="G1590" s="16">
        <f>VLOOKUP(C1590,[1]master_data!$A$2:$E$495,4,FALSE)</f>
        <v>15000</v>
      </c>
      <c r="H1590" s="16">
        <f>E1590*F1590</f>
        <v>16000</v>
      </c>
      <c r="I1590" s="16">
        <f>E1590*G1590</f>
        <v>30000</v>
      </c>
      <c r="J1590" s="16">
        <f>I1590-H1590</f>
        <v>14000</v>
      </c>
      <c r="K1590" s="16" t="str">
        <f>VLOOKUP(C1590,[1]master_data!$A$2:$E$495,5,FALSE)</f>
        <v>Aksesoris</v>
      </c>
      <c r="L1590" s="1"/>
    </row>
    <row r="1591" spans="1:12" ht="12" customHeight="1" x14ac:dyDescent="0.25">
      <c r="A1591" s="15">
        <v>45077</v>
      </c>
      <c r="B1591" s="16">
        <v>22300912</v>
      </c>
      <c r="C1591" s="16" t="s">
        <v>61</v>
      </c>
      <c r="D1591" s="16" t="str">
        <f>VLOOKUP(C1591,[1]master_data!$A$2:$E$495,2,FALSE)</f>
        <v>MINI FILTER</v>
      </c>
      <c r="E1591" s="16">
        <v>1</v>
      </c>
      <c r="F1591" s="16">
        <f>VLOOKUP(C1591,[1]master_data!$A$2:$E$495,3,FALSE)</f>
        <v>13000</v>
      </c>
      <c r="G1591" s="16">
        <f>VLOOKUP(C1591,[1]master_data!$A$2:$E$495,4,FALSE)</f>
        <v>25000</v>
      </c>
      <c r="H1591" s="16">
        <f>E1591*F1591</f>
        <v>13000</v>
      </c>
      <c r="I1591" s="16">
        <f>E1591*G1591</f>
        <v>25000</v>
      </c>
      <c r="J1591" s="16">
        <f>I1591-H1591</f>
        <v>12000</v>
      </c>
      <c r="K1591" s="16" t="str">
        <f>VLOOKUP(C1591,[1]master_data!$A$2:$E$495,5,FALSE)</f>
        <v>Aksesoris</v>
      </c>
      <c r="L1591" s="1"/>
    </row>
    <row r="1592" spans="1:12" ht="12" customHeight="1" x14ac:dyDescent="0.25">
      <c r="A1592" s="15">
        <v>45077</v>
      </c>
      <c r="B1592" s="16">
        <v>22300913</v>
      </c>
      <c r="C1592" s="16" t="s">
        <v>192</v>
      </c>
      <c r="D1592" s="16" t="str">
        <f>VLOOKUP(C1592,[1]master_data!$A$2:$E$495,2,FALSE)</f>
        <v>LED KANDILA DnN ECO 50 CM</v>
      </c>
      <c r="E1592" s="16">
        <v>5</v>
      </c>
      <c r="F1592" s="16">
        <f>VLOOKUP(C1592,[1]master_data!$A$2:$E$495,3,FALSE)</f>
        <v>56000</v>
      </c>
      <c r="G1592" s="16">
        <f>VLOOKUP(C1592,[1]master_data!$A$2:$E$495,4,FALSE)</f>
        <v>85000</v>
      </c>
      <c r="H1592" s="16">
        <f>E1592*F1592</f>
        <v>280000</v>
      </c>
      <c r="I1592" s="16">
        <f>E1592*G1592</f>
        <v>425000</v>
      </c>
      <c r="J1592" s="16">
        <f>I1592-H1592</f>
        <v>145000</v>
      </c>
      <c r="K1592" s="16" t="str">
        <f>VLOOKUP(C1592,[1]master_data!$A$2:$E$495,5,FALSE)</f>
        <v>Aksesoris</v>
      </c>
      <c r="L1592" s="1"/>
    </row>
    <row r="1593" spans="1:12" ht="12" customHeight="1" x14ac:dyDescent="0.25">
      <c r="A1593" s="15">
        <v>45077</v>
      </c>
      <c r="B1593" s="16">
        <v>22300914</v>
      </c>
      <c r="C1593" s="16" t="s">
        <v>421</v>
      </c>
      <c r="D1593" s="16" t="str">
        <f>VLOOKUP(C1593,[1]master_data!$A$2:$E$495,2,FALSE)</f>
        <v>KOI SLAYER K</v>
      </c>
      <c r="E1593" s="16">
        <v>20</v>
      </c>
      <c r="F1593" s="16">
        <f>VLOOKUP(C1593,[1]master_data!$A$2:$E$495,3,FALSE)</f>
        <v>3500</v>
      </c>
      <c r="G1593" s="16">
        <f>VLOOKUP(C1593,[1]master_data!$A$2:$E$495,4,FALSE)</f>
        <v>10000</v>
      </c>
      <c r="H1593" s="16">
        <f>E1593*F1593</f>
        <v>70000</v>
      </c>
      <c r="I1593" s="16">
        <f>E1593*G1593</f>
        <v>200000</v>
      </c>
      <c r="J1593" s="16">
        <f>I1593-H1593</f>
        <v>130000</v>
      </c>
      <c r="K1593" s="16" t="str">
        <f>VLOOKUP(C1593,[1]master_data!$A$2:$E$495,5,FALSE)</f>
        <v>Ikan</v>
      </c>
      <c r="L1593" s="1"/>
    </row>
    <row r="1594" spans="1:12" ht="12" customHeight="1" x14ac:dyDescent="0.25">
      <c r="A1594" s="15">
        <v>45077</v>
      </c>
      <c r="B1594" s="16">
        <v>22300915</v>
      </c>
      <c r="C1594" s="16" t="s">
        <v>403</v>
      </c>
      <c r="D1594" s="16" t="str">
        <f>VLOOKUP(C1594,[1]master_data!$A$2:$E$495,2,FALSE)</f>
        <v>KOMET BOKIM</v>
      </c>
      <c r="E1594" s="16">
        <v>30</v>
      </c>
      <c r="F1594" s="16">
        <f>VLOOKUP(C1594,[1]master_data!$A$2:$E$495,3,FALSE)</f>
        <v>1500</v>
      </c>
      <c r="G1594" s="16">
        <f>VLOOKUP(C1594,[1]master_data!$A$2:$E$495,4,FALSE)</f>
        <v>5000</v>
      </c>
      <c r="H1594" s="16">
        <f>E1594*F1594</f>
        <v>45000</v>
      </c>
      <c r="I1594" s="16">
        <f>E1594*G1594</f>
        <v>150000</v>
      </c>
      <c r="J1594" s="16">
        <f>I1594-H1594</f>
        <v>105000</v>
      </c>
      <c r="K1594" s="16" t="str">
        <f>VLOOKUP(C1594,[1]master_data!$A$2:$E$495,5,FALSE)</f>
        <v>Ikan</v>
      </c>
      <c r="L1594" s="1"/>
    </row>
    <row r="1595" spans="1:12" ht="12" customHeight="1" x14ac:dyDescent="0.25">
      <c r="A1595" s="15">
        <v>45076</v>
      </c>
      <c r="B1595" s="16">
        <v>22300902</v>
      </c>
      <c r="C1595" s="16" t="s">
        <v>30</v>
      </c>
      <c r="D1595" s="16" t="str">
        <f>VLOOKUP(C1595,[1]master_data!$A$2:$E$495,2,FALSE)</f>
        <v>TOP FILTER ROSTON 650 K</v>
      </c>
      <c r="E1595" s="16">
        <v>2</v>
      </c>
      <c r="F1595" s="16">
        <f>VLOOKUP(C1595,[1]master_data!$A$2:$E$495,3,FALSE)</f>
        <v>35000</v>
      </c>
      <c r="G1595" s="16">
        <f>VLOOKUP(C1595,[1]master_data!$A$2:$E$495,4,FALSE)</f>
        <v>50000</v>
      </c>
      <c r="H1595" s="16">
        <f>E1595*F1595</f>
        <v>70000</v>
      </c>
      <c r="I1595" s="16">
        <f>E1595*G1595</f>
        <v>100000</v>
      </c>
      <c r="J1595" s="16">
        <f>I1595-H1595</f>
        <v>30000</v>
      </c>
      <c r="K1595" s="16" t="str">
        <f>VLOOKUP(C1595,[1]master_data!$A$2:$E$495,5,FALSE)</f>
        <v>Aksesoris</v>
      </c>
      <c r="L1595" s="1"/>
    </row>
    <row r="1596" spans="1:12" ht="12" customHeight="1" x14ac:dyDescent="0.25">
      <c r="A1596" s="15">
        <v>45076</v>
      </c>
      <c r="B1596" s="16">
        <v>22300903</v>
      </c>
      <c r="C1596" s="16" t="s">
        <v>410</v>
      </c>
      <c r="D1596" s="16" t="str">
        <f>VLOOKUP(C1596,[1]master_data!$A$2:$E$495,2,FALSE)</f>
        <v>HIU TAWAR</v>
      </c>
      <c r="E1596" s="16">
        <v>15</v>
      </c>
      <c r="F1596" s="16">
        <f>VLOOKUP(C1596,[1]master_data!$A$2:$E$495,3,FALSE)</f>
        <v>600</v>
      </c>
      <c r="G1596" s="16">
        <f>VLOOKUP(C1596,[1]master_data!$A$2:$E$495,4,FALSE)</f>
        <v>2000</v>
      </c>
      <c r="H1596" s="16">
        <f>E1596*F1596</f>
        <v>9000</v>
      </c>
      <c r="I1596" s="16">
        <f>E1596*G1596</f>
        <v>30000</v>
      </c>
      <c r="J1596" s="16">
        <f>I1596-H1596</f>
        <v>21000</v>
      </c>
      <c r="K1596" s="16" t="str">
        <f>VLOOKUP(C1596,[1]master_data!$A$2:$E$495,5,FALSE)</f>
        <v>Ikan</v>
      </c>
      <c r="L1596" s="1"/>
    </row>
    <row r="1597" spans="1:12" ht="12" customHeight="1" x14ac:dyDescent="0.25">
      <c r="A1597" s="15">
        <v>45076</v>
      </c>
      <c r="B1597" s="16">
        <v>22300904</v>
      </c>
      <c r="C1597" s="16" t="s">
        <v>428</v>
      </c>
      <c r="D1597" s="16" t="str">
        <f>VLOOKUP(C1597,[1]master_data!$A$2:$E$495,2,FALSE)</f>
        <v>MANFISH K</v>
      </c>
      <c r="E1597" s="16">
        <v>15</v>
      </c>
      <c r="F1597" s="16">
        <f>VLOOKUP(C1597,[1]master_data!$A$2:$E$495,3,FALSE)</f>
        <v>2000</v>
      </c>
      <c r="G1597" s="16">
        <f>VLOOKUP(C1597,[1]master_data!$A$2:$E$495,4,FALSE)</f>
        <v>5000</v>
      </c>
      <c r="H1597" s="16">
        <f>E1597*F1597</f>
        <v>30000</v>
      </c>
      <c r="I1597" s="16">
        <f>E1597*G1597</f>
        <v>75000</v>
      </c>
      <c r="J1597" s="16">
        <f>I1597-H1597</f>
        <v>45000</v>
      </c>
      <c r="K1597" s="16" t="str">
        <f>VLOOKUP(C1597,[1]master_data!$A$2:$E$495,5,FALSE)</f>
        <v>Ikan</v>
      </c>
      <c r="L1597" s="1"/>
    </row>
    <row r="1598" spans="1:12" ht="12" customHeight="1" x14ac:dyDescent="0.25">
      <c r="A1598" s="15">
        <v>45076</v>
      </c>
      <c r="B1598" s="16">
        <v>22300905</v>
      </c>
      <c r="C1598" s="16" t="s">
        <v>310</v>
      </c>
      <c r="D1598" s="16" t="str">
        <f>VLOOKUP(C1598,[1]master_data!$A$2:$E$495,2,FALSE)</f>
        <v>L PIPA</v>
      </c>
      <c r="E1598" s="16">
        <v>15</v>
      </c>
      <c r="F1598" s="16">
        <f>VLOOKUP(C1598,[1]master_data!$A$2:$E$495,3,FALSE)</f>
        <v>800</v>
      </c>
      <c r="G1598" s="16">
        <f>VLOOKUP(C1598,[1]master_data!$A$2:$E$495,4,FALSE)</f>
        <v>2000</v>
      </c>
      <c r="H1598" s="16">
        <f>E1598*F1598</f>
        <v>12000</v>
      </c>
      <c r="I1598" s="16">
        <f>E1598*G1598</f>
        <v>30000</v>
      </c>
      <c r="J1598" s="16">
        <f>I1598-H1598</f>
        <v>18000</v>
      </c>
      <c r="K1598" s="16" t="str">
        <f>VLOOKUP(C1598,[1]master_data!$A$2:$E$495,5,FALSE)</f>
        <v>Aksesoris</v>
      </c>
      <c r="L1598" s="1"/>
    </row>
    <row r="1599" spans="1:12" ht="12" customHeight="1" x14ac:dyDescent="0.25">
      <c r="A1599" s="15">
        <v>45076</v>
      </c>
      <c r="B1599" s="16">
        <v>22300906</v>
      </c>
      <c r="C1599" s="16" t="s">
        <v>406</v>
      </c>
      <c r="D1599" s="16" t="str">
        <f>VLOOKUP(C1599,[1]master_data!$A$2:$E$495,2,FALSE)</f>
        <v>CATFISH</v>
      </c>
      <c r="E1599" s="16">
        <v>2</v>
      </c>
      <c r="F1599" s="16">
        <f>VLOOKUP(C1599,[1]master_data!$A$2:$E$495,3,FALSE)</f>
        <v>20000</v>
      </c>
      <c r="G1599" s="16">
        <f>VLOOKUP(C1599,[1]master_data!$A$2:$E$495,4,FALSE)</f>
        <v>50000</v>
      </c>
      <c r="H1599" s="16">
        <f>E1599*F1599</f>
        <v>40000</v>
      </c>
      <c r="I1599" s="16">
        <f>E1599*G1599</f>
        <v>100000</v>
      </c>
      <c r="J1599" s="16">
        <f>I1599-H1599</f>
        <v>60000</v>
      </c>
      <c r="K1599" s="16" t="str">
        <f>VLOOKUP(C1599,[1]master_data!$A$2:$E$495,5,FALSE)</f>
        <v>Ikan</v>
      </c>
      <c r="L1599" s="1"/>
    </row>
    <row r="1600" spans="1:12" ht="12" customHeight="1" x14ac:dyDescent="0.25">
      <c r="A1600" s="15">
        <v>45076</v>
      </c>
      <c r="B1600" s="16">
        <v>22300907</v>
      </c>
      <c r="C1600" s="16" t="s">
        <v>424</v>
      </c>
      <c r="D1600" s="16" t="str">
        <f>VLOOKUP(C1600,[1]master_data!$A$2:$E$495,2,FALSE)</f>
        <v>DISCUS</v>
      </c>
      <c r="E1600" s="16">
        <v>4</v>
      </c>
      <c r="F1600" s="16">
        <f>VLOOKUP(C1600,[1]master_data!$A$2:$E$495,3,FALSE)</f>
        <v>50000</v>
      </c>
      <c r="G1600" s="16">
        <f>VLOOKUP(C1600,[1]master_data!$A$2:$E$495,4,FALSE)</f>
        <v>150000</v>
      </c>
      <c r="H1600" s="16">
        <f>E1600*F1600</f>
        <v>200000</v>
      </c>
      <c r="I1600" s="16">
        <f>E1600*G1600</f>
        <v>600000</v>
      </c>
      <c r="J1600" s="16">
        <f>I1600-H1600</f>
        <v>400000</v>
      </c>
      <c r="K1600" s="16" t="str">
        <f>VLOOKUP(C1600,[1]master_data!$A$2:$E$495,5,FALSE)</f>
        <v>Ikan</v>
      </c>
      <c r="L1600" s="1"/>
    </row>
    <row r="1601" spans="1:12" ht="12" customHeight="1" x14ac:dyDescent="0.25">
      <c r="A1601" s="15">
        <v>45076</v>
      </c>
      <c r="B1601" s="16">
        <v>22300908</v>
      </c>
      <c r="C1601" s="16" t="s">
        <v>408</v>
      </c>
      <c r="D1601" s="16" t="str">
        <f>VLOOKUP(C1601,[1]master_data!$A$2:$E$495,2,FALSE)</f>
        <v>GUPY</v>
      </c>
      <c r="E1601" s="16">
        <v>16</v>
      </c>
      <c r="F1601" s="16">
        <f>VLOOKUP(C1601,[1]master_data!$A$2:$E$495,3,FALSE)</f>
        <v>1200</v>
      </c>
      <c r="G1601" s="16">
        <f>VLOOKUP(C1601,[1]master_data!$A$2:$E$495,4,FALSE)</f>
        <v>2500</v>
      </c>
      <c r="H1601" s="16">
        <f>E1601*F1601</f>
        <v>19200</v>
      </c>
      <c r="I1601" s="16">
        <f>E1601*G1601</f>
        <v>40000</v>
      </c>
      <c r="J1601" s="16">
        <f>I1601-H1601</f>
        <v>20800</v>
      </c>
      <c r="K1601" s="16" t="str">
        <f>VLOOKUP(C1601,[1]master_data!$A$2:$E$495,5,FALSE)</f>
        <v>Ikan</v>
      </c>
      <c r="L1601" s="1"/>
    </row>
    <row r="1602" spans="1:12" ht="12" customHeight="1" x14ac:dyDescent="0.25">
      <c r="A1602" s="15">
        <v>45076</v>
      </c>
      <c r="B1602" s="16">
        <v>22300909</v>
      </c>
      <c r="C1602" s="16" t="s">
        <v>137</v>
      </c>
      <c r="D1602" s="16" t="str">
        <f>VLOOKUP(C1602,[1]master_data!$A$2:$E$495,2,FALSE)</f>
        <v>LAMPU YAMANO UV 20W</v>
      </c>
      <c r="E1602" s="16">
        <v>1</v>
      </c>
      <c r="F1602" s="16">
        <f>VLOOKUP(C1602,[1]master_data!$A$2:$E$495,3,FALSE)</f>
        <v>184000</v>
      </c>
      <c r="G1602" s="16">
        <f>VLOOKUP(C1602,[1]master_data!$A$2:$E$495,4,FALSE)</f>
        <v>225000</v>
      </c>
      <c r="H1602" s="16">
        <f>E1602*F1602</f>
        <v>184000</v>
      </c>
      <c r="I1602" s="16">
        <f>E1602*G1602</f>
        <v>225000</v>
      </c>
      <c r="J1602" s="16">
        <f>I1602-H1602</f>
        <v>41000</v>
      </c>
      <c r="K1602" s="16" t="str">
        <f>VLOOKUP(C1602,[1]master_data!$A$2:$E$495,5,FALSE)</f>
        <v>Aksesoris</v>
      </c>
      <c r="L1602" s="1"/>
    </row>
    <row r="1603" spans="1:12" ht="12" customHeight="1" x14ac:dyDescent="0.25">
      <c r="A1603" s="15">
        <v>45075</v>
      </c>
      <c r="B1603" s="16">
        <v>22300895</v>
      </c>
      <c r="C1603" s="16" t="s">
        <v>402</v>
      </c>
      <c r="D1603" s="16" t="str">
        <f>VLOOKUP(C1603,[1]master_data!$A$2:$E$495,2,FALSE)</f>
        <v>CHANNA BLUE PULCHRA B</v>
      </c>
      <c r="E1603" s="16">
        <v>2</v>
      </c>
      <c r="F1603" s="16">
        <f>VLOOKUP(C1603,[1]master_data!$A$2:$E$495,3,FALSE)</f>
        <v>125000</v>
      </c>
      <c r="G1603" s="16">
        <f>VLOOKUP(C1603,[1]master_data!$A$2:$E$495,4,FALSE)</f>
        <v>200000</v>
      </c>
      <c r="H1603" s="16">
        <f>E1603*F1603</f>
        <v>250000</v>
      </c>
      <c r="I1603" s="16">
        <f>E1603*G1603</f>
        <v>400000</v>
      </c>
      <c r="J1603" s="16">
        <f>I1603-H1603</f>
        <v>150000</v>
      </c>
      <c r="K1603" s="16" t="str">
        <f>VLOOKUP(C1603,[1]master_data!$A$2:$E$495,5,FALSE)</f>
        <v>Ikan</v>
      </c>
      <c r="L1603" s="1"/>
    </row>
    <row r="1604" spans="1:12" ht="12" customHeight="1" x14ac:dyDescent="0.25">
      <c r="A1604" s="15">
        <v>45075</v>
      </c>
      <c r="B1604" s="16">
        <v>22300896</v>
      </c>
      <c r="C1604" s="16" t="s">
        <v>128</v>
      </c>
      <c r="D1604" s="16" t="str">
        <f>VLOOKUP(C1604,[1]master_data!$A$2:$E$495,2,FALSE)</f>
        <v>LED YAMANO 6W</v>
      </c>
      <c r="E1604" s="16">
        <v>1</v>
      </c>
      <c r="F1604" s="16">
        <f>VLOOKUP(C1604,[1]master_data!$A$2:$E$495,3,FALSE)</f>
        <v>45000</v>
      </c>
      <c r="G1604" s="16">
        <f>VLOOKUP(C1604,[1]master_data!$A$2:$E$495,4,FALSE)</f>
        <v>75000</v>
      </c>
      <c r="H1604" s="16">
        <f>E1604*F1604</f>
        <v>45000</v>
      </c>
      <c r="I1604" s="16">
        <f>E1604*G1604</f>
        <v>75000</v>
      </c>
      <c r="J1604" s="16">
        <f>I1604-H1604</f>
        <v>30000</v>
      </c>
      <c r="K1604" s="16" t="str">
        <f>VLOOKUP(C1604,[1]master_data!$A$2:$E$495,5,FALSE)</f>
        <v>Aksesoris</v>
      </c>
      <c r="L1604" s="1"/>
    </row>
    <row r="1605" spans="1:12" ht="12" customHeight="1" x14ac:dyDescent="0.25">
      <c r="A1605" s="15">
        <v>45075</v>
      </c>
      <c r="B1605" s="16">
        <v>22300897</v>
      </c>
      <c r="C1605" s="16" t="s">
        <v>422</v>
      </c>
      <c r="D1605" s="16" t="str">
        <f>VLOOKUP(C1605,[1]master_data!$A$2:$E$495,2,FALSE)</f>
        <v>KOI SLAYER B</v>
      </c>
      <c r="E1605" s="16">
        <v>2</v>
      </c>
      <c r="F1605" s="16">
        <f>VLOOKUP(C1605,[1]master_data!$A$2:$E$495,3,FALSE)</f>
        <v>8000</v>
      </c>
      <c r="G1605" s="16">
        <f>VLOOKUP(C1605,[1]master_data!$A$2:$E$495,4,FALSE)</f>
        <v>20000</v>
      </c>
      <c r="H1605" s="16">
        <f>E1605*F1605</f>
        <v>16000</v>
      </c>
      <c r="I1605" s="16">
        <f>E1605*G1605</f>
        <v>40000</v>
      </c>
      <c r="J1605" s="16">
        <f>I1605-H1605</f>
        <v>24000</v>
      </c>
      <c r="K1605" s="16" t="str">
        <f>VLOOKUP(C1605,[1]master_data!$A$2:$E$495,5,FALSE)</f>
        <v>Ikan</v>
      </c>
      <c r="L1605" s="1"/>
    </row>
    <row r="1606" spans="1:12" ht="12" customHeight="1" x14ac:dyDescent="0.25">
      <c r="A1606" s="15">
        <v>45075</v>
      </c>
      <c r="B1606" s="16">
        <v>22300898</v>
      </c>
      <c r="C1606" s="16" t="s">
        <v>151</v>
      </c>
      <c r="D1606" s="16" t="str">
        <f>VLOOKUP(C1606,[1]master_data!$A$2:$E$495,2,FALSE)</f>
        <v>LED KANDILA 2 BRS 100 CM</v>
      </c>
      <c r="E1606" s="16">
        <v>4</v>
      </c>
      <c r="F1606" s="16">
        <f>VLOOKUP(C1606,[1]master_data!$A$2:$E$495,3,FALSE)</f>
        <v>50000</v>
      </c>
      <c r="G1606" s="16">
        <f>VLOOKUP(C1606,[1]master_data!$A$2:$E$495,4,FALSE)</f>
        <v>100000</v>
      </c>
      <c r="H1606" s="16">
        <f>E1606*F1606</f>
        <v>200000</v>
      </c>
      <c r="I1606" s="16">
        <f>E1606*G1606</f>
        <v>400000</v>
      </c>
      <c r="J1606" s="16">
        <f>I1606-H1606</f>
        <v>200000</v>
      </c>
      <c r="K1606" s="16" t="str">
        <f>VLOOKUP(C1606,[1]master_data!$A$2:$E$495,5,FALSE)</f>
        <v>Aksesoris</v>
      </c>
      <c r="L1606" s="1"/>
    </row>
    <row r="1607" spans="1:12" ht="12" customHeight="1" x14ac:dyDescent="0.25">
      <c r="A1607" s="15">
        <v>45075</v>
      </c>
      <c r="B1607" s="16">
        <v>22300899</v>
      </c>
      <c r="C1607" s="16" t="s">
        <v>410</v>
      </c>
      <c r="D1607" s="16" t="str">
        <f>VLOOKUP(C1607,[1]master_data!$A$2:$E$495,2,FALSE)</f>
        <v>HIU TAWAR</v>
      </c>
      <c r="E1607" s="16">
        <v>1</v>
      </c>
      <c r="F1607" s="16">
        <f>VLOOKUP(C1607,[1]master_data!$A$2:$E$495,3,FALSE)</f>
        <v>600</v>
      </c>
      <c r="G1607" s="16">
        <f>VLOOKUP(C1607,[1]master_data!$A$2:$E$495,4,FALSE)</f>
        <v>2000</v>
      </c>
      <c r="H1607" s="16">
        <f>E1607*F1607</f>
        <v>600</v>
      </c>
      <c r="I1607" s="16">
        <f>E1607*G1607</f>
        <v>2000</v>
      </c>
      <c r="J1607" s="16">
        <f>I1607-H1607</f>
        <v>1400</v>
      </c>
      <c r="K1607" s="16" t="str">
        <f>VLOOKUP(C1607,[1]master_data!$A$2:$E$495,5,FALSE)</f>
        <v>Ikan</v>
      </c>
      <c r="L1607" s="1"/>
    </row>
    <row r="1608" spans="1:12" ht="12" customHeight="1" x14ac:dyDescent="0.25">
      <c r="A1608" s="15">
        <v>45075</v>
      </c>
      <c r="B1608" s="16">
        <v>22300900</v>
      </c>
      <c r="C1608" s="16" t="s">
        <v>217</v>
      </c>
      <c r="D1608" s="16" t="str">
        <f>VLOOKUP(C1608,[1]master_data!$A$2:$E$495,2,FALSE)</f>
        <v>HIRO GROWTH</v>
      </c>
      <c r="E1608" s="16">
        <v>1</v>
      </c>
      <c r="F1608" s="16">
        <f>VLOOKUP(C1608,[1]master_data!$A$2:$E$495,3,FALSE)</f>
        <v>72000</v>
      </c>
      <c r="G1608" s="16">
        <f>VLOOKUP(C1608,[1]master_data!$A$2:$E$495,4,FALSE)</f>
        <v>80000</v>
      </c>
      <c r="H1608" s="16">
        <f>E1608*F1608</f>
        <v>72000</v>
      </c>
      <c r="I1608" s="16">
        <f>E1608*G1608</f>
        <v>80000</v>
      </c>
      <c r="J1608" s="16">
        <f>I1608-H1608</f>
        <v>8000</v>
      </c>
      <c r="K1608" s="16" t="str">
        <f>VLOOKUP(C1608,[1]master_data!$A$2:$E$495,5,FALSE)</f>
        <v>Aksesoris</v>
      </c>
      <c r="L1608" s="1"/>
    </row>
    <row r="1609" spans="1:12" ht="12" customHeight="1" x14ac:dyDescent="0.25">
      <c r="A1609" s="15">
        <v>45075</v>
      </c>
      <c r="B1609" s="16">
        <v>22300901</v>
      </c>
      <c r="C1609" s="16" t="s">
        <v>416</v>
      </c>
      <c r="D1609" s="16" t="str">
        <f>VLOOKUP(C1609,[1]master_data!$A$2:$E$495,2,FALSE)</f>
        <v>KOI B</v>
      </c>
      <c r="E1609" s="16">
        <v>10</v>
      </c>
      <c r="F1609" s="16">
        <f>VLOOKUP(C1609,[1]master_data!$A$2:$E$495,3,FALSE)</f>
        <v>9000</v>
      </c>
      <c r="G1609" s="16">
        <f>VLOOKUP(C1609,[1]master_data!$A$2:$E$495,4,FALSE)</f>
        <v>30000</v>
      </c>
      <c r="H1609" s="16">
        <f>E1609*F1609</f>
        <v>90000</v>
      </c>
      <c r="I1609" s="16">
        <f>E1609*G1609</f>
        <v>300000</v>
      </c>
      <c r="J1609" s="16">
        <f>I1609-H1609</f>
        <v>210000</v>
      </c>
      <c r="K1609" s="16" t="str">
        <f>VLOOKUP(C1609,[1]master_data!$A$2:$E$495,5,FALSE)</f>
        <v>Ikan</v>
      </c>
      <c r="L1609" s="1"/>
    </row>
    <row r="1610" spans="1:12" ht="12" customHeight="1" x14ac:dyDescent="0.25">
      <c r="A1610" s="15">
        <v>45074</v>
      </c>
      <c r="B1610" s="16">
        <v>22300888</v>
      </c>
      <c r="C1610" s="16" t="s">
        <v>460</v>
      </c>
      <c r="D1610" s="16" t="str">
        <f>VLOOKUP(C1610,[1]master_data!$A$2:$E$495,2,FALSE)</f>
        <v>SEPAT ALBINO</v>
      </c>
      <c r="E1610" s="16">
        <v>20</v>
      </c>
      <c r="F1610" s="16">
        <f>VLOOKUP(C1610,[1]master_data!$A$2:$E$495,3,FALSE)</f>
        <v>2000</v>
      </c>
      <c r="G1610" s="16">
        <f>VLOOKUP(C1610,[1]master_data!$A$2:$E$495,4,FALSE)</f>
        <v>5000</v>
      </c>
      <c r="H1610" s="16">
        <f>E1610*F1610</f>
        <v>40000</v>
      </c>
      <c r="I1610" s="16">
        <f>E1610*G1610</f>
        <v>100000</v>
      </c>
      <c r="J1610" s="16">
        <f>I1610-H1610</f>
        <v>60000</v>
      </c>
      <c r="K1610" s="16" t="str">
        <f>VLOOKUP(C1610,[1]master_data!$A$2:$E$495,5,FALSE)</f>
        <v>Ikan</v>
      </c>
      <c r="L1610" s="1"/>
    </row>
    <row r="1611" spans="1:12" ht="12" customHeight="1" x14ac:dyDescent="0.25">
      <c r="A1611" s="15">
        <v>45074</v>
      </c>
      <c r="B1611" s="16">
        <v>22300889</v>
      </c>
      <c r="C1611" s="16" t="s">
        <v>405</v>
      </c>
      <c r="D1611" s="16" t="str">
        <f>VLOOKUP(C1611,[1]master_data!$A$2:$E$495,2,FALSE)</f>
        <v>CUPANG</v>
      </c>
      <c r="E1611" s="16">
        <v>20</v>
      </c>
      <c r="F1611" s="16">
        <f>VLOOKUP(C1611,[1]master_data!$A$2:$E$495,3,FALSE)</f>
        <v>2000</v>
      </c>
      <c r="G1611" s="16">
        <f>VLOOKUP(C1611,[1]master_data!$A$2:$E$495,4,FALSE)</f>
        <v>5000</v>
      </c>
      <c r="H1611" s="16">
        <f>E1611*F1611</f>
        <v>40000</v>
      </c>
      <c r="I1611" s="16">
        <f>E1611*G1611</f>
        <v>100000</v>
      </c>
      <c r="J1611" s="16">
        <f>I1611-H1611</f>
        <v>60000</v>
      </c>
      <c r="K1611" s="16" t="str">
        <f>VLOOKUP(C1611,[1]master_data!$A$2:$E$495,5,FALSE)</f>
        <v>Ikan</v>
      </c>
      <c r="L1611" s="1"/>
    </row>
    <row r="1612" spans="1:12" ht="12" customHeight="1" x14ac:dyDescent="0.25">
      <c r="A1612" s="15">
        <v>45074</v>
      </c>
      <c r="B1612" s="16">
        <v>22300890</v>
      </c>
      <c r="C1612" s="16" t="s">
        <v>417</v>
      </c>
      <c r="D1612" s="16" t="str">
        <f>VLOOKUP(C1612,[1]master_data!$A$2:$E$495,2,FALSE)</f>
        <v>KURA - KURA</v>
      </c>
      <c r="E1612" s="16">
        <v>1</v>
      </c>
      <c r="F1612" s="16">
        <f>VLOOKUP(C1612,[1]master_data!$A$2:$E$495,3,FALSE)</f>
        <v>25000</v>
      </c>
      <c r="G1612" s="16">
        <f>VLOOKUP(C1612,[1]master_data!$A$2:$E$495,4,FALSE)</f>
        <v>35000</v>
      </c>
      <c r="H1612" s="16">
        <f>E1612*F1612</f>
        <v>25000</v>
      </c>
      <c r="I1612" s="16">
        <f>E1612*G1612</f>
        <v>35000</v>
      </c>
      <c r="J1612" s="16">
        <f>I1612-H1612</f>
        <v>10000</v>
      </c>
      <c r="K1612" s="16" t="str">
        <f>VLOOKUP(C1612,[1]master_data!$A$2:$E$495,5,FALSE)</f>
        <v>Ikan</v>
      </c>
      <c r="L1612" s="1"/>
    </row>
    <row r="1613" spans="1:12" ht="12" customHeight="1" x14ac:dyDescent="0.25">
      <c r="A1613" s="15">
        <v>45074</v>
      </c>
      <c r="B1613" s="16">
        <v>22300891</v>
      </c>
      <c r="C1613" s="16" t="s">
        <v>452</v>
      </c>
      <c r="D1613" s="16" t="str">
        <f>VLOOKUP(C1613,[1]master_data!$A$2:$E$495,2,FALSE)</f>
        <v>SYNODONTI B</v>
      </c>
      <c r="E1613" s="16">
        <v>30</v>
      </c>
      <c r="F1613" s="16">
        <f>VLOOKUP(C1613,[1]master_data!$A$2:$E$495,3,FALSE)</f>
        <v>4000</v>
      </c>
      <c r="G1613" s="16">
        <f>VLOOKUP(C1613,[1]master_data!$A$2:$E$495,4,FALSE)</f>
        <v>10000</v>
      </c>
      <c r="H1613" s="16">
        <f>E1613*F1613</f>
        <v>120000</v>
      </c>
      <c r="I1613" s="16">
        <f>E1613*G1613</f>
        <v>300000</v>
      </c>
      <c r="J1613" s="16">
        <f>I1613-H1613</f>
        <v>180000</v>
      </c>
      <c r="K1613" s="16" t="str">
        <f>VLOOKUP(C1613,[1]master_data!$A$2:$E$495,5,FALSE)</f>
        <v>Ikan</v>
      </c>
      <c r="L1613" s="1"/>
    </row>
    <row r="1614" spans="1:12" ht="12" customHeight="1" x14ac:dyDescent="0.25">
      <c r="A1614" s="15">
        <v>45074</v>
      </c>
      <c r="B1614" s="16">
        <v>22300892</v>
      </c>
      <c r="C1614" s="16" t="s">
        <v>409</v>
      </c>
      <c r="D1614" s="16" t="str">
        <f>VLOOKUP(C1614,[1]master_data!$A$2:$E$495,2,FALSE)</f>
        <v>GOLDEN BLACK</v>
      </c>
      <c r="E1614" s="16">
        <v>10</v>
      </c>
      <c r="F1614" s="16">
        <f>VLOOKUP(C1614,[1]master_data!$A$2:$E$495,3,FALSE)</f>
        <v>800</v>
      </c>
      <c r="G1614" s="16">
        <f>VLOOKUP(C1614,[1]master_data!$A$2:$E$495,4,FALSE)</f>
        <v>2000</v>
      </c>
      <c r="H1614" s="16">
        <f>E1614*F1614</f>
        <v>8000</v>
      </c>
      <c r="I1614" s="16">
        <f>E1614*G1614</f>
        <v>20000</v>
      </c>
      <c r="J1614" s="16">
        <f>I1614-H1614</f>
        <v>12000</v>
      </c>
      <c r="K1614" s="16" t="str">
        <f>VLOOKUP(C1614,[1]master_data!$A$2:$E$495,5,FALSE)</f>
        <v>Ikan</v>
      </c>
      <c r="L1614" s="1"/>
    </row>
    <row r="1615" spans="1:12" ht="12" customHeight="1" x14ac:dyDescent="0.25">
      <c r="A1615" s="15">
        <v>45074</v>
      </c>
      <c r="B1615" s="16">
        <v>22300893</v>
      </c>
      <c r="C1615" s="16" t="s">
        <v>336</v>
      </c>
      <c r="D1615" s="16" t="str">
        <f>VLOOKUP(C1615,[1]master_data!$A$2:$E$495,2,FALSE)</f>
        <v>KARUNG JALA M</v>
      </c>
      <c r="E1615" s="16">
        <v>15</v>
      </c>
      <c r="F1615" s="16">
        <f>VLOOKUP(C1615,[1]master_data!$A$2:$E$495,3,FALSE)</f>
        <v>4000</v>
      </c>
      <c r="G1615" s="16">
        <f>VLOOKUP(C1615,[1]master_data!$A$2:$E$495,4,FALSE)</f>
        <v>10000</v>
      </c>
      <c r="H1615" s="16">
        <f>E1615*F1615</f>
        <v>60000</v>
      </c>
      <c r="I1615" s="16">
        <f>E1615*G1615</f>
        <v>150000</v>
      </c>
      <c r="J1615" s="16">
        <f>I1615-H1615</f>
        <v>90000</v>
      </c>
      <c r="K1615" s="16" t="str">
        <f>VLOOKUP(C1615,[1]master_data!$A$2:$E$495,5,FALSE)</f>
        <v>Aksesoris</v>
      </c>
      <c r="L1615" s="1"/>
    </row>
    <row r="1616" spans="1:12" ht="12" customHeight="1" x14ac:dyDescent="0.25">
      <c r="A1616" s="15">
        <v>45074</v>
      </c>
      <c r="B1616" s="16">
        <v>22300894</v>
      </c>
      <c r="C1616" s="16" t="s">
        <v>430</v>
      </c>
      <c r="D1616" s="16" t="str">
        <f>VLOOKUP(C1616,[1]master_data!$A$2:$E$495,2,FALSE)</f>
        <v>MARU K</v>
      </c>
      <c r="E1616" s="16">
        <v>1</v>
      </c>
      <c r="F1616" s="16">
        <f>VLOOKUP(C1616,[1]master_data!$A$2:$E$495,3,FALSE)</f>
        <v>23000</v>
      </c>
      <c r="G1616" s="16">
        <f>VLOOKUP(C1616,[1]master_data!$A$2:$E$495,4,FALSE)</f>
        <v>50000</v>
      </c>
      <c r="H1616" s="16">
        <f>E1616*F1616</f>
        <v>23000</v>
      </c>
      <c r="I1616" s="16">
        <f>E1616*G1616</f>
        <v>50000</v>
      </c>
      <c r="J1616" s="16">
        <f>I1616-H1616</f>
        <v>27000</v>
      </c>
      <c r="K1616" s="16" t="str">
        <f>VLOOKUP(C1616,[1]master_data!$A$2:$E$495,5,FALSE)</f>
        <v>Ikan</v>
      </c>
      <c r="L1616" s="1"/>
    </row>
    <row r="1617" spans="1:12" ht="12" customHeight="1" x14ac:dyDescent="0.25">
      <c r="A1617" s="15">
        <v>45073</v>
      </c>
      <c r="B1617" s="16">
        <v>22300886</v>
      </c>
      <c r="C1617" s="16" t="s">
        <v>442</v>
      </c>
      <c r="D1617" s="16" t="str">
        <f>VLOOKUP(C1617,[1]master_data!$A$2:$E$495,2,FALSE)</f>
        <v>PARROT</v>
      </c>
      <c r="E1617" s="16">
        <v>10</v>
      </c>
      <c r="F1617" s="16">
        <f>VLOOKUP(C1617,[1]master_data!$A$2:$E$495,3,FALSE)</f>
        <v>27000</v>
      </c>
      <c r="G1617" s="16">
        <f>VLOOKUP(C1617,[1]master_data!$A$2:$E$495,4,FALSE)</f>
        <v>60000</v>
      </c>
      <c r="H1617" s="16">
        <f>E1617*F1617</f>
        <v>270000</v>
      </c>
      <c r="I1617" s="16">
        <f>E1617*G1617</f>
        <v>600000</v>
      </c>
      <c r="J1617" s="16">
        <f>I1617-H1617</f>
        <v>330000</v>
      </c>
      <c r="K1617" s="16" t="str">
        <f>VLOOKUP(C1617,[1]master_data!$A$2:$E$495,5,FALSE)</f>
        <v>Ikan</v>
      </c>
      <c r="L1617" s="1"/>
    </row>
    <row r="1618" spans="1:12" ht="12" customHeight="1" x14ac:dyDescent="0.25">
      <c r="A1618" s="15">
        <v>45073</v>
      </c>
      <c r="B1618" s="16">
        <v>22300887</v>
      </c>
      <c r="C1618" s="16" t="s">
        <v>394</v>
      </c>
      <c r="D1618" s="16" t="str">
        <f>VLOOKUP(C1618,[1]master_data!$A$2:$E$495,2,FALSE)</f>
        <v>ALGA EATER</v>
      </c>
      <c r="E1618" s="16">
        <v>20</v>
      </c>
      <c r="F1618" s="16">
        <f>VLOOKUP(C1618,[1]master_data!$A$2:$E$495,3,FALSE)</f>
        <v>1750</v>
      </c>
      <c r="G1618" s="16">
        <f>VLOOKUP(C1618,[1]master_data!$A$2:$E$495,4,FALSE)</f>
        <v>5000</v>
      </c>
      <c r="H1618" s="16">
        <f>E1618*F1618</f>
        <v>35000</v>
      </c>
      <c r="I1618" s="16">
        <f>E1618*G1618</f>
        <v>100000</v>
      </c>
      <c r="J1618" s="16">
        <f>I1618-H1618</f>
        <v>65000</v>
      </c>
      <c r="K1618" s="16" t="str">
        <f>VLOOKUP(C1618,[1]master_data!$A$2:$E$495,5,FALSE)</f>
        <v>Ikan</v>
      </c>
      <c r="L1618" s="1"/>
    </row>
    <row r="1619" spans="1:12" ht="12" customHeight="1" x14ac:dyDescent="0.25">
      <c r="A1619" s="15">
        <v>45072</v>
      </c>
      <c r="B1619" s="16">
        <v>22300880</v>
      </c>
      <c r="C1619" s="16" t="s">
        <v>397</v>
      </c>
      <c r="D1619" s="16" t="str">
        <f>VLOOKUP(C1619,[1]master_data!$A$2:$E$495,2,FALSE)</f>
        <v>BUENOS AIRES TETRA</v>
      </c>
      <c r="E1619" s="16">
        <v>30</v>
      </c>
      <c r="F1619" s="16">
        <f>VLOOKUP(C1619,[1]master_data!$A$2:$E$495,3,FALSE)</f>
        <v>800</v>
      </c>
      <c r="G1619" s="16">
        <f>VLOOKUP(C1619,[1]master_data!$A$2:$E$495,4,FALSE)</f>
        <v>2000</v>
      </c>
      <c r="H1619" s="16">
        <f>E1619*F1619</f>
        <v>24000</v>
      </c>
      <c r="I1619" s="16">
        <f>E1619*G1619</f>
        <v>60000</v>
      </c>
      <c r="J1619" s="16">
        <f>I1619-H1619</f>
        <v>36000</v>
      </c>
      <c r="K1619" s="16" t="str">
        <f>VLOOKUP(C1619,[1]master_data!$A$2:$E$495,5,FALSE)</f>
        <v>Ikan</v>
      </c>
      <c r="L1619" s="1"/>
    </row>
    <row r="1620" spans="1:12" ht="12" customHeight="1" x14ac:dyDescent="0.25">
      <c r="A1620" s="15">
        <v>45072</v>
      </c>
      <c r="B1620" s="16">
        <v>22300881</v>
      </c>
      <c r="C1620" s="16" t="s">
        <v>285</v>
      </c>
      <c r="D1620" s="16" t="str">
        <f>VLOOKUP(C1620,[1]master_data!$A$2:$E$495,2,FALSE)</f>
        <v>KAPAS 4 LAPIS</v>
      </c>
      <c r="E1620" s="16">
        <v>15</v>
      </c>
      <c r="F1620" s="16">
        <f>VLOOKUP(C1620,[1]master_data!$A$2:$E$495,3,FALSE)</f>
        <v>6500</v>
      </c>
      <c r="G1620" s="16">
        <f>VLOOKUP(C1620,[1]master_data!$A$2:$E$495,4,FALSE)</f>
        <v>10000</v>
      </c>
      <c r="H1620" s="16">
        <f>E1620*F1620</f>
        <v>97500</v>
      </c>
      <c r="I1620" s="16">
        <f>E1620*G1620</f>
        <v>150000</v>
      </c>
      <c r="J1620" s="16">
        <f>I1620-H1620</f>
        <v>52500</v>
      </c>
      <c r="K1620" s="16" t="str">
        <f>VLOOKUP(C1620,[1]master_data!$A$2:$E$495,5,FALSE)</f>
        <v>Aksesoris</v>
      </c>
      <c r="L1620" s="1"/>
    </row>
    <row r="1621" spans="1:12" ht="12" customHeight="1" x14ac:dyDescent="0.25">
      <c r="A1621" s="15">
        <v>45072</v>
      </c>
      <c r="B1621" s="16">
        <v>22300882</v>
      </c>
      <c r="C1621" s="16" t="s">
        <v>421</v>
      </c>
      <c r="D1621" s="16" t="str">
        <f>VLOOKUP(C1621,[1]master_data!$A$2:$E$495,2,FALSE)</f>
        <v>KOI SLAYER K</v>
      </c>
      <c r="E1621" s="16">
        <v>20</v>
      </c>
      <c r="F1621" s="16">
        <f>VLOOKUP(C1621,[1]master_data!$A$2:$E$495,3,FALSE)</f>
        <v>3500</v>
      </c>
      <c r="G1621" s="16">
        <f>VLOOKUP(C1621,[1]master_data!$A$2:$E$495,4,FALSE)</f>
        <v>10000</v>
      </c>
      <c r="H1621" s="16">
        <f>E1621*F1621</f>
        <v>70000</v>
      </c>
      <c r="I1621" s="16">
        <f>E1621*G1621</f>
        <v>200000</v>
      </c>
      <c r="J1621" s="16">
        <f>I1621-H1621</f>
        <v>130000</v>
      </c>
      <c r="K1621" s="16" t="str">
        <f>VLOOKUP(C1621,[1]master_data!$A$2:$E$495,5,FALSE)</f>
        <v>Ikan</v>
      </c>
      <c r="L1621" s="1"/>
    </row>
    <row r="1622" spans="1:12" ht="12" customHeight="1" x14ac:dyDescent="0.25">
      <c r="A1622" s="15">
        <v>45072</v>
      </c>
      <c r="B1622" s="16">
        <v>22300883</v>
      </c>
      <c r="C1622" s="16" t="s">
        <v>198</v>
      </c>
      <c r="D1622" s="16" t="str">
        <f>VLOOKUP(C1622,[1]master_data!$A$2:$E$495,2,FALSE)</f>
        <v>AKARI PREMIUM YELLOW</v>
      </c>
      <c r="E1622" s="16">
        <v>5</v>
      </c>
      <c r="F1622" s="16">
        <f>VLOOKUP(C1622,[1]master_data!$A$2:$E$495,3,FALSE)</f>
        <v>37000</v>
      </c>
      <c r="G1622" s="16">
        <f>VLOOKUP(C1622,[1]master_data!$A$2:$E$495,4,FALSE)</f>
        <v>50000</v>
      </c>
      <c r="H1622" s="16">
        <f>E1622*F1622</f>
        <v>185000</v>
      </c>
      <c r="I1622" s="16">
        <f>E1622*G1622</f>
        <v>250000</v>
      </c>
      <c r="J1622" s="16">
        <f>I1622-H1622</f>
        <v>65000</v>
      </c>
      <c r="K1622" s="16" t="str">
        <f>VLOOKUP(C1622,[1]master_data!$A$2:$E$495,5,FALSE)</f>
        <v>Aksesoris</v>
      </c>
      <c r="L1622" s="1"/>
    </row>
    <row r="1623" spans="1:12" ht="12" customHeight="1" x14ac:dyDescent="0.25">
      <c r="A1623" s="15">
        <v>45072</v>
      </c>
      <c r="B1623" s="16">
        <v>22300884</v>
      </c>
      <c r="C1623" s="16" t="s">
        <v>449</v>
      </c>
      <c r="D1623" s="16" t="str">
        <f>VLOOKUP(C1623,[1]master_data!$A$2:$E$495,2,FALSE)</f>
        <v>SUMATRA GOLD FISH</v>
      </c>
      <c r="E1623" s="16">
        <v>10</v>
      </c>
      <c r="F1623" s="16">
        <f>VLOOKUP(C1623,[1]master_data!$A$2:$E$495,3,FALSE)</f>
        <v>2500</v>
      </c>
      <c r="G1623" s="16">
        <f>VLOOKUP(C1623,[1]master_data!$A$2:$E$495,4,FALSE)</f>
        <v>4000</v>
      </c>
      <c r="H1623" s="16">
        <f>E1623*F1623</f>
        <v>25000</v>
      </c>
      <c r="I1623" s="16">
        <f>E1623*G1623</f>
        <v>40000</v>
      </c>
      <c r="J1623" s="16">
        <f>I1623-H1623</f>
        <v>15000</v>
      </c>
      <c r="K1623" s="16" t="str">
        <f>VLOOKUP(C1623,[1]master_data!$A$2:$E$495,5,FALSE)</f>
        <v>Ikan</v>
      </c>
      <c r="L1623" s="1"/>
    </row>
    <row r="1624" spans="1:12" ht="12" customHeight="1" x14ac:dyDescent="0.25">
      <c r="A1624" s="15">
        <v>45072</v>
      </c>
      <c r="B1624" s="16">
        <v>22300885</v>
      </c>
      <c r="C1624" s="16" t="s">
        <v>65</v>
      </c>
      <c r="D1624" s="16" t="str">
        <f>VLOOKUP(C1624,[1]master_data!$A$2:$E$495,2,FALSE)</f>
        <v>BOX KOSONG JUMBO</v>
      </c>
      <c r="E1624" s="16">
        <v>1</v>
      </c>
      <c r="F1624" s="16">
        <f>VLOOKUP(C1624,[1]master_data!$A$2:$E$495,3,FALSE)</f>
        <v>25000</v>
      </c>
      <c r="G1624" s="16">
        <f>VLOOKUP(C1624,[1]master_data!$A$2:$E$495,4,FALSE)</f>
        <v>45000</v>
      </c>
      <c r="H1624" s="16">
        <f>E1624*F1624</f>
        <v>25000</v>
      </c>
      <c r="I1624" s="16">
        <f>E1624*G1624</f>
        <v>45000</v>
      </c>
      <c r="J1624" s="16">
        <f>I1624-H1624</f>
        <v>20000</v>
      </c>
      <c r="K1624" s="16" t="str">
        <f>VLOOKUP(C1624,[1]master_data!$A$2:$E$495,5,FALSE)</f>
        <v>Aksesoris</v>
      </c>
      <c r="L1624" s="1"/>
    </row>
    <row r="1625" spans="1:12" ht="12" customHeight="1" x14ac:dyDescent="0.25">
      <c r="A1625" s="15">
        <v>45071</v>
      </c>
      <c r="B1625" s="16">
        <v>22300873</v>
      </c>
      <c r="C1625" s="16" t="s">
        <v>397</v>
      </c>
      <c r="D1625" s="16" t="str">
        <f>VLOOKUP(C1625,[1]master_data!$A$2:$E$495,2,FALSE)</f>
        <v>BUENOS AIRES TETRA</v>
      </c>
      <c r="E1625" s="16">
        <v>20</v>
      </c>
      <c r="F1625" s="16">
        <f>VLOOKUP(C1625,[1]master_data!$A$2:$E$495,3,FALSE)</f>
        <v>800</v>
      </c>
      <c r="G1625" s="16">
        <f>VLOOKUP(C1625,[1]master_data!$A$2:$E$495,4,FALSE)</f>
        <v>2000</v>
      </c>
      <c r="H1625" s="16">
        <f>E1625*F1625</f>
        <v>16000</v>
      </c>
      <c r="I1625" s="16">
        <f>E1625*G1625</f>
        <v>40000</v>
      </c>
      <c r="J1625" s="16">
        <f>I1625-H1625</f>
        <v>24000</v>
      </c>
      <c r="K1625" s="16" t="str">
        <f>VLOOKUP(C1625,[1]master_data!$A$2:$E$495,5,FALSE)</f>
        <v>Ikan</v>
      </c>
      <c r="L1625" s="1"/>
    </row>
    <row r="1626" spans="1:12" ht="12" customHeight="1" x14ac:dyDescent="0.25">
      <c r="A1626" s="15">
        <v>45071</v>
      </c>
      <c r="B1626" s="16">
        <v>22300874</v>
      </c>
      <c r="C1626" s="16" t="s">
        <v>72</v>
      </c>
      <c r="D1626" s="16" t="str">
        <f>VLOOKUP(C1626,[1]master_data!$A$2:$E$495,2,FALSE)</f>
        <v>MESIN RESUN 1200</v>
      </c>
      <c r="E1626" s="16">
        <v>1</v>
      </c>
      <c r="F1626" s="16">
        <f>VLOOKUP(C1626,[1]master_data!$A$2:$E$495,3,FALSE)</f>
        <v>55000</v>
      </c>
      <c r="G1626" s="16">
        <f>VLOOKUP(C1626,[1]master_data!$A$2:$E$495,4,FALSE)</f>
        <v>75000</v>
      </c>
      <c r="H1626" s="16">
        <f>E1626*F1626</f>
        <v>55000</v>
      </c>
      <c r="I1626" s="16">
        <f>E1626*G1626</f>
        <v>75000</v>
      </c>
      <c r="J1626" s="16">
        <f>I1626-H1626</f>
        <v>20000</v>
      </c>
      <c r="K1626" s="16" t="str">
        <f>VLOOKUP(C1626,[1]master_data!$A$2:$E$495,5,FALSE)</f>
        <v>Aksesoris</v>
      </c>
      <c r="L1626" s="1"/>
    </row>
    <row r="1627" spans="1:12" ht="12" customHeight="1" x14ac:dyDescent="0.25">
      <c r="A1627" s="15">
        <v>45071</v>
      </c>
      <c r="B1627" s="16">
        <v>22300875</v>
      </c>
      <c r="C1627" s="16" t="s">
        <v>281</v>
      </c>
      <c r="D1627" s="16" t="str">
        <f>VLOOKUP(C1627,[1]master_data!$A$2:$E$495,2,FALSE)</f>
        <v>KRAN 3 W</v>
      </c>
      <c r="E1627" s="16">
        <v>25</v>
      </c>
      <c r="F1627" s="16">
        <f>VLOOKUP(C1627,[1]master_data!$A$2:$E$495,3,FALSE)</f>
        <v>5500</v>
      </c>
      <c r="G1627" s="16">
        <f>VLOOKUP(C1627,[1]master_data!$A$2:$E$495,4,FALSE)</f>
        <v>8000</v>
      </c>
      <c r="H1627" s="16">
        <f>E1627*F1627</f>
        <v>137500</v>
      </c>
      <c r="I1627" s="16">
        <f>E1627*G1627</f>
        <v>200000</v>
      </c>
      <c r="J1627" s="16">
        <f>I1627-H1627</f>
        <v>62500</v>
      </c>
      <c r="K1627" s="16" t="str">
        <f>VLOOKUP(C1627,[1]master_data!$A$2:$E$495,5,FALSE)</f>
        <v>Aksesoris</v>
      </c>
      <c r="L1627" s="1"/>
    </row>
    <row r="1628" spans="1:12" ht="12" customHeight="1" x14ac:dyDescent="0.25">
      <c r="A1628" s="15">
        <v>45071</v>
      </c>
      <c r="B1628" s="16">
        <v>22300876</v>
      </c>
      <c r="C1628" s="16" t="s">
        <v>388</v>
      </c>
      <c r="D1628" s="16" t="str">
        <f>VLOOKUP(C1628,[1]master_data!$A$2:$E$495,2,FALSE)</f>
        <v>CHANNA ASIATICA K</v>
      </c>
      <c r="E1628" s="16">
        <v>1</v>
      </c>
      <c r="F1628" s="16">
        <f>VLOOKUP(C1628,[1]master_data!$A$2:$E$495,3,FALSE)</f>
        <v>10000</v>
      </c>
      <c r="G1628" s="16">
        <f>VLOOKUP(C1628,[1]master_data!$A$2:$E$495,4,FALSE)</f>
        <v>40000</v>
      </c>
      <c r="H1628" s="16">
        <f>E1628*F1628</f>
        <v>10000</v>
      </c>
      <c r="I1628" s="16">
        <f>E1628*G1628</f>
        <v>40000</v>
      </c>
      <c r="J1628" s="16">
        <f>I1628-H1628</f>
        <v>30000</v>
      </c>
      <c r="K1628" s="16" t="str">
        <f>VLOOKUP(C1628,[1]master_data!$A$2:$E$495,5,FALSE)</f>
        <v>Ikan</v>
      </c>
      <c r="L1628" s="1"/>
    </row>
    <row r="1629" spans="1:12" ht="12" customHeight="1" x14ac:dyDescent="0.25">
      <c r="A1629" s="15">
        <v>45071</v>
      </c>
      <c r="B1629" s="16">
        <v>22300877</v>
      </c>
      <c r="C1629" s="16" t="s">
        <v>447</v>
      </c>
      <c r="D1629" s="16" t="str">
        <f>VLOOKUP(C1629,[1]master_data!$A$2:$E$495,2,FALSE)</f>
        <v>CHANNA RED BARITO B</v>
      </c>
      <c r="E1629" s="16">
        <v>1</v>
      </c>
      <c r="F1629" s="16">
        <f>VLOOKUP(C1629,[1]master_data!$A$2:$E$495,3,FALSE)</f>
        <v>120000</v>
      </c>
      <c r="G1629" s="16">
        <f>VLOOKUP(C1629,[1]master_data!$A$2:$E$495,4,FALSE)</f>
        <v>200000</v>
      </c>
      <c r="H1629" s="16">
        <f>E1629*F1629</f>
        <v>120000</v>
      </c>
      <c r="I1629" s="16">
        <f>E1629*G1629</f>
        <v>200000</v>
      </c>
      <c r="J1629" s="16">
        <f>I1629-H1629</f>
        <v>80000</v>
      </c>
      <c r="K1629" s="16" t="str">
        <f>VLOOKUP(C1629,[1]master_data!$A$2:$E$495,5,FALSE)</f>
        <v>Ikan</v>
      </c>
      <c r="L1629" s="1"/>
    </row>
    <row r="1630" spans="1:12" ht="12" customHeight="1" x14ac:dyDescent="0.25">
      <c r="A1630" s="15">
        <v>45071</v>
      </c>
      <c r="B1630" s="16">
        <v>22300878</v>
      </c>
      <c r="C1630" s="16" t="s">
        <v>27</v>
      </c>
      <c r="D1630" s="16" t="str">
        <f>VLOOKUP(C1630,[1]master_data!$A$2:$E$495,2,FALSE)</f>
        <v>MESIN ROSTON 106</v>
      </c>
      <c r="E1630" s="16">
        <v>1</v>
      </c>
      <c r="F1630" s="16">
        <f>VLOOKUP(C1630,[1]master_data!$A$2:$E$495,3,FALSE)</f>
        <v>100000</v>
      </c>
      <c r="G1630" s="16">
        <f>VLOOKUP(C1630,[1]master_data!$A$2:$E$495,4,FALSE)</f>
        <v>150000</v>
      </c>
      <c r="H1630" s="16">
        <f>E1630*F1630</f>
        <v>100000</v>
      </c>
      <c r="I1630" s="16">
        <f>E1630*G1630</f>
        <v>150000</v>
      </c>
      <c r="J1630" s="16">
        <f>I1630-H1630</f>
        <v>50000</v>
      </c>
      <c r="K1630" s="16" t="str">
        <f>VLOOKUP(C1630,[1]master_data!$A$2:$E$495,5,FALSE)</f>
        <v>Aksesoris</v>
      </c>
      <c r="L1630" s="1"/>
    </row>
    <row r="1631" spans="1:12" ht="12" customHeight="1" x14ac:dyDescent="0.25">
      <c r="A1631" s="15">
        <v>45071</v>
      </c>
      <c r="B1631" s="16">
        <v>22300879</v>
      </c>
      <c r="C1631" s="16" t="s">
        <v>411</v>
      </c>
      <c r="D1631" s="16" t="str">
        <f>VLOOKUP(C1631,[1]master_data!$A$2:$E$495,2,FALSE)</f>
        <v>KOKI K</v>
      </c>
      <c r="E1631" s="16">
        <v>27</v>
      </c>
      <c r="F1631" s="16">
        <f>VLOOKUP(C1631,[1]master_data!$A$2:$E$495,3,FALSE)</f>
        <v>3500</v>
      </c>
      <c r="G1631" s="16">
        <f>VLOOKUP(C1631,[1]master_data!$A$2:$E$495,4,FALSE)</f>
        <v>10000</v>
      </c>
      <c r="H1631" s="16">
        <f>E1631*F1631</f>
        <v>94500</v>
      </c>
      <c r="I1631" s="16">
        <f>E1631*G1631</f>
        <v>270000</v>
      </c>
      <c r="J1631" s="16">
        <f>I1631-H1631</f>
        <v>175500</v>
      </c>
      <c r="K1631" s="16" t="str">
        <f>VLOOKUP(C1631,[1]master_data!$A$2:$E$495,5,FALSE)</f>
        <v>Ikan</v>
      </c>
      <c r="L1631" s="1"/>
    </row>
    <row r="1632" spans="1:12" ht="12" customHeight="1" x14ac:dyDescent="0.25">
      <c r="A1632" s="15">
        <v>45070</v>
      </c>
      <c r="B1632" s="16">
        <v>22300868</v>
      </c>
      <c r="C1632" s="16" t="s">
        <v>438</v>
      </c>
      <c r="D1632" s="16" t="str">
        <f>VLOOKUP(C1632,[1]master_data!$A$2:$E$495,2,FALSE)</f>
        <v>OSCAR</v>
      </c>
      <c r="E1632" s="16">
        <v>5</v>
      </c>
      <c r="F1632" s="16">
        <f>VLOOKUP(C1632,[1]master_data!$A$2:$E$495,3,FALSE)</f>
        <v>25000</v>
      </c>
      <c r="G1632" s="16">
        <f>VLOOKUP(C1632,[1]master_data!$A$2:$E$495,4,FALSE)</f>
        <v>50000</v>
      </c>
      <c r="H1632" s="16">
        <f>E1632*F1632</f>
        <v>125000</v>
      </c>
      <c r="I1632" s="16">
        <f>E1632*G1632</f>
        <v>250000</v>
      </c>
      <c r="J1632" s="16">
        <f>I1632-H1632</f>
        <v>125000</v>
      </c>
      <c r="K1632" s="16" t="str">
        <f>VLOOKUP(C1632,[1]master_data!$A$2:$E$495,5,FALSE)</f>
        <v>Ikan</v>
      </c>
      <c r="L1632" s="1"/>
    </row>
    <row r="1633" spans="1:12" ht="12" customHeight="1" x14ac:dyDescent="0.25">
      <c r="A1633" s="15">
        <v>45070</v>
      </c>
      <c r="B1633" s="16">
        <v>22300869</v>
      </c>
      <c r="C1633" s="16" t="s">
        <v>38</v>
      </c>
      <c r="D1633" s="16" t="str">
        <f>VLOOKUP(C1633,[1]master_data!$A$2:$E$495,2,FALSE)</f>
        <v>MESIN YAMANO 104</v>
      </c>
      <c r="E1633" s="16">
        <v>2</v>
      </c>
      <c r="F1633" s="16">
        <f>VLOOKUP(C1633,[1]master_data!$A$2:$E$495,3,FALSE)</f>
        <v>98000</v>
      </c>
      <c r="G1633" s="16">
        <f>VLOOKUP(C1633,[1]master_data!$A$2:$E$495,4,FALSE)</f>
        <v>135000</v>
      </c>
      <c r="H1633" s="16">
        <f>E1633*F1633</f>
        <v>196000</v>
      </c>
      <c r="I1633" s="16">
        <f>E1633*G1633</f>
        <v>270000</v>
      </c>
      <c r="J1633" s="16">
        <f>I1633-H1633</f>
        <v>74000</v>
      </c>
      <c r="K1633" s="16" t="str">
        <f>VLOOKUP(C1633,[1]master_data!$A$2:$E$495,5,FALSE)</f>
        <v>Aksesoris</v>
      </c>
      <c r="L1633" s="1"/>
    </row>
    <row r="1634" spans="1:12" ht="12" customHeight="1" x14ac:dyDescent="0.25">
      <c r="A1634" s="15">
        <v>45070</v>
      </c>
      <c r="B1634" s="16">
        <v>22300870</v>
      </c>
      <c r="C1634" s="16" t="s">
        <v>449</v>
      </c>
      <c r="D1634" s="16" t="str">
        <f>VLOOKUP(C1634,[1]master_data!$A$2:$E$495,2,FALSE)</f>
        <v>SUMATRA GOLD FISH</v>
      </c>
      <c r="E1634" s="16">
        <v>50</v>
      </c>
      <c r="F1634" s="16">
        <f>VLOOKUP(C1634,[1]master_data!$A$2:$E$495,3,FALSE)</f>
        <v>2500</v>
      </c>
      <c r="G1634" s="16">
        <f>VLOOKUP(C1634,[1]master_data!$A$2:$E$495,4,FALSE)</f>
        <v>4000</v>
      </c>
      <c r="H1634" s="16">
        <f>E1634*F1634</f>
        <v>125000</v>
      </c>
      <c r="I1634" s="16">
        <f>E1634*G1634</f>
        <v>200000</v>
      </c>
      <c r="J1634" s="16">
        <f>I1634-H1634</f>
        <v>75000</v>
      </c>
      <c r="K1634" s="16" t="str">
        <f>VLOOKUP(C1634,[1]master_data!$A$2:$E$495,5,FALSE)</f>
        <v>Ikan</v>
      </c>
      <c r="L1634" s="1"/>
    </row>
    <row r="1635" spans="1:12" ht="12" customHeight="1" x14ac:dyDescent="0.25">
      <c r="A1635" s="15">
        <v>45070</v>
      </c>
      <c r="B1635" s="16">
        <v>22300871</v>
      </c>
      <c r="C1635" s="16" t="s">
        <v>16</v>
      </c>
      <c r="D1635" s="16" t="str">
        <f>VLOOKUP(C1635,[1]master_data!$A$2:$E$495,2,FALSE)</f>
        <v>HANG ON YANG 502</v>
      </c>
      <c r="E1635" s="16">
        <v>8</v>
      </c>
      <c r="F1635" s="16">
        <f>VLOOKUP(C1635,[1]master_data!$A$2:$E$495,3,FALSE)</f>
        <v>71000</v>
      </c>
      <c r="G1635" s="16">
        <f>VLOOKUP(C1635,[1]master_data!$A$2:$E$495,4,FALSE)</f>
        <v>95000</v>
      </c>
      <c r="H1635" s="16">
        <f>E1635*F1635</f>
        <v>568000</v>
      </c>
      <c r="I1635" s="16">
        <f>E1635*G1635</f>
        <v>760000</v>
      </c>
      <c r="J1635" s="16">
        <f>I1635-H1635</f>
        <v>192000</v>
      </c>
      <c r="K1635" s="16" t="str">
        <f>VLOOKUP(C1635,[1]master_data!$A$2:$E$495,5,FALSE)</f>
        <v>Aksesoris</v>
      </c>
      <c r="L1635" s="1"/>
    </row>
    <row r="1636" spans="1:12" ht="12" customHeight="1" x14ac:dyDescent="0.25">
      <c r="A1636" s="15">
        <v>45070</v>
      </c>
      <c r="B1636" s="16">
        <v>22300872</v>
      </c>
      <c r="C1636" s="16" t="s">
        <v>456</v>
      </c>
      <c r="D1636" s="16" t="str">
        <f>VLOOKUP(C1636,[1]master_data!$A$2:$E$495,2,FALSE)</f>
        <v>ZEBRA HIJAU</v>
      </c>
      <c r="E1636" s="16">
        <v>17</v>
      </c>
      <c r="F1636" s="16">
        <f>VLOOKUP(C1636,[1]master_data!$A$2:$E$495,3,FALSE)</f>
        <v>800</v>
      </c>
      <c r="G1636" s="16">
        <f>VLOOKUP(C1636,[1]master_data!$A$2:$E$495,4,FALSE)</f>
        <v>2000</v>
      </c>
      <c r="H1636" s="16">
        <f>E1636*F1636</f>
        <v>13600</v>
      </c>
      <c r="I1636" s="16">
        <f>E1636*G1636</f>
        <v>34000</v>
      </c>
      <c r="J1636" s="16">
        <f>I1636-H1636</f>
        <v>20400</v>
      </c>
      <c r="K1636" s="16" t="str">
        <f>VLOOKUP(C1636,[1]master_data!$A$2:$E$495,5,FALSE)</f>
        <v>Ikan</v>
      </c>
      <c r="L1636" s="1"/>
    </row>
    <row r="1637" spans="1:12" ht="12" customHeight="1" x14ac:dyDescent="0.25">
      <c r="A1637" s="15">
        <v>45069</v>
      </c>
      <c r="B1637" s="16">
        <v>22300859</v>
      </c>
      <c r="C1637" s="16" t="s">
        <v>176</v>
      </c>
      <c r="D1637" s="16" t="str">
        <f>VLOOKUP(C1637,[1]master_data!$A$2:$E$495,2,FALSE)</f>
        <v>LED ARMADA 3 BRS AP 400</v>
      </c>
      <c r="E1637" s="16">
        <v>2</v>
      </c>
      <c r="F1637" s="16">
        <f>VLOOKUP(C1637,[1]master_data!$A$2:$E$495,3,FALSE)</f>
        <v>45000</v>
      </c>
      <c r="G1637" s="16">
        <f>VLOOKUP(C1637,[1]master_data!$A$2:$E$495,4,FALSE)</f>
        <v>70000</v>
      </c>
      <c r="H1637" s="16">
        <f>E1637*F1637</f>
        <v>90000</v>
      </c>
      <c r="I1637" s="16">
        <f>E1637*G1637</f>
        <v>140000</v>
      </c>
      <c r="J1637" s="16">
        <f>I1637-H1637</f>
        <v>50000</v>
      </c>
      <c r="K1637" s="16" t="str">
        <f>VLOOKUP(C1637,[1]master_data!$A$2:$E$495,5,FALSE)</f>
        <v>Aksesoris</v>
      </c>
      <c r="L1637" s="1"/>
    </row>
    <row r="1638" spans="1:12" ht="12" customHeight="1" x14ac:dyDescent="0.25">
      <c r="A1638" s="15">
        <v>45069</v>
      </c>
      <c r="B1638" s="16">
        <v>22300860</v>
      </c>
      <c r="C1638" s="16" t="s">
        <v>167</v>
      </c>
      <c r="D1638" s="16" t="str">
        <f>VLOOKUP(C1638,[1]master_data!$A$2:$E$495,2,FALSE)</f>
        <v>LED RECENT ATAS 3 MODE 80 CM</v>
      </c>
      <c r="E1638" s="16">
        <v>1</v>
      </c>
      <c r="F1638" s="16">
        <f>VLOOKUP(C1638,[1]master_data!$A$2:$E$495,3,FALSE)</f>
        <v>88000</v>
      </c>
      <c r="G1638" s="16">
        <f>VLOOKUP(C1638,[1]master_data!$A$2:$E$495,4,FALSE)</f>
        <v>130000</v>
      </c>
      <c r="H1638" s="16">
        <f>E1638*F1638</f>
        <v>88000</v>
      </c>
      <c r="I1638" s="16">
        <f>E1638*G1638</f>
        <v>130000</v>
      </c>
      <c r="J1638" s="16">
        <f>I1638-H1638</f>
        <v>42000</v>
      </c>
      <c r="K1638" s="16" t="str">
        <f>VLOOKUP(C1638,[1]master_data!$A$2:$E$495,5,FALSE)</f>
        <v>Aksesoris</v>
      </c>
      <c r="L1638" s="1"/>
    </row>
    <row r="1639" spans="1:12" ht="12" customHeight="1" x14ac:dyDescent="0.25">
      <c r="A1639" s="15">
        <v>45069</v>
      </c>
      <c r="B1639" s="16">
        <v>22300861</v>
      </c>
      <c r="C1639" s="16" t="s">
        <v>440</v>
      </c>
      <c r="D1639" s="16" t="str">
        <f>VLOOKUP(C1639,[1]master_data!$A$2:$E$495,2,FALSE)</f>
        <v>PEMBERSIH KACA ALBINO</v>
      </c>
      <c r="E1639" s="16">
        <v>30</v>
      </c>
      <c r="F1639" s="16">
        <f>VLOOKUP(C1639,[1]master_data!$A$2:$E$495,3,FALSE)</f>
        <v>2500</v>
      </c>
      <c r="G1639" s="16">
        <f>VLOOKUP(C1639,[1]master_data!$A$2:$E$495,4,FALSE)</f>
        <v>5000</v>
      </c>
      <c r="H1639" s="16">
        <f>E1639*F1639</f>
        <v>75000</v>
      </c>
      <c r="I1639" s="16">
        <f>E1639*G1639</f>
        <v>150000</v>
      </c>
      <c r="J1639" s="16">
        <f>I1639-H1639</f>
        <v>75000</v>
      </c>
      <c r="K1639" s="16" t="str">
        <f>VLOOKUP(C1639,[1]master_data!$A$2:$E$495,5,FALSE)</f>
        <v>Ikan</v>
      </c>
      <c r="L1639" s="1"/>
    </row>
    <row r="1640" spans="1:12" ht="12" customHeight="1" x14ac:dyDescent="0.25">
      <c r="A1640" s="15">
        <v>45069</v>
      </c>
      <c r="B1640" s="16">
        <v>22300862</v>
      </c>
      <c r="C1640" s="16" t="s">
        <v>442</v>
      </c>
      <c r="D1640" s="16" t="str">
        <f>VLOOKUP(C1640,[1]master_data!$A$2:$E$495,2,FALSE)</f>
        <v>PARROT</v>
      </c>
      <c r="E1640" s="16">
        <v>1</v>
      </c>
      <c r="F1640" s="16">
        <f>VLOOKUP(C1640,[1]master_data!$A$2:$E$495,3,FALSE)</f>
        <v>27000</v>
      </c>
      <c r="G1640" s="16">
        <f>VLOOKUP(C1640,[1]master_data!$A$2:$E$495,4,FALSE)</f>
        <v>60000</v>
      </c>
      <c r="H1640" s="16">
        <f>E1640*F1640</f>
        <v>27000</v>
      </c>
      <c r="I1640" s="16">
        <f>E1640*G1640</f>
        <v>60000</v>
      </c>
      <c r="J1640" s="16">
        <f>I1640-H1640</f>
        <v>33000</v>
      </c>
      <c r="K1640" s="16" t="str">
        <f>VLOOKUP(C1640,[1]master_data!$A$2:$E$495,5,FALSE)</f>
        <v>Ikan</v>
      </c>
      <c r="L1640" s="1"/>
    </row>
    <row r="1641" spans="1:12" ht="12" customHeight="1" x14ac:dyDescent="0.25">
      <c r="A1641" s="15">
        <v>45069</v>
      </c>
      <c r="B1641" s="16">
        <v>22300863</v>
      </c>
      <c r="C1641" s="16" t="s">
        <v>387</v>
      </c>
      <c r="D1641" s="16" t="str">
        <f>VLOOKUP(C1641,[1]master_data!$A$2:$E$495,2,FALSE)</f>
        <v>BATU ALAM K</v>
      </c>
      <c r="E1641" s="16">
        <v>15</v>
      </c>
      <c r="F1641" s="16">
        <f>VLOOKUP(C1641,[1]master_data!$A$2:$E$495,3,FALSE)</f>
        <v>5000</v>
      </c>
      <c r="G1641" s="16">
        <f>VLOOKUP(C1641,[1]master_data!$A$2:$E$495,4,FALSE)</f>
        <v>10000</v>
      </c>
      <c r="H1641" s="16">
        <f>E1641*F1641</f>
        <v>75000</v>
      </c>
      <c r="I1641" s="16">
        <f>E1641*G1641</f>
        <v>150000</v>
      </c>
      <c r="J1641" s="16">
        <f>I1641-H1641</f>
        <v>75000</v>
      </c>
      <c r="K1641" s="16" t="str">
        <f>VLOOKUP(C1641,[1]master_data!$A$2:$E$495,5,FALSE)</f>
        <v>Aksesoris</v>
      </c>
      <c r="L1641" s="1"/>
    </row>
    <row r="1642" spans="1:12" ht="12" customHeight="1" x14ac:dyDescent="0.25">
      <c r="A1642" s="15">
        <v>45069</v>
      </c>
      <c r="B1642" s="16">
        <v>22300864</v>
      </c>
      <c r="C1642" s="16" t="s">
        <v>437</v>
      </c>
      <c r="D1642" s="16" t="str">
        <f>VLOOKUP(C1642,[1]master_data!$A$2:$E$495,2,FALSE)</f>
        <v>NEON</v>
      </c>
      <c r="E1642" s="16">
        <v>25</v>
      </c>
      <c r="F1642" s="16">
        <f>VLOOKUP(C1642,[1]master_data!$A$2:$E$495,3,FALSE)</f>
        <v>1250</v>
      </c>
      <c r="G1642" s="16">
        <f>VLOOKUP(C1642,[1]master_data!$A$2:$E$495,4,FALSE)</f>
        <v>5000</v>
      </c>
      <c r="H1642" s="16">
        <f>E1642*F1642</f>
        <v>31250</v>
      </c>
      <c r="I1642" s="16">
        <f>E1642*G1642</f>
        <v>125000</v>
      </c>
      <c r="J1642" s="16">
        <f>I1642-H1642</f>
        <v>93750</v>
      </c>
      <c r="K1642" s="16" t="str">
        <f>VLOOKUP(C1642,[1]master_data!$A$2:$E$495,5,FALSE)</f>
        <v>Ikan</v>
      </c>
      <c r="L1642" s="1"/>
    </row>
    <row r="1643" spans="1:12" ht="12" customHeight="1" x14ac:dyDescent="0.25">
      <c r="A1643" s="15">
        <v>45069</v>
      </c>
      <c r="B1643" s="16">
        <v>22300865</v>
      </c>
      <c r="C1643" s="16" t="s">
        <v>55</v>
      </c>
      <c r="D1643" s="16" t="str">
        <f>VLOOKUP(C1643,[1]master_data!$A$2:$E$495,2,FALSE)</f>
        <v>MESIN RECENT 203</v>
      </c>
      <c r="E1643" s="16">
        <v>2</v>
      </c>
      <c r="F1643" s="16">
        <f>VLOOKUP(C1643,[1]master_data!$A$2:$E$495,3,FALSE)</f>
        <v>43500</v>
      </c>
      <c r="G1643" s="16">
        <f>VLOOKUP(C1643,[1]master_data!$A$2:$E$495,4,FALSE)</f>
        <v>70000</v>
      </c>
      <c r="H1643" s="16">
        <f>E1643*F1643</f>
        <v>87000</v>
      </c>
      <c r="I1643" s="16">
        <f>E1643*G1643</f>
        <v>140000</v>
      </c>
      <c r="J1643" s="16">
        <f>I1643-H1643</f>
        <v>53000</v>
      </c>
      <c r="K1643" s="16" t="str">
        <f>VLOOKUP(C1643,[1]master_data!$A$2:$E$495,5,FALSE)</f>
        <v>Aksesoris</v>
      </c>
      <c r="L1643" s="1"/>
    </row>
    <row r="1644" spans="1:12" ht="12" customHeight="1" x14ac:dyDescent="0.25">
      <c r="A1644" s="15">
        <v>45069</v>
      </c>
      <c r="B1644" s="16">
        <v>22300866</v>
      </c>
      <c r="C1644" s="16" t="s">
        <v>115</v>
      </c>
      <c r="D1644" s="16" t="str">
        <f>VLOOKUP(C1644,[1]master_data!$A$2:$E$495,2,FALSE)</f>
        <v>AIRATOR  YANG LUB 2</v>
      </c>
      <c r="E1644" s="16">
        <v>2</v>
      </c>
      <c r="F1644" s="16">
        <f>VLOOKUP(C1644,[1]master_data!$A$2:$E$495,3,FALSE)</f>
        <v>26500</v>
      </c>
      <c r="G1644" s="16">
        <f>VLOOKUP(C1644,[1]master_data!$A$2:$E$495,4,FALSE)</f>
        <v>50000</v>
      </c>
      <c r="H1644" s="16">
        <f>E1644*F1644</f>
        <v>53000</v>
      </c>
      <c r="I1644" s="16">
        <f>E1644*G1644</f>
        <v>100000</v>
      </c>
      <c r="J1644" s="16">
        <f>I1644-H1644</f>
        <v>47000</v>
      </c>
      <c r="K1644" s="16" t="str">
        <f>VLOOKUP(C1644,[1]master_data!$A$2:$E$495,5,FALSE)</f>
        <v>Aksesoris</v>
      </c>
      <c r="L1644" s="1"/>
    </row>
    <row r="1645" spans="1:12" ht="12" customHeight="1" x14ac:dyDescent="0.25">
      <c r="A1645" s="15">
        <v>45069</v>
      </c>
      <c r="B1645" s="16">
        <v>22300867</v>
      </c>
      <c r="C1645" s="16" t="s">
        <v>219</v>
      </c>
      <c r="D1645" s="16" t="str">
        <f>VLOOKUP(C1645,[1]master_data!$A$2:$E$495,2,FALSE)</f>
        <v>CP KOI GROWTH</v>
      </c>
      <c r="E1645" s="16">
        <v>1</v>
      </c>
      <c r="F1645" s="16">
        <f>VLOOKUP(C1645,[1]master_data!$A$2:$E$495,3,FALSE)</f>
        <v>38000</v>
      </c>
      <c r="G1645" s="16">
        <f>VLOOKUP(C1645,[1]master_data!$A$2:$E$495,4,FALSE)</f>
        <v>50000</v>
      </c>
      <c r="H1645" s="16">
        <f>E1645*F1645</f>
        <v>38000</v>
      </c>
      <c r="I1645" s="16">
        <f>E1645*G1645</f>
        <v>50000</v>
      </c>
      <c r="J1645" s="16">
        <f>I1645-H1645</f>
        <v>12000</v>
      </c>
      <c r="K1645" s="16" t="str">
        <f>VLOOKUP(C1645,[1]master_data!$A$2:$E$495,5,FALSE)</f>
        <v>Aksesoris</v>
      </c>
      <c r="L1645" s="1"/>
    </row>
    <row r="1646" spans="1:12" ht="12" customHeight="1" x14ac:dyDescent="0.25">
      <c r="A1646" s="15">
        <v>45068</v>
      </c>
      <c r="B1646" s="16">
        <v>22300854</v>
      </c>
      <c r="C1646" s="16" t="s">
        <v>398</v>
      </c>
      <c r="D1646" s="16" t="str">
        <f>VLOOKUP(C1646,[1]master_data!$A$2:$E$495,2,FALSE)</f>
        <v>BALA BALA K</v>
      </c>
      <c r="E1646" s="16">
        <v>20</v>
      </c>
      <c r="F1646" s="16">
        <f>VLOOKUP(C1646,[1]master_data!$A$2:$E$495,3,FALSE)</f>
        <v>4000</v>
      </c>
      <c r="G1646" s="16">
        <f>VLOOKUP(C1646,[1]master_data!$A$2:$E$495,4,FALSE)</f>
        <v>8000</v>
      </c>
      <c r="H1646" s="16">
        <f>E1646*F1646</f>
        <v>80000</v>
      </c>
      <c r="I1646" s="16">
        <f>E1646*G1646</f>
        <v>160000</v>
      </c>
      <c r="J1646" s="16">
        <f>I1646-H1646</f>
        <v>80000</v>
      </c>
      <c r="K1646" s="16" t="str">
        <f>VLOOKUP(C1646,[1]master_data!$A$2:$E$495,5,FALSE)</f>
        <v>Ikan</v>
      </c>
      <c r="L1646" s="1"/>
    </row>
    <row r="1647" spans="1:12" ht="12" customHeight="1" x14ac:dyDescent="0.25">
      <c r="A1647" s="15">
        <v>45068</v>
      </c>
      <c r="B1647" s="16">
        <v>22300855</v>
      </c>
      <c r="C1647" s="16" t="s">
        <v>452</v>
      </c>
      <c r="D1647" s="16" t="str">
        <f>VLOOKUP(C1647,[1]master_data!$A$2:$E$495,2,FALSE)</f>
        <v>SYNODONTI B</v>
      </c>
      <c r="E1647" s="16">
        <v>30</v>
      </c>
      <c r="F1647" s="16">
        <f>VLOOKUP(C1647,[1]master_data!$A$2:$E$495,3,FALSE)</f>
        <v>4000</v>
      </c>
      <c r="G1647" s="16">
        <f>VLOOKUP(C1647,[1]master_data!$A$2:$E$495,4,FALSE)</f>
        <v>10000</v>
      </c>
      <c r="H1647" s="16">
        <f>E1647*F1647</f>
        <v>120000</v>
      </c>
      <c r="I1647" s="16">
        <f>E1647*G1647</f>
        <v>300000</v>
      </c>
      <c r="J1647" s="16">
        <f>I1647-H1647</f>
        <v>180000</v>
      </c>
      <c r="K1647" s="16" t="str">
        <f>VLOOKUP(C1647,[1]master_data!$A$2:$E$495,5,FALSE)</f>
        <v>Ikan</v>
      </c>
      <c r="L1647" s="1"/>
    </row>
    <row r="1648" spans="1:12" ht="12" customHeight="1" x14ac:dyDescent="0.25">
      <c r="A1648" s="15">
        <v>45068</v>
      </c>
      <c r="B1648" s="16">
        <v>22300856</v>
      </c>
      <c r="C1648" s="16" t="s">
        <v>424</v>
      </c>
      <c r="D1648" s="16" t="str">
        <f>VLOOKUP(C1648,[1]master_data!$A$2:$E$495,2,FALSE)</f>
        <v>DISCUS</v>
      </c>
      <c r="E1648" s="16">
        <v>2</v>
      </c>
      <c r="F1648" s="16">
        <f>VLOOKUP(C1648,[1]master_data!$A$2:$E$495,3,FALSE)</f>
        <v>50000</v>
      </c>
      <c r="G1648" s="16">
        <f>VLOOKUP(C1648,[1]master_data!$A$2:$E$495,4,FALSE)</f>
        <v>150000</v>
      </c>
      <c r="H1648" s="16">
        <f>E1648*F1648</f>
        <v>100000</v>
      </c>
      <c r="I1648" s="16">
        <f>E1648*G1648</f>
        <v>300000</v>
      </c>
      <c r="J1648" s="16">
        <f>I1648-H1648</f>
        <v>200000</v>
      </c>
      <c r="K1648" s="16" t="str">
        <f>VLOOKUP(C1648,[1]master_data!$A$2:$E$495,5,FALSE)</f>
        <v>Ikan</v>
      </c>
      <c r="L1648" s="1"/>
    </row>
    <row r="1649" spans="1:12" ht="12" customHeight="1" x14ac:dyDescent="0.25">
      <c r="A1649" s="15">
        <v>45068</v>
      </c>
      <c r="B1649" s="16">
        <v>22300857</v>
      </c>
      <c r="C1649" s="16" t="s">
        <v>422</v>
      </c>
      <c r="D1649" s="16" t="str">
        <f>VLOOKUP(C1649,[1]master_data!$A$2:$E$495,2,FALSE)</f>
        <v>KOI SLAYER B</v>
      </c>
      <c r="E1649" s="16">
        <v>1</v>
      </c>
      <c r="F1649" s="16">
        <f>VLOOKUP(C1649,[1]master_data!$A$2:$E$495,3,FALSE)</f>
        <v>8000</v>
      </c>
      <c r="G1649" s="16">
        <f>VLOOKUP(C1649,[1]master_data!$A$2:$E$495,4,FALSE)</f>
        <v>20000</v>
      </c>
      <c r="H1649" s="16">
        <f>E1649*F1649</f>
        <v>8000</v>
      </c>
      <c r="I1649" s="16">
        <f>E1649*G1649</f>
        <v>20000</v>
      </c>
      <c r="J1649" s="16">
        <f>I1649-H1649</f>
        <v>12000</v>
      </c>
      <c r="K1649" s="16" t="str">
        <f>VLOOKUP(C1649,[1]master_data!$A$2:$E$495,5,FALSE)</f>
        <v>Ikan</v>
      </c>
      <c r="L1649" s="1"/>
    </row>
    <row r="1650" spans="1:12" ht="12" customHeight="1" x14ac:dyDescent="0.25">
      <c r="A1650" s="15">
        <v>45068</v>
      </c>
      <c r="B1650" s="16">
        <v>22300858</v>
      </c>
      <c r="C1650" s="16" t="s">
        <v>278</v>
      </c>
      <c r="D1650" s="16" t="str">
        <f>VLOOKUP(C1650,[1]master_data!$A$2:$E$495,2,FALSE)</f>
        <v>HEATER STENLEES 100 W</v>
      </c>
      <c r="E1650" s="16">
        <v>1</v>
      </c>
      <c r="F1650" s="16">
        <f>VLOOKUP(C1650,[1]master_data!$A$2:$E$495,3,FALSE)</f>
        <v>56000</v>
      </c>
      <c r="G1650" s="16">
        <f>VLOOKUP(C1650,[1]master_data!$A$2:$E$495,4,FALSE)</f>
        <v>85000</v>
      </c>
      <c r="H1650" s="16">
        <f>E1650*F1650</f>
        <v>56000</v>
      </c>
      <c r="I1650" s="16">
        <f>E1650*G1650</f>
        <v>85000</v>
      </c>
      <c r="J1650" s="16">
        <f>I1650-H1650</f>
        <v>29000</v>
      </c>
      <c r="K1650" s="16" t="str">
        <f>VLOOKUP(C1650,[1]master_data!$A$2:$E$495,5,FALSE)</f>
        <v>Aksesoris</v>
      </c>
      <c r="L1650" s="1"/>
    </row>
    <row r="1651" spans="1:12" ht="12" customHeight="1" x14ac:dyDescent="0.25">
      <c r="A1651" s="15">
        <v>45067</v>
      </c>
      <c r="B1651" s="16">
        <v>22300845</v>
      </c>
      <c r="C1651" s="16" t="s">
        <v>81</v>
      </c>
      <c r="D1651" s="16" t="str">
        <f>VLOOKUP(C1651,[1]master_data!$A$2:$E$495,2,FALSE)</f>
        <v>MESIN KIYOSAKI 105B</v>
      </c>
      <c r="E1651" s="16">
        <v>1</v>
      </c>
      <c r="F1651" s="16">
        <f>VLOOKUP(C1651,[1]master_data!$A$2:$E$495,3,FALSE)</f>
        <v>110000</v>
      </c>
      <c r="G1651" s="16">
        <f>VLOOKUP(C1651,[1]master_data!$A$2:$E$495,4,FALSE)</f>
        <v>160000</v>
      </c>
      <c r="H1651" s="16">
        <f>E1651*F1651</f>
        <v>110000</v>
      </c>
      <c r="I1651" s="16">
        <f>E1651*G1651</f>
        <v>160000</v>
      </c>
      <c r="J1651" s="16">
        <f>I1651-H1651</f>
        <v>50000</v>
      </c>
      <c r="K1651" s="16" t="str">
        <f>VLOOKUP(C1651,[1]master_data!$A$2:$E$495,5,FALSE)</f>
        <v>Aksesoris</v>
      </c>
      <c r="L1651" s="1"/>
    </row>
    <row r="1652" spans="1:12" ht="12" customHeight="1" x14ac:dyDescent="0.25">
      <c r="A1652" s="15">
        <v>45067</v>
      </c>
      <c r="B1652" s="16">
        <v>22300846</v>
      </c>
      <c r="C1652" s="16" t="s">
        <v>116</v>
      </c>
      <c r="D1652" s="16" t="str">
        <f>VLOOKUP(C1652,[1]master_data!$A$2:$E$495,2,FALSE)</f>
        <v>AIRATOR ROSTON LUB 1</v>
      </c>
      <c r="E1652" s="16">
        <v>10</v>
      </c>
      <c r="F1652" s="16">
        <f>VLOOKUP(C1652,[1]master_data!$A$2:$E$495,3,FALSE)</f>
        <v>20000</v>
      </c>
      <c r="G1652" s="16">
        <f>VLOOKUP(C1652,[1]master_data!$A$2:$E$495,4,FALSE)</f>
        <v>30000</v>
      </c>
      <c r="H1652" s="16">
        <f>E1652*F1652</f>
        <v>200000</v>
      </c>
      <c r="I1652" s="16">
        <f>E1652*G1652</f>
        <v>300000</v>
      </c>
      <c r="J1652" s="16">
        <f>I1652-H1652</f>
        <v>100000</v>
      </c>
      <c r="K1652" s="16" t="str">
        <f>VLOOKUP(C1652,[1]master_data!$A$2:$E$495,5,FALSE)</f>
        <v>Aksesoris</v>
      </c>
      <c r="L1652" s="1"/>
    </row>
    <row r="1653" spans="1:12" ht="12" customHeight="1" x14ac:dyDescent="0.25">
      <c r="A1653" s="15">
        <v>45067</v>
      </c>
      <c r="B1653" s="16">
        <v>22300847</v>
      </c>
      <c r="C1653" s="16" t="s">
        <v>425</v>
      </c>
      <c r="D1653" s="16" t="str">
        <f>VLOOKUP(C1653,[1]master_data!$A$2:$E$495,2,FALSE)</f>
        <v>LEMON</v>
      </c>
      <c r="E1653" s="16">
        <v>10</v>
      </c>
      <c r="F1653" s="16">
        <f>VLOOKUP(C1653,[1]master_data!$A$2:$E$495,3,FALSE)</f>
        <v>1000</v>
      </c>
      <c r="G1653" s="16">
        <f>VLOOKUP(C1653,[1]master_data!$A$2:$E$495,4,FALSE)</f>
        <v>2000</v>
      </c>
      <c r="H1653" s="16">
        <f>E1653*F1653</f>
        <v>10000</v>
      </c>
      <c r="I1653" s="16">
        <f>E1653*G1653</f>
        <v>20000</v>
      </c>
      <c r="J1653" s="16">
        <f>I1653-H1653</f>
        <v>10000</v>
      </c>
      <c r="K1653" s="16" t="str">
        <f>VLOOKUP(C1653,[1]master_data!$A$2:$E$495,5,FALSE)</f>
        <v>Ikan</v>
      </c>
      <c r="L1653" s="1"/>
    </row>
    <row r="1654" spans="1:12" ht="12" customHeight="1" x14ac:dyDescent="0.25">
      <c r="A1654" s="15">
        <v>45067</v>
      </c>
      <c r="B1654" s="16">
        <v>22300848</v>
      </c>
      <c r="C1654" s="16" t="s">
        <v>107</v>
      </c>
      <c r="D1654" s="16" t="str">
        <f>VLOOKUP(C1654,[1]master_data!$A$2:$E$495,2,FALSE)</f>
        <v>AIRATOR NIKITA LUB 1</v>
      </c>
      <c r="E1654" s="16">
        <v>5</v>
      </c>
      <c r="F1654" s="16">
        <f>VLOOKUP(C1654,[1]master_data!$A$2:$E$495,3,FALSE)</f>
        <v>20500</v>
      </c>
      <c r="G1654" s="16">
        <f>VLOOKUP(C1654,[1]master_data!$A$2:$E$495,4,FALSE)</f>
        <v>30000</v>
      </c>
      <c r="H1654" s="16">
        <f>E1654*F1654</f>
        <v>102500</v>
      </c>
      <c r="I1654" s="16">
        <f>E1654*G1654</f>
        <v>150000</v>
      </c>
      <c r="J1654" s="16">
        <f>I1654-H1654</f>
        <v>47500</v>
      </c>
      <c r="K1654" s="16" t="str">
        <f>VLOOKUP(C1654,[1]master_data!$A$2:$E$495,5,FALSE)</f>
        <v>Aksesoris</v>
      </c>
      <c r="L1654" s="1"/>
    </row>
    <row r="1655" spans="1:12" ht="12" customHeight="1" x14ac:dyDescent="0.25">
      <c r="A1655" s="15">
        <v>45067</v>
      </c>
      <c r="B1655" s="16">
        <v>22300849</v>
      </c>
      <c r="C1655" s="16" t="s">
        <v>452</v>
      </c>
      <c r="D1655" s="16" t="str">
        <f>VLOOKUP(C1655,[1]master_data!$A$2:$E$495,2,FALSE)</f>
        <v>SYNODONTI B</v>
      </c>
      <c r="E1655" s="16">
        <v>10</v>
      </c>
      <c r="F1655" s="16">
        <f>VLOOKUP(C1655,[1]master_data!$A$2:$E$495,3,FALSE)</f>
        <v>4000</v>
      </c>
      <c r="G1655" s="16">
        <f>VLOOKUP(C1655,[1]master_data!$A$2:$E$495,4,FALSE)</f>
        <v>10000</v>
      </c>
      <c r="H1655" s="16">
        <f>E1655*F1655</f>
        <v>40000</v>
      </c>
      <c r="I1655" s="16">
        <f>E1655*G1655</f>
        <v>100000</v>
      </c>
      <c r="J1655" s="16">
        <f>I1655-H1655</f>
        <v>60000</v>
      </c>
      <c r="K1655" s="16" t="str">
        <f>VLOOKUP(C1655,[1]master_data!$A$2:$E$495,5,FALSE)</f>
        <v>Ikan</v>
      </c>
      <c r="L1655" s="1"/>
    </row>
    <row r="1656" spans="1:12" ht="12" customHeight="1" x14ac:dyDescent="0.25">
      <c r="A1656" s="15">
        <v>45067</v>
      </c>
      <c r="B1656" s="16">
        <v>22300850</v>
      </c>
      <c r="C1656" s="16" t="s">
        <v>404</v>
      </c>
      <c r="D1656" s="16" t="str">
        <f>VLOOKUP(C1656,[1]master_data!$A$2:$E$495,2,FALSE)</f>
        <v>BARBIR</v>
      </c>
      <c r="E1656" s="16">
        <v>20</v>
      </c>
      <c r="F1656" s="16">
        <f>VLOOKUP(C1656,[1]master_data!$A$2:$E$495,3,FALSE)</f>
        <v>800</v>
      </c>
      <c r="G1656" s="16">
        <f>VLOOKUP(C1656,[1]master_data!$A$2:$E$495,4,FALSE)</f>
        <v>2000</v>
      </c>
      <c r="H1656" s="16">
        <f>E1656*F1656</f>
        <v>16000</v>
      </c>
      <c r="I1656" s="16">
        <f>E1656*G1656</f>
        <v>40000</v>
      </c>
      <c r="J1656" s="16">
        <f>I1656-H1656</f>
        <v>24000</v>
      </c>
      <c r="K1656" s="16" t="str">
        <f>VLOOKUP(C1656,[1]master_data!$A$2:$E$495,5,FALSE)</f>
        <v>Ikan</v>
      </c>
      <c r="L1656" s="1"/>
    </row>
    <row r="1657" spans="1:12" ht="12" customHeight="1" x14ac:dyDescent="0.25">
      <c r="A1657" s="15">
        <v>45067</v>
      </c>
      <c r="B1657" s="16">
        <v>22300851</v>
      </c>
      <c r="C1657" s="16" t="s">
        <v>72</v>
      </c>
      <c r="D1657" s="16" t="str">
        <f>VLOOKUP(C1657,[1]master_data!$A$2:$E$495,2,FALSE)</f>
        <v>MESIN RESUN 1200</v>
      </c>
      <c r="E1657" s="16">
        <v>8</v>
      </c>
      <c r="F1657" s="16">
        <f>VLOOKUP(C1657,[1]master_data!$A$2:$E$495,3,FALSE)</f>
        <v>55000</v>
      </c>
      <c r="G1657" s="16">
        <f>VLOOKUP(C1657,[1]master_data!$A$2:$E$495,4,FALSE)</f>
        <v>75000</v>
      </c>
      <c r="H1657" s="16">
        <f>E1657*F1657</f>
        <v>440000</v>
      </c>
      <c r="I1657" s="16">
        <f>E1657*G1657</f>
        <v>600000</v>
      </c>
      <c r="J1657" s="16">
        <f>I1657-H1657</f>
        <v>160000</v>
      </c>
      <c r="K1657" s="16" t="str">
        <f>VLOOKUP(C1657,[1]master_data!$A$2:$E$495,5,FALSE)</f>
        <v>Aksesoris</v>
      </c>
      <c r="L1657" s="1"/>
    </row>
    <row r="1658" spans="1:12" ht="12" customHeight="1" x14ac:dyDescent="0.25">
      <c r="A1658" s="15">
        <v>45067</v>
      </c>
      <c r="B1658" s="16">
        <v>22300852</v>
      </c>
      <c r="C1658" s="16" t="s">
        <v>405</v>
      </c>
      <c r="D1658" s="16" t="str">
        <f>VLOOKUP(C1658,[1]master_data!$A$2:$E$495,2,FALSE)</f>
        <v>CUPANG</v>
      </c>
      <c r="E1658" s="16">
        <v>3</v>
      </c>
      <c r="F1658" s="16">
        <f>VLOOKUP(C1658,[1]master_data!$A$2:$E$495,3,FALSE)</f>
        <v>2000</v>
      </c>
      <c r="G1658" s="16">
        <f>VLOOKUP(C1658,[1]master_data!$A$2:$E$495,4,FALSE)</f>
        <v>5000</v>
      </c>
      <c r="H1658" s="16">
        <f>E1658*F1658</f>
        <v>6000</v>
      </c>
      <c r="I1658" s="16">
        <f>E1658*G1658</f>
        <v>15000</v>
      </c>
      <c r="J1658" s="16">
        <f>I1658-H1658</f>
        <v>9000</v>
      </c>
      <c r="K1658" s="16" t="str">
        <f>VLOOKUP(C1658,[1]master_data!$A$2:$E$495,5,FALSE)</f>
        <v>Ikan</v>
      </c>
      <c r="L1658" s="1"/>
    </row>
    <row r="1659" spans="1:12" ht="12" customHeight="1" x14ac:dyDescent="0.25">
      <c r="A1659" s="15">
        <v>45067</v>
      </c>
      <c r="B1659" s="16">
        <v>22300853</v>
      </c>
      <c r="C1659" s="16" t="s">
        <v>437</v>
      </c>
      <c r="D1659" s="16" t="str">
        <f>VLOOKUP(C1659,[1]master_data!$A$2:$E$495,2,FALSE)</f>
        <v>NEON</v>
      </c>
      <c r="E1659" s="16">
        <v>50</v>
      </c>
      <c r="F1659" s="16">
        <f>VLOOKUP(C1659,[1]master_data!$A$2:$E$495,3,FALSE)</f>
        <v>1250</v>
      </c>
      <c r="G1659" s="16">
        <f>VLOOKUP(C1659,[1]master_data!$A$2:$E$495,4,FALSE)</f>
        <v>5000</v>
      </c>
      <c r="H1659" s="16">
        <f>E1659*F1659</f>
        <v>62500</v>
      </c>
      <c r="I1659" s="16">
        <f>E1659*G1659</f>
        <v>250000</v>
      </c>
      <c r="J1659" s="16">
        <f>I1659-H1659</f>
        <v>187500</v>
      </c>
      <c r="K1659" s="16" t="str">
        <f>VLOOKUP(C1659,[1]master_data!$A$2:$E$495,5,FALSE)</f>
        <v>Ikan</v>
      </c>
      <c r="L1659" s="1"/>
    </row>
    <row r="1660" spans="1:12" ht="12" customHeight="1" x14ac:dyDescent="0.25">
      <c r="A1660" s="15">
        <v>45066</v>
      </c>
      <c r="B1660" s="16">
        <v>22300837</v>
      </c>
      <c r="C1660" s="16" t="s">
        <v>456</v>
      </c>
      <c r="D1660" s="16" t="str">
        <f>VLOOKUP(C1660,[1]master_data!$A$2:$E$495,2,FALSE)</f>
        <v>ZEBRA HIJAU</v>
      </c>
      <c r="E1660" s="16">
        <v>25</v>
      </c>
      <c r="F1660" s="16">
        <f>VLOOKUP(C1660,[1]master_data!$A$2:$E$495,3,FALSE)</f>
        <v>800</v>
      </c>
      <c r="G1660" s="16">
        <f>VLOOKUP(C1660,[1]master_data!$A$2:$E$495,4,FALSE)</f>
        <v>2000</v>
      </c>
      <c r="H1660" s="16">
        <f>E1660*F1660</f>
        <v>20000</v>
      </c>
      <c r="I1660" s="16">
        <f>E1660*G1660</f>
        <v>50000</v>
      </c>
      <c r="J1660" s="16">
        <f>I1660-H1660</f>
        <v>30000</v>
      </c>
      <c r="K1660" s="16" t="str">
        <f>VLOOKUP(C1660,[1]master_data!$A$2:$E$495,5,FALSE)</f>
        <v>Ikan</v>
      </c>
      <c r="L1660" s="1"/>
    </row>
    <row r="1661" spans="1:12" ht="12" customHeight="1" x14ac:dyDescent="0.25">
      <c r="A1661" s="15">
        <v>45066</v>
      </c>
      <c r="B1661" s="16">
        <v>22300838</v>
      </c>
      <c r="C1661" s="16" t="s">
        <v>198</v>
      </c>
      <c r="D1661" s="16" t="str">
        <f>VLOOKUP(C1661,[1]master_data!$A$2:$E$495,2,FALSE)</f>
        <v>AKARI PREMIUM YELLOW</v>
      </c>
      <c r="E1661" s="16">
        <v>10</v>
      </c>
      <c r="F1661" s="16">
        <f>VLOOKUP(C1661,[1]master_data!$A$2:$E$495,3,FALSE)</f>
        <v>37000</v>
      </c>
      <c r="G1661" s="16">
        <f>VLOOKUP(C1661,[1]master_data!$A$2:$E$495,4,FALSE)</f>
        <v>50000</v>
      </c>
      <c r="H1661" s="16">
        <f>E1661*F1661</f>
        <v>370000</v>
      </c>
      <c r="I1661" s="16">
        <f>E1661*G1661</f>
        <v>500000</v>
      </c>
      <c r="J1661" s="16">
        <f>I1661-H1661</f>
        <v>130000</v>
      </c>
      <c r="K1661" s="16" t="str">
        <f>VLOOKUP(C1661,[1]master_data!$A$2:$E$495,5,FALSE)</f>
        <v>Aksesoris</v>
      </c>
      <c r="L1661" s="1"/>
    </row>
    <row r="1662" spans="1:12" ht="12" customHeight="1" x14ac:dyDescent="0.25">
      <c r="A1662" s="15">
        <v>45066</v>
      </c>
      <c r="B1662" s="16">
        <v>22300839</v>
      </c>
      <c r="C1662" s="16" t="s">
        <v>456</v>
      </c>
      <c r="D1662" s="16" t="str">
        <f>VLOOKUP(C1662,[1]master_data!$A$2:$E$495,2,FALSE)</f>
        <v>ZEBRA HIJAU</v>
      </c>
      <c r="E1662" s="16">
        <v>25</v>
      </c>
      <c r="F1662" s="16">
        <f>VLOOKUP(C1662,[1]master_data!$A$2:$E$495,3,FALSE)</f>
        <v>800</v>
      </c>
      <c r="G1662" s="16">
        <f>VLOOKUP(C1662,[1]master_data!$A$2:$E$495,4,FALSE)</f>
        <v>2000</v>
      </c>
      <c r="H1662" s="16">
        <f>E1662*F1662</f>
        <v>20000</v>
      </c>
      <c r="I1662" s="16">
        <f>E1662*G1662</f>
        <v>50000</v>
      </c>
      <c r="J1662" s="16">
        <f>I1662-H1662</f>
        <v>30000</v>
      </c>
      <c r="K1662" s="16" t="str">
        <f>VLOOKUP(C1662,[1]master_data!$A$2:$E$495,5,FALSE)</f>
        <v>Ikan</v>
      </c>
      <c r="L1662" s="1"/>
    </row>
    <row r="1663" spans="1:12" ht="12" customHeight="1" x14ac:dyDescent="0.25">
      <c r="A1663" s="15">
        <v>45066</v>
      </c>
      <c r="B1663" s="16">
        <v>22300840</v>
      </c>
      <c r="C1663" s="16" t="s">
        <v>48</v>
      </c>
      <c r="D1663" s="16" t="str">
        <f>VLOOKUP(C1663,[1]master_data!$A$2:$E$495,2,FALSE)</f>
        <v>TOP FILTER NIKITA B</v>
      </c>
      <c r="E1663" s="16">
        <v>2</v>
      </c>
      <c r="F1663" s="16">
        <f>VLOOKUP(C1663,[1]master_data!$A$2:$E$495,3,FALSE)</f>
        <v>45000</v>
      </c>
      <c r="G1663" s="16">
        <f>VLOOKUP(C1663,[1]master_data!$A$2:$E$495,4,FALSE)</f>
        <v>70000</v>
      </c>
      <c r="H1663" s="16">
        <f>E1663*F1663</f>
        <v>90000</v>
      </c>
      <c r="I1663" s="16">
        <f>E1663*G1663</f>
        <v>140000</v>
      </c>
      <c r="J1663" s="16">
        <f>I1663-H1663</f>
        <v>50000</v>
      </c>
      <c r="K1663" s="16" t="str">
        <f>VLOOKUP(C1663,[1]master_data!$A$2:$E$495,5,FALSE)</f>
        <v>Aksesoris</v>
      </c>
      <c r="L1663" s="1"/>
    </row>
    <row r="1664" spans="1:12" ht="12" customHeight="1" x14ac:dyDescent="0.25">
      <c r="A1664" s="15">
        <v>45066</v>
      </c>
      <c r="B1664" s="16">
        <v>22300841</v>
      </c>
      <c r="C1664" s="16" t="s">
        <v>422</v>
      </c>
      <c r="D1664" s="16" t="str">
        <f>VLOOKUP(C1664,[1]master_data!$A$2:$E$495,2,FALSE)</f>
        <v>KOI SLAYER B</v>
      </c>
      <c r="E1664" s="16">
        <v>2</v>
      </c>
      <c r="F1664" s="16">
        <f>VLOOKUP(C1664,[1]master_data!$A$2:$E$495,3,FALSE)</f>
        <v>8000</v>
      </c>
      <c r="G1664" s="16">
        <f>VLOOKUP(C1664,[1]master_data!$A$2:$E$495,4,FALSE)</f>
        <v>20000</v>
      </c>
      <c r="H1664" s="16">
        <f>E1664*F1664</f>
        <v>16000</v>
      </c>
      <c r="I1664" s="16">
        <f>E1664*G1664</f>
        <v>40000</v>
      </c>
      <c r="J1664" s="16">
        <f>I1664-H1664</f>
        <v>24000</v>
      </c>
      <c r="K1664" s="16" t="str">
        <f>VLOOKUP(C1664,[1]master_data!$A$2:$E$495,5,FALSE)</f>
        <v>Ikan</v>
      </c>
      <c r="L1664" s="1"/>
    </row>
    <row r="1665" spans="1:12" ht="12" customHeight="1" x14ac:dyDescent="0.25">
      <c r="A1665" s="15">
        <v>45066</v>
      </c>
      <c r="B1665" s="16">
        <v>22300842</v>
      </c>
      <c r="C1665" s="16" t="s">
        <v>389</v>
      </c>
      <c r="D1665" s="16" t="str">
        <f>VLOOKUP(C1665,[1]master_data!$A$2:$E$495,2,FALSE)</f>
        <v>CHANNA ANDRAO K</v>
      </c>
      <c r="E1665" s="16">
        <v>4</v>
      </c>
      <c r="F1665" s="16">
        <f>VLOOKUP(C1665,[1]master_data!$A$2:$E$495,3,FALSE)</f>
        <v>20000</v>
      </c>
      <c r="G1665" s="16">
        <f>VLOOKUP(C1665,[1]master_data!$A$2:$E$495,4,FALSE)</f>
        <v>50000</v>
      </c>
      <c r="H1665" s="16">
        <f>E1665*F1665</f>
        <v>80000</v>
      </c>
      <c r="I1665" s="16">
        <f>E1665*G1665</f>
        <v>200000</v>
      </c>
      <c r="J1665" s="16">
        <f>I1665-H1665</f>
        <v>120000</v>
      </c>
      <c r="K1665" s="16" t="str">
        <f>VLOOKUP(C1665,[1]master_data!$A$2:$E$495,5,FALSE)</f>
        <v>Ikan</v>
      </c>
      <c r="L1665" s="1"/>
    </row>
    <row r="1666" spans="1:12" ht="12" customHeight="1" x14ac:dyDescent="0.25">
      <c r="A1666" s="15">
        <v>45066</v>
      </c>
      <c r="B1666" s="16">
        <v>22300843</v>
      </c>
      <c r="C1666" s="16" t="s">
        <v>459</v>
      </c>
      <c r="D1666" s="16" t="str">
        <f>VLOOKUP(C1666,[1]master_data!$A$2:$E$495,2,FALSE)</f>
        <v>SEPAT</v>
      </c>
      <c r="E1666" s="16">
        <v>15</v>
      </c>
      <c r="F1666" s="16">
        <f>VLOOKUP(C1666,[1]master_data!$A$2:$E$495,3,FALSE)</f>
        <v>600</v>
      </c>
      <c r="G1666" s="16">
        <f>VLOOKUP(C1666,[1]master_data!$A$2:$E$495,4,FALSE)</f>
        <v>2000</v>
      </c>
      <c r="H1666" s="16">
        <f>E1666*F1666</f>
        <v>9000</v>
      </c>
      <c r="I1666" s="16">
        <f>E1666*G1666</f>
        <v>30000</v>
      </c>
      <c r="J1666" s="16">
        <f>I1666-H1666</f>
        <v>21000</v>
      </c>
      <c r="K1666" s="16" t="str">
        <f>VLOOKUP(C1666,[1]master_data!$A$2:$E$495,5,FALSE)</f>
        <v>Ikan</v>
      </c>
      <c r="L1666" s="1"/>
    </row>
    <row r="1667" spans="1:12" ht="12" customHeight="1" x14ac:dyDescent="0.25">
      <c r="A1667" s="15">
        <v>45066</v>
      </c>
      <c r="B1667" s="16">
        <v>22300844</v>
      </c>
      <c r="C1667" s="16" t="s">
        <v>5</v>
      </c>
      <c r="D1667" s="16" t="str">
        <f>VLOOKUP(C1667,[1]master_data!$A$2:$E$495,2,FALSE)</f>
        <v>MESIN YANG 1000 L</v>
      </c>
      <c r="E1667" s="16">
        <v>1</v>
      </c>
      <c r="F1667" s="16">
        <f>VLOOKUP(C1667,[1]master_data!$A$2:$E$495,3,FALSE)</f>
        <v>31000</v>
      </c>
      <c r="G1667" s="16">
        <f>VLOOKUP(C1667,[1]master_data!$A$2:$E$495,4,FALSE)</f>
        <v>50000</v>
      </c>
      <c r="H1667" s="16">
        <f>E1667*F1667</f>
        <v>31000</v>
      </c>
      <c r="I1667" s="16">
        <f>E1667*G1667</f>
        <v>50000</v>
      </c>
      <c r="J1667" s="16">
        <f>I1667-H1667</f>
        <v>19000</v>
      </c>
      <c r="K1667" s="16" t="str">
        <f>VLOOKUP(C1667,[1]master_data!$A$2:$E$495,5,FALSE)</f>
        <v>Aksesoris</v>
      </c>
      <c r="L1667" s="1"/>
    </row>
    <row r="1668" spans="1:12" ht="12" customHeight="1" x14ac:dyDescent="0.25">
      <c r="A1668" s="15">
        <v>45065</v>
      </c>
      <c r="B1668" s="16">
        <v>22300828</v>
      </c>
      <c r="C1668" s="16" t="s">
        <v>410</v>
      </c>
      <c r="D1668" s="16" t="str">
        <f>VLOOKUP(C1668,[1]master_data!$A$2:$E$495,2,FALSE)</f>
        <v>HIU TAWAR</v>
      </c>
      <c r="E1668" s="16">
        <v>30</v>
      </c>
      <c r="F1668" s="16">
        <f>VLOOKUP(C1668,[1]master_data!$A$2:$E$495,3,FALSE)</f>
        <v>600</v>
      </c>
      <c r="G1668" s="16">
        <f>VLOOKUP(C1668,[1]master_data!$A$2:$E$495,4,FALSE)</f>
        <v>2000</v>
      </c>
      <c r="H1668" s="16">
        <f>E1668*F1668</f>
        <v>18000</v>
      </c>
      <c r="I1668" s="16">
        <f>E1668*G1668</f>
        <v>60000</v>
      </c>
      <c r="J1668" s="16">
        <f>I1668-H1668</f>
        <v>42000</v>
      </c>
      <c r="K1668" s="16" t="str">
        <f>VLOOKUP(C1668,[1]master_data!$A$2:$E$495,5,FALSE)</f>
        <v>Ikan</v>
      </c>
      <c r="L1668" s="1"/>
    </row>
    <row r="1669" spans="1:12" ht="12" customHeight="1" x14ac:dyDescent="0.25">
      <c r="A1669" s="15">
        <v>45065</v>
      </c>
      <c r="B1669" s="16">
        <v>22300829</v>
      </c>
      <c r="C1669" s="16" t="s">
        <v>392</v>
      </c>
      <c r="D1669" s="16" t="str">
        <f>VLOOKUP(C1669,[1]master_data!$A$2:$E$495,2,FALSE)</f>
        <v>ARWANA SILVER K</v>
      </c>
      <c r="E1669" s="16">
        <v>1</v>
      </c>
      <c r="F1669" s="16">
        <f>VLOOKUP(C1669,[1]master_data!$A$2:$E$495,3,FALSE)</f>
        <v>100000</v>
      </c>
      <c r="G1669" s="16">
        <f>VLOOKUP(C1669,[1]master_data!$A$2:$E$495,4,FALSE)</f>
        <v>200000</v>
      </c>
      <c r="H1669" s="16">
        <f>E1669*F1669</f>
        <v>100000</v>
      </c>
      <c r="I1669" s="16">
        <f>E1669*G1669</f>
        <v>200000</v>
      </c>
      <c r="J1669" s="16">
        <f>I1669-H1669</f>
        <v>100000</v>
      </c>
      <c r="K1669" s="16" t="str">
        <f>VLOOKUP(C1669,[1]master_data!$A$2:$E$495,5,FALSE)</f>
        <v>Ikan</v>
      </c>
      <c r="L1669" s="1"/>
    </row>
    <row r="1670" spans="1:12" ht="12" customHeight="1" x14ac:dyDescent="0.25">
      <c r="A1670" s="15">
        <v>45065</v>
      </c>
      <c r="B1670" s="16">
        <v>22300830</v>
      </c>
      <c r="C1670" s="16" t="s">
        <v>440</v>
      </c>
      <c r="D1670" s="16" t="str">
        <f>VLOOKUP(C1670,[1]master_data!$A$2:$E$495,2,FALSE)</f>
        <v>PEMBERSIH KACA ALBINO</v>
      </c>
      <c r="E1670" s="16">
        <v>20</v>
      </c>
      <c r="F1670" s="16">
        <f>VLOOKUP(C1670,[1]master_data!$A$2:$E$495,3,FALSE)</f>
        <v>2500</v>
      </c>
      <c r="G1670" s="16">
        <f>VLOOKUP(C1670,[1]master_data!$A$2:$E$495,4,FALSE)</f>
        <v>5000</v>
      </c>
      <c r="H1670" s="16">
        <f>E1670*F1670</f>
        <v>50000</v>
      </c>
      <c r="I1670" s="16">
        <f>E1670*G1670</f>
        <v>100000</v>
      </c>
      <c r="J1670" s="16">
        <f>I1670-H1670</f>
        <v>50000</v>
      </c>
      <c r="K1670" s="16" t="str">
        <f>VLOOKUP(C1670,[1]master_data!$A$2:$E$495,5,FALSE)</f>
        <v>Ikan</v>
      </c>
      <c r="L1670" s="1"/>
    </row>
    <row r="1671" spans="1:12" ht="12" customHeight="1" x14ac:dyDescent="0.25">
      <c r="A1671" s="15">
        <v>45065</v>
      </c>
      <c r="B1671" s="16">
        <v>22300831</v>
      </c>
      <c r="C1671" s="16" t="s">
        <v>131</v>
      </c>
      <c r="D1671" s="16" t="str">
        <f>VLOOKUP(C1671,[1]master_data!$A$2:$E$495,2,FALSE)</f>
        <v>LED YAMANO S800</v>
      </c>
      <c r="E1671" s="16">
        <v>1</v>
      </c>
      <c r="F1671" s="16">
        <f>VLOOKUP(C1671,[1]master_data!$A$2:$E$495,3,FALSE)</f>
        <v>70000</v>
      </c>
      <c r="G1671" s="16">
        <f>VLOOKUP(C1671,[1]master_data!$A$2:$E$495,4,FALSE)</f>
        <v>115000</v>
      </c>
      <c r="H1671" s="16">
        <f>E1671*F1671</f>
        <v>70000</v>
      </c>
      <c r="I1671" s="16">
        <f>E1671*G1671</f>
        <v>115000</v>
      </c>
      <c r="J1671" s="16">
        <f>I1671-H1671</f>
        <v>45000</v>
      </c>
      <c r="K1671" s="16" t="str">
        <f>VLOOKUP(C1671,[1]master_data!$A$2:$E$495,5,FALSE)</f>
        <v>Aksesoris</v>
      </c>
      <c r="L1671" s="1"/>
    </row>
    <row r="1672" spans="1:12" ht="12" customHeight="1" x14ac:dyDescent="0.25">
      <c r="A1672" s="15">
        <v>45065</v>
      </c>
      <c r="B1672" s="16">
        <v>22300832</v>
      </c>
      <c r="C1672" s="16" t="s">
        <v>398</v>
      </c>
      <c r="D1672" s="16" t="str">
        <f>VLOOKUP(C1672,[1]master_data!$A$2:$E$495,2,FALSE)</f>
        <v>BALA BALA K</v>
      </c>
      <c r="E1672" s="16">
        <v>25</v>
      </c>
      <c r="F1672" s="16">
        <f>VLOOKUP(C1672,[1]master_data!$A$2:$E$495,3,FALSE)</f>
        <v>4000</v>
      </c>
      <c r="G1672" s="16">
        <f>VLOOKUP(C1672,[1]master_data!$A$2:$E$495,4,FALSE)</f>
        <v>8000</v>
      </c>
      <c r="H1672" s="16">
        <f>E1672*F1672</f>
        <v>100000</v>
      </c>
      <c r="I1672" s="16">
        <f>E1672*G1672</f>
        <v>200000</v>
      </c>
      <c r="J1672" s="16">
        <f>I1672-H1672</f>
        <v>100000</v>
      </c>
      <c r="K1672" s="16" t="str">
        <f>VLOOKUP(C1672,[1]master_data!$A$2:$E$495,5,FALSE)</f>
        <v>Ikan</v>
      </c>
      <c r="L1672" s="1"/>
    </row>
    <row r="1673" spans="1:12" ht="12" customHeight="1" x14ac:dyDescent="0.25">
      <c r="A1673" s="15">
        <v>45065</v>
      </c>
      <c r="B1673" s="16">
        <v>22300833</v>
      </c>
      <c r="C1673" s="16" t="s">
        <v>342</v>
      </c>
      <c r="D1673" s="16" t="str">
        <f>VLOOKUP(C1673,[1]master_data!$A$2:$E$495,2,FALSE)</f>
        <v>KRAN 4 W</v>
      </c>
      <c r="E1673" s="16">
        <v>10</v>
      </c>
      <c r="F1673" s="16">
        <f>VLOOKUP(C1673,[1]master_data!$A$2:$E$495,3,FALSE)</f>
        <v>8000</v>
      </c>
      <c r="G1673" s="16">
        <f>VLOOKUP(C1673,[1]master_data!$A$2:$E$495,4,FALSE)</f>
        <v>12000</v>
      </c>
      <c r="H1673" s="16">
        <f>E1673*F1673</f>
        <v>80000</v>
      </c>
      <c r="I1673" s="16">
        <f>E1673*G1673</f>
        <v>120000</v>
      </c>
      <c r="J1673" s="16">
        <f>I1673-H1673</f>
        <v>40000</v>
      </c>
      <c r="K1673" s="16" t="str">
        <f>VLOOKUP(C1673,[1]master_data!$A$2:$E$495,5,FALSE)</f>
        <v>Aksesoris</v>
      </c>
      <c r="L1673" s="1"/>
    </row>
    <row r="1674" spans="1:12" ht="12" customHeight="1" x14ac:dyDescent="0.25">
      <c r="A1674" s="15">
        <v>45065</v>
      </c>
      <c r="B1674" s="16">
        <v>22300834</v>
      </c>
      <c r="C1674" s="16" t="s">
        <v>416</v>
      </c>
      <c r="D1674" s="16" t="str">
        <f>VLOOKUP(C1674,[1]master_data!$A$2:$E$495,2,FALSE)</f>
        <v>KOI B</v>
      </c>
      <c r="E1674" s="16">
        <v>1</v>
      </c>
      <c r="F1674" s="16">
        <f>VLOOKUP(C1674,[1]master_data!$A$2:$E$495,3,FALSE)</f>
        <v>9000</v>
      </c>
      <c r="G1674" s="16">
        <f>VLOOKUP(C1674,[1]master_data!$A$2:$E$495,4,FALSE)</f>
        <v>30000</v>
      </c>
      <c r="H1674" s="16">
        <f>E1674*F1674</f>
        <v>9000</v>
      </c>
      <c r="I1674" s="16">
        <f>E1674*G1674</f>
        <v>30000</v>
      </c>
      <c r="J1674" s="16">
        <f>I1674-H1674</f>
        <v>21000</v>
      </c>
      <c r="K1674" s="16" t="str">
        <f>VLOOKUP(C1674,[1]master_data!$A$2:$E$495,5,FALSE)</f>
        <v>Ikan</v>
      </c>
      <c r="L1674" s="1"/>
    </row>
    <row r="1675" spans="1:12" ht="12" customHeight="1" x14ac:dyDescent="0.25">
      <c r="A1675" s="15">
        <v>45065</v>
      </c>
      <c r="B1675" s="16">
        <v>22300835</v>
      </c>
      <c r="C1675" s="16" t="s">
        <v>98</v>
      </c>
      <c r="D1675" s="16" t="str">
        <f>VLOOKUP(C1675,[1]master_data!$A$2:$E$495,2,FALSE)</f>
        <v>MESIN AMARA 104</v>
      </c>
      <c r="E1675" s="16">
        <v>1</v>
      </c>
      <c r="F1675" s="16">
        <f>VLOOKUP(C1675,[1]master_data!$A$2:$E$495,3,FALSE)</f>
        <v>120000</v>
      </c>
      <c r="G1675" s="16">
        <f>VLOOKUP(C1675,[1]master_data!$A$2:$E$495,4,FALSE)</f>
        <v>160000</v>
      </c>
      <c r="H1675" s="16">
        <f>E1675*F1675</f>
        <v>120000</v>
      </c>
      <c r="I1675" s="16">
        <f>E1675*G1675</f>
        <v>160000</v>
      </c>
      <c r="J1675" s="16">
        <f>I1675-H1675</f>
        <v>40000</v>
      </c>
      <c r="K1675" s="16" t="str">
        <f>VLOOKUP(C1675,[1]master_data!$A$2:$E$495,5,FALSE)</f>
        <v>Aksesoris</v>
      </c>
      <c r="L1675" s="1"/>
    </row>
    <row r="1676" spans="1:12" ht="12" customHeight="1" x14ac:dyDescent="0.25">
      <c r="A1676" s="15">
        <v>45065</v>
      </c>
      <c r="B1676" s="16">
        <v>22300836</v>
      </c>
      <c r="C1676" s="16" t="s">
        <v>450</v>
      </c>
      <c r="D1676" s="16" t="str">
        <f>VLOOKUP(C1676,[1]master_data!$A$2:$E$495,2,FALSE)</f>
        <v>SNOW WHITE</v>
      </c>
      <c r="E1676" s="16">
        <v>15</v>
      </c>
      <c r="F1676" s="16">
        <f>VLOOKUP(C1676,[1]master_data!$A$2:$E$495,3,FALSE)</f>
        <v>1500</v>
      </c>
      <c r="G1676" s="16">
        <f>VLOOKUP(C1676,[1]master_data!$A$2:$E$495,4,FALSE)</f>
        <v>3000</v>
      </c>
      <c r="H1676" s="16">
        <f>E1676*F1676</f>
        <v>22500</v>
      </c>
      <c r="I1676" s="16">
        <f>E1676*G1676</f>
        <v>45000</v>
      </c>
      <c r="J1676" s="16">
        <f>I1676-H1676</f>
        <v>22500</v>
      </c>
      <c r="K1676" s="16" t="str">
        <f>VLOOKUP(C1676,[1]master_data!$A$2:$E$495,5,FALSE)</f>
        <v>Ikan</v>
      </c>
      <c r="L1676" s="1"/>
    </row>
    <row r="1677" spans="1:12" ht="12" customHeight="1" x14ac:dyDescent="0.25">
      <c r="A1677" s="15">
        <v>45064</v>
      </c>
      <c r="B1677" s="16">
        <v>22300824</v>
      </c>
      <c r="C1677" s="16" t="s">
        <v>414</v>
      </c>
      <c r="D1677" s="16" t="str">
        <f>VLOOKUP(C1677,[1]master_data!$A$2:$E$495,2,FALSE)</f>
        <v>KOI K</v>
      </c>
      <c r="E1677" s="16">
        <v>25</v>
      </c>
      <c r="F1677" s="16">
        <f>VLOOKUP(C1677,[1]master_data!$A$2:$E$495,3,FALSE)</f>
        <v>2500</v>
      </c>
      <c r="G1677" s="16">
        <f>VLOOKUP(C1677,[1]master_data!$A$2:$E$495,4,FALSE)</f>
        <v>10000</v>
      </c>
      <c r="H1677" s="16">
        <f>E1677*F1677</f>
        <v>62500</v>
      </c>
      <c r="I1677" s="16">
        <f>E1677*G1677</f>
        <v>250000</v>
      </c>
      <c r="J1677" s="16">
        <f>I1677-H1677</f>
        <v>187500</v>
      </c>
      <c r="K1677" s="16" t="str">
        <f>VLOOKUP(C1677,[1]master_data!$A$2:$E$495,5,FALSE)</f>
        <v>Ikan</v>
      </c>
      <c r="L1677" s="1"/>
    </row>
    <row r="1678" spans="1:12" ht="12" customHeight="1" x14ac:dyDescent="0.25">
      <c r="A1678" s="15">
        <v>45064</v>
      </c>
      <c r="B1678" s="16">
        <v>22300825</v>
      </c>
      <c r="C1678" s="16" t="s">
        <v>337</v>
      </c>
      <c r="D1678" s="16" t="str">
        <f>VLOOKUP(C1678,[1]master_data!$A$2:$E$495,2,FALSE)</f>
        <v>KARUNG JALA S</v>
      </c>
      <c r="E1678" s="16">
        <v>10</v>
      </c>
      <c r="F1678" s="16">
        <f>VLOOKUP(C1678,[1]master_data!$A$2:$E$495,3,FALSE)</f>
        <v>2500</v>
      </c>
      <c r="G1678" s="16">
        <f>VLOOKUP(C1678,[1]master_data!$A$2:$E$495,4,FALSE)</f>
        <v>5000</v>
      </c>
      <c r="H1678" s="16">
        <f>E1678*F1678</f>
        <v>25000</v>
      </c>
      <c r="I1678" s="16">
        <f>E1678*G1678</f>
        <v>50000</v>
      </c>
      <c r="J1678" s="16">
        <f>I1678-H1678</f>
        <v>25000</v>
      </c>
      <c r="K1678" s="16" t="str">
        <f>VLOOKUP(C1678,[1]master_data!$A$2:$E$495,5,FALSE)</f>
        <v>Aksesoris</v>
      </c>
      <c r="L1678" s="1"/>
    </row>
    <row r="1679" spans="1:12" ht="12" customHeight="1" x14ac:dyDescent="0.25">
      <c r="A1679" s="15">
        <v>45064</v>
      </c>
      <c r="B1679" s="16">
        <v>22300826</v>
      </c>
      <c r="C1679" s="16" t="s">
        <v>404</v>
      </c>
      <c r="D1679" s="16" t="str">
        <f>VLOOKUP(C1679,[1]master_data!$A$2:$E$495,2,FALSE)</f>
        <v>BARBIR</v>
      </c>
      <c r="E1679" s="16">
        <v>10</v>
      </c>
      <c r="F1679" s="16">
        <f>VLOOKUP(C1679,[1]master_data!$A$2:$E$495,3,FALSE)</f>
        <v>800</v>
      </c>
      <c r="G1679" s="16">
        <f>VLOOKUP(C1679,[1]master_data!$A$2:$E$495,4,FALSE)</f>
        <v>2000</v>
      </c>
      <c r="H1679" s="16">
        <f>E1679*F1679</f>
        <v>8000</v>
      </c>
      <c r="I1679" s="16">
        <f>E1679*G1679</f>
        <v>20000</v>
      </c>
      <c r="J1679" s="16">
        <f>I1679-H1679</f>
        <v>12000</v>
      </c>
      <c r="K1679" s="16" t="str">
        <f>VLOOKUP(C1679,[1]master_data!$A$2:$E$495,5,FALSE)</f>
        <v>Ikan</v>
      </c>
      <c r="L1679" s="1"/>
    </row>
    <row r="1680" spans="1:12" ht="12" customHeight="1" x14ac:dyDescent="0.25">
      <c r="A1680" s="15">
        <v>45064</v>
      </c>
      <c r="B1680" s="16">
        <v>22300827</v>
      </c>
      <c r="C1680" s="16" t="s">
        <v>152</v>
      </c>
      <c r="D1680" s="16" t="str">
        <f>VLOOKUP(C1680,[1]master_data!$A$2:$E$495,2,FALSE)</f>
        <v>LED ROSTON 28 C</v>
      </c>
      <c r="E1680" s="16">
        <v>10</v>
      </c>
      <c r="F1680" s="16">
        <f>VLOOKUP(C1680,[1]master_data!$A$2:$E$495,3,FALSE)</f>
        <v>35000</v>
      </c>
      <c r="G1680" s="16">
        <f>VLOOKUP(C1680,[1]master_data!$A$2:$E$495,4,FALSE)</f>
        <v>55000</v>
      </c>
      <c r="H1680" s="16">
        <f>E1680*F1680</f>
        <v>350000</v>
      </c>
      <c r="I1680" s="16">
        <f>E1680*G1680</f>
        <v>550000</v>
      </c>
      <c r="J1680" s="16">
        <f>I1680-H1680</f>
        <v>200000</v>
      </c>
      <c r="K1680" s="16" t="str">
        <f>VLOOKUP(C1680,[1]master_data!$A$2:$E$495,5,FALSE)</f>
        <v>Aksesoris</v>
      </c>
      <c r="L1680" s="1"/>
    </row>
    <row r="1681" spans="1:12" ht="12" customHeight="1" x14ac:dyDescent="0.25">
      <c r="A1681" s="15">
        <v>45063</v>
      </c>
      <c r="B1681" s="16">
        <v>22300816</v>
      </c>
      <c r="C1681" s="16" t="s">
        <v>185</v>
      </c>
      <c r="D1681" s="16" t="str">
        <f>VLOOKUP(C1681,[1]master_data!$A$2:$E$495,2,FALSE)</f>
        <v>LED RECENT DnN 40 CM</v>
      </c>
      <c r="E1681" s="16">
        <v>10</v>
      </c>
      <c r="F1681" s="16">
        <f>VLOOKUP(C1681,[1]master_data!$A$2:$E$495,3,FALSE)</f>
        <v>29000</v>
      </c>
      <c r="G1681" s="16">
        <f>VLOOKUP(C1681,[1]master_data!$A$2:$E$495,4,FALSE)</f>
        <v>50000</v>
      </c>
      <c r="H1681" s="16">
        <f>E1681*F1681</f>
        <v>290000</v>
      </c>
      <c r="I1681" s="16">
        <f>E1681*G1681</f>
        <v>500000</v>
      </c>
      <c r="J1681" s="16">
        <f>I1681-H1681</f>
        <v>210000</v>
      </c>
      <c r="K1681" s="16" t="str">
        <f>VLOOKUP(C1681,[1]master_data!$A$2:$E$495,5,FALSE)</f>
        <v>Aksesoris</v>
      </c>
      <c r="L1681" s="1"/>
    </row>
    <row r="1682" spans="1:12" ht="12" customHeight="1" x14ac:dyDescent="0.25">
      <c r="A1682" s="15">
        <v>45063</v>
      </c>
      <c r="B1682" s="16">
        <v>22300817</v>
      </c>
      <c r="C1682" s="16" t="s">
        <v>317</v>
      </c>
      <c r="D1682" s="16" t="str">
        <f>VLOOKUP(C1682,[1]master_data!$A$2:$E$495,2,FALSE)</f>
        <v>TEMPAT CACING</v>
      </c>
      <c r="E1682" s="16">
        <v>10</v>
      </c>
      <c r="F1682" s="16">
        <f>VLOOKUP(C1682,[1]master_data!$A$2:$E$495,3,FALSE)</f>
        <v>1500</v>
      </c>
      <c r="G1682" s="16">
        <f>VLOOKUP(C1682,[1]master_data!$A$2:$E$495,4,FALSE)</f>
        <v>5000</v>
      </c>
      <c r="H1682" s="16">
        <f>E1682*F1682</f>
        <v>15000</v>
      </c>
      <c r="I1682" s="16">
        <f>E1682*G1682</f>
        <v>50000</v>
      </c>
      <c r="J1682" s="16">
        <f>I1682-H1682</f>
        <v>35000</v>
      </c>
      <c r="K1682" s="16" t="str">
        <f>VLOOKUP(C1682,[1]master_data!$A$2:$E$495,5,FALSE)</f>
        <v>Aksesoris</v>
      </c>
      <c r="L1682" s="1"/>
    </row>
    <row r="1683" spans="1:12" ht="12" customHeight="1" x14ac:dyDescent="0.25">
      <c r="A1683" s="15">
        <v>45063</v>
      </c>
      <c r="B1683" s="16">
        <v>22300818</v>
      </c>
      <c r="C1683" s="16" t="s">
        <v>290</v>
      </c>
      <c r="D1683" s="16" t="str">
        <f>VLOOKUP(C1683,[1]master_data!$A$2:$E$495,2,FALSE)</f>
        <v>MAINAN KINCIR DOUBEL</v>
      </c>
      <c r="E1683" s="16">
        <v>3</v>
      </c>
      <c r="F1683" s="16">
        <f>VLOOKUP(C1683,[1]master_data!$A$2:$E$495,3,FALSE)</f>
        <v>17000</v>
      </c>
      <c r="G1683" s="16">
        <f>VLOOKUP(C1683,[1]master_data!$A$2:$E$495,4,FALSE)</f>
        <v>30000</v>
      </c>
      <c r="H1683" s="16">
        <f>E1683*F1683</f>
        <v>51000</v>
      </c>
      <c r="I1683" s="16">
        <f>E1683*G1683</f>
        <v>90000</v>
      </c>
      <c r="J1683" s="16">
        <f>I1683-H1683</f>
        <v>39000</v>
      </c>
      <c r="K1683" s="16" t="str">
        <f>VLOOKUP(C1683,[1]master_data!$A$2:$E$495,5,FALSE)</f>
        <v>Aksesoris</v>
      </c>
      <c r="L1683" s="1"/>
    </row>
    <row r="1684" spans="1:12" ht="12" customHeight="1" x14ac:dyDescent="0.25">
      <c r="A1684" s="15">
        <v>45063</v>
      </c>
      <c r="B1684" s="16">
        <v>22300819</v>
      </c>
      <c r="C1684" s="16" t="s">
        <v>296</v>
      </c>
      <c r="D1684" s="16" t="str">
        <f>VLOOKUP(C1684,[1]master_data!$A$2:$E$495,2,FALSE)</f>
        <v>MAGNET M</v>
      </c>
      <c r="E1684" s="16">
        <v>2</v>
      </c>
      <c r="F1684" s="16">
        <f>VLOOKUP(C1684,[1]master_data!$A$2:$E$495,3,FALSE)</f>
        <v>36000</v>
      </c>
      <c r="G1684" s="16">
        <f>VLOOKUP(C1684,[1]master_data!$A$2:$E$495,4,FALSE)</f>
        <v>50000</v>
      </c>
      <c r="H1684" s="16">
        <f>E1684*F1684</f>
        <v>72000</v>
      </c>
      <c r="I1684" s="16">
        <f>E1684*G1684</f>
        <v>100000</v>
      </c>
      <c r="J1684" s="16">
        <f>I1684-H1684</f>
        <v>28000</v>
      </c>
      <c r="K1684" s="16" t="str">
        <f>VLOOKUP(C1684,[1]master_data!$A$2:$E$495,5,FALSE)</f>
        <v>Aksesoris</v>
      </c>
      <c r="L1684" s="1"/>
    </row>
    <row r="1685" spans="1:12" ht="12" customHeight="1" x14ac:dyDescent="0.25">
      <c r="A1685" s="15">
        <v>45063</v>
      </c>
      <c r="B1685" s="16">
        <v>22300820</v>
      </c>
      <c r="C1685" s="16" t="s">
        <v>440</v>
      </c>
      <c r="D1685" s="16" t="str">
        <f>VLOOKUP(C1685,[1]master_data!$A$2:$E$495,2,FALSE)</f>
        <v>PEMBERSIH KACA ALBINO</v>
      </c>
      <c r="E1685" s="16">
        <v>20</v>
      </c>
      <c r="F1685" s="16">
        <f>VLOOKUP(C1685,[1]master_data!$A$2:$E$495,3,FALSE)</f>
        <v>2500</v>
      </c>
      <c r="G1685" s="16">
        <f>VLOOKUP(C1685,[1]master_data!$A$2:$E$495,4,FALSE)</f>
        <v>5000</v>
      </c>
      <c r="H1685" s="16">
        <f>E1685*F1685</f>
        <v>50000</v>
      </c>
      <c r="I1685" s="16">
        <f>E1685*G1685</f>
        <v>100000</v>
      </c>
      <c r="J1685" s="16">
        <f>I1685-H1685</f>
        <v>50000</v>
      </c>
      <c r="K1685" s="16" t="str">
        <f>VLOOKUP(C1685,[1]master_data!$A$2:$E$495,5,FALSE)</f>
        <v>Ikan</v>
      </c>
      <c r="L1685" s="1"/>
    </row>
    <row r="1686" spans="1:12" ht="12" customHeight="1" x14ac:dyDescent="0.25">
      <c r="A1686" s="15">
        <v>45063</v>
      </c>
      <c r="B1686" s="16">
        <v>22300821</v>
      </c>
      <c r="C1686" s="16" t="s">
        <v>275</v>
      </c>
      <c r="D1686" s="16" t="str">
        <f>VLOOKUP(C1686,[1]master_data!$A$2:$E$495,2,FALSE)</f>
        <v>JARING 20</v>
      </c>
      <c r="E1686" s="16">
        <v>15</v>
      </c>
      <c r="F1686" s="16">
        <f>VLOOKUP(C1686,[1]master_data!$A$2:$E$495,3,FALSE)</f>
        <v>5600</v>
      </c>
      <c r="G1686" s="16">
        <f>VLOOKUP(C1686,[1]master_data!$A$2:$E$495,4,FALSE)</f>
        <v>10000</v>
      </c>
      <c r="H1686" s="16">
        <f>E1686*F1686</f>
        <v>84000</v>
      </c>
      <c r="I1686" s="16">
        <f>E1686*G1686</f>
        <v>150000</v>
      </c>
      <c r="J1686" s="16">
        <f>I1686-H1686</f>
        <v>66000</v>
      </c>
      <c r="K1686" s="16" t="str">
        <f>VLOOKUP(C1686,[1]master_data!$A$2:$E$495,5,FALSE)</f>
        <v>Aksesoris</v>
      </c>
      <c r="L1686" s="1"/>
    </row>
    <row r="1687" spans="1:12" ht="12" customHeight="1" x14ac:dyDescent="0.25">
      <c r="A1687" s="15">
        <v>45063</v>
      </c>
      <c r="B1687" s="16">
        <v>22300822</v>
      </c>
      <c r="C1687" s="16" t="s">
        <v>331</v>
      </c>
      <c r="D1687" s="16" t="str">
        <f>VLOOKUP(C1687,[1]master_data!$A$2:$E$495,2,FALSE)</f>
        <v>TERMOMETER</v>
      </c>
      <c r="E1687" s="16">
        <v>15</v>
      </c>
      <c r="F1687" s="16">
        <f>VLOOKUP(C1687,[1]master_data!$A$2:$E$495,3,FALSE)</f>
        <v>5250</v>
      </c>
      <c r="G1687" s="16">
        <f>VLOOKUP(C1687,[1]master_data!$A$2:$E$495,4,FALSE)</f>
        <v>10000</v>
      </c>
      <c r="H1687" s="16">
        <f>E1687*F1687</f>
        <v>78750</v>
      </c>
      <c r="I1687" s="16">
        <f>E1687*G1687</f>
        <v>150000</v>
      </c>
      <c r="J1687" s="16">
        <f>I1687-H1687</f>
        <v>71250</v>
      </c>
      <c r="K1687" s="16" t="str">
        <f>VLOOKUP(C1687,[1]master_data!$A$2:$E$495,5,FALSE)</f>
        <v>Aksesoris</v>
      </c>
      <c r="L1687" s="1"/>
    </row>
    <row r="1688" spans="1:12" ht="12" customHeight="1" x14ac:dyDescent="0.25">
      <c r="A1688" s="15">
        <v>45063</v>
      </c>
      <c r="B1688" s="16">
        <v>22300823</v>
      </c>
      <c r="C1688" s="16" t="s">
        <v>459</v>
      </c>
      <c r="D1688" s="16" t="str">
        <f>VLOOKUP(C1688,[1]master_data!$A$2:$E$495,2,FALSE)</f>
        <v>SEPAT</v>
      </c>
      <c r="E1688" s="16">
        <v>1</v>
      </c>
      <c r="F1688" s="16">
        <f>VLOOKUP(C1688,[1]master_data!$A$2:$E$495,3,FALSE)</f>
        <v>600</v>
      </c>
      <c r="G1688" s="16">
        <f>VLOOKUP(C1688,[1]master_data!$A$2:$E$495,4,FALSE)</f>
        <v>2000</v>
      </c>
      <c r="H1688" s="16">
        <f>E1688*F1688</f>
        <v>600</v>
      </c>
      <c r="I1688" s="16">
        <f>E1688*G1688</f>
        <v>2000</v>
      </c>
      <c r="J1688" s="16">
        <f>I1688-H1688</f>
        <v>1400</v>
      </c>
      <c r="K1688" s="16" t="str">
        <f>VLOOKUP(C1688,[1]master_data!$A$2:$E$495,5,FALSE)</f>
        <v>Ikan</v>
      </c>
      <c r="L1688" s="1"/>
    </row>
    <row r="1689" spans="1:12" ht="12" customHeight="1" x14ac:dyDescent="0.25">
      <c r="A1689" s="15">
        <v>45062</v>
      </c>
      <c r="B1689" s="16">
        <v>22300808</v>
      </c>
      <c r="C1689" s="16" t="s">
        <v>409</v>
      </c>
      <c r="D1689" s="16" t="str">
        <f>VLOOKUP(C1689,[1]master_data!$A$2:$E$495,2,FALSE)</f>
        <v>GOLDEN BLACK</v>
      </c>
      <c r="E1689" s="16">
        <v>20</v>
      </c>
      <c r="F1689" s="16">
        <f>VLOOKUP(C1689,[1]master_data!$A$2:$E$495,3,FALSE)</f>
        <v>800</v>
      </c>
      <c r="G1689" s="16">
        <f>VLOOKUP(C1689,[1]master_data!$A$2:$E$495,4,FALSE)</f>
        <v>2000</v>
      </c>
      <c r="H1689" s="16">
        <f>E1689*F1689</f>
        <v>16000</v>
      </c>
      <c r="I1689" s="16">
        <f>E1689*G1689</f>
        <v>40000</v>
      </c>
      <c r="J1689" s="16">
        <f>I1689-H1689</f>
        <v>24000</v>
      </c>
      <c r="K1689" s="16" t="str">
        <f>VLOOKUP(C1689,[1]master_data!$A$2:$E$495,5,FALSE)</f>
        <v>Ikan</v>
      </c>
      <c r="L1689" s="1"/>
    </row>
    <row r="1690" spans="1:12" ht="12" customHeight="1" x14ac:dyDescent="0.25">
      <c r="A1690" s="15">
        <v>45062</v>
      </c>
      <c r="B1690" s="16">
        <v>22300809</v>
      </c>
      <c r="C1690" s="16" t="s">
        <v>436</v>
      </c>
      <c r="D1690" s="16" t="str">
        <f>VLOOKUP(C1690,[1]master_data!$A$2:$E$495,2,FALSE)</f>
        <v>NENTINEN</v>
      </c>
      <c r="E1690" s="16">
        <v>30</v>
      </c>
      <c r="F1690" s="16">
        <f>VLOOKUP(C1690,[1]master_data!$A$2:$E$495,3,FALSE)</f>
        <v>1000</v>
      </c>
      <c r="G1690" s="16">
        <f>VLOOKUP(C1690,[1]master_data!$A$2:$E$495,4,FALSE)</f>
        <v>2500</v>
      </c>
      <c r="H1690" s="16">
        <f>E1690*F1690</f>
        <v>30000</v>
      </c>
      <c r="I1690" s="16">
        <f>E1690*G1690</f>
        <v>75000</v>
      </c>
      <c r="J1690" s="16">
        <f>I1690-H1690</f>
        <v>45000</v>
      </c>
      <c r="K1690" s="16" t="str">
        <f>VLOOKUP(C1690,[1]master_data!$A$2:$E$495,5,FALSE)</f>
        <v>Ikan</v>
      </c>
      <c r="L1690" s="1"/>
    </row>
    <row r="1691" spans="1:12" ht="12" customHeight="1" x14ac:dyDescent="0.25">
      <c r="A1691" s="15">
        <v>45062</v>
      </c>
      <c r="B1691" s="16">
        <v>22300810</v>
      </c>
      <c r="C1691" s="16" t="s">
        <v>426</v>
      </c>
      <c r="D1691" s="16" t="str">
        <f>VLOOKUP(C1691,[1]master_data!$A$2:$E$495,2,FALSE)</f>
        <v>LOUHAN</v>
      </c>
      <c r="E1691" s="16">
        <v>2</v>
      </c>
      <c r="F1691" s="16">
        <f>VLOOKUP(C1691,[1]master_data!$A$2:$E$495,3,FALSE)</f>
        <v>85000</v>
      </c>
      <c r="G1691" s="16">
        <f>VLOOKUP(C1691,[1]master_data!$A$2:$E$495,4,FALSE)</f>
        <v>200000</v>
      </c>
      <c r="H1691" s="16">
        <f>E1691*F1691</f>
        <v>170000</v>
      </c>
      <c r="I1691" s="16">
        <f>E1691*G1691</f>
        <v>400000</v>
      </c>
      <c r="J1691" s="16">
        <f>I1691-H1691</f>
        <v>230000</v>
      </c>
      <c r="K1691" s="16" t="str">
        <f>VLOOKUP(C1691,[1]master_data!$A$2:$E$495,5,FALSE)</f>
        <v>Ikan</v>
      </c>
      <c r="L1691" s="1"/>
    </row>
    <row r="1692" spans="1:12" ht="12" customHeight="1" x14ac:dyDescent="0.25">
      <c r="A1692" s="15">
        <v>45062</v>
      </c>
      <c r="B1692" s="16">
        <v>22300811</v>
      </c>
      <c r="C1692" s="16" t="s">
        <v>451</v>
      </c>
      <c r="D1692" s="16" t="str">
        <f>VLOOKUP(C1692,[1]master_data!$A$2:$E$495,2,FALSE)</f>
        <v>SYNODONTIS K</v>
      </c>
      <c r="E1692" s="16">
        <v>20</v>
      </c>
      <c r="F1692" s="16">
        <f>VLOOKUP(C1692,[1]master_data!$A$2:$E$495,3,FALSE)</f>
        <v>1500</v>
      </c>
      <c r="G1692" s="16">
        <f>VLOOKUP(C1692,[1]master_data!$A$2:$E$495,4,FALSE)</f>
        <v>5000</v>
      </c>
      <c r="H1692" s="16">
        <f>E1692*F1692</f>
        <v>30000</v>
      </c>
      <c r="I1692" s="16">
        <f>E1692*G1692</f>
        <v>100000</v>
      </c>
      <c r="J1692" s="16">
        <f>I1692-H1692</f>
        <v>70000</v>
      </c>
      <c r="K1692" s="16" t="str">
        <f>VLOOKUP(C1692,[1]master_data!$A$2:$E$495,5,FALSE)</f>
        <v>Ikan</v>
      </c>
      <c r="L1692" s="1"/>
    </row>
    <row r="1693" spans="1:12" ht="12" customHeight="1" x14ac:dyDescent="0.25">
      <c r="A1693" s="15">
        <v>45062</v>
      </c>
      <c r="B1693" s="16">
        <v>22300812</v>
      </c>
      <c r="C1693" s="16" t="s">
        <v>449</v>
      </c>
      <c r="D1693" s="16" t="str">
        <f>VLOOKUP(C1693,[1]master_data!$A$2:$E$495,2,FALSE)</f>
        <v>SUMATRA GOLD FISH</v>
      </c>
      <c r="E1693" s="16">
        <v>20</v>
      </c>
      <c r="F1693" s="16">
        <f>VLOOKUP(C1693,[1]master_data!$A$2:$E$495,3,FALSE)</f>
        <v>2500</v>
      </c>
      <c r="G1693" s="16">
        <f>VLOOKUP(C1693,[1]master_data!$A$2:$E$495,4,FALSE)</f>
        <v>4000</v>
      </c>
      <c r="H1693" s="16">
        <f>E1693*F1693</f>
        <v>50000</v>
      </c>
      <c r="I1693" s="16">
        <f>E1693*G1693</f>
        <v>80000</v>
      </c>
      <c r="J1693" s="16">
        <f>I1693-H1693</f>
        <v>30000</v>
      </c>
      <c r="K1693" s="16" t="str">
        <f>VLOOKUP(C1693,[1]master_data!$A$2:$E$495,5,FALSE)</f>
        <v>Ikan</v>
      </c>
      <c r="L1693" s="1"/>
    </row>
    <row r="1694" spans="1:12" ht="12" customHeight="1" x14ac:dyDescent="0.25">
      <c r="A1694" s="15">
        <v>45062</v>
      </c>
      <c r="B1694" s="16">
        <v>22300813</v>
      </c>
      <c r="C1694" s="16" t="s">
        <v>113</v>
      </c>
      <c r="D1694" s="16" t="str">
        <f>VLOOKUP(C1694,[1]master_data!$A$2:$E$495,2,FALSE)</f>
        <v>AIRATOR ARMADA BATERAI 001</v>
      </c>
      <c r="E1694" s="16">
        <v>2</v>
      </c>
      <c r="F1694" s="16">
        <f>VLOOKUP(C1694,[1]master_data!$A$2:$E$495,3,FALSE)</f>
        <v>27000</v>
      </c>
      <c r="G1694" s="16">
        <f>VLOOKUP(C1694,[1]master_data!$A$2:$E$495,4,FALSE)</f>
        <v>45000</v>
      </c>
      <c r="H1694" s="16">
        <f>E1694*F1694</f>
        <v>54000</v>
      </c>
      <c r="I1694" s="16">
        <f>E1694*G1694</f>
        <v>90000</v>
      </c>
      <c r="J1694" s="16">
        <f>I1694-H1694</f>
        <v>36000</v>
      </c>
      <c r="K1694" s="16" t="str">
        <f>VLOOKUP(C1694,[1]master_data!$A$2:$E$495,5,FALSE)</f>
        <v>Aksesoris</v>
      </c>
      <c r="L1694" s="1"/>
    </row>
    <row r="1695" spans="1:12" ht="12" customHeight="1" x14ac:dyDescent="0.25">
      <c r="A1695" s="15">
        <v>45062</v>
      </c>
      <c r="B1695" s="16">
        <v>22300814</v>
      </c>
      <c r="C1695" s="16" t="s">
        <v>403</v>
      </c>
      <c r="D1695" s="16" t="str">
        <f>VLOOKUP(C1695,[1]master_data!$A$2:$E$495,2,FALSE)</f>
        <v>KOMET BOKIM</v>
      </c>
      <c r="E1695" s="16">
        <v>7</v>
      </c>
      <c r="F1695" s="16">
        <f>VLOOKUP(C1695,[1]master_data!$A$2:$E$495,3,FALSE)</f>
        <v>1500</v>
      </c>
      <c r="G1695" s="16">
        <f>VLOOKUP(C1695,[1]master_data!$A$2:$E$495,4,FALSE)</f>
        <v>5000</v>
      </c>
      <c r="H1695" s="16">
        <f>E1695*F1695</f>
        <v>10500</v>
      </c>
      <c r="I1695" s="16">
        <f>E1695*G1695</f>
        <v>35000</v>
      </c>
      <c r="J1695" s="16">
        <f>I1695-H1695</f>
        <v>24500</v>
      </c>
      <c r="K1695" s="16" t="str">
        <f>VLOOKUP(C1695,[1]master_data!$A$2:$E$495,5,FALSE)</f>
        <v>Ikan</v>
      </c>
      <c r="L1695" s="1"/>
    </row>
    <row r="1696" spans="1:12" ht="12" customHeight="1" x14ac:dyDescent="0.25">
      <c r="A1696" s="15">
        <v>45062</v>
      </c>
      <c r="B1696" s="16">
        <v>22300815</v>
      </c>
      <c r="C1696" s="16" t="s">
        <v>416</v>
      </c>
      <c r="D1696" s="16" t="str">
        <f>VLOOKUP(C1696,[1]master_data!$A$2:$E$495,2,FALSE)</f>
        <v>KOI B</v>
      </c>
      <c r="E1696" s="16">
        <v>10</v>
      </c>
      <c r="F1696" s="16">
        <f>VLOOKUP(C1696,[1]master_data!$A$2:$E$495,3,FALSE)</f>
        <v>9000</v>
      </c>
      <c r="G1696" s="16">
        <f>VLOOKUP(C1696,[1]master_data!$A$2:$E$495,4,FALSE)</f>
        <v>30000</v>
      </c>
      <c r="H1696" s="16">
        <f>E1696*F1696</f>
        <v>90000</v>
      </c>
      <c r="I1696" s="16">
        <f>E1696*G1696</f>
        <v>300000</v>
      </c>
      <c r="J1696" s="16">
        <f>I1696-H1696</f>
        <v>210000</v>
      </c>
      <c r="K1696" s="16" t="str">
        <f>VLOOKUP(C1696,[1]master_data!$A$2:$E$495,5,FALSE)</f>
        <v>Ikan</v>
      </c>
      <c r="L1696" s="1"/>
    </row>
    <row r="1697" spans="1:12" ht="12" customHeight="1" x14ac:dyDescent="0.25">
      <c r="A1697" s="15">
        <v>45061</v>
      </c>
      <c r="B1697" s="16">
        <v>22300803</v>
      </c>
      <c r="C1697" s="16" t="s">
        <v>389</v>
      </c>
      <c r="D1697" s="16" t="str">
        <f>VLOOKUP(C1697,[1]master_data!$A$2:$E$495,2,FALSE)</f>
        <v>CHANNA ANDRAO K</v>
      </c>
      <c r="E1697" s="16">
        <v>2</v>
      </c>
      <c r="F1697" s="16">
        <f>VLOOKUP(C1697,[1]master_data!$A$2:$E$495,3,FALSE)</f>
        <v>20000</v>
      </c>
      <c r="G1697" s="16">
        <f>VLOOKUP(C1697,[1]master_data!$A$2:$E$495,4,FALSE)</f>
        <v>50000</v>
      </c>
      <c r="H1697" s="16">
        <f>E1697*F1697</f>
        <v>40000</v>
      </c>
      <c r="I1697" s="16">
        <f>E1697*G1697</f>
        <v>100000</v>
      </c>
      <c r="J1697" s="16">
        <f>I1697-H1697</f>
        <v>60000</v>
      </c>
      <c r="K1697" s="16" t="str">
        <f>VLOOKUP(C1697,[1]master_data!$A$2:$E$495,5,FALSE)</f>
        <v>Ikan</v>
      </c>
      <c r="L1697" s="1"/>
    </row>
    <row r="1698" spans="1:12" ht="12" customHeight="1" x14ac:dyDescent="0.25">
      <c r="A1698" s="15">
        <v>45061</v>
      </c>
      <c r="B1698" s="16">
        <v>22300804</v>
      </c>
      <c r="C1698" s="16" t="s">
        <v>420</v>
      </c>
      <c r="D1698" s="16" t="str">
        <f>VLOOKUP(C1698,[1]master_data!$A$2:$E$495,2,FALSE)</f>
        <v>KOMET SLAYER</v>
      </c>
      <c r="E1698" s="16">
        <v>15</v>
      </c>
      <c r="F1698" s="16">
        <f>VLOOKUP(C1698,[1]master_data!$A$2:$E$495,3,FALSE)</f>
        <v>2000</v>
      </c>
      <c r="G1698" s="16">
        <f>VLOOKUP(C1698,[1]master_data!$A$2:$E$495,4,FALSE)</f>
        <v>5000</v>
      </c>
      <c r="H1698" s="16">
        <f>E1698*F1698</f>
        <v>30000</v>
      </c>
      <c r="I1698" s="16">
        <f>E1698*G1698</f>
        <v>75000</v>
      </c>
      <c r="J1698" s="16">
        <f>I1698-H1698</f>
        <v>45000</v>
      </c>
      <c r="K1698" s="16" t="str">
        <f>VLOOKUP(C1698,[1]master_data!$A$2:$E$495,5,FALSE)</f>
        <v>Ikan</v>
      </c>
      <c r="L1698" s="1"/>
    </row>
    <row r="1699" spans="1:12" ht="12" customHeight="1" x14ac:dyDescent="0.25">
      <c r="A1699" s="15">
        <v>45061</v>
      </c>
      <c r="B1699" s="16">
        <v>22300805</v>
      </c>
      <c r="C1699" s="16" t="s">
        <v>74</v>
      </c>
      <c r="D1699" s="16" t="str">
        <f>VLOOKUP(C1699,[1]master_data!$A$2:$E$495,2,FALSE)</f>
        <v>MESIN HAILONG 1600</v>
      </c>
      <c r="E1699" s="16">
        <v>5</v>
      </c>
      <c r="F1699" s="16">
        <f>VLOOKUP(C1699,[1]master_data!$A$2:$E$495,3,FALSE)</f>
        <v>58000</v>
      </c>
      <c r="G1699" s="16">
        <f>VLOOKUP(C1699,[1]master_data!$A$2:$E$495,4,FALSE)</f>
        <v>100000</v>
      </c>
      <c r="H1699" s="16">
        <f>E1699*F1699</f>
        <v>290000</v>
      </c>
      <c r="I1699" s="16">
        <f>E1699*G1699</f>
        <v>500000</v>
      </c>
      <c r="J1699" s="16">
        <f>I1699-H1699</f>
        <v>210000</v>
      </c>
      <c r="K1699" s="16" t="str">
        <f>VLOOKUP(C1699,[1]master_data!$A$2:$E$495,5,FALSE)</f>
        <v>Aksesoris</v>
      </c>
      <c r="L1699" s="1"/>
    </row>
    <row r="1700" spans="1:12" ht="12" customHeight="1" x14ac:dyDescent="0.25">
      <c r="A1700" s="15">
        <v>45061</v>
      </c>
      <c r="B1700" s="16">
        <v>22300806</v>
      </c>
      <c r="C1700" s="16" t="s">
        <v>430</v>
      </c>
      <c r="D1700" s="16" t="str">
        <f>VLOOKUP(C1700,[1]master_data!$A$2:$E$495,2,FALSE)</f>
        <v>MARU K</v>
      </c>
      <c r="E1700" s="16">
        <v>5</v>
      </c>
      <c r="F1700" s="16">
        <f>VLOOKUP(C1700,[1]master_data!$A$2:$E$495,3,FALSE)</f>
        <v>23000</v>
      </c>
      <c r="G1700" s="16">
        <f>VLOOKUP(C1700,[1]master_data!$A$2:$E$495,4,FALSE)</f>
        <v>50000</v>
      </c>
      <c r="H1700" s="16">
        <f>E1700*F1700</f>
        <v>115000</v>
      </c>
      <c r="I1700" s="16">
        <f>E1700*G1700</f>
        <v>250000</v>
      </c>
      <c r="J1700" s="16">
        <f>I1700-H1700</f>
        <v>135000</v>
      </c>
      <c r="K1700" s="16" t="str">
        <f>VLOOKUP(C1700,[1]master_data!$A$2:$E$495,5,FALSE)</f>
        <v>Ikan</v>
      </c>
      <c r="L1700" s="1"/>
    </row>
    <row r="1701" spans="1:12" ht="12" customHeight="1" x14ac:dyDescent="0.25">
      <c r="A1701" s="15">
        <v>45061</v>
      </c>
      <c r="B1701" s="16">
        <v>22300807</v>
      </c>
      <c r="C1701" s="16" t="s">
        <v>415</v>
      </c>
      <c r="D1701" s="16" t="str">
        <f>VLOOKUP(C1701,[1]master_data!$A$2:$E$495,2,FALSE)</f>
        <v>KOI T</v>
      </c>
      <c r="E1701" s="16">
        <v>2</v>
      </c>
      <c r="F1701" s="16">
        <f>VLOOKUP(C1701,[1]master_data!$A$2:$E$495,3,FALSE)</f>
        <v>7000</v>
      </c>
      <c r="G1701" s="16">
        <f>VLOOKUP(C1701,[1]master_data!$A$2:$E$495,4,FALSE)</f>
        <v>20000</v>
      </c>
      <c r="H1701" s="16">
        <f>E1701*F1701</f>
        <v>14000</v>
      </c>
      <c r="I1701" s="16">
        <f>E1701*G1701</f>
        <v>40000</v>
      </c>
      <c r="J1701" s="16">
        <f>I1701-H1701</f>
        <v>26000</v>
      </c>
      <c r="K1701" s="16" t="str">
        <f>VLOOKUP(C1701,[1]master_data!$A$2:$E$495,5,FALSE)</f>
        <v>Ikan</v>
      </c>
      <c r="L1701" s="1"/>
    </row>
    <row r="1702" spans="1:12" ht="12" customHeight="1" x14ac:dyDescent="0.25">
      <c r="A1702" s="15">
        <v>45060</v>
      </c>
      <c r="B1702" s="16">
        <v>22300794</v>
      </c>
      <c r="C1702" s="16" t="s">
        <v>75</v>
      </c>
      <c r="D1702" s="16" t="str">
        <f>VLOOKUP(C1702,[1]master_data!$A$2:$E$495,2,FALSE)</f>
        <v>MESIN ATMAN 103</v>
      </c>
      <c r="E1702" s="16">
        <v>1</v>
      </c>
      <c r="F1702" s="16">
        <f>VLOOKUP(C1702,[1]master_data!$A$2:$E$495,3,FALSE)</f>
        <v>130000</v>
      </c>
      <c r="G1702" s="16">
        <f>VLOOKUP(C1702,[1]master_data!$A$2:$E$495,4,FALSE)</f>
        <v>175000</v>
      </c>
      <c r="H1702" s="16">
        <f>E1702*F1702</f>
        <v>130000</v>
      </c>
      <c r="I1702" s="16">
        <f>E1702*G1702</f>
        <v>175000</v>
      </c>
      <c r="J1702" s="16">
        <f>I1702-H1702</f>
        <v>45000</v>
      </c>
      <c r="K1702" s="16" t="str">
        <f>VLOOKUP(C1702,[1]master_data!$A$2:$E$495,5,FALSE)</f>
        <v>Aksesoris</v>
      </c>
      <c r="L1702" s="1"/>
    </row>
    <row r="1703" spans="1:12" ht="12" customHeight="1" x14ac:dyDescent="0.25">
      <c r="A1703" s="15">
        <v>45060</v>
      </c>
      <c r="B1703" s="16">
        <v>22300795</v>
      </c>
      <c r="C1703" s="16" t="s">
        <v>410</v>
      </c>
      <c r="D1703" s="16" t="str">
        <f>VLOOKUP(C1703,[1]master_data!$A$2:$E$495,2,FALSE)</f>
        <v>HIU TAWAR</v>
      </c>
      <c r="E1703" s="16">
        <v>30</v>
      </c>
      <c r="F1703" s="16">
        <f>VLOOKUP(C1703,[1]master_data!$A$2:$E$495,3,FALSE)</f>
        <v>600</v>
      </c>
      <c r="G1703" s="16">
        <f>VLOOKUP(C1703,[1]master_data!$A$2:$E$495,4,FALSE)</f>
        <v>2000</v>
      </c>
      <c r="H1703" s="16">
        <f>E1703*F1703</f>
        <v>18000</v>
      </c>
      <c r="I1703" s="16">
        <f>E1703*G1703</f>
        <v>60000</v>
      </c>
      <c r="J1703" s="16">
        <f>I1703-H1703</f>
        <v>42000</v>
      </c>
      <c r="K1703" s="16" t="str">
        <f>VLOOKUP(C1703,[1]master_data!$A$2:$E$495,5,FALSE)</f>
        <v>Ikan</v>
      </c>
      <c r="L1703" s="1"/>
    </row>
    <row r="1704" spans="1:12" ht="12" customHeight="1" x14ac:dyDescent="0.25">
      <c r="A1704" s="15">
        <v>45060</v>
      </c>
      <c r="B1704" s="16">
        <v>22300796</v>
      </c>
      <c r="C1704" s="16" t="s">
        <v>455</v>
      </c>
      <c r="D1704" s="16" t="str">
        <f>VLOOKUP(C1704,[1]master_data!$A$2:$E$495,2,FALSE)</f>
        <v>ZEBRA PINK</v>
      </c>
      <c r="E1704" s="16">
        <v>50</v>
      </c>
      <c r="F1704" s="16">
        <f>VLOOKUP(C1704,[1]master_data!$A$2:$E$495,3,FALSE)</f>
        <v>800</v>
      </c>
      <c r="G1704" s="16">
        <f>VLOOKUP(C1704,[1]master_data!$A$2:$E$495,4,FALSE)</f>
        <v>2000</v>
      </c>
      <c r="H1704" s="16">
        <f>E1704*F1704</f>
        <v>40000</v>
      </c>
      <c r="I1704" s="16">
        <f>E1704*G1704</f>
        <v>100000</v>
      </c>
      <c r="J1704" s="16">
        <f>I1704-H1704</f>
        <v>60000</v>
      </c>
      <c r="K1704" s="16" t="str">
        <f>VLOOKUP(C1704,[1]master_data!$A$2:$E$495,5,FALSE)</f>
        <v>Ikan</v>
      </c>
      <c r="L1704" s="1"/>
    </row>
    <row r="1705" spans="1:12" ht="12" customHeight="1" x14ac:dyDescent="0.25">
      <c r="A1705" s="15">
        <v>45060</v>
      </c>
      <c r="B1705" s="16">
        <v>22300797</v>
      </c>
      <c r="C1705" s="16" t="s">
        <v>379</v>
      </c>
      <c r="D1705" s="16" t="str">
        <f>VLOOKUP(C1705,[1]master_data!$A$2:$E$495,2,FALSE)</f>
        <v>BATU WARNA BIASA</v>
      </c>
      <c r="E1705" s="16">
        <v>20</v>
      </c>
      <c r="F1705" s="16">
        <f>VLOOKUP(C1705,[1]master_data!$A$2:$E$495,3,FALSE)</f>
        <v>3500</v>
      </c>
      <c r="G1705" s="16">
        <f>VLOOKUP(C1705,[1]master_data!$A$2:$E$495,4,FALSE)</f>
        <v>8000</v>
      </c>
      <c r="H1705" s="16">
        <f>E1705*F1705</f>
        <v>70000</v>
      </c>
      <c r="I1705" s="16">
        <f>E1705*G1705</f>
        <v>160000</v>
      </c>
      <c r="J1705" s="16">
        <f>I1705-H1705</f>
        <v>90000</v>
      </c>
      <c r="K1705" s="16" t="str">
        <f>VLOOKUP(C1705,[1]master_data!$A$2:$E$495,5,FALSE)</f>
        <v>Aksesoris</v>
      </c>
      <c r="L1705" s="1"/>
    </row>
    <row r="1706" spans="1:12" ht="12" customHeight="1" x14ac:dyDescent="0.25">
      <c r="A1706" s="15">
        <v>45060</v>
      </c>
      <c r="B1706" s="16">
        <v>22300798</v>
      </c>
      <c r="C1706" s="16" t="s">
        <v>234</v>
      </c>
      <c r="D1706" s="16" t="str">
        <f>VLOOKUP(C1706,[1]master_data!$A$2:$E$495,2,FALSE)</f>
        <v>QUICK RED BG</v>
      </c>
      <c r="E1706" s="16">
        <v>2</v>
      </c>
      <c r="F1706" s="16">
        <f>VLOOKUP(C1706,[1]master_data!$A$2:$E$495,3,FALSE)</f>
        <v>19200</v>
      </c>
      <c r="G1706" s="16">
        <f>VLOOKUP(C1706,[1]master_data!$A$2:$E$495,4,FALSE)</f>
        <v>35000</v>
      </c>
      <c r="H1706" s="16">
        <f>E1706*F1706</f>
        <v>38400</v>
      </c>
      <c r="I1706" s="16">
        <f>E1706*G1706</f>
        <v>70000</v>
      </c>
      <c r="J1706" s="16">
        <f>I1706-H1706</f>
        <v>31600</v>
      </c>
      <c r="K1706" s="16" t="str">
        <f>VLOOKUP(C1706,[1]master_data!$A$2:$E$495,5,FALSE)</f>
        <v>Aksesoris</v>
      </c>
      <c r="L1706" s="1"/>
    </row>
    <row r="1707" spans="1:12" ht="12" customHeight="1" x14ac:dyDescent="0.25">
      <c r="A1707" s="15">
        <v>45060</v>
      </c>
      <c r="B1707" s="16">
        <v>22300799</v>
      </c>
      <c r="C1707" s="16" t="s">
        <v>262</v>
      </c>
      <c r="D1707" s="16" t="str">
        <f>VLOOKUP(C1707,[1]master_data!$A$2:$E$495,2,FALSE)</f>
        <v>CORNER FILTER MULTI NAVIGATOR</v>
      </c>
      <c r="E1707" s="16">
        <v>10</v>
      </c>
      <c r="F1707" s="16">
        <f>VLOOKUP(C1707,[1]master_data!$A$2:$E$495,3,FALSE)</f>
        <v>21000</v>
      </c>
      <c r="G1707" s="16">
        <f>VLOOKUP(C1707,[1]master_data!$A$2:$E$495,4,FALSE)</f>
        <v>30000</v>
      </c>
      <c r="H1707" s="16">
        <f>E1707*F1707</f>
        <v>210000</v>
      </c>
      <c r="I1707" s="16">
        <f>E1707*G1707</f>
        <v>300000</v>
      </c>
      <c r="J1707" s="16">
        <f>I1707-H1707</f>
        <v>90000</v>
      </c>
      <c r="K1707" s="16" t="str">
        <f>VLOOKUP(C1707,[1]master_data!$A$2:$E$495,5,FALSE)</f>
        <v>Aksesoris</v>
      </c>
      <c r="L1707" s="1"/>
    </row>
    <row r="1708" spans="1:12" ht="12" customHeight="1" x14ac:dyDescent="0.25">
      <c r="A1708" s="15">
        <v>45060</v>
      </c>
      <c r="B1708" s="16">
        <v>22300800</v>
      </c>
      <c r="C1708" s="16" t="s">
        <v>328</v>
      </c>
      <c r="D1708" s="16" t="str">
        <f>VLOOKUP(C1708,[1]master_data!$A$2:$E$495,2,FALSE)</f>
        <v>AIRSONE PUTIH</v>
      </c>
      <c r="E1708" s="16">
        <v>20</v>
      </c>
      <c r="F1708" s="16">
        <f>VLOOKUP(C1708,[1]master_data!$A$2:$E$495,3,FALSE)</f>
        <v>3000</v>
      </c>
      <c r="G1708" s="16">
        <f>VLOOKUP(C1708,[1]master_data!$A$2:$E$495,4,FALSE)</f>
        <v>5000</v>
      </c>
      <c r="H1708" s="16">
        <f>E1708*F1708</f>
        <v>60000</v>
      </c>
      <c r="I1708" s="16">
        <f>E1708*G1708</f>
        <v>100000</v>
      </c>
      <c r="J1708" s="16">
        <f>I1708-H1708</f>
        <v>40000</v>
      </c>
      <c r="K1708" s="16" t="str">
        <f>VLOOKUP(C1708,[1]master_data!$A$2:$E$495,5,FALSE)</f>
        <v>Aksesoris</v>
      </c>
      <c r="L1708" s="1"/>
    </row>
    <row r="1709" spans="1:12" ht="12" customHeight="1" x14ac:dyDescent="0.25">
      <c r="A1709" s="15">
        <v>45060</v>
      </c>
      <c r="B1709" s="16">
        <v>22300801</v>
      </c>
      <c r="C1709" s="16" t="s">
        <v>414</v>
      </c>
      <c r="D1709" s="16" t="str">
        <f>VLOOKUP(C1709,[1]master_data!$A$2:$E$495,2,FALSE)</f>
        <v>KOI K</v>
      </c>
      <c r="E1709" s="16">
        <v>10</v>
      </c>
      <c r="F1709" s="16">
        <f>VLOOKUP(C1709,[1]master_data!$A$2:$E$495,3,FALSE)</f>
        <v>2500</v>
      </c>
      <c r="G1709" s="16">
        <f>VLOOKUP(C1709,[1]master_data!$A$2:$E$495,4,FALSE)</f>
        <v>10000</v>
      </c>
      <c r="H1709" s="16">
        <f>E1709*F1709</f>
        <v>25000</v>
      </c>
      <c r="I1709" s="16">
        <f>E1709*G1709</f>
        <v>100000</v>
      </c>
      <c r="J1709" s="16">
        <f>I1709-H1709</f>
        <v>75000</v>
      </c>
      <c r="K1709" s="16" t="str">
        <f>VLOOKUP(C1709,[1]master_data!$A$2:$E$495,5,FALSE)</f>
        <v>Ikan</v>
      </c>
      <c r="L1709" s="1"/>
    </row>
    <row r="1710" spans="1:12" ht="12" customHeight="1" x14ac:dyDescent="0.25">
      <c r="A1710" s="15">
        <v>45060</v>
      </c>
      <c r="B1710" s="16">
        <v>22300802</v>
      </c>
      <c r="C1710" s="16" t="s">
        <v>419</v>
      </c>
      <c r="D1710" s="16" t="str">
        <f>VLOOKUP(C1710,[1]master_data!$A$2:$E$495,2,FALSE)</f>
        <v>KOMET PAKAN</v>
      </c>
      <c r="E1710" s="16">
        <v>300</v>
      </c>
      <c r="F1710" s="16">
        <f>VLOOKUP(C1710,[1]master_data!$A$2:$E$495,3,FALSE)</f>
        <v>300</v>
      </c>
      <c r="G1710" s="16">
        <f>VLOOKUP(C1710,[1]master_data!$A$2:$E$495,4,FALSE)</f>
        <v>1000</v>
      </c>
      <c r="H1710" s="16">
        <f>E1710*F1710</f>
        <v>90000</v>
      </c>
      <c r="I1710" s="16">
        <f>E1710*G1710</f>
        <v>300000</v>
      </c>
      <c r="J1710" s="16">
        <f>I1710-H1710</f>
        <v>210000</v>
      </c>
      <c r="K1710" s="16" t="str">
        <f>VLOOKUP(C1710,[1]master_data!$A$2:$E$495,5,FALSE)</f>
        <v>Ikan</v>
      </c>
      <c r="L1710" s="1"/>
    </row>
    <row r="1711" spans="1:12" ht="12" customHeight="1" x14ac:dyDescent="0.25">
      <c r="A1711" s="15">
        <v>45059</v>
      </c>
      <c r="B1711" s="16">
        <v>22300785</v>
      </c>
      <c r="C1711" s="16" t="s">
        <v>424</v>
      </c>
      <c r="D1711" s="16" t="str">
        <f>VLOOKUP(C1711,[1]master_data!$A$2:$E$495,2,FALSE)</f>
        <v>DISCUS</v>
      </c>
      <c r="E1711" s="16">
        <v>2</v>
      </c>
      <c r="F1711" s="16">
        <f>VLOOKUP(C1711,[1]master_data!$A$2:$E$495,3,FALSE)</f>
        <v>50000</v>
      </c>
      <c r="G1711" s="16">
        <f>VLOOKUP(C1711,[1]master_data!$A$2:$E$495,4,FALSE)</f>
        <v>150000</v>
      </c>
      <c r="H1711" s="16">
        <f>E1711*F1711</f>
        <v>100000</v>
      </c>
      <c r="I1711" s="16">
        <f>E1711*G1711</f>
        <v>300000</v>
      </c>
      <c r="J1711" s="16">
        <f>I1711-H1711</f>
        <v>200000</v>
      </c>
      <c r="K1711" s="16" t="str">
        <f>VLOOKUP(C1711,[1]master_data!$A$2:$E$495,5,FALSE)</f>
        <v>Ikan</v>
      </c>
      <c r="L1711" s="1"/>
    </row>
    <row r="1712" spans="1:12" ht="12" customHeight="1" x14ac:dyDescent="0.25">
      <c r="A1712" s="15">
        <v>45059</v>
      </c>
      <c r="B1712" s="16">
        <v>22300786</v>
      </c>
      <c r="C1712" s="16" t="s">
        <v>410</v>
      </c>
      <c r="D1712" s="16" t="str">
        <f>VLOOKUP(C1712,[1]master_data!$A$2:$E$495,2,FALSE)</f>
        <v>HIU TAWAR</v>
      </c>
      <c r="E1712" s="16">
        <v>5</v>
      </c>
      <c r="F1712" s="16">
        <f>VLOOKUP(C1712,[1]master_data!$A$2:$E$495,3,FALSE)</f>
        <v>600</v>
      </c>
      <c r="G1712" s="16">
        <f>VLOOKUP(C1712,[1]master_data!$A$2:$E$495,4,FALSE)</f>
        <v>2000</v>
      </c>
      <c r="H1712" s="16">
        <f>E1712*F1712</f>
        <v>3000</v>
      </c>
      <c r="I1712" s="16">
        <f>E1712*G1712</f>
        <v>10000</v>
      </c>
      <c r="J1712" s="16">
        <f>I1712-H1712</f>
        <v>7000</v>
      </c>
      <c r="K1712" s="16" t="str">
        <f>VLOOKUP(C1712,[1]master_data!$A$2:$E$495,5,FALSE)</f>
        <v>Ikan</v>
      </c>
      <c r="L1712" s="1"/>
    </row>
    <row r="1713" spans="1:12" ht="12" customHeight="1" x14ac:dyDescent="0.25">
      <c r="A1713" s="15">
        <v>45059</v>
      </c>
      <c r="B1713" s="16">
        <v>22300787</v>
      </c>
      <c r="C1713" s="16" t="s">
        <v>391</v>
      </c>
      <c r="D1713" s="16" t="str">
        <f>VLOOKUP(C1713,[1]master_data!$A$2:$E$495,2,FALSE)</f>
        <v>CHANNA ANDRAO B</v>
      </c>
      <c r="E1713" s="16">
        <v>2</v>
      </c>
      <c r="F1713" s="16">
        <f>VLOOKUP(C1713,[1]master_data!$A$2:$E$495,3,FALSE)</f>
        <v>100000</v>
      </c>
      <c r="G1713" s="16">
        <f>VLOOKUP(C1713,[1]master_data!$A$2:$E$495,4,FALSE)</f>
        <v>200000</v>
      </c>
      <c r="H1713" s="16">
        <f>E1713*F1713</f>
        <v>200000</v>
      </c>
      <c r="I1713" s="16">
        <f>E1713*G1713</f>
        <v>400000</v>
      </c>
      <c r="J1713" s="16">
        <f>I1713-H1713</f>
        <v>200000</v>
      </c>
      <c r="K1713" s="16" t="str">
        <f>VLOOKUP(C1713,[1]master_data!$A$2:$E$495,5,FALSE)</f>
        <v>Ikan</v>
      </c>
      <c r="L1713" s="1"/>
    </row>
    <row r="1714" spans="1:12" ht="12" customHeight="1" x14ac:dyDescent="0.25">
      <c r="A1714" s="15">
        <v>45059</v>
      </c>
      <c r="B1714" s="16">
        <v>22300788</v>
      </c>
      <c r="C1714" s="16" t="s">
        <v>76</v>
      </c>
      <c r="D1714" s="16" t="str">
        <f>VLOOKUP(C1714,[1]master_data!$A$2:$E$495,2,FALSE)</f>
        <v>FITER SPONGE SOBO</v>
      </c>
      <c r="E1714" s="16">
        <v>1</v>
      </c>
      <c r="F1714" s="16">
        <f>VLOOKUP(C1714,[1]master_data!$A$2:$E$495,3,FALSE)</f>
        <v>12000</v>
      </c>
      <c r="G1714" s="16">
        <f>VLOOKUP(C1714,[1]master_data!$A$2:$E$495,4,FALSE)</f>
        <v>25000</v>
      </c>
      <c r="H1714" s="16">
        <f>E1714*F1714</f>
        <v>12000</v>
      </c>
      <c r="I1714" s="16">
        <f>E1714*G1714</f>
        <v>25000</v>
      </c>
      <c r="J1714" s="16">
        <f>I1714-H1714</f>
        <v>13000</v>
      </c>
      <c r="K1714" s="16" t="str">
        <f>VLOOKUP(C1714,[1]master_data!$A$2:$E$495,5,FALSE)</f>
        <v>Aksesoris</v>
      </c>
      <c r="L1714" s="1"/>
    </row>
    <row r="1715" spans="1:12" ht="12" customHeight="1" x14ac:dyDescent="0.25">
      <c r="A1715" s="15">
        <v>45059</v>
      </c>
      <c r="B1715" s="16">
        <v>22300789</v>
      </c>
      <c r="C1715" s="16" t="s">
        <v>404</v>
      </c>
      <c r="D1715" s="16" t="str">
        <f>VLOOKUP(C1715,[1]master_data!$A$2:$E$495,2,FALSE)</f>
        <v>BARBIR</v>
      </c>
      <c r="E1715" s="16">
        <v>25</v>
      </c>
      <c r="F1715" s="16">
        <f>VLOOKUP(C1715,[1]master_data!$A$2:$E$495,3,FALSE)</f>
        <v>800</v>
      </c>
      <c r="G1715" s="16">
        <f>VLOOKUP(C1715,[1]master_data!$A$2:$E$495,4,FALSE)</f>
        <v>2000</v>
      </c>
      <c r="H1715" s="16">
        <f>E1715*F1715</f>
        <v>20000</v>
      </c>
      <c r="I1715" s="16">
        <f>E1715*G1715</f>
        <v>50000</v>
      </c>
      <c r="J1715" s="16">
        <f>I1715-H1715</f>
        <v>30000</v>
      </c>
      <c r="K1715" s="16" t="str">
        <f>VLOOKUP(C1715,[1]master_data!$A$2:$E$495,5,FALSE)</f>
        <v>Ikan</v>
      </c>
      <c r="L1715" s="1"/>
    </row>
    <row r="1716" spans="1:12" ht="12" customHeight="1" x14ac:dyDescent="0.25">
      <c r="A1716" s="15">
        <v>45059</v>
      </c>
      <c r="B1716" s="16">
        <v>22300790</v>
      </c>
      <c r="C1716" s="16" t="s">
        <v>262</v>
      </c>
      <c r="D1716" s="16" t="str">
        <f>VLOOKUP(C1716,[1]master_data!$A$2:$E$495,2,FALSE)</f>
        <v>CORNER FILTER MULTI NAVIGATOR</v>
      </c>
      <c r="E1716" s="16">
        <v>2</v>
      </c>
      <c r="F1716" s="16">
        <f>VLOOKUP(C1716,[1]master_data!$A$2:$E$495,3,FALSE)</f>
        <v>21000</v>
      </c>
      <c r="G1716" s="16">
        <f>VLOOKUP(C1716,[1]master_data!$A$2:$E$495,4,FALSE)</f>
        <v>30000</v>
      </c>
      <c r="H1716" s="16">
        <f>E1716*F1716</f>
        <v>42000</v>
      </c>
      <c r="I1716" s="16">
        <f>E1716*G1716</f>
        <v>60000</v>
      </c>
      <c r="J1716" s="16">
        <f>I1716-H1716</f>
        <v>18000</v>
      </c>
      <c r="K1716" s="16" t="str">
        <f>VLOOKUP(C1716,[1]master_data!$A$2:$E$495,5,FALSE)</f>
        <v>Aksesoris</v>
      </c>
      <c r="L1716" s="1"/>
    </row>
    <row r="1717" spans="1:12" ht="12" customHeight="1" x14ac:dyDescent="0.25">
      <c r="A1717" s="15">
        <v>45059</v>
      </c>
      <c r="B1717" s="16">
        <v>22300791</v>
      </c>
      <c r="C1717" s="16" t="s">
        <v>282</v>
      </c>
      <c r="D1717" s="16" t="str">
        <f>VLOOKUP(C1717,[1]master_data!$A$2:$E$495,2,FALSE)</f>
        <v>HIASAN KELAPA</v>
      </c>
      <c r="E1717" s="16">
        <v>10</v>
      </c>
      <c r="F1717" s="16">
        <f>VLOOKUP(C1717,[1]master_data!$A$2:$E$495,3,FALSE)</f>
        <v>8000</v>
      </c>
      <c r="G1717" s="16">
        <f>VLOOKUP(C1717,[1]master_data!$A$2:$E$495,4,FALSE)</f>
        <v>15000</v>
      </c>
      <c r="H1717" s="16">
        <f>E1717*F1717</f>
        <v>80000</v>
      </c>
      <c r="I1717" s="16">
        <f>E1717*G1717</f>
        <v>150000</v>
      </c>
      <c r="J1717" s="16">
        <f>I1717-H1717</f>
        <v>70000</v>
      </c>
      <c r="K1717" s="16" t="str">
        <f>VLOOKUP(C1717,[1]master_data!$A$2:$E$495,5,FALSE)</f>
        <v>Aksesoris</v>
      </c>
      <c r="L1717" s="1"/>
    </row>
    <row r="1718" spans="1:12" ht="12" customHeight="1" x14ac:dyDescent="0.25">
      <c r="A1718" s="15">
        <v>45059</v>
      </c>
      <c r="B1718" s="16">
        <v>22300792</v>
      </c>
      <c r="C1718" s="16" t="s">
        <v>437</v>
      </c>
      <c r="D1718" s="16" t="str">
        <f>VLOOKUP(C1718,[1]master_data!$A$2:$E$495,2,FALSE)</f>
        <v>NEON</v>
      </c>
      <c r="E1718" s="16">
        <v>1</v>
      </c>
      <c r="F1718" s="16">
        <f>VLOOKUP(C1718,[1]master_data!$A$2:$E$495,3,FALSE)</f>
        <v>1250</v>
      </c>
      <c r="G1718" s="16">
        <f>VLOOKUP(C1718,[1]master_data!$A$2:$E$495,4,FALSE)</f>
        <v>5000</v>
      </c>
      <c r="H1718" s="16">
        <f>E1718*F1718</f>
        <v>1250</v>
      </c>
      <c r="I1718" s="16">
        <f>E1718*G1718</f>
        <v>5000</v>
      </c>
      <c r="J1718" s="16">
        <f>I1718-H1718</f>
        <v>3750</v>
      </c>
      <c r="K1718" s="16" t="str">
        <f>VLOOKUP(C1718,[1]master_data!$A$2:$E$495,5,FALSE)</f>
        <v>Ikan</v>
      </c>
      <c r="L1718" s="1"/>
    </row>
    <row r="1719" spans="1:12" ht="12" customHeight="1" x14ac:dyDescent="0.25">
      <c r="A1719" s="15">
        <v>45059</v>
      </c>
      <c r="B1719" s="16">
        <v>22300793</v>
      </c>
      <c r="C1719" s="16" t="s">
        <v>434</v>
      </c>
      <c r="D1719" s="16" t="str">
        <f>VLOOKUP(C1719,[1]master_data!$A$2:$E$495,2,FALSE)</f>
        <v>NIASA</v>
      </c>
      <c r="E1719" s="16">
        <v>1</v>
      </c>
      <c r="F1719" s="16">
        <f>VLOOKUP(C1719,[1]master_data!$A$2:$E$495,3,FALSE)</f>
        <v>900</v>
      </c>
      <c r="G1719" s="16">
        <f>VLOOKUP(C1719,[1]master_data!$A$2:$E$495,4,FALSE)</f>
        <v>2000</v>
      </c>
      <c r="H1719" s="16">
        <f>E1719*F1719</f>
        <v>900</v>
      </c>
      <c r="I1719" s="16">
        <f>E1719*G1719</f>
        <v>2000</v>
      </c>
      <c r="J1719" s="16">
        <f>I1719-H1719</f>
        <v>1100</v>
      </c>
      <c r="K1719" s="16" t="str">
        <f>VLOOKUP(C1719,[1]master_data!$A$2:$E$495,5,FALSE)</f>
        <v>Ikan</v>
      </c>
      <c r="L1719" s="1"/>
    </row>
    <row r="1720" spans="1:12" ht="12" customHeight="1" x14ac:dyDescent="0.25">
      <c r="A1720" s="15">
        <v>45058</v>
      </c>
      <c r="B1720" s="16">
        <v>22300778</v>
      </c>
      <c r="C1720" s="16" t="s">
        <v>414</v>
      </c>
      <c r="D1720" s="16" t="str">
        <f>VLOOKUP(C1720,[1]master_data!$A$2:$E$495,2,FALSE)</f>
        <v>KOI K</v>
      </c>
      <c r="E1720" s="16">
        <v>18</v>
      </c>
      <c r="F1720" s="16">
        <f>VLOOKUP(C1720,[1]master_data!$A$2:$E$495,3,FALSE)</f>
        <v>2500</v>
      </c>
      <c r="G1720" s="16">
        <f>VLOOKUP(C1720,[1]master_data!$A$2:$E$495,4,FALSE)</f>
        <v>10000</v>
      </c>
      <c r="H1720" s="16">
        <f>E1720*F1720</f>
        <v>45000</v>
      </c>
      <c r="I1720" s="16">
        <f>E1720*G1720</f>
        <v>180000</v>
      </c>
      <c r="J1720" s="16">
        <f>I1720-H1720</f>
        <v>135000</v>
      </c>
      <c r="K1720" s="16" t="str">
        <f>VLOOKUP(C1720,[1]master_data!$A$2:$E$495,5,FALSE)</f>
        <v>Ikan</v>
      </c>
      <c r="L1720" s="1"/>
    </row>
    <row r="1721" spans="1:12" ht="12" customHeight="1" x14ac:dyDescent="0.25">
      <c r="A1721" s="15">
        <v>45058</v>
      </c>
      <c r="B1721" s="16">
        <v>22300779</v>
      </c>
      <c r="C1721" s="16" t="s">
        <v>447</v>
      </c>
      <c r="D1721" s="16" t="str">
        <f>VLOOKUP(C1721,[1]master_data!$A$2:$E$495,2,FALSE)</f>
        <v>CHANNA RED BARITO B</v>
      </c>
      <c r="E1721" s="16">
        <v>1</v>
      </c>
      <c r="F1721" s="16">
        <f>VLOOKUP(C1721,[1]master_data!$A$2:$E$495,3,FALSE)</f>
        <v>120000</v>
      </c>
      <c r="G1721" s="16">
        <f>VLOOKUP(C1721,[1]master_data!$A$2:$E$495,4,FALSE)</f>
        <v>200000</v>
      </c>
      <c r="H1721" s="16">
        <f>E1721*F1721</f>
        <v>120000</v>
      </c>
      <c r="I1721" s="16">
        <f>E1721*G1721</f>
        <v>200000</v>
      </c>
      <c r="J1721" s="16">
        <f>I1721-H1721</f>
        <v>80000</v>
      </c>
      <c r="K1721" s="16" t="str">
        <f>VLOOKUP(C1721,[1]master_data!$A$2:$E$495,5,FALSE)</f>
        <v>Ikan</v>
      </c>
      <c r="L1721" s="1"/>
    </row>
    <row r="1722" spans="1:12" ht="12" customHeight="1" x14ac:dyDescent="0.25">
      <c r="A1722" s="15">
        <v>45058</v>
      </c>
      <c r="B1722" s="16">
        <v>22300780</v>
      </c>
      <c r="C1722" s="16" t="s">
        <v>415</v>
      </c>
      <c r="D1722" s="16" t="str">
        <f>VLOOKUP(C1722,[1]master_data!$A$2:$E$495,2,FALSE)</f>
        <v>KOI T</v>
      </c>
      <c r="E1722" s="16">
        <v>10</v>
      </c>
      <c r="F1722" s="16">
        <f>VLOOKUP(C1722,[1]master_data!$A$2:$E$495,3,FALSE)</f>
        <v>7000</v>
      </c>
      <c r="G1722" s="16">
        <f>VLOOKUP(C1722,[1]master_data!$A$2:$E$495,4,FALSE)</f>
        <v>20000</v>
      </c>
      <c r="H1722" s="16">
        <f>E1722*F1722</f>
        <v>70000</v>
      </c>
      <c r="I1722" s="16">
        <f>E1722*G1722</f>
        <v>200000</v>
      </c>
      <c r="J1722" s="16">
        <f>I1722-H1722</f>
        <v>130000</v>
      </c>
      <c r="K1722" s="16" t="str">
        <f>VLOOKUP(C1722,[1]master_data!$A$2:$E$495,5,FALSE)</f>
        <v>Ikan</v>
      </c>
      <c r="L1722" s="1"/>
    </row>
    <row r="1723" spans="1:12" ht="12" customHeight="1" x14ac:dyDescent="0.25">
      <c r="A1723" s="15">
        <v>45058</v>
      </c>
      <c r="B1723" s="16">
        <v>22300781</v>
      </c>
      <c r="C1723" s="16" t="s">
        <v>242</v>
      </c>
      <c r="D1723" s="16" t="str">
        <f>VLOOKUP(C1723,[1]master_data!$A$2:$E$495,2,FALSE)</f>
        <v>BACTERIAL STATER</v>
      </c>
      <c r="E1723" s="16">
        <v>2</v>
      </c>
      <c r="F1723" s="16">
        <f>VLOOKUP(C1723,[1]master_data!$A$2:$E$495,3,FALSE)</f>
        <v>10000</v>
      </c>
      <c r="G1723" s="16">
        <f>VLOOKUP(C1723,[1]master_data!$A$2:$E$495,4,FALSE)</f>
        <v>15000</v>
      </c>
      <c r="H1723" s="16">
        <f>E1723*F1723</f>
        <v>20000</v>
      </c>
      <c r="I1723" s="16">
        <f>E1723*G1723</f>
        <v>30000</v>
      </c>
      <c r="J1723" s="16">
        <f>I1723-H1723</f>
        <v>10000</v>
      </c>
      <c r="K1723" s="16" t="str">
        <f>VLOOKUP(C1723,[1]master_data!$A$2:$E$495,5,FALSE)</f>
        <v>Aksesoris</v>
      </c>
      <c r="L1723" s="1"/>
    </row>
    <row r="1724" spans="1:12" ht="12" customHeight="1" x14ac:dyDescent="0.25">
      <c r="A1724" s="15">
        <v>45058</v>
      </c>
      <c r="B1724" s="16">
        <v>22300782</v>
      </c>
      <c r="C1724" s="16" t="s">
        <v>404</v>
      </c>
      <c r="D1724" s="16" t="str">
        <f>VLOOKUP(C1724,[1]master_data!$A$2:$E$495,2,FALSE)</f>
        <v>BARBIR</v>
      </c>
      <c r="E1724" s="16">
        <v>15</v>
      </c>
      <c r="F1724" s="16">
        <f>VLOOKUP(C1724,[1]master_data!$A$2:$E$495,3,FALSE)</f>
        <v>800</v>
      </c>
      <c r="G1724" s="16">
        <f>VLOOKUP(C1724,[1]master_data!$A$2:$E$495,4,FALSE)</f>
        <v>2000</v>
      </c>
      <c r="H1724" s="16">
        <f>E1724*F1724</f>
        <v>12000</v>
      </c>
      <c r="I1724" s="16">
        <f>E1724*G1724</f>
        <v>30000</v>
      </c>
      <c r="J1724" s="16">
        <f>I1724-H1724</f>
        <v>18000</v>
      </c>
      <c r="K1724" s="16" t="str">
        <f>VLOOKUP(C1724,[1]master_data!$A$2:$E$495,5,FALSE)</f>
        <v>Ikan</v>
      </c>
      <c r="L1724" s="1"/>
    </row>
    <row r="1725" spans="1:12" ht="12" customHeight="1" x14ac:dyDescent="0.25">
      <c r="A1725" s="15">
        <v>45058</v>
      </c>
      <c r="B1725" s="16">
        <v>22300783</v>
      </c>
      <c r="C1725" s="16" t="s">
        <v>412</v>
      </c>
      <c r="D1725" s="16" t="str">
        <f>VLOOKUP(C1725,[1]master_data!$A$2:$E$495,2,FALSE)</f>
        <v>KOKI T</v>
      </c>
      <c r="E1725" s="16">
        <v>1</v>
      </c>
      <c r="F1725" s="16">
        <f>VLOOKUP(C1725,[1]master_data!$A$2:$E$495,3,FALSE)</f>
        <v>8000</v>
      </c>
      <c r="G1725" s="16">
        <f>VLOOKUP(C1725,[1]master_data!$A$2:$E$495,4,FALSE)</f>
        <v>15000</v>
      </c>
      <c r="H1725" s="16">
        <f>E1725*F1725</f>
        <v>8000</v>
      </c>
      <c r="I1725" s="16">
        <f>E1725*G1725</f>
        <v>15000</v>
      </c>
      <c r="J1725" s="16">
        <f>I1725-H1725</f>
        <v>7000</v>
      </c>
      <c r="K1725" s="16" t="str">
        <f>VLOOKUP(C1725,[1]master_data!$A$2:$E$495,5,FALSE)</f>
        <v>Ikan</v>
      </c>
      <c r="L1725" s="1"/>
    </row>
    <row r="1726" spans="1:12" ht="12" customHeight="1" x14ac:dyDescent="0.25">
      <c r="A1726" s="15">
        <v>45058</v>
      </c>
      <c r="B1726" s="16">
        <v>22300784</v>
      </c>
      <c r="C1726" s="16" t="s">
        <v>272</v>
      </c>
      <c r="D1726" s="16" t="str">
        <f>VLOOKUP(C1726,[1]master_data!$A$2:$E$495,2,FALSE)</f>
        <v>JARING 10</v>
      </c>
      <c r="E1726" s="16">
        <v>1</v>
      </c>
      <c r="F1726" s="16">
        <f>VLOOKUP(C1726,[1]master_data!$A$2:$E$495,3,FALSE)</f>
        <v>2900</v>
      </c>
      <c r="G1726" s="16">
        <f>VLOOKUP(C1726,[1]master_data!$A$2:$E$495,4,FALSE)</f>
        <v>6000</v>
      </c>
      <c r="H1726" s="16">
        <f>E1726*F1726</f>
        <v>2900</v>
      </c>
      <c r="I1726" s="16">
        <f>E1726*G1726</f>
        <v>6000</v>
      </c>
      <c r="J1726" s="16">
        <f>I1726-H1726</f>
        <v>3100</v>
      </c>
      <c r="K1726" s="16" t="str">
        <f>VLOOKUP(C1726,[1]master_data!$A$2:$E$495,5,FALSE)</f>
        <v>Aksesoris</v>
      </c>
      <c r="L1726" s="1"/>
    </row>
    <row r="1727" spans="1:12" ht="12" customHeight="1" x14ac:dyDescent="0.25">
      <c r="A1727" s="15">
        <v>45057</v>
      </c>
      <c r="B1727" s="16">
        <v>22300775</v>
      </c>
      <c r="C1727" s="16" t="s">
        <v>423</v>
      </c>
      <c r="D1727" s="16" t="str">
        <f>VLOOKUP(C1727,[1]master_data!$A$2:$E$495,2,FALSE)</f>
        <v>CAROLINE</v>
      </c>
      <c r="E1727" s="16">
        <v>14</v>
      </c>
      <c r="F1727" s="16">
        <f>VLOOKUP(C1727,[1]master_data!$A$2:$E$495,3,FALSE)</f>
        <v>900</v>
      </c>
      <c r="G1727" s="16">
        <f>VLOOKUP(C1727,[1]master_data!$A$2:$E$495,4,FALSE)</f>
        <v>2000</v>
      </c>
      <c r="H1727" s="16">
        <f>E1727*F1727</f>
        <v>12600</v>
      </c>
      <c r="I1727" s="16">
        <f>E1727*G1727</f>
        <v>28000</v>
      </c>
      <c r="J1727" s="16">
        <f>I1727-H1727</f>
        <v>15400</v>
      </c>
      <c r="K1727" s="16" t="str">
        <f>VLOOKUP(C1727,[1]master_data!$A$2:$E$495,5,FALSE)</f>
        <v>Ikan</v>
      </c>
      <c r="L1727" s="1"/>
    </row>
    <row r="1728" spans="1:12" ht="12" customHeight="1" x14ac:dyDescent="0.25">
      <c r="A1728" s="15">
        <v>45057</v>
      </c>
      <c r="B1728" s="16">
        <v>22300776</v>
      </c>
      <c r="C1728" s="16" t="s">
        <v>11</v>
      </c>
      <c r="D1728" s="16" t="str">
        <f>VLOOKUP(C1728,[1]master_data!$A$2:$E$495,2,FALSE)</f>
        <v>MESIN YANG 103</v>
      </c>
      <c r="E1728" s="16">
        <v>10</v>
      </c>
      <c r="F1728" s="16">
        <f>VLOOKUP(C1728,[1]master_data!$A$2:$E$495,3,FALSE)</f>
        <v>66000</v>
      </c>
      <c r="G1728" s="16">
        <f>VLOOKUP(C1728,[1]master_data!$A$2:$E$495,4,FALSE)</f>
        <v>95000</v>
      </c>
      <c r="H1728" s="16">
        <f>E1728*F1728</f>
        <v>660000</v>
      </c>
      <c r="I1728" s="16">
        <f>E1728*G1728</f>
        <v>950000</v>
      </c>
      <c r="J1728" s="16">
        <f>I1728-H1728</f>
        <v>290000</v>
      </c>
      <c r="K1728" s="16" t="str">
        <f>VLOOKUP(C1728,[1]master_data!$A$2:$E$495,5,FALSE)</f>
        <v>Aksesoris</v>
      </c>
      <c r="L1728" s="1"/>
    </row>
    <row r="1729" spans="1:12" ht="12" customHeight="1" x14ac:dyDescent="0.25">
      <c r="A1729" s="15">
        <v>45057</v>
      </c>
      <c r="B1729" s="16">
        <v>22300777</v>
      </c>
      <c r="C1729" s="16" t="s">
        <v>114</v>
      </c>
      <c r="D1729" s="16" t="str">
        <f>VLOOKUP(C1729,[1]master_data!$A$2:$E$495,2,FALSE)</f>
        <v>AIRATOR KANDILA LUB 2</v>
      </c>
      <c r="E1729" s="16">
        <v>6</v>
      </c>
      <c r="F1729" s="16">
        <f>VLOOKUP(C1729,[1]master_data!$A$2:$E$495,3,FALSE)</f>
        <v>26000</v>
      </c>
      <c r="G1729" s="16">
        <f>VLOOKUP(C1729,[1]master_data!$A$2:$E$495,4,FALSE)</f>
        <v>50000</v>
      </c>
      <c r="H1729" s="16">
        <f>E1729*F1729</f>
        <v>156000</v>
      </c>
      <c r="I1729" s="16">
        <f>E1729*G1729</f>
        <v>300000</v>
      </c>
      <c r="J1729" s="16">
        <f>I1729-H1729</f>
        <v>144000</v>
      </c>
      <c r="K1729" s="16" t="str">
        <f>VLOOKUP(C1729,[1]master_data!$A$2:$E$495,5,FALSE)</f>
        <v>Aksesoris</v>
      </c>
      <c r="L1729" s="1"/>
    </row>
    <row r="1730" spans="1:12" ht="12" customHeight="1" x14ac:dyDescent="0.25">
      <c r="A1730" s="15">
        <v>45056</v>
      </c>
      <c r="B1730" s="16">
        <v>22300768</v>
      </c>
      <c r="C1730" s="16" t="s">
        <v>420</v>
      </c>
      <c r="D1730" s="16" t="str">
        <f>VLOOKUP(C1730,[1]master_data!$A$2:$E$495,2,FALSE)</f>
        <v>KOMET SLAYER</v>
      </c>
      <c r="E1730" s="16">
        <v>30</v>
      </c>
      <c r="F1730" s="16">
        <f>VLOOKUP(C1730,[1]master_data!$A$2:$E$495,3,FALSE)</f>
        <v>2000</v>
      </c>
      <c r="G1730" s="16">
        <f>VLOOKUP(C1730,[1]master_data!$A$2:$E$495,4,FALSE)</f>
        <v>5000</v>
      </c>
      <c r="H1730" s="16">
        <f>E1730*F1730</f>
        <v>60000</v>
      </c>
      <c r="I1730" s="16">
        <f>E1730*G1730</f>
        <v>150000</v>
      </c>
      <c r="J1730" s="16">
        <f>I1730-H1730</f>
        <v>90000</v>
      </c>
      <c r="K1730" s="16" t="str">
        <f>VLOOKUP(C1730,[1]master_data!$A$2:$E$495,5,FALSE)</f>
        <v>Ikan</v>
      </c>
      <c r="L1730" s="1"/>
    </row>
    <row r="1731" spans="1:12" ht="12" customHeight="1" x14ac:dyDescent="0.25">
      <c r="A1731" s="15">
        <v>45056</v>
      </c>
      <c r="B1731" s="16">
        <v>22300769</v>
      </c>
      <c r="C1731" s="16" t="s">
        <v>153</v>
      </c>
      <c r="D1731" s="16" t="str">
        <f>VLOOKUP(C1731,[1]master_data!$A$2:$E$495,2,FALSE)</f>
        <v>LED VOSSO A 600</v>
      </c>
      <c r="E1731" s="16">
        <v>2</v>
      </c>
      <c r="F1731" s="16">
        <f>VLOOKUP(C1731,[1]master_data!$A$2:$E$495,3,FALSE)</f>
        <v>55000</v>
      </c>
      <c r="G1731" s="16">
        <f>VLOOKUP(C1731,[1]master_data!$A$2:$E$495,4,FALSE)</f>
        <v>75000</v>
      </c>
      <c r="H1731" s="16">
        <f>E1731*F1731</f>
        <v>110000</v>
      </c>
      <c r="I1731" s="16">
        <f>E1731*G1731</f>
        <v>150000</v>
      </c>
      <c r="J1731" s="16">
        <f>I1731-H1731</f>
        <v>40000</v>
      </c>
      <c r="K1731" s="16" t="str">
        <f>VLOOKUP(C1731,[1]master_data!$A$2:$E$495,5,FALSE)</f>
        <v>Aksesoris</v>
      </c>
      <c r="L1731" s="1"/>
    </row>
    <row r="1732" spans="1:12" ht="12" customHeight="1" x14ac:dyDescent="0.25">
      <c r="A1732" s="15">
        <v>45056</v>
      </c>
      <c r="B1732" s="16">
        <v>22300770</v>
      </c>
      <c r="C1732" s="16" t="s">
        <v>411</v>
      </c>
      <c r="D1732" s="16" t="str">
        <f>VLOOKUP(C1732,[1]master_data!$A$2:$E$495,2,FALSE)</f>
        <v>KOKI K</v>
      </c>
      <c r="E1732" s="16">
        <v>20</v>
      </c>
      <c r="F1732" s="16">
        <f>VLOOKUP(C1732,[1]master_data!$A$2:$E$495,3,FALSE)</f>
        <v>3500</v>
      </c>
      <c r="G1732" s="16">
        <f>VLOOKUP(C1732,[1]master_data!$A$2:$E$495,4,FALSE)</f>
        <v>10000</v>
      </c>
      <c r="H1732" s="16">
        <f>E1732*F1732</f>
        <v>70000</v>
      </c>
      <c r="I1732" s="16">
        <f>E1732*G1732</f>
        <v>200000</v>
      </c>
      <c r="J1732" s="16">
        <f>I1732-H1732</f>
        <v>130000</v>
      </c>
      <c r="K1732" s="16" t="str">
        <f>VLOOKUP(C1732,[1]master_data!$A$2:$E$495,5,FALSE)</f>
        <v>Ikan</v>
      </c>
      <c r="L1732" s="1"/>
    </row>
    <row r="1733" spans="1:12" ht="12" customHeight="1" x14ac:dyDescent="0.25">
      <c r="A1733" s="15">
        <v>45056</v>
      </c>
      <c r="B1733" s="16">
        <v>22300771</v>
      </c>
      <c r="C1733" s="16" t="s">
        <v>397</v>
      </c>
      <c r="D1733" s="16" t="str">
        <f>VLOOKUP(C1733,[1]master_data!$A$2:$E$495,2,FALSE)</f>
        <v>BUENOS AIRES TETRA</v>
      </c>
      <c r="E1733" s="16">
        <v>20</v>
      </c>
      <c r="F1733" s="16">
        <f>VLOOKUP(C1733,[1]master_data!$A$2:$E$495,3,FALSE)</f>
        <v>800</v>
      </c>
      <c r="G1733" s="16">
        <f>VLOOKUP(C1733,[1]master_data!$A$2:$E$495,4,FALSE)</f>
        <v>2000</v>
      </c>
      <c r="H1733" s="16">
        <f>E1733*F1733</f>
        <v>16000</v>
      </c>
      <c r="I1733" s="16">
        <f>E1733*G1733</f>
        <v>40000</v>
      </c>
      <c r="J1733" s="16">
        <f>I1733-H1733</f>
        <v>24000</v>
      </c>
      <c r="K1733" s="16" t="str">
        <f>VLOOKUP(C1733,[1]master_data!$A$2:$E$495,5,FALSE)</f>
        <v>Ikan</v>
      </c>
      <c r="L1733" s="1"/>
    </row>
    <row r="1734" spans="1:12" ht="12" customHeight="1" x14ac:dyDescent="0.25">
      <c r="A1734" s="15">
        <v>45056</v>
      </c>
      <c r="B1734" s="16">
        <v>22300772</v>
      </c>
      <c r="C1734" s="16" t="s">
        <v>451</v>
      </c>
      <c r="D1734" s="16" t="str">
        <f>VLOOKUP(C1734,[1]master_data!$A$2:$E$495,2,FALSE)</f>
        <v>SYNODONTIS K</v>
      </c>
      <c r="E1734" s="16">
        <v>25</v>
      </c>
      <c r="F1734" s="16">
        <f>VLOOKUP(C1734,[1]master_data!$A$2:$E$495,3,FALSE)</f>
        <v>1500</v>
      </c>
      <c r="G1734" s="16">
        <f>VLOOKUP(C1734,[1]master_data!$A$2:$E$495,4,FALSE)</f>
        <v>5000</v>
      </c>
      <c r="H1734" s="16">
        <f>E1734*F1734</f>
        <v>37500</v>
      </c>
      <c r="I1734" s="16">
        <f>E1734*G1734</f>
        <v>125000</v>
      </c>
      <c r="J1734" s="16">
        <f>I1734-H1734</f>
        <v>87500</v>
      </c>
      <c r="K1734" s="16" t="str">
        <f>VLOOKUP(C1734,[1]master_data!$A$2:$E$495,5,FALSE)</f>
        <v>Ikan</v>
      </c>
      <c r="L1734" s="1"/>
    </row>
    <row r="1735" spans="1:12" ht="12" customHeight="1" x14ac:dyDescent="0.25">
      <c r="A1735" s="15">
        <v>45056</v>
      </c>
      <c r="B1735" s="16">
        <v>22300773</v>
      </c>
      <c r="C1735" s="16" t="s">
        <v>439</v>
      </c>
      <c r="D1735" s="16" t="str">
        <f>VLOOKUP(C1735,[1]master_data!$A$2:$E$495,2,FALSE)</f>
        <v>PEMBERSIH KACA BIASA</v>
      </c>
      <c r="E1735" s="16">
        <v>20</v>
      </c>
      <c r="F1735" s="16">
        <f>VLOOKUP(C1735,[1]master_data!$A$2:$E$495,3,FALSE)</f>
        <v>2000</v>
      </c>
      <c r="G1735" s="16">
        <f>VLOOKUP(C1735,[1]master_data!$A$2:$E$495,4,FALSE)</f>
        <v>5000</v>
      </c>
      <c r="H1735" s="16">
        <f>E1735*F1735</f>
        <v>40000</v>
      </c>
      <c r="I1735" s="16">
        <f>E1735*G1735</f>
        <v>100000</v>
      </c>
      <c r="J1735" s="16">
        <f>I1735-H1735</f>
        <v>60000</v>
      </c>
      <c r="K1735" s="16" t="str">
        <f>VLOOKUP(C1735,[1]master_data!$A$2:$E$495,5,FALSE)</f>
        <v>Ikan</v>
      </c>
      <c r="L1735" s="1"/>
    </row>
    <row r="1736" spans="1:12" ht="12" customHeight="1" x14ac:dyDescent="0.25">
      <c r="A1736" s="15">
        <v>45056</v>
      </c>
      <c r="B1736" s="16">
        <v>22300774</v>
      </c>
      <c r="C1736" s="16" t="s">
        <v>394</v>
      </c>
      <c r="D1736" s="16" t="str">
        <f>VLOOKUP(C1736,[1]master_data!$A$2:$E$495,2,FALSE)</f>
        <v>ALGA EATER</v>
      </c>
      <c r="E1736" s="16">
        <v>15</v>
      </c>
      <c r="F1736" s="16">
        <f>VLOOKUP(C1736,[1]master_data!$A$2:$E$495,3,FALSE)</f>
        <v>1750</v>
      </c>
      <c r="G1736" s="16">
        <f>VLOOKUP(C1736,[1]master_data!$A$2:$E$495,4,FALSE)</f>
        <v>5000</v>
      </c>
      <c r="H1736" s="16">
        <f>E1736*F1736</f>
        <v>26250</v>
      </c>
      <c r="I1736" s="16">
        <f>E1736*G1736</f>
        <v>75000</v>
      </c>
      <c r="J1736" s="16">
        <f>I1736-H1736</f>
        <v>48750</v>
      </c>
      <c r="K1736" s="16" t="str">
        <f>VLOOKUP(C1736,[1]master_data!$A$2:$E$495,5,FALSE)</f>
        <v>Ikan</v>
      </c>
      <c r="L1736" s="1"/>
    </row>
    <row r="1737" spans="1:12" ht="12" customHeight="1" x14ac:dyDescent="0.25">
      <c r="A1737" s="15">
        <v>45055</v>
      </c>
      <c r="B1737" s="16">
        <v>22300763</v>
      </c>
      <c r="C1737" s="16" t="s">
        <v>436</v>
      </c>
      <c r="D1737" s="16" t="str">
        <f>VLOOKUP(C1737,[1]master_data!$A$2:$E$495,2,FALSE)</f>
        <v>NENTINEN</v>
      </c>
      <c r="E1737" s="16">
        <v>20</v>
      </c>
      <c r="F1737" s="16">
        <f>VLOOKUP(C1737,[1]master_data!$A$2:$E$495,3,FALSE)</f>
        <v>1000</v>
      </c>
      <c r="G1737" s="16">
        <f>VLOOKUP(C1737,[1]master_data!$A$2:$E$495,4,FALSE)</f>
        <v>2500</v>
      </c>
      <c r="H1737" s="16">
        <f>E1737*F1737</f>
        <v>20000</v>
      </c>
      <c r="I1737" s="16">
        <f>E1737*G1737</f>
        <v>50000</v>
      </c>
      <c r="J1737" s="16">
        <f>I1737-H1737</f>
        <v>30000</v>
      </c>
      <c r="K1737" s="16" t="str">
        <f>VLOOKUP(C1737,[1]master_data!$A$2:$E$495,5,FALSE)</f>
        <v>Ikan</v>
      </c>
      <c r="L1737" s="1"/>
    </row>
    <row r="1738" spans="1:12" ht="12" customHeight="1" x14ac:dyDescent="0.25">
      <c r="A1738" s="15">
        <v>45055</v>
      </c>
      <c r="B1738" s="16">
        <v>22300764</v>
      </c>
      <c r="C1738" s="16" t="s">
        <v>314</v>
      </c>
      <c r="D1738" s="16" t="str">
        <f>VLOOKUP(C1738,[1]master_data!$A$2:$E$495,2,FALSE)</f>
        <v>T SELANG</v>
      </c>
      <c r="E1738" s="16">
        <v>15</v>
      </c>
      <c r="F1738" s="16">
        <f>VLOOKUP(C1738,[1]master_data!$A$2:$E$495,3,FALSE)</f>
        <v>750</v>
      </c>
      <c r="G1738" s="16">
        <f>VLOOKUP(C1738,[1]master_data!$A$2:$E$495,4,FALSE)</f>
        <v>1500</v>
      </c>
      <c r="H1738" s="16">
        <f>E1738*F1738</f>
        <v>11250</v>
      </c>
      <c r="I1738" s="16">
        <f>E1738*G1738</f>
        <v>22500</v>
      </c>
      <c r="J1738" s="16">
        <f>I1738-H1738</f>
        <v>11250</v>
      </c>
      <c r="K1738" s="16" t="str">
        <f>VLOOKUP(C1738,[1]master_data!$A$2:$E$495,5,FALSE)</f>
        <v>Aksesoris</v>
      </c>
      <c r="L1738" s="1"/>
    </row>
    <row r="1739" spans="1:12" ht="12" customHeight="1" x14ac:dyDescent="0.25">
      <c r="A1739" s="15">
        <v>45055</v>
      </c>
      <c r="B1739" s="16">
        <v>22300765</v>
      </c>
      <c r="C1739" s="16" t="s">
        <v>47</v>
      </c>
      <c r="D1739" s="16" t="str">
        <f>VLOOKUP(C1739,[1]master_data!$A$2:$E$495,2,FALSE)</f>
        <v>MESIN YAMANO 650</v>
      </c>
      <c r="E1739" s="16">
        <v>10</v>
      </c>
      <c r="F1739" s="16">
        <f>VLOOKUP(C1739,[1]master_data!$A$2:$E$495,3,FALSE)</f>
        <v>40000</v>
      </c>
      <c r="G1739" s="16">
        <f>VLOOKUP(C1739,[1]master_data!$A$2:$E$495,4,FALSE)</f>
        <v>70000</v>
      </c>
      <c r="H1739" s="16">
        <f>E1739*F1739</f>
        <v>400000</v>
      </c>
      <c r="I1739" s="16">
        <f>E1739*G1739</f>
        <v>700000</v>
      </c>
      <c r="J1739" s="16">
        <f>I1739-H1739</f>
        <v>300000</v>
      </c>
      <c r="K1739" s="16" t="str">
        <f>VLOOKUP(C1739,[1]master_data!$A$2:$E$495,5,FALSE)</f>
        <v>Aksesoris</v>
      </c>
      <c r="L1739" s="1"/>
    </row>
    <row r="1740" spans="1:12" ht="12" customHeight="1" x14ac:dyDescent="0.25">
      <c r="A1740" s="15">
        <v>45055</v>
      </c>
      <c r="B1740" s="16">
        <v>22300766</v>
      </c>
      <c r="C1740" s="16" t="s">
        <v>455</v>
      </c>
      <c r="D1740" s="16" t="str">
        <f>VLOOKUP(C1740,[1]master_data!$A$2:$E$495,2,FALSE)</f>
        <v>ZEBRA PINK</v>
      </c>
      <c r="E1740" s="16">
        <v>30</v>
      </c>
      <c r="F1740" s="16">
        <f>VLOOKUP(C1740,[1]master_data!$A$2:$E$495,3,FALSE)</f>
        <v>800</v>
      </c>
      <c r="G1740" s="16">
        <f>VLOOKUP(C1740,[1]master_data!$A$2:$E$495,4,FALSE)</f>
        <v>2000</v>
      </c>
      <c r="H1740" s="16">
        <f>E1740*F1740</f>
        <v>24000</v>
      </c>
      <c r="I1740" s="16">
        <f>E1740*G1740</f>
        <v>60000</v>
      </c>
      <c r="J1740" s="16">
        <f>I1740-H1740</f>
        <v>36000</v>
      </c>
      <c r="K1740" s="16" t="str">
        <f>VLOOKUP(C1740,[1]master_data!$A$2:$E$495,5,FALSE)</f>
        <v>Ikan</v>
      </c>
      <c r="L1740" s="1"/>
    </row>
    <row r="1741" spans="1:12" ht="12" customHeight="1" x14ac:dyDescent="0.25">
      <c r="A1741" s="15">
        <v>45055</v>
      </c>
      <c r="B1741" s="16">
        <v>22300767</v>
      </c>
      <c r="C1741" s="16" t="s">
        <v>5</v>
      </c>
      <c r="D1741" s="16" t="str">
        <f>VLOOKUP(C1741,[1]master_data!$A$2:$E$495,2,FALSE)</f>
        <v>MESIN YANG 1000 L</v>
      </c>
      <c r="E1741" s="16">
        <v>5</v>
      </c>
      <c r="F1741" s="16">
        <f>VLOOKUP(C1741,[1]master_data!$A$2:$E$495,3,FALSE)</f>
        <v>31000</v>
      </c>
      <c r="G1741" s="16">
        <f>VLOOKUP(C1741,[1]master_data!$A$2:$E$495,4,FALSE)</f>
        <v>50000</v>
      </c>
      <c r="H1741" s="16">
        <f>E1741*F1741</f>
        <v>155000</v>
      </c>
      <c r="I1741" s="16">
        <f>E1741*G1741</f>
        <v>250000</v>
      </c>
      <c r="J1741" s="16">
        <f>I1741-H1741</f>
        <v>95000</v>
      </c>
      <c r="K1741" s="16" t="str">
        <f>VLOOKUP(C1741,[1]master_data!$A$2:$E$495,5,FALSE)</f>
        <v>Aksesoris</v>
      </c>
      <c r="L1741" s="1"/>
    </row>
    <row r="1742" spans="1:12" ht="12" customHeight="1" x14ac:dyDescent="0.25">
      <c r="A1742" s="15">
        <v>45054</v>
      </c>
      <c r="B1742" s="16">
        <v>22300759</v>
      </c>
      <c r="C1742" s="16" t="s">
        <v>393</v>
      </c>
      <c r="D1742" s="16" t="str">
        <f>VLOOKUP(C1742,[1]master_data!$A$2:$E$495,2,FALSE)</f>
        <v>ARWANA SILVER B</v>
      </c>
      <c r="E1742" s="16">
        <v>2</v>
      </c>
      <c r="F1742" s="16">
        <f>VLOOKUP(C1742,[1]master_data!$A$2:$E$495,3,FALSE)</f>
        <v>300000</v>
      </c>
      <c r="G1742" s="16">
        <f>VLOOKUP(C1742,[1]master_data!$A$2:$E$495,4,FALSE)</f>
        <v>500000</v>
      </c>
      <c r="H1742" s="16">
        <f>E1742*F1742</f>
        <v>600000</v>
      </c>
      <c r="I1742" s="16">
        <f>E1742*G1742</f>
        <v>1000000</v>
      </c>
      <c r="J1742" s="16">
        <f>I1742-H1742</f>
        <v>400000</v>
      </c>
      <c r="K1742" s="16" t="str">
        <f>VLOOKUP(C1742,[1]master_data!$A$2:$E$495,5,FALSE)</f>
        <v>Ikan</v>
      </c>
      <c r="L1742" s="1"/>
    </row>
    <row r="1743" spans="1:12" ht="12" customHeight="1" x14ac:dyDescent="0.25">
      <c r="A1743" s="15">
        <v>45054</v>
      </c>
      <c r="B1743" s="16">
        <v>22300760</v>
      </c>
      <c r="C1743" s="16" t="s">
        <v>423</v>
      </c>
      <c r="D1743" s="16" t="str">
        <f>VLOOKUP(C1743,[1]master_data!$A$2:$E$495,2,FALSE)</f>
        <v>CAROLINE</v>
      </c>
      <c r="E1743" s="16">
        <v>15</v>
      </c>
      <c r="F1743" s="16">
        <f>VLOOKUP(C1743,[1]master_data!$A$2:$E$495,3,FALSE)</f>
        <v>900</v>
      </c>
      <c r="G1743" s="16">
        <f>VLOOKUP(C1743,[1]master_data!$A$2:$E$495,4,FALSE)</f>
        <v>2000</v>
      </c>
      <c r="H1743" s="16">
        <f>E1743*F1743</f>
        <v>13500</v>
      </c>
      <c r="I1743" s="16">
        <f>E1743*G1743</f>
        <v>30000</v>
      </c>
      <c r="J1743" s="16">
        <f>I1743-H1743</f>
        <v>16500</v>
      </c>
      <c r="K1743" s="16" t="str">
        <f>VLOOKUP(C1743,[1]master_data!$A$2:$E$495,5,FALSE)</f>
        <v>Ikan</v>
      </c>
      <c r="L1743" s="1"/>
    </row>
    <row r="1744" spans="1:12" ht="12" customHeight="1" x14ac:dyDescent="0.25">
      <c r="A1744" s="15">
        <v>45054</v>
      </c>
      <c r="B1744" s="16">
        <v>22300761</v>
      </c>
      <c r="C1744" s="16" t="s">
        <v>404</v>
      </c>
      <c r="D1744" s="16" t="str">
        <f>VLOOKUP(C1744,[1]master_data!$A$2:$E$495,2,FALSE)</f>
        <v>BARBIR</v>
      </c>
      <c r="E1744" s="16">
        <v>15</v>
      </c>
      <c r="F1744" s="16">
        <f>VLOOKUP(C1744,[1]master_data!$A$2:$E$495,3,FALSE)</f>
        <v>800</v>
      </c>
      <c r="G1744" s="16">
        <f>VLOOKUP(C1744,[1]master_data!$A$2:$E$495,4,FALSE)</f>
        <v>2000</v>
      </c>
      <c r="H1744" s="16">
        <f>E1744*F1744</f>
        <v>12000</v>
      </c>
      <c r="I1744" s="16">
        <f>E1744*G1744</f>
        <v>30000</v>
      </c>
      <c r="J1744" s="16">
        <f>I1744-H1744</f>
        <v>18000</v>
      </c>
      <c r="K1744" s="16" t="str">
        <f>VLOOKUP(C1744,[1]master_data!$A$2:$E$495,5,FALSE)</f>
        <v>Ikan</v>
      </c>
      <c r="L1744" s="1"/>
    </row>
    <row r="1745" spans="1:12" ht="12" customHeight="1" x14ac:dyDescent="0.25">
      <c r="A1745" s="15">
        <v>45054</v>
      </c>
      <c r="B1745" s="16">
        <v>22300762</v>
      </c>
      <c r="C1745" s="16" t="s">
        <v>405</v>
      </c>
      <c r="D1745" s="16" t="str">
        <f>VLOOKUP(C1745,[1]master_data!$A$2:$E$495,2,FALSE)</f>
        <v>CUPANG</v>
      </c>
      <c r="E1745" s="16">
        <v>1</v>
      </c>
      <c r="F1745" s="16">
        <f>VLOOKUP(C1745,[1]master_data!$A$2:$E$495,3,FALSE)</f>
        <v>2000</v>
      </c>
      <c r="G1745" s="16">
        <f>VLOOKUP(C1745,[1]master_data!$A$2:$E$495,4,FALSE)</f>
        <v>5000</v>
      </c>
      <c r="H1745" s="16">
        <f>E1745*F1745</f>
        <v>2000</v>
      </c>
      <c r="I1745" s="16">
        <f>E1745*G1745</f>
        <v>5000</v>
      </c>
      <c r="J1745" s="16">
        <f>I1745-H1745</f>
        <v>3000</v>
      </c>
      <c r="K1745" s="16" t="str">
        <f>VLOOKUP(C1745,[1]master_data!$A$2:$E$495,5,FALSE)</f>
        <v>Ikan</v>
      </c>
      <c r="L1745" s="1"/>
    </row>
    <row r="1746" spans="1:12" ht="12" customHeight="1" x14ac:dyDescent="0.25">
      <c r="A1746" s="15">
        <v>45053</v>
      </c>
      <c r="B1746" s="16">
        <v>22300751</v>
      </c>
      <c r="C1746" s="16" t="s">
        <v>237</v>
      </c>
      <c r="D1746" s="16" t="str">
        <f>VLOOKUP(C1746,[1]master_data!$A$2:$E$495,2,FALSE)</f>
        <v>PREMIUM RED BG</v>
      </c>
      <c r="E1746" s="16">
        <v>6</v>
      </c>
      <c r="F1746" s="16">
        <f>VLOOKUP(C1746,[1]master_data!$A$2:$E$495,3,FALSE)</f>
        <v>12500</v>
      </c>
      <c r="G1746" s="16">
        <f>VLOOKUP(C1746,[1]master_data!$A$2:$E$495,4,FALSE)</f>
        <v>25000</v>
      </c>
      <c r="H1746" s="16">
        <f>E1746*F1746</f>
        <v>75000</v>
      </c>
      <c r="I1746" s="16">
        <f>E1746*G1746</f>
        <v>150000</v>
      </c>
      <c r="J1746" s="16">
        <f>I1746-H1746</f>
        <v>75000</v>
      </c>
      <c r="K1746" s="16" t="str">
        <f>VLOOKUP(C1746,[1]master_data!$A$2:$E$495,5,FALSE)</f>
        <v>Aksesoris</v>
      </c>
      <c r="L1746" s="1"/>
    </row>
    <row r="1747" spans="1:12" ht="12" customHeight="1" x14ac:dyDescent="0.25">
      <c r="A1747" s="15">
        <v>45053</v>
      </c>
      <c r="B1747" s="16">
        <v>22300752</v>
      </c>
      <c r="C1747" s="16" t="s">
        <v>107</v>
      </c>
      <c r="D1747" s="16" t="str">
        <f>VLOOKUP(C1747,[1]master_data!$A$2:$E$495,2,FALSE)</f>
        <v>AIRATOR NIKITA LUB 1</v>
      </c>
      <c r="E1747" s="16">
        <v>1</v>
      </c>
      <c r="F1747" s="16">
        <f>VLOOKUP(C1747,[1]master_data!$A$2:$E$495,3,FALSE)</f>
        <v>20500</v>
      </c>
      <c r="G1747" s="16">
        <f>VLOOKUP(C1747,[1]master_data!$A$2:$E$495,4,FALSE)</f>
        <v>30000</v>
      </c>
      <c r="H1747" s="16">
        <f>E1747*F1747</f>
        <v>20500</v>
      </c>
      <c r="I1747" s="16">
        <f>E1747*G1747</f>
        <v>30000</v>
      </c>
      <c r="J1747" s="16">
        <f>I1747-H1747</f>
        <v>9500</v>
      </c>
      <c r="K1747" s="16" t="str">
        <f>VLOOKUP(C1747,[1]master_data!$A$2:$E$495,5,FALSE)</f>
        <v>Aksesoris</v>
      </c>
      <c r="L1747" s="1"/>
    </row>
    <row r="1748" spans="1:12" ht="12" customHeight="1" x14ac:dyDescent="0.25">
      <c r="A1748" s="15">
        <v>45053</v>
      </c>
      <c r="B1748" s="16">
        <v>22300753</v>
      </c>
      <c r="C1748" s="16" t="s">
        <v>451</v>
      </c>
      <c r="D1748" s="16" t="str">
        <f>VLOOKUP(C1748,[1]master_data!$A$2:$E$495,2,FALSE)</f>
        <v>SYNODONTIS K</v>
      </c>
      <c r="E1748" s="16">
        <v>30</v>
      </c>
      <c r="F1748" s="16">
        <f>VLOOKUP(C1748,[1]master_data!$A$2:$E$495,3,FALSE)</f>
        <v>1500</v>
      </c>
      <c r="G1748" s="16">
        <f>VLOOKUP(C1748,[1]master_data!$A$2:$E$495,4,FALSE)</f>
        <v>5000</v>
      </c>
      <c r="H1748" s="16">
        <f>E1748*F1748</f>
        <v>45000</v>
      </c>
      <c r="I1748" s="16">
        <f>E1748*G1748</f>
        <v>150000</v>
      </c>
      <c r="J1748" s="16">
        <f>I1748-H1748</f>
        <v>105000</v>
      </c>
      <c r="K1748" s="16" t="str">
        <f>VLOOKUP(C1748,[1]master_data!$A$2:$E$495,5,FALSE)</f>
        <v>Ikan</v>
      </c>
      <c r="L1748" s="1"/>
    </row>
    <row r="1749" spans="1:12" ht="12" customHeight="1" x14ac:dyDescent="0.25">
      <c r="A1749" s="15">
        <v>45053</v>
      </c>
      <c r="B1749" s="16">
        <v>22300754</v>
      </c>
      <c r="C1749" s="16" t="s">
        <v>291</v>
      </c>
      <c r="D1749" s="16" t="str">
        <f>VLOOKUP(C1749,[1]master_data!$A$2:$E$495,2,FALSE)</f>
        <v>MAINAN KODOK</v>
      </c>
      <c r="E1749" s="16">
        <v>1</v>
      </c>
      <c r="F1749" s="16">
        <f>VLOOKUP(C1749,[1]master_data!$A$2:$E$495,3,FALSE)</f>
        <v>11000</v>
      </c>
      <c r="G1749" s="16">
        <f>VLOOKUP(C1749,[1]master_data!$A$2:$E$495,4,FALSE)</f>
        <v>20000</v>
      </c>
      <c r="H1749" s="16">
        <f>E1749*F1749</f>
        <v>11000</v>
      </c>
      <c r="I1749" s="16">
        <f>E1749*G1749</f>
        <v>20000</v>
      </c>
      <c r="J1749" s="16">
        <f>I1749-H1749</f>
        <v>9000</v>
      </c>
      <c r="K1749" s="16" t="str">
        <f>VLOOKUP(C1749,[1]master_data!$A$2:$E$495,5,FALSE)</f>
        <v>Aksesoris</v>
      </c>
      <c r="L1749" s="1"/>
    </row>
    <row r="1750" spans="1:12" ht="12" customHeight="1" x14ac:dyDescent="0.25">
      <c r="A1750" s="15">
        <v>45053</v>
      </c>
      <c r="B1750" s="16">
        <v>22300755</v>
      </c>
      <c r="C1750" s="16" t="s">
        <v>442</v>
      </c>
      <c r="D1750" s="16" t="str">
        <f>VLOOKUP(C1750,[1]master_data!$A$2:$E$495,2,FALSE)</f>
        <v>PARROT</v>
      </c>
      <c r="E1750" s="16">
        <v>5</v>
      </c>
      <c r="F1750" s="16">
        <f>VLOOKUP(C1750,[1]master_data!$A$2:$E$495,3,FALSE)</f>
        <v>27000</v>
      </c>
      <c r="G1750" s="16">
        <f>VLOOKUP(C1750,[1]master_data!$A$2:$E$495,4,FALSE)</f>
        <v>60000</v>
      </c>
      <c r="H1750" s="16">
        <f>E1750*F1750</f>
        <v>135000</v>
      </c>
      <c r="I1750" s="16">
        <f>E1750*G1750</f>
        <v>300000</v>
      </c>
      <c r="J1750" s="16">
        <f>I1750-H1750</f>
        <v>165000</v>
      </c>
      <c r="K1750" s="16" t="str">
        <f>VLOOKUP(C1750,[1]master_data!$A$2:$E$495,5,FALSE)</f>
        <v>Ikan</v>
      </c>
      <c r="L1750" s="1"/>
    </row>
    <row r="1751" spans="1:12" ht="12" customHeight="1" x14ac:dyDescent="0.25">
      <c r="A1751" s="15">
        <v>45053</v>
      </c>
      <c r="B1751" s="16">
        <v>22300756</v>
      </c>
      <c r="C1751" s="16" t="s">
        <v>288</v>
      </c>
      <c r="D1751" s="16" t="str">
        <f>VLOOKUP(C1751,[1]master_data!$A$2:$E$495,2,FALSE)</f>
        <v>JARING 8</v>
      </c>
      <c r="E1751" s="16">
        <v>25</v>
      </c>
      <c r="F1751" s="16">
        <f>VLOOKUP(C1751,[1]master_data!$A$2:$E$495,3,FALSE)</f>
        <v>3000</v>
      </c>
      <c r="G1751" s="16">
        <f>VLOOKUP(C1751,[1]master_data!$A$2:$E$495,4,FALSE)</f>
        <v>5000</v>
      </c>
      <c r="H1751" s="16">
        <f>E1751*F1751</f>
        <v>75000</v>
      </c>
      <c r="I1751" s="16">
        <f>E1751*G1751</f>
        <v>125000</v>
      </c>
      <c r="J1751" s="16">
        <f>I1751-H1751</f>
        <v>50000</v>
      </c>
      <c r="K1751" s="16" t="str">
        <f>VLOOKUP(C1751,[1]master_data!$A$2:$E$495,5,FALSE)</f>
        <v>Aksesoris</v>
      </c>
      <c r="L1751" s="1"/>
    </row>
    <row r="1752" spans="1:12" ht="12" customHeight="1" x14ac:dyDescent="0.25">
      <c r="A1752" s="15">
        <v>45053</v>
      </c>
      <c r="B1752" s="16">
        <v>22300757</v>
      </c>
      <c r="C1752" s="16" t="s">
        <v>15</v>
      </c>
      <c r="D1752" s="16" t="str">
        <f>VLOOKUP(C1752,[1]master_data!$A$2:$E$495,2,FALSE)</f>
        <v>MESIN YANG 107</v>
      </c>
      <c r="E1752" s="16">
        <v>1</v>
      </c>
      <c r="F1752" s="16">
        <f>VLOOKUP(C1752,[1]master_data!$A$2:$E$495,3,FALSE)</f>
        <v>330000</v>
      </c>
      <c r="G1752" s="16">
        <f>VLOOKUP(C1752,[1]master_data!$A$2:$E$495,4,FALSE)</f>
        <v>400000</v>
      </c>
      <c r="H1752" s="16">
        <f>E1752*F1752</f>
        <v>330000</v>
      </c>
      <c r="I1752" s="16">
        <f>E1752*G1752</f>
        <v>400000</v>
      </c>
      <c r="J1752" s="16">
        <f>I1752-H1752</f>
        <v>70000</v>
      </c>
      <c r="K1752" s="16" t="str">
        <f>VLOOKUP(C1752,[1]master_data!$A$2:$E$495,5,FALSE)</f>
        <v>Aksesoris</v>
      </c>
      <c r="L1752" s="1"/>
    </row>
    <row r="1753" spans="1:12" ht="12" customHeight="1" x14ac:dyDescent="0.25">
      <c r="A1753" s="15">
        <v>45053</v>
      </c>
      <c r="B1753" s="16">
        <v>22300758</v>
      </c>
      <c r="C1753" s="16" t="s">
        <v>267</v>
      </c>
      <c r="D1753" s="16" t="str">
        <f>VLOOKUP(C1753,[1]master_data!$A$2:$E$495,2,FALSE)</f>
        <v>GARAM</v>
      </c>
      <c r="E1753" s="16">
        <v>2</v>
      </c>
      <c r="F1753" s="16">
        <f>VLOOKUP(C1753,[1]master_data!$A$2:$E$495,3,FALSE)</f>
        <v>3000</v>
      </c>
      <c r="G1753" s="16">
        <f>VLOOKUP(C1753,[1]master_data!$A$2:$E$495,4,FALSE)</f>
        <v>5000</v>
      </c>
      <c r="H1753" s="16">
        <f>E1753*F1753</f>
        <v>6000</v>
      </c>
      <c r="I1753" s="16">
        <f>E1753*G1753</f>
        <v>10000</v>
      </c>
      <c r="J1753" s="16">
        <f>I1753-H1753</f>
        <v>4000</v>
      </c>
      <c r="K1753" s="16" t="str">
        <f>VLOOKUP(C1753,[1]master_data!$A$2:$E$495,5,FALSE)</f>
        <v>Aksesoris</v>
      </c>
      <c r="L1753" s="1"/>
    </row>
    <row r="1754" spans="1:12" ht="12" customHeight="1" x14ac:dyDescent="0.25">
      <c r="A1754" s="15">
        <v>45052</v>
      </c>
      <c r="B1754" s="16">
        <v>22300743</v>
      </c>
      <c r="C1754" s="16" t="s">
        <v>454</v>
      </c>
      <c r="D1754" s="16" t="str">
        <f>VLOOKUP(C1754,[1]master_data!$A$2:$E$495,2,FALSE)</f>
        <v>TOMAN</v>
      </c>
      <c r="E1754" s="16">
        <v>10</v>
      </c>
      <c r="F1754" s="16">
        <f>VLOOKUP(C1754,[1]master_data!$A$2:$E$495,3,FALSE)</f>
        <v>10000</v>
      </c>
      <c r="G1754" s="16">
        <f>VLOOKUP(C1754,[1]master_data!$A$2:$E$495,4,FALSE)</f>
        <v>25000</v>
      </c>
      <c r="H1754" s="16">
        <f>E1754*F1754</f>
        <v>100000</v>
      </c>
      <c r="I1754" s="16">
        <f>E1754*G1754</f>
        <v>250000</v>
      </c>
      <c r="J1754" s="16">
        <f>I1754-H1754</f>
        <v>150000</v>
      </c>
      <c r="K1754" s="16" t="str">
        <f>VLOOKUP(C1754,[1]master_data!$A$2:$E$495,5,FALSE)</f>
        <v>Ikan</v>
      </c>
      <c r="L1754" s="1"/>
    </row>
    <row r="1755" spans="1:12" ht="12" customHeight="1" x14ac:dyDescent="0.25">
      <c r="A1755" s="15">
        <v>45052</v>
      </c>
      <c r="B1755" s="16">
        <v>22300744</v>
      </c>
      <c r="C1755" s="16" t="s">
        <v>306</v>
      </c>
      <c r="D1755" s="16" t="str">
        <f>VLOOKUP(C1755,[1]master_data!$A$2:$E$495,2,FALSE)</f>
        <v>QUICK FILTER</v>
      </c>
      <c r="E1755" s="16">
        <v>2</v>
      </c>
      <c r="F1755" s="16">
        <f>VLOOKUP(C1755,[1]master_data!$A$2:$E$495,3,FALSE)</f>
        <v>12000</v>
      </c>
      <c r="G1755" s="16">
        <f>VLOOKUP(C1755,[1]master_data!$A$2:$E$495,4,FALSE)</f>
        <v>20000</v>
      </c>
      <c r="H1755" s="16">
        <f>E1755*F1755</f>
        <v>24000</v>
      </c>
      <c r="I1755" s="16">
        <f>E1755*G1755</f>
        <v>40000</v>
      </c>
      <c r="J1755" s="16">
        <f>I1755-H1755</f>
        <v>16000</v>
      </c>
      <c r="K1755" s="16" t="str">
        <f>VLOOKUP(C1755,[1]master_data!$A$2:$E$495,5,FALSE)</f>
        <v>Aksesoris</v>
      </c>
      <c r="L1755" s="1"/>
    </row>
    <row r="1756" spans="1:12" ht="12" customHeight="1" x14ac:dyDescent="0.25">
      <c r="A1756" s="15">
        <v>45052</v>
      </c>
      <c r="B1756" s="16">
        <v>22300745</v>
      </c>
      <c r="C1756" s="16" t="s">
        <v>455</v>
      </c>
      <c r="D1756" s="16" t="str">
        <f>VLOOKUP(C1756,[1]master_data!$A$2:$E$495,2,FALSE)</f>
        <v>ZEBRA PINK</v>
      </c>
      <c r="E1756" s="16">
        <v>20</v>
      </c>
      <c r="F1756" s="16">
        <f>VLOOKUP(C1756,[1]master_data!$A$2:$E$495,3,FALSE)</f>
        <v>800</v>
      </c>
      <c r="G1756" s="16">
        <f>VLOOKUP(C1756,[1]master_data!$A$2:$E$495,4,FALSE)</f>
        <v>2000</v>
      </c>
      <c r="H1756" s="16">
        <f>E1756*F1756</f>
        <v>16000</v>
      </c>
      <c r="I1756" s="16">
        <f>E1756*G1756</f>
        <v>40000</v>
      </c>
      <c r="J1756" s="16">
        <f>I1756-H1756</f>
        <v>24000</v>
      </c>
      <c r="K1756" s="16" t="str">
        <f>VLOOKUP(C1756,[1]master_data!$A$2:$E$495,5,FALSE)</f>
        <v>Ikan</v>
      </c>
      <c r="L1756" s="1"/>
    </row>
    <row r="1757" spans="1:12" ht="12" customHeight="1" x14ac:dyDescent="0.25">
      <c r="A1757" s="15">
        <v>45052</v>
      </c>
      <c r="B1757" s="16">
        <v>22300746</v>
      </c>
      <c r="C1757" s="16" t="s">
        <v>407</v>
      </c>
      <c r="D1757" s="16" t="str">
        <f>VLOOKUP(C1757,[1]master_data!$A$2:$E$495,2,FALSE)</f>
        <v>GOLD FISH</v>
      </c>
      <c r="E1757" s="16">
        <v>25</v>
      </c>
      <c r="F1757" s="16">
        <f>VLOOKUP(C1757,[1]master_data!$A$2:$E$495,3,FALSE)</f>
        <v>800</v>
      </c>
      <c r="G1757" s="16">
        <f>VLOOKUP(C1757,[1]master_data!$A$2:$E$495,4,FALSE)</f>
        <v>2000</v>
      </c>
      <c r="H1757" s="16">
        <f>E1757*F1757</f>
        <v>20000</v>
      </c>
      <c r="I1757" s="16">
        <f>E1757*G1757</f>
        <v>50000</v>
      </c>
      <c r="J1757" s="16">
        <f>I1757-H1757</f>
        <v>30000</v>
      </c>
      <c r="K1757" s="16" t="str">
        <f>VLOOKUP(C1757,[1]master_data!$A$2:$E$495,5,FALSE)</f>
        <v>Ikan</v>
      </c>
      <c r="L1757" s="1"/>
    </row>
    <row r="1758" spans="1:12" ht="12" customHeight="1" x14ac:dyDescent="0.25">
      <c r="A1758" s="15">
        <v>45052</v>
      </c>
      <c r="B1758" s="16">
        <v>22300747</v>
      </c>
      <c r="C1758" s="16" t="s">
        <v>102</v>
      </c>
      <c r="D1758" s="16" t="str">
        <f>VLOOKUP(C1758,[1]master_data!$A$2:$E$495,2,FALSE)</f>
        <v>MEIN AMARA 1100</v>
      </c>
      <c r="E1758" s="16">
        <v>2</v>
      </c>
      <c r="F1758" s="16">
        <f>VLOOKUP(C1758,[1]master_data!$A$2:$E$495,3,FALSE)</f>
        <v>47000</v>
      </c>
      <c r="G1758" s="16">
        <f>VLOOKUP(C1758,[1]master_data!$A$2:$E$495,4,FALSE)</f>
        <v>60000</v>
      </c>
      <c r="H1758" s="16">
        <f>E1758*F1758</f>
        <v>94000</v>
      </c>
      <c r="I1758" s="16">
        <f>E1758*G1758</f>
        <v>120000</v>
      </c>
      <c r="J1758" s="16">
        <f>I1758-H1758</f>
        <v>26000</v>
      </c>
      <c r="K1758" s="16" t="str">
        <f>VLOOKUP(C1758,[1]master_data!$A$2:$E$495,5,FALSE)</f>
        <v>Aksesoris</v>
      </c>
      <c r="L1758" s="1"/>
    </row>
    <row r="1759" spans="1:12" ht="12" customHeight="1" x14ac:dyDescent="0.25">
      <c r="A1759" s="15">
        <v>45052</v>
      </c>
      <c r="B1759" s="16">
        <v>22300748</v>
      </c>
      <c r="C1759" s="16" t="s">
        <v>395</v>
      </c>
      <c r="D1759" s="16" t="str">
        <f>VLOOKUP(C1759,[1]master_data!$A$2:$E$495,2,FALSE)</f>
        <v>ALIGATOR</v>
      </c>
      <c r="E1759" s="16">
        <v>10</v>
      </c>
      <c r="F1759" s="16">
        <f>VLOOKUP(C1759,[1]master_data!$A$2:$E$495,3,FALSE)</f>
        <v>17000</v>
      </c>
      <c r="G1759" s="16">
        <f>VLOOKUP(C1759,[1]master_data!$A$2:$E$495,4,FALSE)</f>
        <v>35000</v>
      </c>
      <c r="H1759" s="16">
        <f>E1759*F1759</f>
        <v>170000</v>
      </c>
      <c r="I1759" s="16">
        <f>E1759*G1759</f>
        <v>350000</v>
      </c>
      <c r="J1759" s="16">
        <f>I1759-H1759</f>
        <v>180000</v>
      </c>
      <c r="K1759" s="16" t="str">
        <f>VLOOKUP(C1759,[1]master_data!$A$2:$E$495,5,FALSE)</f>
        <v>Ikan</v>
      </c>
      <c r="L1759" s="1"/>
    </row>
    <row r="1760" spans="1:12" ht="12" customHeight="1" x14ac:dyDescent="0.25">
      <c r="A1760" s="15">
        <v>45052</v>
      </c>
      <c r="B1760" s="16">
        <v>22300749</v>
      </c>
      <c r="C1760" s="16" t="s">
        <v>409</v>
      </c>
      <c r="D1760" s="16" t="str">
        <f>VLOOKUP(C1760,[1]master_data!$A$2:$E$495,2,FALSE)</f>
        <v>GOLDEN BLACK</v>
      </c>
      <c r="E1760" s="16">
        <v>12</v>
      </c>
      <c r="F1760" s="16">
        <f>VLOOKUP(C1760,[1]master_data!$A$2:$E$495,3,FALSE)</f>
        <v>800</v>
      </c>
      <c r="G1760" s="16">
        <f>VLOOKUP(C1760,[1]master_data!$A$2:$E$495,4,FALSE)</f>
        <v>2000</v>
      </c>
      <c r="H1760" s="16">
        <f>E1760*F1760</f>
        <v>9600</v>
      </c>
      <c r="I1760" s="16">
        <f>E1760*G1760</f>
        <v>24000</v>
      </c>
      <c r="J1760" s="16">
        <f>I1760-H1760</f>
        <v>14400</v>
      </c>
      <c r="K1760" s="16" t="str">
        <f>VLOOKUP(C1760,[1]master_data!$A$2:$E$495,5,FALSE)</f>
        <v>Ikan</v>
      </c>
      <c r="L1760" s="1"/>
    </row>
    <row r="1761" spans="1:12" ht="12" customHeight="1" x14ac:dyDescent="0.25">
      <c r="A1761" s="15">
        <v>45052</v>
      </c>
      <c r="B1761" s="16">
        <v>22300750</v>
      </c>
      <c r="C1761" s="16" t="s">
        <v>443</v>
      </c>
      <c r="D1761" s="16" t="str">
        <f>VLOOKUP(C1761,[1]master_data!$A$2:$E$495,2,FALSE)</f>
        <v>PESO</v>
      </c>
      <c r="E1761" s="16">
        <v>1</v>
      </c>
      <c r="F1761" s="16">
        <f>VLOOKUP(C1761,[1]master_data!$A$2:$E$495,3,FALSE)</f>
        <v>19000</v>
      </c>
      <c r="G1761" s="16">
        <f>VLOOKUP(C1761,[1]master_data!$A$2:$E$495,4,FALSE)</f>
        <v>40000</v>
      </c>
      <c r="H1761" s="16">
        <f>E1761*F1761</f>
        <v>19000</v>
      </c>
      <c r="I1761" s="16">
        <f>E1761*G1761</f>
        <v>40000</v>
      </c>
      <c r="J1761" s="16">
        <f>I1761-H1761</f>
        <v>21000</v>
      </c>
      <c r="K1761" s="16" t="str">
        <f>VLOOKUP(C1761,[1]master_data!$A$2:$E$495,5,FALSE)</f>
        <v>Ikan</v>
      </c>
      <c r="L1761" s="1"/>
    </row>
    <row r="1762" spans="1:12" ht="12" customHeight="1" x14ac:dyDescent="0.25">
      <c r="A1762" s="15">
        <v>45051</v>
      </c>
      <c r="B1762" s="16">
        <v>22300733</v>
      </c>
      <c r="C1762" s="16" t="s">
        <v>314</v>
      </c>
      <c r="D1762" s="16" t="str">
        <f>VLOOKUP(C1762,[1]master_data!$A$2:$E$495,2,FALSE)</f>
        <v>T SELANG</v>
      </c>
      <c r="E1762" s="16">
        <v>30</v>
      </c>
      <c r="F1762" s="16">
        <f>VLOOKUP(C1762,[1]master_data!$A$2:$E$495,3,FALSE)</f>
        <v>750</v>
      </c>
      <c r="G1762" s="16">
        <f>VLOOKUP(C1762,[1]master_data!$A$2:$E$495,4,FALSE)</f>
        <v>1500</v>
      </c>
      <c r="H1762" s="16">
        <f>E1762*F1762</f>
        <v>22500</v>
      </c>
      <c r="I1762" s="16">
        <f>E1762*G1762</f>
        <v>45000</v>
      </c>
      <c r="J1762" s="16">
        <f>I1762-H1762</f>
        <v>22500</v>
      </c>
      <c r="K1762" s="16" t="str">
        <f>VLOOKUP(C1762,[1]master_data!$A$2:$E$495,5,FALSE)</f>
        <v>Aksesoris</v>
      </c>
      <c r="L1762" s="1"/>
    </row>
    <row r="1763" spans="1:12" ht="12" customHeight="1" x14ac:dyDescent="0.25">
      <c r="A1763" s="15">
        <v>45051</v>
      </c>
      <c r="B1763" s="16">
        <v>22300734</v>
      </c>
      <c r="C1763" s="16" t="s">
        <v>98</v>
      </c>
      <c r="D1763" s="16" t="str">
        <f>VLOOKUP(C1763,[1]master_data!$A$2:$E$495,2,FALSE)</f>
        <v>MESIN AMARA 104</v>
      </c>
      <c r="E1763" s="16">
        <v>2</v>
      </c>
      <c r="F1763" s="16">
        <f>VLOOKUP(C1763,[1]master_data!$A$2:$E$495,3,FALSE)</f>
        <v>120000</v>
      </c>
      <c r="G1763" s="16">
        <f>VLOOKUP(C1763,[1]master_data!$A$2:$E$495,4,FALSE)</f>
        <v>160000</v>
      </c>
      <c r="H1763" s="16">
        <f>E1763*F1763</f>
        <v>240000</v>
      </c>
      <c r="I1763" s="16">
        <f>E1763*G1763</f>
        <v>320000</v>
      </c>
      <c r="J1763" s="16">
        <f>I1763-H1763</f>
        <v>80000</v>
      </c>
      <c r="K1763" s="16" t="str">
        <f>VLOOKUP(C1763,[1]master_data!$A$2:$E$495,5,FALSE)</f>
        <v>Aksesoris</v>
      </c>
      <c r="L1763" s="1"/>
    </row>
    <row r="1764" spans="1:12" ht="12" customHeight="1" x14ac:dyDescent="0.25">
      <c r="A1764" s="15">
        <v>45051</v>
      </c>
      <c r="B1764" s="16">
        <v>22300735</v>
      </c>
      <c r="C1764" s="16" t="s">
        <v>153</v>
      </c>
      <c r="D1764" s="16" t="str">
        <f>VLOOKUP(C1764,[1]master_data!$A$2:$E$495,2,FALSE)</f>
        <v>LED VOSSO A 600</v>
      </c>
      <c r="E1764" s="16">
        <v>2</v>
      </c>
      <c r="F1764" s="16">
        <f>VLOOKUP(C1764,[1]master_data!$A$2:$E$495,3,FALSE)</f>
        <v>55000</v>
      </c>
      <c r="G1764" s="16">
        <f>VLOOKUP(C1764,[1]master_data!$A$2:$E$495,4,FALSE)</f>
        <v>75000</v>
      </c>
      <c r="H1764" s="16">
        <f>E1764*F1764</f>
        <v>110000</v>
      </c>
      <c r="I1764" s="16">
        <f>E1764*G1764</f>
        <v>150000</v>
      </c>
      <c r="J1764" s="16">
        <f>I1764-H1764</f>
        <v>40000</v>
      </c>
      <c r="K1764" s="16" t="str">
        <f>VLOOKUP(C1764,[1]master_data!$A$2:$E$495,5,FALSE)</f>
        <v>Aksesoris</v>
      </c>
      <c r="L1764" s="1"/>
    </row>
    <row r="1765" spans="1:12" ht="12" customHeight="1" x14ac:dyDescent="0.25">
      <c r="A1765" s="15">
        <v>45051</v>
      </c>
      <c r="B1765" s="16">
        <v>22300736</v>
      </c>
      <c r="C1765" s="16" t="s">
        <v>138</v>
      </c>
      <c r="D1765" s="16" t="str">
        <f>VLOOKUP(C1765,[1]master_data!$A$2:$E$495,2,FALSE)</f>
        <v>LAMPU ARMADA UV 20W</v>
      </c>
      <c r="E1765" s="16">
        <v>2</v>
      </c>
      <c r="F1765" s="16">
        <f>VLOOKUP(C1765,[1]master_data!$A$2:$E$495,3,FALSE)</f>
        <v>99000</v>
      </c>
      <c r="G1765" s="16">
        <f>VLOOKUP(C1765,[1]master_data!$A$2:$E$495,4,FALSE)</f>
        <v>125000</v>
      </c>
      <c r="H1765" s="16">
        <f>E1765*F1765</f>
        <v>198000</v>
      </c>
      <c r="I1765" s="16">
        <f>E1765*G1765</f>
        <v>250000</v>
      </c>
      <c r="J1765" s="16">
        <f>I1765-H1765</f>
        <v>52000</v>
      </c>
      <c r="K1765" s="16" t="str">
        <f>VLOOKUP(C1765,[1]master_data!$A$2:$E$495,5,FALSE)</f>
        <v>Aksesoris</v>
      </c>
      <c r="L1765" s="1"/>
    </row>
    <row r="1766" spans="1:12" ht="12" customHeight="1" x14ac:dyDescent="0.25">
      <c r="A1766" s="15">
        <v>45051</v>
      </c>
      <c r="B1766" s="16">
        <v>22300737</v>
      </c>
      <c r="C1766" s="16" t="s">
        <v>246</v>
      </c>
      <c r="D1766" s="16" t="str">
        <f>VLOOKUP(C1766,[1]master_data!$A$2:$E$495,2,FALSE)</f>
        <v>AIRSTONE 40</v>
      </c>
      <c r="E1766" s="16">
        <v>5</v>
      </c>
      <c r="F1766" s="16">
        <f>VLOOKUP(C1766,[1]master_data!$A$2:$E$495,3,FALSE)</f>
        <v>6000</v>
      </c>
      <c r="G1766" s="16">
        <f>VLOOKUP(C1766,[1]master_data!$A$2:$E$495,4,FALSE)</f>
        <v>12000</v>
      </c>
      <c r="H1766" s="16">
        <f>E1766*F1766</f>
        <v>30000</v>
      </c>
      <c r="I1766" s="16">
        <f>E1766*G1766</f>
        <v>60000</v>
      </c>
      <c r="J1766" s="16">
        <f>I1766-H1766</f>
        <v>30000</v>
      </c>
      <c r="K1766" s="16" t="str">
        <f>VLOOKUP(C1766,[1]master_data!$A$2:$E$495,5,FALSE)</f>
        <v>Aksesoris</v>
      </c>
      <c r="L1766" s="1"/>
    </row>
    <row r="1767" spans="1:12" ht="12" customHeight="1" x14ac:dyDescent="0.25">
      <c r="A1767" s="15">
        <v>45051</v>
      </c>
      <c r="B1767" s="16">
        <v>22300738</v>
      </c>
      <c r="C1767" s="16" t="s">
        <v>450</v>
      </c>
      <c r="D1767" s="16" t="str">
        <f>VLOOKUP(C1767,[1]master_data!$A$2:$E$495,2,FALSE)</f>
        <v>SNOW WHITE</v>
      </c>
      <c r="E1767" s="16">
        <v>25</v>
      </c>
      <c r="F1767" s="16">
        <f>VLOOKUP(C1767,[1]master_data!$A$2:$E$495,3,FALSE)</f>
        <v>1500</v>
      </c>
      <c r="G1767" s="16">
        <f>VLOOKUP(C1767,[1]master_data!$A$2:$E$495,4,FALSE)</f>
        <v>3000</v>
      </c>
      <c r="H1767" s="16">
        <f>E1767*F1767</f>
        <v>37500</v>
      </c>
      <c r="I1767" s="16">
        <f>E1767*G1767</f>
        <v>75000</v>
      </c>
      <c r="J1767" s="16">
        <f>I1767-H1767</f>
        <v>37500</v>
      </c>
      <c r="K1767" s="16" t="str">
        <f>VLOOKUP(C1767,[1]master_data!$A$2:$E$495,5,FALSE)</f>
        <v>Ikan</v>
      </c>
      <c r="L1767" s="1"/>
    </row>
    <row r="1768" spans="1:12" ht="12" customHeight="1" x14ac:dyDescent="0.25">
      <c r="A1768" s="15">
        <v>45051</v>
      </c>
      <c r="B1768" s="16">
        <v>22300739</v>
      </c>
      <c r="C1768" s="16" t="s">
        <v>423</v>
      </c>
      <c r="D1768" s="16" t="str">
        <f>VLOOKUP(C1768,[1]master_data!$A$2:$E$495,2,FALSE)</f>
        <v>CAROLINE</v>
      </c>
      <c r="E1768" s="16">
        <v>10</v>
      </c>
      <c r="F1768" s="16">
        <f>VLOOKUP(C1768,[1]master_data!$A$2:$E$495,3,FALSE)</f>
        <v>900</v>
      </c>
      <c r="G1768" s="16">
        <f>VLOOKUP(C1768,[1]master_data!$A$2:$E$495,4,FALSE)</f>
        <v>2000</v>
      </c>
      <c r="H1768" s="16">
        <f>E1768*F1768</f>
        <v>9000</v>
      </c>
      <c r="I1768" s="16">
        <f>E1768*G1768</f>
        <v>20000</v>
      </c>
      <c r="J1768" s="16">
        <f>I1768-H1768</f>
        <v>11000</v>
      </c>
      <c r="K1768" s="16" t="str">
        <f>VLOOKUP(C1768,[1]master_data!$A$2:$E$495,5,FALSE)</f>
        <v>Ikan</v>
      </c>
      <c r="L1768" s="1"/>
    </row>
    <row r="1769" spans="1:12" ht="12" customHeight="1" x14ac:dyDescent="0.25">
      <c r="A1769" s="15">
        <v>45051</v>
      </c>
      <c r="B1769" s="16">
        <v>22300740</v>
      </c>
      <c r="C1769" s="16" t="s">
        <v>395</v>
      </c>
      <c r="D1769" s="16" t="str">
        <f>VLOOKUP(C1769,[1]master_data!$A$2:$E$495,2,FALSE)</f>
        <v>ALIGATOR</v>
      </c>
      <c r="E1769" s="16">
        <v>2</v>
      </c>
      <c r="F1769" s="16">
        <f>VLOOKUP(C1769,[1]master_data!$A$2:$E$495,3,FALSE)</f>
        <v>17000</v>
      </c>
      <c r="G1769" s="16">
        <f>VLOOKUP(C1769,[1]master_data!$A$2:$E$495,4,FALSE)</f>
        <v>35000</v>
      </c>
      <c r="H1769" s="16">
        <f>E1769*F1769</f>
        <v>34000</v>
      </c>
      <c r="I1769" s="16">
        <f>E1769*G1769</f>
        <v>70000</v>
      </c>
      <c r="J1769" s="16">
        <f>I1769-H1769</f>
        <v>36000</v>
      </c>
      <c r="K1769" s="16" t="str">
        <f>VLOOKUP(C1769,[1]master_data!$A$2:$E$495,5,FALSE)</f>
        <v>Ikan</v>
      </c>
      <c r="L1769" s="1"/>
    </row>
    <row r="1770" spans="1:12" ht="12" customHeight="1" x14ac:dyDescent="0.25">
      <c r="A1770" s="15">
        <v>45051</v>
      </c>
      <c r="B1770" s="16">
        <v>22300741</v>
      </c>
      <c r="C1770" s="16" t="s">
        <v>442</v>
      </c>
      <c r="D1770" s="16" t="str">
        <f>VLOOKUP(C1770,[1]master_data!$A$2:$E$495,2,FALSE)</f>
        <v>PARROT</v>
      </c>
      <c r="E1770" s="16">
        <v>2</v>
      </c>
      <c r="F1770" s="16">
        <f>VLOOKUP(C1770,[1]master_data!$A$2:$E$495,3,FALSE)</f>
        <v>27000</v>
      </c>
      <c r="G1770" s="16">
        <f>VLOOKUP(C1770,[1]master_data!$A$2:$E$495,4,FALSE)</f>
        <v>60000</v>
      </c>
      <c r="H1770" s="16">
        <f>E1770*F1770</f>
        <v>54000</v>
      </c>
      <c r="I1770" s="16">
        <f>E1770*G1770</f>
        <v>120000</v>
      </c>
      <c r="J1770" s="16">
        <f>I1770-H1770</f>
        <v>66000</v>
      </c>
      <c r="K1770" s="16" t="str">
        <f>VLOOKUP(C1770,[1]master_data!$A$2:$E$495,5,FALSE)</f>
        <v>Ikan</v>
      </c>
      <c r="L1770" s="1"/>
    </row>
    <row r="1771" spans="1:12" ht="12" customHeight="1" x14ac:dyDescent="0.25">
      <c r="A1771" s="15">
        <v>45051</v>
      </c>
      <c r="B1771" s="16">
        <v>22300742</v>
      </c>
      <c r="C1771" s="16" t="s">
        <v>89</v>
      </c>
      <c r="D1771" s="16" t="str">
        <f>VLOOKUP(C1771,[1]master_data!$A$2:$E$495,2,FALSE)</f>
        <v>MESIN ARMADA 1050L</v>
      </c>
      <c r="E1771" s="16">
        <v>3</v>
      </c>
      <c r="F1771" s="16">
        <f>VLOOKUP(C1771,[1]master_data!$A$2:$E$495,3,FALSE)</f>
        <v>38000</v>
      </c>
      <c r="G1771" s="16">
        <f>VLOOKUP(C1771,[1]master_data!$A$2:$E$495,4,FALSE)</f>
        <v>50000</v>
      </c>
      <c r="H1771" s="16">
        <f>E1771*F1771</f>
        <v>114000</v>
      </c>
      <c r="I1771" s="16">
        <f>E1771*G1771</f>
        <v>150000</v>
      </c>
      <c r="J1771" s="16">
        <f>I1771-H1771</f>
        <v>36000</v>
      </c>
      <c r="K1771" s="16" t="str">
        <f>VLOOKUP(C1771,[1]master_data!$A$2:$E$495,5,FALSE)</f>
        <v>Aksesoris</v>
      </c>
      <c r="L1771" s="1"/>
    </row>
    <row r="1772" spans="1:12" ht="12" customHeight="1" x14ac:dyDescent="0.25">
      <c r="A1772" s="15">
        <v>45050</v>
      </c>
      <c r="B1772" s="16">
        <v>22300722</v>
      </c>
      <c r="C1772" s="16" t="s">
        <v>461</v>
      </c>
      <c r="D1772" s="16" t="str">
        <f>VLOOKUP(C1772,[1]master_data!$A$2:$E$495,2,FALSE)</f>
        <v>CHANNA STEWARTI</v>
      </c>
      <c r="E1772" s="16">
        <v>2</v>
      </c>
      <c r="F1772" s="16">
        <f>VLOOKUP(C1772,[1]master_data!$A$2:$E$495,3,FALSE)</f>
        <v>15000</v>
      </c>
      <c r="G1772" s="16">
        <f>VLOOKUP(C1772,[1]master_data!$A$2:$E$495,4,FALSE)</f>
        <v>40000</v>
      </c>
      <c r="H1772" s="16">
        <f>E1772*F1772</f>
        <v>30000</v>
      </c>
      <c r="I1772" s="16">
        <f>E1772*G1772</f>
        <v>80000</v>
      </c>
      <c r="J1772" s="16">
        <f>I1772-H1772</f>
        <v>50000</v>
      </c>
      <c r="K1772" s="16" t="str">
        <f>VLOOKUP(C1772,[1]master_data!$A$2:$E$495,5,FALSE)</f>
        <v>Ikan</v>
      </c>
      <c r="L1772" s="1"/>
    </row>
    <row r="1773" spans="1:12" ht="12" customHeight="1" x14ac:dyDescent="0.25">
      <c r="A1773" s="15">
        <v>45050</v>
      </c>
      <c r="B1773" s="16">
        <v>22300723</v>
      </c>
      <c r="C1773" s="16" t="s">
        <v>457</v>
      </c>
      <c r="D1773" s="16" t="str">
        <f>VLOOKUP(C1773,[1]master_data!$A$2:$E$495,2,FALSE)</f>
        <v>ZEBRA UNGU</v>
      </c>
      <c r="E1773" s="16">
        <v>15</v>
      </c>
      <c r="F1773" s="16">
        <f>VLOOKUP(C1773,[1]master_data!$A$2:$E$495,3,FALSE)</f>
        <v>800</v>
      </c>
      <c r="G1773" s="16">
        <f>VLOOKUP(C1773,[1]master_data!$A$2:$E$495,4,FALSE)</f>
        <v>2000</v>
      </c>
      <c r="H1773" s="16">
        <f>E1773*F1773</f>
        <v>12000</v>
      </c>
      <c r="I1773" s="16">
        <f>E1773*G1773</f>
        <v>30000</v>
      </c>
      <c r="J1773" s="16">
        <f>I1773-H1773</f>
        <v>18000</v>
      </c>
      <c r="K1773" s="16" t="str">
        <f>VLOOKUP(C1773,[1]master_data!$A$2:$E$495,5,FALSE)</f>
        <v>Ikan</v>
      </c>
      <c r="L1773" s="1"/>
    </row>
    <row r="1774" spans="1:12" ht="12" customHeight="1" x14ac:dyDescent="0.25">
      <c r="A1774" s="15">
        <v>45050</v>
      </c>
      <c r="B1774" s="16">
        <v>22300724</v>
      </c>
      <c r="C1774" s="16" t="s">
        <v>435</v>
      </c>
      <c r="D1774" s="16" t="str">
        <f>VLOOKUP(C1774,[1]master_data!$A$2:$E$495,2,FALSE)</f>
        <v>RED EYE TETRA</v>
      </c>
      <c r="E1774" s="16">
        <v>25</v>
      </c>
      <c r="F1774" s="16">
        <f>VLOOKUP(C1774,[1]master_data!$A$2:$E$495,3,FALSE)</f>
        <v>900</v>
      </c>
      <c r="G1774" s="16">
        <f>VLOOKUP(C1774,[1]master_data!$A$2:$E$495,4,FALSE)</f>
        <v>2000</v>
      </c>
      <c r="H1774" s="16">
        <f>E1774*F1774</f>
        <v>22500</v>
      </c>
      <c r="I1774" s="16">
        <f>E1774*G1774</f>
        <v>50000</v>
      </c>
      <c r="J1774" s="16">
        <f>I1774-H1774</f>
        <v>27500</v>
      </c>
      <c r="K1774" s="16" t="str">
        <f>VLOOKUP(C1774,[1]master_data!$A$2:$E$495,5,FALSE)</f>
        <v>Ikan</v>
      </c>
      <c r="L1774" s="1"/>
    </row>
    <row r="1775" spans="1:12" ht="12" customHeight="1" x14ac:dyDescent="0.25">
      <c r="A1775" s="15">
        <v>45050</v>
      </c>
      <c r="B1775" s="16">
        <v>22300725</v>
      </c>
      <c r="C1775" s="16" t="s">
        <v>405</v>
      </c>
      <c r="D1775" s="16" t="str">
        <f>VLOOKUP(C1775,[1]master_data!$A$2:$E$495,2,FALSE)</f>
        <v>CUPANG</v>
      </c>
      <c r="E1775" s="16">
        <v>25</v>
      </c>
      <c r="F1775" s="16">
        <f>VLOOKUP(C1775,[1]master_data!$A$2:$E$495,3,FALSE)</f>
        <v>2000</v>
      </c>
      <c r="G1775" s="16">
        <f>VLOOKUP(C1775,[1]master_data!$A$2:$E$495,4,FALSE)</f>
        <v>5000</v>
      </c>
      <c r="H1775" s="16">
        <f>E1775*F1775</f>
        <v>50000</v>
      </c>
      <c r="I1775" s="16">
        <f>E1775*G1775</f>
        <v>125000</v>
      </c>
      <c r="J1775" s="16">
        <f>I1775-H1775</f>
        <v>75000</v>
      </c>
      <c r="K1775" s="16" t="str">
        <f>VLOOKUP(C1775,[1]master_data!$A$2:$E$495,5,FALSE)</f>
        <v>Ikan</v>
      </c>
      <c r="L1775" s="1"/>
    </row>
    <row r="1776" spans="1:12" ht="12" customHeight="1" x14ac:dyDescent="0.25">
      <c r="A1776" s="15">
        <v>45050</v>
      </c>
      <c r="B1776" s="16">
        <v>22300726</v>
      </c>
      <c r="C1776" s="16" t="s">
        <v>422</v>
      </c>
      <c r="D1776" s="16" t="str">
        <f>VLOOKUP(C1776,[1]master_data!$A$2:$E$495,2,FALSE)</f>
        <v>KOI SLAYER B</v>
      </c>
      <c r="E1776" s="16">
        <v>10</v>
      </c>
      <c r="F1776" s="16">
        <f>VLOOKUP(C1776,[1]master_data!$A$2:$E$495,3,FALSE)</f>
        <v>8000</v>
      </c>
      <c r="G1776" s="16">
        <f>VLOOKUP(C1776,[1]master_data!$A$2:$E$495,4,FALSE)</f>
        <v>20000</v>
      </c>
      <c r="H1776" s="16">
        <f>E1776*F1776</f>
        <v>80000</v>
      </c>
      <c r="I1776" s="16">
        <f>E1776*G1776</f>
        <v>200000</v>
      </c>
      <c r="J1776" s="16">
        <f>I1776-H1776</f>
        <v>120000</v>
      </c>
      <c r="K1776" s="16" t="str">
        <f>VLOOKUP(C1776,[1]master_data!$A$2:$E$495,5,FALSE)</f>
        <v>Ikan</v>
      </c>
      <c r="L1776" s="1"/>
    </row>
    <row r="1777" spans="1:12" ht="12" customHeight="1" x14ac:dyDescent="0.25">
      <c r="A1777" s="15">
        <v>45050</v>
      </c>
      <c r="B1777" s="16">
        <v>22300727</v>
      </c>
      <c r="C1777" s="16" t="s">
        <v>436</v>
      </c>
      <c r="D1777" s="16" t="str">
        <f>VLOOKUP(C1777,[1]master_data!$A$2:$E$495,2,FALSE)</f>
        <v>NENTINEN</v>
      </c>
      <c r="E1777" s="16">
        <v>10</v>
      </c>
      <c r="F1777" s="16">
        <f>VLOOKUP(C1777,[1]master_data!$A$2:$E$495,3,FALSE)</f>
        <v>1000</v>
      </c>
      <c r="G1777" s="16">
        <f>VLOOKUP(C1777,[1]master_data!$A$2:$E$495,4,FALSE)</f>
        <v>2500</v>
      </c>
      <c r="H1777" s="16">
        <f>E1777*F1777</f>
        <v>10000</v>
      </c>
      <c r="I1777" s="16">
        <f>E1777*G1777</f>
        <v>25000</v>
      </c>
      <c r="J1777" s="16">
        <f>I1777-H1777</f>
        <v>15000</v>
      </c>
      <c r="K1777" s="16" t="str">
        <f>VLOOKUP(C1777,[1]master_data!$A$2:$E$495,5,FALSE)</f>
        <v>Ikan</v>
      </c>
      <c r="L1777" s="1"/>
    </row>
    <row r="1778" spans="1:12" ht="12" customHeight="1" x14ac:dyDescent="0.25">
      <c r="A1778" s="15">
        <v>45050</v>
      </c>
      <c r="B1778" s="16">
        <v>22300728</v>
      </c>
      <c r="C1778" s="16" t="s">
        <v>338</v>
      </c>
      <c r="D1778" s="16" t="str">
        <f>VLOOKUP(C1778,[1]master_data!$A$2:$E$495,2,FALSE)</f>
        <v>JETMET K</v>
      </c>
      <c r="E1778" s="16">
        <v>1</v>
      </c>
      <c r="F1778" s="16">
        <f>VLOOKUP(C1778,[1]master_data!$A$2:$E$495,3,FALSE)</f>
        <v>17500</v>
      </c>
      <c r="G1778" s="16">
        <f>VLOOKUP(C1778,[1]master_data!$A$2:$E$495,4,FALSE)</f>
        <v>25000</v>
      </c>
      <c r="H1778" s="16">
        <f>E1778*F1778</f>
        <v>17500</v>
      </c>
      <c r="I1778" s="16">
        <f>E1778*G1778</f>
        <v>25000</v>
      </c>
      <c r="J1778" s="16">
        <f>I1778-H1778</f>
        <v>7500</v>
      </c>
      <c r="K1778" s="16" t="str">
        <f>VLOOKUP(C1778,[1]master_data!$A$2:$E$495,5,FALSE)</f>
        <v>Aksesoris</v>
      </c>
      <c r="L1778" s="1"/>
    </row>
    <row r="1779" spans="1:12" ht="12" customHeight="1" x14ac:dyDescent="0.25">
      <c r="A1779" s="15">
        <v>45050</v>
      </c>
      <c r="B1779" s="16">
        <v>22300729</v>
      </c>
      <c r="C1779" s="16" t="s">
        <v>434</v>
      </c>
      <c r="D1779" s="16" t="str">
        <f>VLOOKUP(C1779,[1]master_data!$A$2:$E$495,2,FALSE)</f>
        <v>NIASA</v>
      </c>
      <c r="E1779" s="16">
        <v>15</v>
      </c>
      <c r="F1779" s="16">
        <f>VLOOKUP(C1779,[1]master_data!$A$2:$E$495,3,FALSE)</f>
        <v>900</v>
      </c>
      <c r="G1779" s="16">
        <f>VLOOKUP(C1779,[1]master_data!$A$2:$E$495,4,FALSE)</f>
        <v>2000</v>
      </c>
      <c r="H1779" s="16">
        <f>E1779*F1779</f>
        <v>13500</v>
      </c>
      <c r="I1779" s="16">
        <f>E1779*G1779</f>
        <v>30000</v>
      </c>
      <c r="J1779" s="16">
        <f>I1779-H1779</f>
        <v>16500</v>
      </c>
      <c r="K1779" s="16" t="str">
        <f>VLOOKUP(C1779,[1]master_data!$A$2:$E$495,5,FALSE)</f>
        <v>Ikan</v>
      </c>
      <c r="L1779" s="1"/>
    </row>
    <row r="1780" spans="1:12" ht="12" customHeight="1" x14ac:dyDescent="0.25">
      <c r="A1780" s="15">
        <v>45050</v>
      </c>
      <c r="B1780" s="16">
        <v>22300730</v>
      </c>
      <c r="C1780" s="16" t="s">
        <v>431</v>
      </c>
      <c r="D1780" s="16" t="str">
        <f>VLOOKUP(C1780,[1]master_data!$A$2:$E$495,2,FALSE)</f>
        <v>MARU B</v>
      </c>
      <c r="E1780" s="16">
        <v>2</v>
      </c>
      <c r="F1780" s="16">
        <f>VLOOKUP(C1780,[1]master_data!$A$2:$E$495,3,FALSE)</f>
        <v>90000</v>
      </c>
      <c r="G1780" s="16">
        <f>VLOOKUP(C1780,[1]master_data!$A$2:$E$495,4,FALSE)</f>
        <v>150000</v>
      </c>
      <c r="H1780" s="16">
        <f>E1780*F1780</f>
        <v>180000</v>
      </c>
      <c r="I1780" s="16">
        <f>E1780*G1780</f>
        <v>300000</v>
      </c>
      <c r="J1780" s="16">
        <f>I1780-H1780</f>
        <v>120000</v>
      </c>
      <c r="K1780" s="16" t="str">
        <f>VLOOKUP(C1780,[1]master_data!$A$2:$E$495,5,FALSE)</f>
        <v>Ikan</v>
      </c>
      <c r="L1780" s="1"/>
    </row>
    <row r="1781" spans="1:12" ht="12" customHeight="1" x14ac:dyDescent="0.25">
      <c r="A1781" s="15">
        <v>45050</v>
      </c>
      <c r="B1781" s="16">
        <v>22300731</v>
      </c>
      <c r="C1781" s="16" t="s">
        <v>410</v>
      </c>
      <c r="D1781" s="16" t="str">
        <f>VLOOKUP(C1781,[1]master_data!$A$2:$E$495,2,FALSE)</f>
        <v>HIU TAWAR</v>
      </c>
      <c r="E1781" s="16">
        <v>14</v>
      </c>
      <c r="F1781" s="16">
        <f>VLOOKUP(C1781,[1]master_data!$A$2:$E$495,3,FALSE)</f>
        <v>600</v>
      </c>
      <c r="G1781" s="16">
        <f>VLOOKUP(C1781,[1]master_data!$A$2:$E$495,4,FALSE)</f>
        <v>2000</v>
      </c>
      <c r="H1781" s="16">
        <f>E1781*F1781</f>
        <v>8400</v>
      </c>
      <c r="I1781" s="16">
        <f>E1781*G1781</f>
        <v>28000</v>
      </c>
      <c r="J1781" s="16">
        <f>I1781-H1781</f>
        <v>19600</v>
      </c>
      <c r="K1781" s="16" t="str">
        <f>VLOOKUP(C1781,[1]master_data!$A$2:$E$495,5,FALSE)</f>
        <v>Ikan</v>
      </c>
      <c r="L1781" s="1"/>
    </row>
    <row r="1782" spans="1:12" ht="12" customHeight="1" x14ac:dyDescent="0.25">
      <c r="A1782" s="15">
        <v>45050</v>
      </c>
      <c r="B1782" s="16">
        <v>22300732</v>
      </c>
      <c r="C1782" s="16" t="s">
        <v>410</v>
      </c>
      <c r="D1782" s="16" t="str">
        <f>VLOOKUP(C1782,[1]master_data!$A$2:$E$495,2,FALSE)</f>
        <v>HIU TAWAR</v>
      </c>
      <c r="E1782" s="16">
        <v>1</v>
      </c>
      <c r="F1782" s="16">
        <f>VLOOKUP(C1782,[1]master_data!$A$2:$E$495,3,FALSE)</f>
        <v>600</v>
      </c>
      <c r="G1782" s="16">
        <f>VLOOKUP(C1782,[1]master_data!$A$2:$E$495,4,FALSE)</f>
        <v>2000</v>
      </c>
      <c r="H1782" s="16">
        <f>E1782*F1782</f>
        <v>600</v>
      </c>
      <c r="I1782" s="16">
        <f>E1782*G1782</f>
        <v>2000</v>
      </c>
      <c r="J1782" s="16">
        <f>I1782-H1782</f>
        <v>1400</v>
      </c>
      <c r="K1782" s="16" t="str">
        <f>VLOOKUP(C1782,[1]master_data!$A$2:$E$495,5,FALSE)</f>
        <v>Ikan</v>
      </c>
      <c r="L1782" s="1"/>
    </row>
    <row r="1783" spans="1:12" ht="12" customHeight="1" x14ac:dyDescent="0.25">
      <c r="A1783" s="15">
        <v>45049</v>
      </c>
      <c r="B1783" s="16">
        <v>22300717</v>
      </c>
      <c r="C1783" s="16" t="s">
        <v>446</v>
      </c>
      <c r="D1783" s="16" t="str">
        <f>VLOOKUP(C1783,[1]master_data!$A$2:$E$495,2,FALSE)</f>
        <v xml:space="preserve"> CHANNA RED BARITO K</v>
      </c>
      <c r="E1783" s="16">
        <v>5</v>
      </c>
      <c r="F1783" s="16">
        <f>VLOOKUP(C1783,[1]master_data!$A$2:$E$495,3,FALSE)</f>
        <v>45000</v>
      </c>
      <c r="G1783" s="16">
        <f>VLOOKUP(C1783,[1]master_data!$A$2:$E$495,4,FALSE)</f>
        <v>100000</v>
      </c>
      <c r="H1783" s="16">
        <f>E1783*F1783</f>
        <v>225000</v>
      </c>
      <c r="I1783" s="16">
        <f>E1783*G1783</f>
        <v>500000</v>
      </c>
      <c r="J1783" s="16">
        <f>I1783-H1783</f>
        <v>275000</v>
      </c>
      <c r="K1783" s="16" t="str">
        <f>VLOOKUP(C1783,[1]master_data!$A$2:$E$495,5,FALSE)</f>
        <v>Ikan</v>
      </c>
      <c r="L1783" s="1"/>
    </row>
    <row r="1784" spans="1:12" ht="12" customHeight="1" x14ac:dyDescent="0.25">
      <c r="A1784" s="15">
        <v>45049</v>
      </c>
      <c r="B1784" s="16">
        <v>22300718</v>
      </c>
      <c r="C1784" s="16" t="s">
        <v>289</v>
      </c>
      <c r="D1784" s="16" t="str">
        <f>VLOOKUP(C1784,[1]master_data!$A$2:$E$495,2,FALSE)</f>
        <v>JARING 30</v>
      </c>
      <c r="E1784" s="16">
        <v>2</v>
      </c>
      <c r="F1784" s="16">
        <f>VLOOKUP(C1784,[1]master_data!$A$2:$E$495,3,FALSE)</f>
        <v>7900</v>
      </c>
      <c r="G1784" s="16">
        <f>VLOOKUP(C1784,[1]master_data!$A$2:$E$495,4,FALSE)</f>
        <v>15000</v>
      </c>
      <c r="H1784" s="16">
        <f>E1784*F1784</f>
        <v>15800</v>
      </c>
      <c r="I1784" s="16">
        <f>E1784*G1784</f>
        <v>30000</v>
      </c>
      <c r="J1784" s="16">
        <f>I1784-H1784</f>
        <v>14200</v>
      </c>
      <c r="K1784" s="16" t="str">
        <f>VLOOKUP(C1784,[1]master_data!$A$2:$E$495,5,FALSE)</f>
        <v>Aksesoris</v>
      </c>
      <c r="L1784" s="1"/>
    </row>
    <row r="1785" spans="1:12" ht="12" customHeight="1" x14ac:dyDescent="0.25">
      <c r="A1785" s="15">
        <v>45049</v>
      </c>
      <c r="B1785" s="16">
        <v>22300719</v>
      </c>
      <c r="C1785" s="16" t="s">
        <v>242</v>
      </c>
      <c r="D1785" s="16" t="str">
        <f>VLOOKUP(C1785,[1]master_data!$A$2:$E$495,2,FALSE)</f>
        <v>BACTERIAL STATER</v>
      </c>
      <c r="E1785" s="16">
        <v>2</v>
      </c>
      <c r="F1785" s="16">
        <f>VLOOKUP(C1785,[1]master_data!$A$2:$E$495,3,FALSE)</f>
        <v>10000</v>
      </c>
      <c r="G1785" s="16">
        <f>VLOOKUP(C1785,[1]master_data!$A$2:$E$495,4,FALSE)</f>
        <v>15000</v>
      </c>
      <c r="H1785" s="16">
        <f>E1785*F1785</f>
        <v>20000</v>
      </c>
      <c r="I1785" s="16">
        <f>E1785*G1785</f>
        <v>30000</v>
      </c>
      <c r="J1785" s="16">
        <f>I1785-H1785</f>
        <v>10000</v>
      </c>
      <c r="K1785" s="16" t="str">
        <f>VLOOKUP(C1785,[1]master_data!$A$2:$E$495,5,FALSE)</f>
        <v>Aksesoris</v>
      </c>
      <c r="L1785" s="1"/>
    </row>
    <row r="1786" spans="1:12" ht="12" customHeight="1" x14ac:dyDescent="0.25">
      <c r="A1786" s="15">
        <v>45049</v>
      </c>
      <c r="B1786" s="16">
        <v>22300720</v>
      </c>
      <c r="C1786" s="16" t="s">
        <v>98</v>
      </c>
      <c r="D1786" s="16" t="str">
        <f>VLOOKUP(C1786,[1]master_data!$A$2:$E$495,2,FALSE)</f>
        <v>MESIN AMARA 104</v>
      </c>
      <c r="E1786" s="16">
        <v>2</v>
      </c>
      <c r="F1786" s="16">
        <f>VLOOKUP(C1786,[1]master_data!$A$2:$E$495,3,FALSE)</f>
        <v>120000</v>
      </c>
      <c r="G1786" s="16">
        <f>VLOOKUP(C1786,[1]master_data!$A$2:$E$495,4,FALSE)</f>
        <v>160000</v>
      </c>
      <c r="H1786" s="16">
        <f>E1786*F1786</f>
        <v>240000</v>
      </c>
      <c r="I1786" s="16">
        <f>E1786*G1786</f>
        <v>320000</v>
      </c>
      <c r="J1786" s="16">
        <f>I1786-H1786</f>
        <v>80000</v>
      </c>
      <c r="K1786" s="16" t="str">
        <f>VLOOKUP(C1786,[1]master_data!$A$2:$E$495,5,FALSE)</f>
        <v>Aksesoris</v>
      </c>
      <c r="L1786" s="1"/>
    </row>
    <row r="1787" spans="1:12" ht="12" customHeight="1" x14ac:dyDescent="0.25">
      <c r="A1787" s="15">
        <v>45049</v>
      </c>
      <c r="B1787" s="16">
        <v>22300721</v>
      </c>
      <c r="C1787" s="16" t="s">
        <v>314</v>
      </c>
      <c r="D1787" s="16" t="str">
        <f>VLOOKUP(C1787,[1]master_data!$A$2:$E$495,2,FALSE)</f>
        <v>T SELANG</v>
      </c>
      <c r="E1787" s="16">
        <v>20</v>
      </c>
      <c r="F1787" s="16">
        <f>VLOOKUP(C1787,[1]master_data!$A$2:$E$495,3,FALSE)</f>
        <v>750</v>
      </c>
      <c r="G1787" s="16">
        <f>VLOOKUP(C1787,[1]master_data!$A$2:$E$495,4,FALSE)</f>
        <v>1500</v>
      </c>
      <c r="H1787" s="16">
        <f>E1787*F1787</f>
        <v>15000</v>
      </c>
      <c r="I1787" s="16">
        <f>E1787*G1787</f>
        <v>30000</v>
      </c>
      <c r="J1787" s="16">
        <f>I1787-H1787</f>
        <v>15000</v>
      </c>
      <c r="K1787" s="16" t="str">
        <f>VLOOKUP(C1787,[1]master_data!$A$2:$E$495,5,FALSE)</f>
        <v>Aksesoris</v>
      </c>
      <c r="L1787" s="1"/>
    </row>
    <row r="1788" spans="1:12" ht="12" customHeight="1" x14ac:dyDescent="0.25">
      <c r="A1788" s="15">
        <v>45048</v>
      </c>
      <c r="B1788" s="16">
        <v>22300710</v>
      </c>
      <c r="C1788" s="16" t="s">
        <v>392</v>
      </c>
      <c r="D1788" s="16" t="str">
        <f>VLOOKUP(C1788,[1]master_data!$A$2:$E$495,2,FALSE)</f>
        <v>ARWANA SILVER K</v>
      </c>
      <c r="E1788" s="16">
        <v>2</v>
      </c>
      <c r="F1788" s="16">
        <f>VLOOKUP(C1788,[1]master_data!$A$2:$E$495,3,FALSE)</f>
        <v>100000</v>
      </c>
      <c r="G1788" s="16">
        <f>VLOOKUP(C1788,[1]master_data!$A$2:$E$495,4,FALSE)</f>
        <v>200000</v>
      </c>
      <c r="H1788" s="16">
        <f>E1788*F1788</f>
        <v>200000</v>
      </c>
      <c r="I1788" s="16">
        <f>E1788*G1788</f>
        <v>400000</v>
      </c>
      <c r="J1788" s="16">
        <f>I1788-H1788</f>
        <v>200000</v>
      </c>
      <c r="K1788" s="16" t="str">
        <f>VLOOKUP(C1788,[1]master_data!$A$2:$E$495,5,FALSE)</f>
        <v>Ikan</v>
      </c>
      <c r="L1788" s="1"/>
    </row>
    <row r="1789" spans="1:12" ht="12" customHeight="1" x14ac:dyDescent="0.25">
      <c r="A1789" s="15">
        <v>45048</v>
      </c>
      <c r="B1789" s="16">
        <v>22300711</v>
      </c>
      <c r="C1789" s="16" t="s">
        <v>152</v>
      </c>
      <c r="D1789" s="16" t="str">
        <f>VLOOKUP(C1789,[1]master_data!$A$2:$E$495,2,FALSE)</f>
        <v>LED ROSTON 28 C</v>
      </c>
      <c r="E1789" s="16">
        <v>10</v>
      </c>
      <c r="F1789" s="16">
        <f>VLOOKUP(C1789,[1]master_data!$A$2:$E$495,3,FALSE)</f>
        <v>35000</v>
      </c>
      <c r="G1789" s="16">
        <f>VLOOKUP(C1789,[1]master_data!$A$2:$E$495,4,FALSE)</f>
        <v>55000</v>
      </c>
      <c r="H1789" s="16">
        <f>E1789*F1789</f>
        <v>350000</v>
      </c>
      <c r="I1789" s="16">
        <f>E1789*G1789</f>
        <v>550000</v>
      </c>
      <c r="J1789" s="16">
        <f>I1789-H1789</f>
        <v>200000</v>
      </c>
      <c r="K1789" s="16" t="str">
        <f>VLOOKUP(C1789,[1]master_data!$A$2:$E$495,5,FALSE)</f>
        <v>Aksesoris</v>
      </c>
      <c r="L1789" s="1"/>
    </row>
    <row r="1790" spans="1:12" ht="12" customHeight="1" x14ac:dyDescent="0.25">
      <c r="A1790" s="15">
        <v>45048</v>
      </c>
      <c r="B1790" s="16">
        <v>22300712</v>
      </c>
      <c r="C1790" s="16" t="s">
        <v>401</v>
      </c>
      <c r="D1790" s="16" t="str">
        <f>VLOOKUP(C1790,[1]master_data!$A$2:$E$495,2,FALSE)</f>
        <v>CHANNA BLUE PULCHRA K</v>
      </c>
      <c r="E1790" s="16">
        <v>1</v>
      </c>
      <c r="F1790" s="16">
        <f>VLOOKUP(C1790,[1]master_data!$A$2:$E$495,3,FALSE)</f>
        <v>25000</v>
      </c>
      <c r="G1790" s="16">
        <f>VLOOKUP(C1790,[1]master_data!$A$2:$E$495,4,FALSE)</f>
        <v>50000</v>
      </c>
      <c r="H1790" s="16">
        <f>E1790*F1790</f>
        <v>25000</v>
      </c>
      <c r="I1790" s="16">
        <f>E1790*G1790</f>
        <v>50000</v>
      </c>
      <c r="J1790" s="16">
        <f>I1790-H1790</f>
        <v>25000</v>
      </c>
      <c r="K1790" s="16" t="str">
        <f>VLOOKUP(C1790,[1]master_data!$A$2:$E$495,5,FALSE)</f>
        <v>Ikan</v>
      </c>
      <c r="L1790" s="1"/>
    </row>
    <row r="1791" spans="1:12" ht="12" customHeight="1" x14ac:dyDescent="0.25">
      <c r="A1791" s="15">
        <v>45048</v>
      </c>
      <c r="B1791" s="16">
        <v>22300713</v>
      </c>
      <c r="C1791" s="16" t="s">
        <v>361</v>
      </c>
      <c r="D1791" s="16" t="str">
        <f>VLOOKUP(C1791,[1]master_data!$A$2:$E$495,2,FALSE)</f>
        <v>AKUARIUM 70 POLOS</v>
      </c>
      <c r="E1791" s="16">
        <v>1</v>
      </c>
      <c r="F1791" s="16">
        <f>VLOOKUP(C1791,[1]master_data!$A$2:$E$495,3,FALSE)</f>
        <v>150000</v>
      </c>
      <c r="G1791" s="16">
        <f>VLOOKUP(C1791,[1]master_data!$A$2:$E$495,4,FALSE)</f>
        <v>200000</v>
      </c>
      <c r="H1791" s="16">
        <f>E1791*F1791</f>
        <v>150000</v>
      </c>
      <c r="I1791" s="16">
        <f>E1791*G1791</f>
        <v>200000</v>
      </c>
      <c r="J1791" s="16">
        <f>I1791-H1791</f>
        <v>50000</v>
      </c>
      <c r="K1791" s="16" t="str">
        <f>VLOOKUP(C1791,[1]master_data!$A$2:$E$495,5,FALSE)</f>
        <v>Aksesoris</v>
      </c>
      <c r="L1791" s="1"/>
    </row>
    <row r="1792" spans="1:12" ht="12" customHeight="1" x14ac:dyDescent="0.25">
      <c r="A1792" s="15">
        <v>45048</v>
      </c>
      <c r="B1792" s="16">
        <v>22300714</v>
      </c>
      <c r="C1792" s="16" t="s">
        <v>259</v>
      </c>
      <c r="D1792" s="16" t="str">
        <f>VLOOKUP(C1792,[1]master_data!$A$2:$E$495,2,FALSE)</f>
        <v>BONSAI</v>
      </c>
      <c r="E1792" s="16">
        <v>2</v>
      </c>
      <c r="F1792" s="16">
        <f>VLOOKUP(C1792,[1]master_data!$A$2:$E$495,3,FALSE)</f>
        <v>15000</v>
      </c>
      <c r="G1792" s="16">
        <f>VLOOKUP(C1792,[1]master_data!$A$2:$E$495,4,FALSE)</f>
        <v>20000</v>
      </c>
      <c r="H1792" s="16">
        <f>E1792*F1792</f>
        <v>30000</v>
      </c>
      <c r="I1792" s="16">
        <f>E1792*G1792</f>
        <v>40000</v>
      </c>
      <c r="J1792" s="16">
        <f>I1792-H1792</f>
        <v>10000</v>
      </c>
      <c r="K1792" s="16" t="str">
        <f>VLOOKUP(C1792,[1]master_data!$A$2:$E$495,5,FALSE)</f>
        <v>Aksesoris</v>
      </c>
      <c r="L1792" s="1"/>
    </row>
    <row r="1793" spans="1:12" ht="12" customHeight="1" x14ac:dyDescent="0.25">
      <c r="A1793" s="15">
        <v>45048</v>
      </c>
      <c r="B1793" s="16">
        <v>22300715</v>
      </c>
      <c r="C1793" s="16" t="s">
        <v>405</v>
      </c>
      <c r="D1793" s="16" t="str">
        <f>VLOOKUP(C1793,[1]master_data!$A$2:$E$495,2,FALSE)</f>
        <v>CUPANG</v>
      </c>
      <c r="E1793" s="16">
        <v>1</v>
      </c>
      <c r="F1793" s="16">
        <f>VLOOKUP(C1793,[1]master_data!$A$2:$E$495,3,FALSE)</f>
        <v>2000</v>
      </c>
      <c r="G1793" s="16">
        <f>VLOOKUP(C1793,[1]master_data!$A$2:$E$495,4,FALSE)</f>
        <v>5000</v>
      </c>
      <c r="H1793" s="16">
        <f>E1793*F1793</f>
        <v>2000</v>
      </c>
      <c r="I1793" s="16">
        <f>E1793*G1793</f>
        <v>5000</v>
      </c>
      <c r="J1793" s="16">
        <f>I1793-H1793</f>
        <v>3000</v>
      </c>
      <c r="K1793" s="16" t="str">
        <f>VLOOKUP(C1793,[1]master_data!$A$2:$E$495,5,FALSE)</f>
        <v>Ikan</v>
      </c>
      <c r="L1793" s="1"/>
    </row>
    <row r="1794" spans="1:12" ht="12" customHeight="1" x14ac:dyDescent="0.25">
      <c r="A1794" s="15">
        <v>45048</v>
      </c>
      <c r="B1794" s="16">
        <v>22300716</v>
      </c>
      <c r="C1794" s="16" t="s">
        <v>438</v>
      </c>
      <c r="D1794" s="16" t="str">
        <f>VLOOKUP(C1794,[1]master_data!$A$2:$E$495,2,FALSE)</f>
        <v>OSCAR</v>
      </c>
      <c r="E1794" s="16">
        <v>1</v>
      </c>
      <c r="F1794" s="16">
        <f>VLOOKUP(C1794,[1]master_data!$A$2:$E$495,3,FALSE)</f>
        <v>25000</v>
      </c>
      <c r="G1794" s="16">
        <f>VLOOKUP(C1794,[1]master_data!$A$2:$E$495,4,FALSE)</f>
        <v>50000</v>
      </c>
      <c r="H1794" s="16">
        <f>E1794*F1794</f>
        <v>25000</v>
      </c>
      <c r="I1794" s="16">
        <f>E1794*G1794</f>
        <v>50000</v>
      </c>
      <c r="J1794" s="16">
        <f>I1794-H1794</f>
        <v>25000</v>
      </c>
      <c r="K1794" s="16" t="str">
        <f>VLOOKUP(C1794,[1]master_data!$A$2:$E$495,5,FALSE)</f>
        <v>Ikan</v>
      </c>
      <c r="L1794" s="1"/>
    </row>
    <row r="1795" spans="1:12" ht="12" customHeight="1" x14ac:dyDescent="0.25">
      <c r="A1795" s="15">
        <v>45047</v>
      </c>
      <c r="B1795" s="16">
        <v>22300704</v>
      </c>
      <c r="C1795" s="16" t="s">
        <v>399</v>
      </c>
      <c r="D1795" s="16" t="str">
        <f>VLOOKUP(C1795,[1]master_data!$A$2:$E$495,2,FALSE)</f>
        <v>BALA BALA B</v>
      </c>
      <c r="E1795" s="16">
        <v>5</v>
      </c>
      <c r="F1795" s="16">
        <f>VLOOKUP(C1795,[1]master_data!$A$2:$E$495,3,FALSE)</f>
        <v>7000</v>
      </c>
      <c r="G1795" s="16">
        <f>VLOOKUP(C1795,[1]master_data!$A$2:$E$495,4,FALSE)</f>
        <v>15000</v>
      </c>
      <c r="H1795" s="16">
        <f>E1795*F1795</f>
        <v>35000</v>
      </c>
      <c r="I1795" s="16">
        <f>E1795*G1795</f>
        <v>75000</v>
      </c>
      <c r="J1795" s="16">
        <f>I1795-H1795</f>
        <v>40000</v>
      </c>
      <c r="K1795" s="16" t="str">
        <f>VLOOKUP(C1795,[1]master_data!$A$2:$E$495,5,FALSE)</f>
        <v>Ikan</v>
      </c>
      <c r="L1795" s="1"/>
    </row>
    <row r="1796" spans="1:12" ht="12" customHeight="1" x14ac:dyDescent="0.25">
      <c r="A1796" s="15">
        <v>45047</v>
      </c>
      <c r="B1796" s="16">
        <v>22300705</v>
      </c>
      <c r="C1796" s="16" t="s">
        <v>421</v>
      </c>
      <c r="D1796" s="16" t="str">
        <f>VLOOKUP(C1796,[1]master_data!$A$2:$E$495,2,FALSE)</f>
        <v>KOI SLAYER K</v>
      </c>
      <c r="E1796" s="16">
        <v>25</v>
      </c>
      <c r="F1796" s="16">
        <f>VLOOKUP(C1796,[1]master_data!$A$2:$E$495,3,FALSE)</f>
        <v>3500</v>
      </c>
      <c r="G1796" s="16">
        <f>VLOOKUP(C1796,[1]master_data!$A$2:$E$495,4,FALSE)</f>
        <v>10000</v>
      </c>
      <c r="H1796" s="16">
        <f>E1796*F1796</f>
        <v>87500</v>
      </c>
      <c r="I1796" s="16">
        <f>E1796*G1796</f>
        <v>250000</v>
      </c>
      <c r="J1796" s="16">
        <f>I1796-H1796</f>
        <v>162500</v>
      </c>
      <c r="K1796" s="16" t="str">
        <f>VLOOKUP(C1796,[1]master_data!$A$2:$E$495,5,FALSE)</f>
        <v>Ikan</v>
      </c>
      <c r="L1796" s="1"/>
    </row>
    <row r="1797" spans="1:12" ht="12" customHeight="1" x14ac:dyDescent="0.25">
      <c r="A1797" s="15">
        <v>45047</v>
      </c>
      <c r="B1797" s="16">
        <v>22300706</v>
      </c>
      <c r="C1797" s="16" t="s">
        <v>390</v>
      </c>
      <c r="D1797" s="16" t="str">
        <f>VLOOKUP(C1797,[1]master_data!$A$2:$E$495,2,FALSE)</f>
        <v>CHANNA ASIATICA B</v>
      </c>
      <c r="E1797" s="16">
        <v>2</v>
      </c>
      <c r="F1797" s="16">
        <f>VLOOKUP(C1797,[1]master_data!$A$2:$E$495,3,FALSE)</f>
        <v>40000</v>
      </c>
      <c r="G1797" s="16">
        <f>VLOOKUP(C1797,[1]master_data!$A$2:$E$495,4,FALSE)</f>
        <v>100000</v>
      </c>
      <c r="H1797" s="16">
        <f>E1797*F1797</f>
        <v>80000</v>
      </c>
      <c r="I1797" s="16">
        <f>E1797*G1797</f>
        <v>200000</v>
      </c>
      <c r="J1797" s="16">
        <f>I1797-H1797</f>
        <v>120000</v>
      </c>
      <c r="K1797" s="16" t="str">
        <f>VLOOKUP(C1797,[1]master_data!$A$2:$E$495,5,FALSE)</f>
        <v>Ikan</v>
      </c>
      <c r="L1797" s="1"/>
    </row>
    <row r="1798" spans="1:12" ht="12" customHeight="1" x14ac:dyDescent="0.25">
      <c r="A1798" s="15">
        <v>45047</v>
      </c>
      <c r="B1798" s="16">
        <v>22300707</v>
      </c>
      <c r="C1798" s="16" t="s">
        <v>435</v>
      </c>
      <c r="D1798" s="16" t="str">
        <f>VLOOKUP(C1798,[1]master_data!$A$2:$E$495,2,FALSE)</f>
        <v>RED EYE TETRA</v>
      </c>
      <c r="E1798" s="16">
        <v>20</v>
      </c>
      <c r="F1798" s="16">
        <f>VLOOKUP(C1798,[1]master_data!$A$2:$E$495,3,FALSE)</f>
        <v>900</v>
      </c>
      <c r="G1798" s="16">
        <f>VLOOKUP(C1798,[1]master_data!$A$2:$E$495,4,FALSE)</f>
        <v>2000</v>
      </c>
      <c r="H1798" s="16">
        <f>E1798*F1798</f>
        <v>18000</v>
      </c>
      <c r="I1798" s="16">
        <f>E1798*G1798</f>
        <v>40000</v>
      </c>
      <c r="J1798" s="16">
        <f>I1798-H1798</f>
        <v>22000</v>
      </c>
      <c r="K1798" s="16" t="str">
        <f>VLOOKUP(C1798,[1]master_data!$A$2:$E$495,5,FALSE)</f>
        <v>Ikan</v>
      </c>
      <c r="L1798" s="1"/>
    </row>
    <row r="1799" spans="1:12" ht="12" customHeight="1" x14ac:dyDescent="0.25">
      <c r="A1799" s="15">
        <v>45047</v>
      </c>
      <c r="B1799" s="16">
        <v>22300708</v>
      </c>
      <c r="C1799" s="16" t="s">
        <v>340</v>
      </c>
      <c r="D1799" s="16" t="str">
        <f>VLOOKUP(C1799,[1]master_data!$A$2:$E$495,2,FALSE)</f>
        <v>KUTUB LAS</v>
      </c>
      <c r="E1799" s="16">
        <v>9</v>
      </c>
      <c r="F1799" s="16">
        <f>VLOOKUP(C1799,[1]master_data!$A$2:$E$495,3,FALSE)</f>
        <v>15000</v>
      </c>
      <c r="G1799" s="16">
        <f>VLOOKUP(C1799,[1]master_data!$A$2:$E$495,4,FALSE)</f>
        <v>25000</v>
      </c>
      <c r="H1799" s="16">
        <f>E1799*F1799</f>
        <v>135000</v>
      </c>
      <c r="I1799" s="16">
        <f>E1799*G1799</f>
        <v>225000</v>
      </c>
      <c r="J1799" s="16">
        <f>I1799-H1799</f>
        <v>90000</v>
      </c>
      <c r="K1799" s="16" t="str">
        <f>VLOOKUP(C1799,[1]master_data!$A$2:$E$495,5,FALSE)</f>
        <v>Aksesoris</v>
      </c>
      <c r="L1799" s="1"/>
    </row>
    <row r="1800" spans="1:12" ht="12" customHeight="1" x14ac:dyDescent="0.25">
      <c r="A1800" s="15">
        <v>45047</v>
      </c>
      <c r="B1800" s="16">
        <v>22300709</v>
      </c>
      <c r="C1800" s="16" t="s">
        <v>45</v>
      </c>
      <c r="D1800" s="16" t="str">
        <f>VLOOKUP(C1800,[1]master_data!$A$2:$E$495,2,FALSE)</f>
        <v>MESIN YAMANO 2600</v>
      </c>
      <c r="E1800" s="16">
        <v>1</v>
      </c>
      <c r="F1800" s="16">
        <f>VLOOKUP(C1800,[1]master_data!$A$2:$E$495,3,FALSE)</f>
        <v>82500</v>
      </c>
      <c r="G1800" s="16">
        <f>VLOOKUP(C1800,[1]master_data!$A$2:$E$495,4,FALSE)</f>
        <v>115000</v>
      </c>
      <c r="H1800" s="16">
        <f>E1800*F1800</f>
        <v>82500</v>
      </c>
      <c r="I1800" s="16">
        <f>E1800*G1800</f>
        <v>115000</v>
      </c>
      <c r="J1800" s="16">
        <f>I1800-H1800</f>
        <v>32500</v>
      </c>
      <c r="K1800" s="16" t="str">
        <f>VLOOKUP(C1800,[1]master_data!$A$2:$E$495,5,FALSE)</f>
        <v>Aksesoris</v>
      </c>
      <c r="L1800" s="1"/>
    </row>
    <row r="1801" spans="1:12" ht="12" customHeight="1" x14ac:dyDescent="0.25">
      <c r="A1801" s="15">
        <v>45046</v>
      </c>
      <c r="B1801" s="16">
        <v>22300698</v>
      </c>
      <c r="C1801" s="16" t="s">
        <v>44</v>
      </c>
      <c r="D1801" s="16" t="str">
        <f>VLOOKUP(C1801,[1]master_data!$A$2:$E$495,2,FALSE)</f>
        <v>MESIN YAMANO ACO 004</v>
      </c>
      <c r="E1801" s="16">
        <v>1</v>
      </c>
      <c r="F1801" s="16">
        <f>VLOOKUP(C1801,[1]master_data!$A$2:$E$495,3,FALSE)</f>
        <v>505000</v>
      </c>
      <c r="G1801" s="16">
        <f>VLOOKUP(C1801,[1]master_data!$A$2:$E$495,4,FALSE)</f>
        <v>550000</v>
      </c>
      <c r="H1801" s="16">
        <f>E1801*F1801</f>
        <v>505000</v>
      </c>
      <c r="I1801" s="16">
        <f>E1801*G1801</f>
        <v>550000</v>
      </c>
      <c r="J1801" s="16">
        <f>I1801-H1801</f>
        <v>45000</v>
      </c>
      <c r="K1801" s="16" t="str">
        <f>VLOOKUP(C1801,[1]master_data!$A$2:$E$495,5,FALSE)</f>
        <v>Aksesoris</v>
      </c>
      <c r="L1801" s="1"/>
    </row>
    <row r="1802" spans="1:12" ht="12" customHeight="1" x14ac:dyDescent="0.25">
      <c r="A1802" s="15">
        <v>45046</v>
      </c>
      <c r="B1802" s="16">
        <v>22300699</v>
      </c>
      <c r="C1802" s="16" t="s">
        <v>404</v>
      </c>
      <c r="D1802" s="16" t="str">
        <f>VLOOKUP(C1802,[1]master_data!$A$2:$E$495,2,FALSE)</f>
        <v>BARBIR</v>
      </c>
      <c r="E1802" s="16">
        <v>15</v>
      </c>
      <c r="F1802" s="16">
        <f>VLOOKUP(C1802,[1]master_data!$A$2:$E$495,3,FALSE)</f>
        <v>800</v>
      </c>
      <c r="G1802" s="16">
        <f>VLOOKUP(C1802,[1]master_data!$A$2:$E$495,4,FALSE)</f>
        <v>2000</v>
      </c>
      <c r="H1802" s="16">
        <f>E1802*F1802</f>
        <v>12000</v>
      </c>
      <c r="I1802" s="16">
        <f>E1802*G1802</f>
        <v>30000</v>
      </c>
      <c r="J1802" s="16">
        <f>I1802-H1802</f>
        <v>18000</v>
      </c>
      <c r="K1802" s="16" t="str">
        <f>VLOOKUP(C1802,[1]master_data!$A$2:$E$495,5,FALSE)</f>
        <v>Ikan</v>
      </c>
      <c r="L1802" s="1"/>
    </row>
    <row r="1803" spans="1:12" ht="12" customHeight="1" x14ac:dyDescent="0.25">
      <c r="A1803" s="15">
        <v>45046</v>
      </c>
      <c r="B1803" s="16">
        <v>22300700</v>
      </c>
      <c r="C1803" s="16" t="s">
        <v>418</v>
      </c>
      <c r="D1803" s="16" t="str">
        <f>VLOOKUP(C1803,[1]master_data!$A$2:$E$495,2,FALSE)</f>
        <v>KAVIAT</v>
      </c>
      <c r="E1803" s="16">
        <v>15</v>
      </c>
      <c r="F1803" s="16">
        <f>VLOOKUP(C1803,[1]master_data!$A$2:$E$495,3,FALSE)</f>
        <v>3500</v>
      </c>
      <c r="G1803" s="16">
        <f>VLOOKUP(C1803,[1]master_data!$A$2:$E$495,4,FALSE)</f>
        <v>8000</v>
      </c>
      <c r="H1803" s="16">
        <f>E1803*F1803</f>
        <v>52500</v>
      </c>
      <c r="I1803" s="16">
        <f>E1803*G1803</f>
        <v>120000</v>
      </c>
      <c r="J1803" s="16">
        <f>I1803-H1803</f>
        <v>67500</v>
      </c>
      <c r="K1803" s="16" t="str">
        <f>VLOOKUP(C1803,[1]master_data!$A$2:$E$495,5,FALSE)</f>
        <v>Ikan</v>
      </c>
      <c r="L1803" s="1"/>
    </row>
    <row r="1804" spans="1:12" ht="12" customHeight="1" x14ac:dyDescent="0.25">
      <c r="A1804" s="15">
        <v>45046</v>
      </c>
      <c r="B1804" s="16">
        <v>22300701</v>
      </c>
      <c r="C1804" s="16" t="s">
        <v>392</v>
      </c>
      <c r="D1804" s="16" t="str">
        <f>VLOOKUP(C1804,[1]master_data!$A$2:$E$495,2,FALSE)</f>
        <v>ARWANA SILVER K</v>
      </c>
      <c r="E1804" s="16">
        <v>2</v>
      </c>
      <c r="F1804" s="16">
        <f>VLOOKUP(C1804,[1]master_data!$A$2:$E$495,3,FALSE)</f>
        <v>100000</v>
      </c>
      <c r="G1804" s="16">
        <f>VLOOKUP(C1804,[1]master_data!$A$2:$E$495,4,FALSE)</f>
        <v>200000</v>
      </c>
      <c r="H1804" s="16">
        <f>E1804*F1804</f>
        <v>200000</v>
      </c>
      <c r="I1804" s="16">
        <f>E1804*G1804</f>
        <v>400000</v>
      </c>
      <c r="J1804" s="16">
        <f>I1804-H1804</f>
        <v>200000</v>
      </c>
      <c r="K1804" s="16" t="str">
        <f>VLOOKUP(C1804,[1]master_data!$A$2:$E$495,5,FALSE)</f>
        <v>Ikan</v>
      </c>
      <c r="L1804" s="1"/>
    </row>
    <row r="1805" spans="1:12" ht="12" customHeight="1" x14ac:dyDescent="0.25">
      <c r="A1805" s="15">
        <v>45046</v>
      </c>
      <c r="B1805" s="16">
        <v>22300702</v>
      </c>
      <c r="C1805" s="16" t="s">
        <v>449</v>
      </c>
      <c r="D1805" s="16" t="str">
        <f>VLOOKUP(C1805,[1]master_data!$A$2:$E$495,2,FALSE)</f>
        <v>SUMATRA GOLD FISH</v>
      </c>
      <c r="E1805" s="16">
        <v>25</v>
      </c>
      <c r="F1805" s="16">
        <f>VLOOKUP(C1805,[1]master_data!$A$2:$E$495,3,FALSE)</f>
        <v>2500</v>
      </c>
      <c r="G1805" s="16">
        <f>VLOOKUP(C1805,[1]master_data!$A$2:$E$495,4,FALSE)</f>
        <v>4000</v>
      </c>
      <c r="H1805" s="16">
        <f>E1805*F1805</f>
        <v>62500</v>
      </c>
      <c r="I1805" s="16">
        <f>E1805*G1805</f>
        <v>100000</v>
      </c>
      <c r="J1805" s="16">
        <f>I1805-H1805</f>
        <v>37500</v>
      </c>
      <c r="K1805" s="16" t="str">
        <f>VLOOKUP(C1805,[1]master_data!$A$2:$E$495,5,FALSE)</f>
        <v>Ikan</v>
      </c>
      <c r="L1805" s="1"/>
    </row>
    <row r="1806" spans="1:12" ht="12" customHeight="1" x14ac:dyDescent="0.25">
      <c r="A1806" s="15">
        <v>45046</v>
      </c>
      <c r="B1806" s="16">
        <v>22300703</v>
      </c>
      <c r="C1806" s="16" t="s">
        <v>39</v>
      </c>
      <c r="D1806" s="16" t="str">
        <f>VLOOKUP(C1806,[1]master_data!$A$2:$E$495,2,FALSE)</f>
        <v>MESIN YAMANO 105</v>
      </c>
      <c r="E1806" s="16">
        <v>1</v>
      </c>
      <c r="F1806" s="16">
        <f>VLOOKUP(C1806,[1]master_data!$A$2:$E$495,3,FALSE)</f>
        <v>125000</v>
      </c>
      <c r="G1806" s="16">
        <f>VLOOKUP(C1806,[1]master_data!$A$2:$E$495,4,FALSE)</f>
        <v>160000</v>
      </c>
      <c r="H1806" s="16">
        <f>E1806*F1806</f>
        <v>125000</v>
      </c>
      <c r="I1806" s="16">
        <f>E1806*G1806</f>
        <v>160000</v>
      </c>
      <c r="J1806" s="16">
        <f>I1806-H1806</f>
        <v>35000</v>
      </c>
      <c r="K1806" s="16" t="str">
        <f>VLOOKUP(C1806,[1]master_data!$A$2:$E$495,5,FALSE)</f>
        <v>Aksesoris</v>
      </c>
      <c r="L1806" s="1"/>
    </row>
    <row r="1807" spans="1:12" ht="12" customHeight="1" x14ac:dyDescent="0.25">
      <c r="A1807" s="15">
        <v>45045</v>
      </c>
      <c r="B1807" s="16">
        <v>22300692</v>
      </c>
      <c r="C1807" s="16" t="s">
        <v>433</v>
      </c>
      <c r="D1807" s="16" t="str">
        <f>VLOOKUP(C1807,[1]master_data!$A$2:$E$495,2,FALSE)</f>
        <v>MOLI BALON</v>
      </c>
      <c r="E1807" s="16">
        <v>20</v>
      </c>
      <c r="F1807" s="16">
        <f>VLOOKUP(C1807,[1]master_data!$A$2:$E$495,3,FALSE)</f>
        <v>800</v>
      </c>
      <c r="G1807" s="16">
        <f>VLOOKUP(C1807,[1]master_data!$A$2:$E$495,4,FALSE)</f>
        <v>2000</v>
      </c>
      <c r="H1807" s="16">
        <f>E1807*F1807</f>
        <v>16000</v>
      </c>
      <c r="I1807" s="16">
        <f>E1807*G1807</f>
        <v>40000</v>
      </c>
      <c r="J1807" s="16">
        <f>I1807-H1807</f>
        <v>24000</v>
      </c>
      <c r="K1807" s="16" t="str">
        <f>VLOOKUP(C1807,[1]master_data!$A$2:$E$495,5,FALSE)</f>
        <v>Ikan</v>
      </c>
      <c r="L1807" s="1"/>
    </row>
    <row r="1808" spans="1:12" ht="12" customHeight="1" x14ac:dyDescent="0.25">
      <c r="A1808" s="15">
        <v>45045</v>
      </c>
      <c r="B1808" s="16">
        <v>22300693</v>
      </c>
      <c r="C1808" s="16" t="s">
        <v>420</v>
      </c>
      <c r="D1808" s="16" t="str">
        <f>VLOOKUP(C1808,[1]master_data!$A$2:$E$495,2,FALSE)</f>
        <v>KOMET SLAYER</v>
      </c>
      <c r="E1808" s="16">
        <v>30</v>
      </c>
      <c r="F1808" s="16">
        <f>VLOOKUP(C1808,[1]master_data!$A$2:$E$495,3,FALSE)</f>
        <v>2000</v>
      </c>
      <c r="G1808" s="16">
        <f>VLOOKUP(C1808,[1]master_data!$A$2:$E$495,4,FALSE)</f>
        <v>5000</v>
      </c>
      <c r="H1808" s="16">
        <f>E1808*F1808</f>
        <v>60000</v>
      </c>
      <c r="I1808" s="16">
        <f>E1808*G1808</f>
        <v>150000</v>
      </c>
      <c r="J1808" s="16">
        <f>I1808-H1808</f>
        <v>90000</v>
      </c>
      <c r="K1808" s="16" t="str">
        <f>VLOOKUP(C1808,[1]master_data!$A$2:$E$495,5,FALSE)</f>
        <v>Ikan</v>
      </c>
      <c r="L1808" s="1"/>
    </row>
    <row r="1809" spans="1:12" ht="12" customHeight="1" x14ac:dyDescent="0.25">
      <c r="A1809" s="15">
        <v>45045</v>
      </c>
      <c r="B1809" s="16">
        <v>22300694</v>
      </c>
      <c r="C1809" s="16" t="s">
        <v>385</v>
      </c>
      <c r="D1809" s="16" t="str">
        <f>VLOOKUP(C1809,[1]master_data!$A$2:$E$495,2,FALSE)</f>
        <v>BATU KARANG JAHE</v>
      </c>
      <c r="E1809" s="16">
        <v>5</v>
      </c>
      <c r="F1809" s="16">
        <f>VLOOKUP(C1809,[1]master_data!$A$2:$E$495,3,FALSE)</f>
        <v>15000</v>
      </c>
      <c r="G1809" s="16">
        <f>VLOOKUP(C1809,[1]master_data!$A$2:$E$495,4,FALSE)</f>
        <v>25000</v>
      </c>
      <c r="H1809" s="16">
        <f>E1809*F1809</f>
        <v>75000</v>
      </c>
      <c r="I1809" s="16">
        <f>E1809*G1809</f>
        <v>125000</v>
      </c>
      <c r="J1809" s="16">
        <f>I1809-H1809</f>
        <v>50000</v>
      </c>
      <c r="K1809" s="16" t="str">
        <f>VLOOKUP(C1809,[1]master_data!$A$2:$E$495,5,FALSE)</f>
        <v>Aksesoris</v>
      </c>
      <c r="L1809" s="1"/>
    </row>
    <row r="1810" spans="1:12" ht="12" customHeight="1" x14ac:dyDescent="0.25">
      <c r="A1810" s="15">
        <v>45045</v>
      </c>
      <c r="B1810" s="16">
        <v>22300695</v>
      </c>
      <c r="C1810" s="16" t="s">
        <v>209</v>
      </c>
      <c r="D1810" s="16" t="str">
        <f>VLOOKUP(C1810,[1]master_data!$A$2:$E$495,2,FALSE)</f>
        <v>TETRA BITS 50 GR</v>
      </c>
      <c r="E1810" s="16">
        <v>1</v>
      </c>
      <c r="F1810" s="16">
        <f>VLOOKUP(C1810,[1]master_data!$A$2:$E$495,3,FALSE)</f>
        <v>45000</v>
      </c>
      <c r="G1810" s="16">
        <f>VLOOKUP(C1810,[1]master_data!$A$2:$E$495,4,FALSE)</f>
        <v>55000</v>
      </c>
      <c r="H1810" s="16">
        <f>E1810*F1810</f>
        <v>45000</v>
      </c>
      <c r="I1810" s="16">
        <f>E1810*G1810</f>
        <v>55000</v>
      </c>
      <c r="J1810" s="16">
        <f>I1810-H1810</f>
        <v>10000</v>
      </c>
      <c r="K1810" s="16" t="str">
        <f>VLOOKUP(C1810,[1]master_data!$A$2:$E$495,5,FALSE)</f>
        <v>Aksesoris</v>
      </c>
      <c r="L1810" s="1"/>
    </row>
    <row r="1811" spans="1:12" ht="12" customHeight="1" x14ac:dyDescent="0.25">
      <c r="A1811" s="15">
        <v>45045</v>
      </c>
      <c r="B1811" s="16">
        <v>22300696</v>
      </c>
      <c r="C1811" s="16" t="s">
        <v>117</v>
      </c>
      <c r="D1811" s="16" t="str">
        <f>VLOOKUP(C1811,[1]master_data!$A$2:$E$495,2,FALSE)</f>
        <v>LED VOSSO 20 CM</v>
      </c>
      <c r="E1811" s="16">
        <v>10</v>
      </c>
      <c r="F1811" s="16">
        <f>VLOOKUP(C1811,[1]master_data!$A$2:$E$495,3,FALSE)</f>
        <v>20000</v>
      </c>
      <c r="G1811" s="16">
        <f>VLOOKUP(C1811,[1]master_data!$A$2:$E$495,4,FALSE)</f>
        <v>30000</v>
      </c>
      <c r="H1811" s="16">
        <f>E1811*F1811</f>
        <v>200000</v>
      </c>
      <c r="I1811" s="16">
        <f>E1811*G1811</f>
        <v>300000</v>
      </c>
      <c r="J1811" s="16">
        <f>I1811-H1811</f>
        <v>100000</v>
      </c>
      <c r="K1811" s="16" t="str">
        <f>VLOOKUP(C1811,[1]master_data!$A$2:$E$495,5,FALSE)</f>
        <v>Aksesoris</v>
      </c>
      <c r="L1811" s="1"/>
    </row>
    <row r="1812" spans="1:12" ht="12" customHeight="1" x14ac:dyDescent="0.25">
      <c r="A1812" s="15">
        <v>45045</v>
      </c>
      <c r="B1812" s="16">
        <v>22300697</v>
      </c>
      <c r="C1812" s="16" t="s">
        <v>430</v>
      </c>
      <c r="D1812" s="16" t="str">
        <f>VLOOKUP(C1812,[1]master_data!$A$2:$E$495,2,FALSE)</f>
        <v>MARU K</v>
      </c>
      <c r="E1812" s="16">
        <v>1</v>
      </c>
      <c r="F1812" s="16">
        <f>VLOOKUP(C1812,[1]master_data!$A$2:$E$495,3,FALSE)</f>
        <v>23000</v>
      </c>
      <c r="G1812" s="16">
        <f>VLOOKUP(C1812,[1]master_data!$A$2:$E$495,4,FALSE)</f>
        <v>50000</v>
      </c>
      <c r="H1812" s="16">
        <f>E1812*F1812</f>
        <v>23000</v>
      </c>
      <c r="I1812" s="16">
        <f>E1812*G1812</f>
        <v>50000</v>
      </c>
      <c r="J1812" s="16">
        <f>I1812-H1812</f>
        <v>27000</v>
      </c>
      <c r="K1812" s="16" t="str">
        <f>VLOOKUP(C1812,[1]master_data!$A$2:$E$495,5,FALSE)</f>
        <v>Ikan</v>
      </c>
      <c r="L1812" s="1"/>
    </row>
    <row r="1813" spans="1:12" ht="12" customHeight="1" x14ac:dyDescent="0.25">
      <c r="A1813" s="15">
        <v>45044</v>
      </c>
      <c r="B1813" s="16">
        <v>22300688</v>
      </c>
      <c r="C1813" s="16" t="s">
        <v>397</v>
      </c>
      <c r="D1813" s="16" t="str">
        <f>VLOOKUP(C1813,[1]master_data!$A$2:$E$495,2,FALSE)</f>
        <v>BUENOS AIRES TETRA</v>
      </c>
      <c r="E1813" s="16">
        <v>20</v>
      </c>
      <c r="F1813" s="16">
        <f>VLOOKUP(C1813,[1]master_data!$A$2:$E$495,3,FALSE)</f>
        <v>800</v>
      </c>
      <c r="G1813" s="16">
        <f>VLOOKUP(C1813,[1]master_data!$A$2:$E$495,4,FALSE)</f>
        <v>2000</v>
      </c>
      <c r="H1813" s="16">
        <f>E1813*F1813</f>
        <v>16000</v>
      </c>
      <c r="I1813" s="16">
        <f>E1813*G1813</f>
        <v>40000</v>
      </c>
      <c r="J1813" s="16">
        <f>I1813-H1813</f>
        <v>24000</v>
      </c>
      <c r="K1813" s="16" t="str">
        <f>VLOOKUP(C1813,[1]master_data!$A$2:$E$495,5,FALSE)</f>
        <v>Ikan</v>
      </c>
      <c r="L1813" s="1"/>
    </row>
    <row r="1814" spans="1:12" ht="12" customHeight="1" x14ac:dyDescent="0.25">
      <c r="A1814" s="15">
        <v>45044</v>
      </c>
      <c r="B1814" s="16">
        <v>22300689</v>
      </c>
      <c r="C1814" s="16" t="s">
        <v>391</v>
      </c>
      <c r="D1814" s="16" t="str">
        <f>VLOOKUP(C1814,[1]master_data!$A$2:$E$495,2,FALSE)</f>
        <v>CHANNA ANDRAO B</v>
      </c>
      <c r="E1814" s="16">
        <v>2</v>
      </c>
      <c r="F1814" s="16">
        <f>VLOOKUP(C1814,[1]master_data!$A$2:$E$495,3,FALSE)</f>
        <v>100000</v>
      </c>
      <c r="G1814" s="16">
        <f>VLOOKUP(C1814,[1]master_data!$A$2:$E$495,4,FALSE)</f>
        <v>200000</v>
      </c>
      <c r="H1814" s="16">
        <f>E1814*F1814</f>
        <v>200000</v>
      </c>
      <c r="I1814" s="16">
        <f>E1814*G1814</f>
        <v>400000</v>
      </c>
      <c r="J1814" s="16">
        <f>I1814-H1814</f>
        <v>200000</v>
      </c>
      <c r="K1814" s="16" t="str">
        <f>VLOOKUP(C1814,[1]master_data!$A$2:$E$495,5,FALSE)</f>
        <v>Ikan</v>
      </c>
      <c r="L1814" s="1"/>
    </row>
    <row r="1815" spans="1:12" ht="12" customHeight="1" x14ac:dyDescent="0.25">
      <c r="A1815" s="15">
        <v>45044</v>
      </c>
      <c r="B1815" s="16">
        <v>22300690</v>
      </c>
      <c r="C1815" s="16" t="s">
        <v>412</v>
      </c>
      <c r="D1815" s="16" t="str">
        <f>VLOOKUP(C1815,[1]master_data!$A$2:$E$495,2,FALSE)</f>
        <v>KOKI T</v>
      </c>
      <c r="E1815" s="16">
        <v>2</v>
      </c>
      <c r="F1815" s="16">
        <f>VLOOKUP(C1815,[1]master_data!$A$2:$E$495,3,FALSE)</f>
        <v>8000</v>
      </c>
      <c r="G1815" s="16">
        <f>VLOOKUP(C1815,[1]master_data!$A$2:$E$495,4,FALSE)</f>
        <v>15000</v>
      </c>
      <c r="H1815" s="16">
        <f>E1815*F1815</f>
        <v>16000</v>
      </c>
      <c r="I1815" s="16">
        <f>E1815*G1815</f>
        <v>30000</v>
      </c>
      <c r="J1815" s="16">
        <f>I1815-H1815</f>
        <v>14000</v>
      </c>
      <c r="K1815" s="16" t="str">
        <f>VLOOKUP(C1815,[1]master_data!$A$2:$E$495,5,FALSE)</f>
        <v>Ikan</v>
      </c>
      <c r="L1815" s="1"/>
    </row>
    <row r="1816" spans="1:12" ht="12" customHeight="1" x14ac:dyDescent="0.25">
      <c r="A1816" s="15">
        <v>45044</v>
      </c>
      <c r="B1816" s="16">
        <v>22300691</v>
      </c>
      <c r="C1816" s="16" t="s">
        <v>401</v>
      </c>
      <c r="D1816" s="16" t="str">
        <f>VLOOKUP(C1816,[1]master_data!$A$2:$E$495,2,FALSE)</f>
        <v>CHANNA BLUE PULCHRA K</v>
      </c>
      <c r="E1816" s="16">
        <v>1</v>
      </c>
      <c r="F1816" s="16">
        <f>VLOOKUP(C1816,[1]master_data!$A$2:$E$495,3,FALSE)</f>
        <v>25000</v>
      </c>
      <c r="G1816" s="16">
        <f>VLOOKUP(C1816,[1]master_data!$A$2:$E$495,4,FALSE)</f>
        <v>50000</v>
      </c>
      <c r="H1816" s="16">
        <f>E1816*F1816</f>
        <v>25000</v>
      </c>
      <c r="I1816" s="16">
        <f>E1816*G1816</f>
        <v>50000</v>
      </c>
      <c r="J1816" s="16">
        <f>I1816-H1816</f>
        <v>25000</v>
      </c>
      <c r="K1816" s="16" t="str">
        <f>VLOOKUP(C1816,[1]master_data!$A$2:$E$495,5,FALSE)</f>
        <v>Ikan</v>
      </c>
      <c r="L1816" s="1"/>
    </row>
    <row r="1817" spans="1:12" ht="12" customHeight="1" x14ac:dyDescent="0.25">
      <c r="A1817" s="15">
        <v>45043</v>
      </c>
      <c r="B1817" s="16">
        <v>22300682</v>
      </c>
      <c r="C1817" s="16" t="s">
        <v>455</v>
      </c>
      <c r="D1817" s="16" t="str">
        <f>VLOOKUP(C1817,[1]master_data!$A$2:$E$495,2,FALSE)</f>
        <v>ZEBRA PINK</v>
      </c>
      <c r="E1817" s="16">
        <v>30</v>
      </c>
      <c r="F1817" s="16">
        <f>VLOOKUP(C1817,[1]master_data!$A$2:$E$495,3,FALSE)</f>
        <v>800</v>
      </c>
      <c r="G1817" s="16">
        <f>VLOOKUP(C1817,[1]master_data!$A$2:$E$495,4,FALSE)</f>
        <v>2000</v>
      </c>
      <c r="H1817" s="16">
        <f>E1817*F1817</f>
        <v>24000</v>
      </c>
      <c r="I1817" s="16">
        <f>E1817*G1817</f>
        <v>60000</v>
      </c>
      <c r="J1817" s="16">
        <f>I1817-H1817</f>
        <v>36000</v>
      </c>
      <c r="K1817" s="16" t="str">
        <f>VLOOKUP(C1817,[1]master_data!$A$2:$E$495,5,FALSE)</f>
        <v>Ikan</v>
      </c>
      <c r="L1817" s="1"/>
    </row>
    <row r="1818" spans="1:12" ht="12" customHeight="1" x14ac:dyDescent="0.25">
      <c r="A1818" s="15">
        <v>45043</v>
      </c>
      <c r="B1818" s="16">
        <v>22300683</v>
      </c>
      <c r="C1818" s="16" t="s">
        <v>455</v>
      </c>
      <c r="D1818" s="16" t="str">
        <f>VLOOKUP(C1818,[1]master_data!$A$2:$E$495,2,FALSE)</f>
        <v>ZEBRA PINK</v>
      </c>
      <c r="E1818" s="16">
        <v>30</v>
      </c>
      <c r="F1818" s="16">
        <f>VLOOKUP(C1818,[1]master_data!$A$2:$E$495,3,FALSE)</f>
        <v>800</v>
      </c>
      <c r="G1818" s="16">
        <f>VLOOKUP(C1818,[1]master_data!$A$2:$E$495,4,FALSE)</f>
        <v>2000</v>
      </c>
      <c r="H1818" s="16">
        <f>E1818*F1818</f>
        <v>24000</v>
      </c>
      <c r="I1818" s="16">
        <f>E1818*G1818</f>
        <v>60000</v>
      </c>
      <c r="J1818" s="16">
        <f>I1818-H1818</f>
        <v>36000</v>
      </c>
      <c r="K1818" s="16" t="str">
        <f>VLOOKUP(C1818,[1]master_data!$A$2:$E$495,5,FALSE)</f>
        <v>Ikan</v>
      </c>
      <c r="L1818" s="1"/>
    </row>
    <row r="1819" spans="1:12" ht="12" customHeight="1" x14ac:dyDescent="0.25">
      <c r="A1819" s="15">
        <v>45043</v>
      </c>
      <c r="B1819" s="16">
        <v>22300684</v>
      </c>
      <c r="C1819" s="16" t="s">
        <v>156</v>
      </c>
      <c r="D1819" s="16" t="str">
        <f>VLOOKUP(C1819,[1]master_data!$A$2:$E$495,2,FALSE)</f>
        <v>LED ROSTON 3 MODE 50 CM</v>
      </c>
      <c r="E1819" s="16">
        <v>2</v>
      </c>
      <c r="F1819" s="16">
        <f>VLOOKUP(C1819,[1]master_data!$A$2:$E$495,3,FALSE)</f>
        <v>30000</v>
      </c>
      <c r="G1819" s="16">
        <f>VLOOKUP(C1819,[1]master_data!$A$2:$E$495,4,FALSE)</f>
        <v>60000</v>
      </c>
      <c r="H1819" s="16">
        <f>E1819*F1819</f>
        <v>60000</v>
      </c>
      <c r="I1819" s="16">
        <f>E1819*G1819</f>
        <v>120000</v>
      </c>
      <c r="J1819" s="16">
        <f>I1819-H1819</f>
        <v>60000</v>
      </c>
      <c r="K1819" s="16" t="str">
        <f>VLOOKUP(C1819,[1]master_data!$A$2:$E$495,5,FALSE)</f>
        <v>Aksesoris</v>
      </c>
      <c r="L1819" s="1"/>
    </row>
    <row r="1820" spans="1:12" ht="12" customHeight="1" x14ac:dyDescent="0.25">
      <c r="A1820" s="15">
        <v>45043</v>
      </c>
      <c r="B1820" s="16">
        <v>22300685</v>
      </c>
      <c r="C1820" s="16" t="s">
        <v>413</v>
      </c>
      <c r="D1820" s="16" t="str">
        <f>VLOOKUP(C1820,[1]master_data!$A$2:$E$495,2,FALSE)</f>
        <v>KOKI B</v>
      </c>
      <c r="E1820" s="16">
        <v>2</v>
      </c>
      <c r="F1820" s="16">
        <f>VLOOKUP(C1820,[1]master_data!$A$2:$E$495,3,FALSE)</f>
        <v>20000</v>
      </c>
      <c r="G1820" s="16">
        <f>VLOOKUP(C1820,[1]master_data!$A$2:$E$495,4,FALSE)</f>
        <v>50000</v>
      </c>
      <c r="H1820" s="16">
        <f>E1820*F1820</f>
        <v>40000</v>
      </c>
      <c r="I1820" s="16">
        <f>E1820*G1820</f>
        <v>100000</v>
      </c>
      <c r="J1820" s="16">
        <f>I1820-H1820</f>
        <v>60000</v>
      </c>
      <c r="K1820" s="16" t="str">
        <f>VLOOKUP(C1820,[1]master_data!$A$2:$E$495,5,FALSE)</f>
        <v>Ikan</v>
      </c>
      <c r="L1820" s="1"/>
    </row>
    <row r="1821" spans="1:12" ht="12" customHeight="1" x14ac:dyDescent="0.25">
      <c r="A1821" s="15">
        <v>45043</v>
      </c>
      <c r="B1821" s="16">
        <v>22300686</v>
      </c>
      <c r="C1821" s="16" t="s">
        <v>389</v>
      </c>
      <c r="D1821" s="16" t="str">
        <f>VLOOKUP(C1821,[1]master_data!$A$2:$E$495,2,FALSE)</f>
        <v>CHANNA ANDRAO K</v>
      </c>
      <c r="E1821" s="16">
        <v>6</v>
      </c>
      <c r="F1821" s="16">
        <f>VLOOKUP(C1821,[1]master_data!$A$2:$E$495,3,FALSE)</f>
        <v>20000</v>
      </c>
      <c r="G1821" s="16">
        <f>VLOOKUP(C1821,[1]master_data!$A$2:$E$495,4,FALSE)</f>
        <v>50000</v>
      </c>
      <c r="H1821" s="16">
        <f>E1821*F1821</f>
        <v>120000</v>
      </c>
      <c r="I1821" s="16">
        <f>E1821*G1821</f>
        <v>300000</v>
      </c>
      <c r="J1821" s="16">
        <f>I1821-H1821</f>
        <v>180000</v>
      </c>
      <c r="K1821" s="16" t="str">
        <f>VLOOKUP(C1821,[1]master_data!$A$2:$E$495,5,FALSE)</f>
        <v>Ikan</v>
      </c>
      <c r="L1821" s="1"/>
    </row>
    <row r="1822" spans="1:12" ht="12" customHeight="1" x14ac:dyDescent="0.25">
      <c r="A1822" s="15">
        <v>45043</v>
      </c>
      <c r="B1822" s="16">
        <v>22300687</v>
      </c>
      <c r="C1822" s="16" t="s">
        <v>49</v>
      </c>
      <c r="D1822" s="16" t="str">
        <f>VLOOKUP(C1822,[1]master_data!$A$2:$E$495,2,FALSE)</f>
        <v>TOP FILTER NIKITA K</v>
      </c>
      <c r="E1822" s="16">
        <v>1</v>
      </c>
      <c r="F1822" s="16">
        <f>VLOOKUP(C1822,[1]master_data!$A$2:$E$495,3,FALSE)</f>
        <v>36000</v>
      </c>
      <c r="G1822" s="16">
        <f>VLOOKUP(C1822,[1]master_data!$A$2:$E$495,4,FALSE)</f>
        <v>55000</v>
      </c>
      <c r="H1822" s="16">
        <f>E1822*F1822</f>
        <v>36000</v>
      </c>
      <c r="I1822" s="16">
        <f>E1822*G1822</f>
        <v>55000</v>
      </c>
      <c r="J1822" s="16">
        <f>I1822-H1822</f>
        <v>19000</v>
      </c>
      <c r="K1822" s="16" t="str">
        <f>VLOOKUP(C1822,[1]master_data!$A$2:$E$495,5,FALSE)</f>
        <v>Aksesoris</v>
      </c>
      <c r="L1822" s="1"/>
    </row>
    <row r="1823" spans="1:12" ht="12" customHeight="1" x14ac:dyDescent="0.25">
      <c r="A1823" s="15">
        <v>45042</v>
      </c>
      <c r="B1823" s="16">
        <v>22300676</v>
      </c>
      <c r="C1823" s="16" t="s">
        <v>10</v>
      </c>
      <c r="D1823" s="16" t="str">
        <f>VLOOKUP(C1823,[1]master_data!$A$2:$E$495,2,FALSE)</f>
        <v>MESIN YANG 2600</v>
      </c>
      <c r="E1823" s="16">
        <v>2</v>
      </c>
      <c r="F1823" s="16">
        <f>VLOOKUP(C1823,[1]master_data!$A$2:$E$495,3,FALSE)</f>
        <v>82000</v>
      </c>
      <c r="G1823" s="16">
        <f>VLOOKUP(C1823,[1]master_data!$A$2:$E$495,4,FALSE)</f>
        <v>115000</v>
      </c>
      <c r="H1823" s="16">
        <f>E1823*F1823</f>
        <v>164000</v>
      </c>
      <c r="I1823" s="16">
        <f>E1823*G1823</f>
        <v>230000</v>
      </c>
      <c r="J1823" s="16">
        <f>I1823-H1823</f>
        <v>66000</v>
      </c>
      <c r="K1823" s="16" t="str">
        <f>VLOOKUP(C1823,[1]master_data!$A$2:$E$495,5,FALSE)</f>
        <v>Aksesoris</v>
      </c>
      <c r="L1823" s="1"/>
    </row>
    <row r="1824" spans="1:12" ht="12" customHeight="1" x14ac:dyDescent="0.25">
      <c r="A1824" s="15">
        <v>45042</v>
      </c>
      <c r="B1824" s="16">
        <v>22300677</v>
      </c>
      <c r="C1824" s="16" t="s">
        <v>438</v>
      </c>
      <c r="D1824" s="16" t="str">
        <f>VLOOKUP(C1824,[1]master_data!$A$2:$E$495,2,FALSE)</f>
        <v>OSCAR</v>
      </c>
      <c r="E1824" s="16">
        <v>2</v>
      </c>
      <c r="F1824" s="16">
        <f>VLOOKUP(C1824,[1]master_data!$A$2:$E$495,3,FALSE)</f>
        <v>25000</v>
      </c>
      <c r="G1824" s="16">
        <f>VLOOKUP(C1824,[1]master_data!$A$2:$E$495,4,FALSE)</f>
        <v>50000</v>
      </c>
      <c r="H1824" s="16">
        <f>E1824*F1824</f>
        <v>50000</v>
      </c>
      <c r="I1824" s="16">
        <f>E1824*G1824</f>
        <v>100000</v>
      </c>
      <c r="J1824" s="16">
        <f>I1824-H1824</f>
        <v>50000</v>
      </c>
      <c r="K1824" s="16" t="str">
        <f>VLOOKUP(C1824,[1]master_data!$A$2:$E$495,5,FALSE)</f>
        <v>Ikan</v>
      </c>
      <c r="L1824" s="1"/>
    </row>
    <row r="1825" spans="1:12" ht="12" customHeight="1" x14ac:dyDescent="0.25">
      <c r="A1825" s="15">
        <v>45042</v>
      </c>
      <c r="B1825" s="16">
        <v>22300678</v>
      </c>
      <c r="C1825" s="16" t="s">
        <v>449</v>
      </c>
      <c r="D1825" s="16" t="str">
        <f>VLOOKUP(C1825,[1]master_data!$A$2:$E$495,2,FALSE)</f>
        <v>SUMATRA GOLD FISH</v>
      </c>
      <c r="E1825" s="16">
        <v>20</v>
      </c>
      <c r="F1825" s="16">
        <f>VLOOKUP(C1825,[1]master_data!$A$2:$E$495,3,FALSE)</f>
        <v>2500</v>
      </c>
      <c r="G1825" s="16">
        <f>VLOOKUP(C1825,[1]master_data!$A$2:$E$495,4,FALSE)</f>
        <v>4000</v>
      </c>
      <c r="H1825" s="16">
        <f>E1825*F1825</f>
        <v>50000</v>
      </c>
      <c r="I1825" s="16">
        <f>E1825*G1825</f>
        <v>80000</v>
      </c>
      <c r="J1825" s="16">
        <f>I1825-H1825</f>
        <v>30000</v>
      </c>
      <c r="K1825" s="16" t="str">
        <f>VLOOKUP(C1825,[1]master_data!$A$2:$E$495,5,FALSE)</f>
        <v>Ikan</v>
      </c>
      <c r="L1825" s="1"/>
    </row>
    <row r="1826" spans="1:12" ht="12" customHeight="1" x14ac:dyDescent="0.25">
      <c r="A1826" s="15">
        <v>45042</v>
      </c>
      <c r="B1826" s="16">
        <v>22300679</v>
      </c>
      <c r="C1826" s="16" t="s">
        <v>454</v>
      </c>
      <c r="D1826" s="16" t="str">
        <f>VLOOKUP(C1826,[1]master_data!$A$2:$E$495,2,FALSE)</f>
        <v>TOMAN</v>
      </c>
      <c r="E1826" s="16">
        <v>5</v>
      </c>
      <c r="F1826" s="16">
        <f>VLOOKUP(C1826,[1]master_data!$A$2:$E$495,3,FALSE)</f>
        <v>10000</v>
      </c>
      <c r="G1826" s="16">
        <f>VLOOKUP(C1826,[1]master_data!$A$2:$E$495,4,FALSE)</f>
        <v>25000</v>
      </c>
      <c r="H1826" s="16">
        <f>E1826*F1826</f>
        <v>50000</v>
      </c>
      <c r="I1826" s="16">
        <f>E1826*G1826</f>
        <v>125000</v>
      </c>
      <c r="J1826" s="16">
        <f>I1826-H1826</f>
        <v>75000</v>
      </c>
      <c r="K1826" s="16" t="str">
        <f>VLOOKUP(C1826,[1]master_data!$A$2:$E$495,5,FALSE)</f>
        <v>Ikan</v>
      </c>
      <c r="L1826" s="1"/>
    </row>
    <row r="1827" spans="1:12" ht="12" customHeight="1" x14ac:dyDescent="0.25">
      <c r="A1827" s="15">
        <v>45042</v>
      </c>
      <c r="B1827" s="16">
        <v>22300680</v>
      </c>
      <c r="C1827" s="16" t="s">
        <v>371</v>
      </c>
      <c r="D1827" s="16" t="str">
        <f>VLOOKUP(C1827,[1]master_data!$A$2:$E$495,2,FALSE)</f>
        <v>SOLITER C1</v>
      </c>
      <c r="E1827" s="16">
        <v>2</v>
      </c>
      <c r="F1827" s="16">
        <f>VLOOKUP(C1827,[1]master_data!$A$2:$E$495,3,FALSE)</f>
        <v>55000</v>
      </c>
      <c r="G1827" s="16">
        <f>VLOOKUP(C1827,[1]master_data!$A$2:$E$495,4,FALSE)</f>
        <v>75000</v>
      </c>
      <c r="H1827" s="16">
        <f>E1827*F1827</f>
        <v>110000</v>
      </c>
      <c r="I1827" s="16">
        <f>E1827*G1827</f>
        <v>150000</v>
      </c>
      <c r="J1827" s="16">
        <f>I1827-H1827</f>
        <v>40000</v>
      </c>
      <c r="K1827" s="16" t="str">
        <f>VLOOKUP(C1827,[1]master_data!$A$2:$E$495,5,FALSE)</f>
        <v>Aksesoris</v>
      </c>
      <c r="L1827" s="1"/>
    </row>
    <row r="1828" spans="1:12" ht="12" customHeight="1" x14ac:dyDescent="0.25">
      <c r="A1828" s="15">
        <v>45042</v>
      </c>
      <c r="B1828" s="16">
        <v>22300681</v>
      </c>
      <c r="C1828" s="16" t="s">
        <v>415</v>
      </c>
      <c r="D1828" s="16" t="str">
        <f>VLOOKUP(C1828,[1]master_data!$A$2:$E$495,2,FALSE)</f>
        <v>KOI T</v>
      </c>
      <c r="E1828" s="16">
        <v>1</v>
      </c>
      <c r="F1828" s="16">
        <f>VLOOKUP(C1828,[1]master_data!$A$2:$E$495,3,FALSE)</f>
        <v>7000</v>
      </c>
      <c r="G1828" s="16">
        <f>VLOOKUP(C1828,[1]master_data!$A$2:$E$495,4,FALSE)</f>
        <v>20000</v>
      </c>
      <c r="H1828" s="16">
        <f>E1828*F1828</f>
        <v>7000</v>
      </c>
      <c r="I1828" s="16">
        <f>E1828*G1828</f>
        <v>20000</v>
      </c>
      <c r="J1828" s="16">
        <f>I1828-H1828</f>
        <v>13000</v>
      </c>
      <c r="K1828" s="16" t="str">
        <f>VLOOKUP(C1828,[1]master_data!$A$2:$E$495,5,FALSE)</f>
        <v>Ikan</v>
      </c>
      <c r="L1828" s="1"/>
    </row>
    <row r="1829" spans="1:12" ht="12" customHeight="1" x14ac:dyDescent="0.25">
      <c r="A1829" s="15">
        <v>45041</v>
      </c>
      <c r="B1829" s="16">
        <v>22300669</v>
      </c>
      <c r="C1829" s="16" t="s">
        <v>448</v>
      </c>
      <c r="D1829" s="16" t="str">
        <f>VLOOKUP(C1829,[1]master_data!$A$2:$E$495,2,FALSE)</f>
        <v>SUMATRA BIASA</v>
      </c>
      <c r="E1829" s="16">
        <v>30</v>
      </c>
      <c r="F1829" s="16">
        <f>VLOOKUP(C1829,[1]master_data!$A$2:$E$495,3,FALSE)</f>
        <v>800</v>
      </c>
      <c r="G1829" s="16">
        <f>VLOOKUP(C1829,[1]master_data!$A$2:$E$495,4,FALSE)</f>
        <v>2000</v>
      </c>
      <c r="H1829" s="16">
        <f>E1829*F1829</f>
        <v>24000</v>
      </c>
      <c r="I1829" s="16">
        <f>E1829*G1829</f>
        <v>60000</v>
      </c>
      <c r="J1829" s="16">
        <f>I1829-H1829</f>
        <v>36000</v>
      </c>
      <c r="K1829" s="16" t="str">
        <f>VLOOKUP(C1829,[1]master_data!$A$2:$E$495,5,FALSE)</f>
        <v>Ikan</v>
      </c>
      <c r="L1829" s="1"/>
    </row>
    <row r="1830" spans="1:12" ht="12" customHeight="1" x14ac:dyDescent="0.25">
      <c r="A1830" s="15">
        <v>45041</v>
      </c>
      <c r="B1830" s="16">
        <v>22300670</v>
      </c>
      <c r="C1830" s="16" t="s">
        <v>406</v>
      </c>
      <c r="D1830" s="16" t="str">
        <f>VLOOKUP(C1830,[1]master_data!$A$2:$E$495,2,FALSE)</f>
        <v>CATFISH</v>
      </c>
      <c r="E1830" s="16">
        <v>5</v>
      </c>
      <c r="F1830" s="16">
        <f>VLOOKUP(C1830,[1]master_data!$A$2:$E$495,3,FALSE)</f>
        <v>20000</v>
      </c>
      <c r="G1830" s="16">
        <f>VLOOKUP(C1830,[1]master_data!$A$2:$E$495,4,FALSE)</f>
        <v>50000</v>
      </c>
      <c r="H1830" s="16">
        <f>E1830*F1830</f>
        <v>100000</v>
      </c>
      <c r="I1830" s="16">
        <f>E1830*G1830</f>
        <v>250000</v>
      </c>
      <c r="J1830" s="16">
        <f>I1830-H1830</f>
        <v>150000</v>
      </c>
      <c r="K1830" s="16" t="str">
        <f>VLOOKUP(C1830,[1]master_data!$A$2:$E$495,5,FALSE)</f>
        <v>Ikan</v>
      </c>
      <c r="L1830" s="1"/>
    </row>
    <row r="1831" spans="1:12" ht="12" customHeight="1" x14ac:dyDescent="0.25">
      <c r="A1831" s="15">
        <v>45041</v>
      </c>
      <c r="B1831" s="16">
        <v>22300671</v>
      </c>
      <c r="C1831" s="16" t="s">
        <v>396</v>
      </c>
      <c r="D1831" s="16" t="str">
        <f>VLOOKUP(C1831,[1]master_data!$A$2:$E$495,2,FALSE)</f>
        <v>BIPOLAR</v>
      </c>
      <c r="E1831" s="16">
        <v>15</v>
      </c>
      <c r="F1831" s="16">
        <f>VLOOKUP(C1831,[1]master_data!$A$2:$E$495,3,FALSE)</f>
        <v>1000</v>
      </c>
      <c r="G1831" s="16">
        <f>VLOOKUP(C1831,[1]master_data!$A$2:$E$495,4,FALSE)</f>
        <v>2500</v>
      </c>
      <c r="H1831" s="16">
        <f>E1831*F1831</f>
        <v>15000</v>
      </c>
      <c r="I1831" s="16">
        <f>E1831*G1831</f>
        <v>37500</v>
      </c>
      <c r="J1831" s="16">
        <f>I1831-H1831</f>
        <v>22500</v>
      </c>
      <c r="K1831" s="16" t="str">
        <f>VLOOKUP(C1831,[1]master_data!$A$2:$E$495,5,FALSE)</f>
        <v>Ikan</v>
      </c>
      <c r="L1831" s="1"/>
    </row>
    <row r="1832" spans="1:12" ht="12" customHeight="1" x14ac:dyDescent="0.25">
      <c r="A1832" s="15">
        <v>45041</v>
      </c>
      <c r="B1832" s="16">
        <v>22300672</v>
      </c>
      <c r="C1832" s="16" t="s">
        <v>414</v>
      </c>
      <c r="D1832" s="16" t="str">
        <f>VLOOKUP(C1832,[1]master_data!$A$2:$E$495,2,FALSE)</f>
        <v>KOI K</v>
      </c>
      <c r="E1832" s="16">
        <v>5</v>
      </c>
      <c r="F1832" s="16">
        <f>VLOOKUP(C1832,[1]master_data!$A$2:$E$495,3,FALSE)</f>
        <v>2500</v>
      </c>
      <c r="G1832" s="16">
        <f>VLOOKUP(C1832,[1]master_data!$A$2:$E$495,4,FALSE)</f>
        <v>10000</v>
      </c>
      <c r="H1832" s="16">
        <f>E1832*F1832</f>
        <v>12500</v>
      </c>
      <c r="I1832" s="16">
        <f>E1832*G1832</f>
        <v>50000</v>
      </c>
      <c r="J1832" s="16">
        <f>I1832-H1832</f>
        <v>37500</v>
      </c>
      <c r="K1832" s="16" t="str">
        <f>VLOOKUP(C1832,[1]master_data!$A$2:$E$495,5,FALSE)</f>
        <v>Ikan</v>
      </c>
      <c r="L1832" s="1"/>
    </row>
    <row r="1833" spans="1:12" ht="12" customHeight="1" x14ac:dyDescent="0.25">
      <c r="A1833" s="15">
        <v>45041</v>
      </c>
      <c r="B1833" s="16">
        <v>22300673</v>
      </c>
      <c r="C1833" s="16" t="s">
        <v>450</v>
      </c>
      <c r="D1833" s="16" t="str">
        <f>VLOOKUP(C1833,[1]master_data!$A$2:$E$495,2,FALSE)</f>
        <v>SNOW WHITE</v>
      </c>
      <c r="E1833" s="16">
        <v>2</v>
      </c>
      <c r="F1833" s="16">
        <f>VLOOKUP(C1833,[1]master_data!$A$2:$E$495,3,FALSE)</f>
        <v>1500</v>
      </c>
      <c r="G1833" s="16">
        <f>VLOOKUP(C1833,[1]master_data!$A$2:$E$495,4,FALSE)</f>
        <v>3000</v>
      </c>
      <c r="H1833" s="16">
        <f>E1833*F1833</f>
        <v>3000</v>
      </c>
      <c r="I1833" s="16">
        <f>E1833*G1833</f>
        <v>6000</v>
      </c>
      <c r="J1833" s="16">
        <f>I1833-H1833</f>
        <v>3000</v>
      </c>
      <c r="K1833" s="16" t="str">
        <f>VLOOKUP(C1833,[1]master_data!$A$2:$E$495,5,FALSE)</f>
        <v>Ikan</v>
      </c>
      <c r="L1833" s="1"/>
    </row>
    <row r="1834" spans="1:12" ht="12" customHeight="1" x14ac:dyDescent="0.25">
      <c r="A1834" s="15">
        <v>45041</v>
      </c>
      <c r="B1834" s="16">
        <v>22300674</v>
      </c>
      <c r="C1834" s="16" t="s">
        <v>67</v>
      </c>
      <c r="D1834" s="16" t="str">
        <f>VLOOKUP(C1834,[1]master_data!$A$2:$E$495,2,FALSE)</f>
        <v>BIO FOAM A833-933</v>
      </c>
      <c r="E1834" s="16">
        <v>1</v>
      </c>
      <c r="F1834" s="16">
        <f>VLOOKUP(C1834,[1]master_data!$A$2:$E$495,3,FALSE)</f>
        <v>12000</v>
      </c>
      <c r="G1834" s="16">
        <f>VLOOKUP(C1834,[1]master_data!$A$2:$E$495,4,FALSE)</f>
        <v>20000</v>
      </c>
      <c r="H1834" s="16">
        <f>E1834*F1834</f>
        <v>12000</v>
      </c>
      <c r="I1834" s="16">
        <f>E1834*G1834</f>
        <v>20000</v>
      </c>
      <c r="J1834" s="16">
        <f>I1834-H1834</f>
        <v>8000</v>
      </c>
      <c r="K1834" s="16" t="str">
        <f>VLOOKUP(C1834,[1]master_data!$A$2:$E$495,5,FALSE)</f>
        <v>Aksesoris</v>
      </c>
      <c r="L1834" s="1"/>
    </row>
    <row r="1835" spans="1:12" ht="12" customHeight="1" x14ac:dyDescent="0.25">
      <c r="A1835" s="15">
        <v>45041</v>
      </c>
      <c r="B1835" s="16">
        <v>22300675</v>
      </c>
      <c r="C1835" s="16" t="s">
        <v>415</v>
      </c>
      <c r="D1835" s="16" t="str">
        <f>VLOOKUP(C1835,[1]master_data!$A$2:$E$495,2,FALSE)</f>
        <v>KOI T</v>
      </c>
      <c r="E1835" s="16">
        <v>10</v>
      </c>
      <c r="F1835" s="16">
        <f>VLOOKUP(C1835,[1]master_data!$A$2:$E$495,3,FALSE)</f>
        <v>7000</v>
      </c>
      <c r="G1835" s="16">
        <f>VLOOKUP(C1835,[1]master_data!$A$2:$E$495,4,FALSE)</f>
        <v>20000</v>
      </c>
      <c r="H1835" s="16">
        <f>E1835*F1835</f>
        <v>70000</v>
      </c>
      <c r="I1835" s="16">
        <f>E1835*G1835</f>
        <v>200000</v>
      </c>
      <c r="J1835" s="16">
        <f>I1835-H1835</f>
        <v>130000</v>
      </c>
      <c r="K1835" s="16" t="str">
        <f>VLOOKUP(C1835,[1]master_data!$A$2:$E$495,5,FALSE)</f>
        <v>Ikan</v>
      </c>
      <c r="L1835" s="1"/>
    </row>
    <row r="1836" spans="1:12" ht="12" customHeight="1" x14ac:dyDescent="0.25">
      <c r="A1836" s="15">
        <v>45040</v>
      </c>
      <c r="B1836" s="16">
        <v>22300663</v>
      </c>
      <c r="C1836" s="16" t="s">
        <v>196</v>
      </c>
      <c r="D1836" s="16" t="str">
        <f>VLOOKUP(C1836,[1]master_data!$A$2:$E$495,2,FALSE)</f>
        <v>LED KANDILA PRO RED ECO 80 CM</v>
      </c>
      <c r="E1836" s="16">
        <v>5</v>
      </c>
      <c r="F1836" s="16">
        <f>VLOOKUP(C1836,[1]master_data!$A$2:$E$495,3,FALSE)</f>
        <v>71000</v>
      </c>
      <c r="G1836" s="16">
        <f>VLOOKUP(C1836,[1]master_data!$A$2:$E$495,4,FALSE)</f>
        <v>95000</v>
      </c>
      <c r="H1836" s="16">
        <f>E1836*F1836</f>
        <v>355000</v>
      </c>
      <c r="I1836" s="16">
        <f>E1836*G1836</f>
        <v>475000</v>
      </c>
      <c r="J1836" s="16">
        <f>I1836-H1836</f>
        <v>120000</v>
      </c>
      <c r="K1836" s="16" t="str">
        <f>VLOOKUP(C1836,[1]master_data!$A$2:$E$495,5,FALSE)</f>
        <v>Aksesoris</v>
      </c>
      <c r="L1836" s="1"/>
    </row>
    <row r="1837" spans="1:12" ht="12" customHeight="1" x14ac:dyDescent="0.25">
      <c r="A1837" s="15">
        <v>45040</v>
      </c>
      <c r="B1837" s="16">
        <v>22300664</v>
      </c>
      <c r="C1837" s="16" t="s">
        <v>434</v>
      </c>
      <c r="D1837" s="16" t="str">
        <f>VLOOKUP(C1837,[1]master_data!$A$2:$E$495,2,FALSE)</f>
        <v>NIASA</v>
      </c>
      <c r="E1837" s="16">
        <v>15</v>
      </c>
      <c r="F1837" s="16">
        <f>VLOOKUP(C1837,[1]master_data!$A$2:$E$495,3,FALSE)</f>
        <v>900</v>
      </c>
      <c r="G1837" s="16">
        <f>VLOOKUP(C1837,[1]master_data!$A$2:$E$495,4,FALSE)</f>
        <v>2000</v>
      </c>
      <c r="H1837" s="16">
        <f>E1837*F1837</f>
        <v>13500</v>
      </c>
      <c r="I1837" s="16">
        <f>E1837*G1837</f>
        <v>30000</v>
      </c>
      <c r="J1837" s="16">
        <f>I1837-H1837</f>
        <v>16500</v>
      </c>
      <c r="K1837" s="16" t="str">
        <f>VLOOKUP(C1837,[1]master_data!$A$2:$E$495,5,FALSE)</f>
        <v>Ikan</v>
      </c>
      <c r="L1837" s="1"/>
    </row>
    <row r="1838" spans="1:12" ht="12" customHeight="1" x14ac:dyDescent="0.25">
      <c r="A1838" s="15">
        <v>45040</v>
      </c>
      <c r="B1838" s="16">
        <v>22300665</v>
      </c>
      <c r="C1838" s="16" t="s">
        <v>119</v>
      </c>
      <c r="D1838" s="16" t="str">
        <f>VLOOKUP(C1838,[1]master_data!$A$2:$E$495,2,FALSE)</f>
        <v>LED ROSTON 30 CM</v>
      </c>
      <c r="E1838" s="16">
        <v>1</v>
      </c>
      <c r="F1838" s="16">
        <f>VLOOKUP(C1838,[1]master_data!$A$2:$E$495,3,FALSE)</f>
        <v>21000</v>
      </c>
      <c r="G1838" s="16">
        <f>VLOOKUP(C1838,[1]master_data!$A$2:$E$495,4,FALSE)</f>
        <v>35000</v>
      </c>
      <c r="H1838" s="16">
        <f>E1838*F1838</f>
        <v>21000</v>
      </c>
      <c r="I1838" s="16">
        <f>E1838*G1838</f>
        <v>35000</v>
      </c>
      <c r="J1838" s="16">
        <f>I1838-H1838</f>
        <v>14000</v>
      </c>
      <c r="K1838" s="16" t="str">
        <f>VLOOKUP(C1838,[1]master_data!$A$2:$E$495,5,FALSE)</f>
        <v>Aksesoris</v>
      </c>
      <c r="L1838" s="1"/>
    </row>
    <row r="1839" spans="1:12" ht="12" customHeight="1" x14ac:dyDescent="0.25">
      <c r="A1839" s="15">
        <v>45040</v>
      </c>
      <c r="B1839" s="16">
        <v>22300666</v>
      </c>
      <c r="C1839" s="16" t="s">
        <v>445</v>
      </c>
      <c r="D1839" s="16" t="str">
        <f>VLOOKUP(C1839,[1]master_data!$A$2:$E$495,2,FALSE)</f>
        <v>REDFIN ALBINO</v>
      </c>
      <c r="E1839" s="16">
        <v>20</v>
      </c>
      <c r="F1839" s="16">
        <f>VLOOKUP(C1839,[1]master_data!$A$2:$E$495,3,FALSE)</f>
        <v>1500</v>
      </c>
      <c r="G1839" s="16">
        <f>VLOOKUP(C1839,[1]master_data!$A$2:$E$495,4,FALSE)</f>
        <v>4000</v>
      </c>
      <c r="H1839" s="16">
        <f>E1839*F1839</f>
        <v>30000</v>
      </c>
      <c r="I1839" s="16">
        <f>E1839*G1839</f>
        <v>80000</v>
      </c>
      <c r="J1839" s="16">
        <f>I1839-H1839</f>
        <v>50000</v>
      </c>
      <c r="K1839" s="16" t="str">
        <f>VLOOKUP(C1839,[1]master_data!$A$2:$E$495,5,FALSE)</f>
        <v>Ikan</v>
      </c>
      <c r="L1839" s="1"/>
    </row>
    <row r="1840" spans="1:12" ht="12" customHeight="1" x14ac:dyDescent="0.25">
      <c r="A1840" s="15">
        <v>45040</v>
      </c>
      <c r="B1840" s="16">
        <v>22300667</v>
      </c>
      <c r="C1840" s="16" t="s">
        <v>403</v>
      </c>
      <c r="D1840" s="16" t="str">
        <f>VLOOKUP(C1840,[1]master_data!$A$2:$E$495,2,FALSE)</f>
        <v>KOMET BOKIM</v>
      </c>
      <c r="E1840" s="16">
        <v>25</v>
      </c>
      <c r="F1840" s="16">
        <f>VLOOKUP(C1840,[1]master_data!$A$2:$E$495,3,FALSE)</f>
        <v>1500</v>
      </c>
      <c r="G1840" s="16">
        <f>VLOOKUP(C1840,[1]master_data!$A$2:$E$495,4,FALSE)</f>
        <v>5000</v>
      </c>
      <c r="H1840" s="16">
        <f>E1840*F1840</f>
        <v>37500</v>
      </c>
      <c r="I1840" s="16">
        <f>E1840*G1840</f>
        <v>125000</v>
      </c>
      <c r="J1840" s="16">
        <f>I1840-H1840</f>
        <v>87500</v>
      </c>
      <c r="K1840" s="16" t="str">
        <f>VLOOKUP(C1840,[1]master_data!$A$2:$E$495,5,FALSE)</f>
        <v>Ikan</v>
      </c>
      <c r="L1840" s="1"/>
    </row>
    <row r="1841" spans="1:12" ht="12" customHeight="1" x14ac:dyDescent="0.25">
      <c r="A1841" s="15">
        <v>45040</v>
      </c>
      <c r="B1841" s="16">
        <v>22300668</v>
      </c>
      <c r="C1841" s="16" t="s">
        <v>409</v>
      </c>
      <c r="D1841" s="16" t="str">
        <f>VLOOKUP(C1841,[1]master_data!$A$2:$E$495,2,FALSE)</f>
        <v>GOLDEN BLACK</v>
      </c>
      <c r="E1841" s="16">
        <v>1</v>
      </c>
      <c r="F1841" s="16">
        <f>VLOOKUP(C1841,[1]master_data!$A$2:$E$495,3,FALSE)</f>
        <v>800</v>
      </c>
      <c r="G1841" s="16">
        <f>VLOOKUP(C1841,[1]master_data!$A$2:$E$495,4,FALSE)</f>
        <v>2000</v>
      </c>
      <c r="H1841" s="16">
        <f>E1841*F1841</f>
        <v>800</v>
      </c>
      <c r="I1841" s="16">
        <f>E1841*G1841</f>
        <v>2000</v>
      </c>
      <c r="J1841" s="16">
        <f>I1841-H1841</f>
        <v>1200</v>
      </c>
      <c r="K1841" s="16" t="str">
        <f>VLOOKUP(C1841,[1]master_data!$A$2:$E$495,5,FALSE)</f>
        <v>Ikan</v>
      </c>
      <c r="L1841" s="1"/>
    </row>
    <row r="1842" spans="1:12" ht="12" customHeight="1" x14ac:dyDescent="0.25">
      <c r="A1842" s="15">
        <v>45039</v>
      </c>
      <c r="B1842" s="16">
        <v>22300655</v>
      </c>
      <c r="C1842" s="16" t="s">
        <v>456</v>
      </c>
      <c r="D1842" s="16" t="str">
        <f>VLOOKUP(C1842,[1]master_data!$A$2:$E$495,2,FALSE)</f>
        <v>ZEBRA HIJAU</v>
      </c>
      <c r="E1842" s="16">
        <v>10</v>
      </c>
      <c r="F1842" s="16">
        <f>VLOOKUP(C1842,[1]master_data!$A$2:$E$495,3,FALSE)</f>
        <v>800</v>
      </c>
      <c r="G1842" s="16">
        <f>VLOOKUP(C1842,[1]master_data!$A$2:$E$495,4,FALSE)</f>
        <v>2000</v>
      </c>
      <c r="H1842" s="16">
        <f>E1842*F1842</f>
        <v>8000</v>
      </c>
      <c r="I1842" s="16">
        <f>E1842*G1842</f>
        <v>20000</v>
      </c>
      <c r="J1842" s="16">
        <f>I1842-H1842</f>
        <v>12000</v>
      </c>
      <c r="K1842" s="16" t="str">
        <f>VLOOKUP(C1842,[1]master_data!$A$2:$E$495,5,FALSE)</f>
        <v>Ikan</v>
      </c>
      <c r="L1842" s="1"/>
    </row>
    <row r="1843" spans="1:12" ht="12" customHeight="1" x14ac:dyDescent="0.25">
      <c r="A1843" s="15">
        <v>45039</v>
      </c>
      <c r="B1843" s="16">
        <v>22300656</v>
      </c>
      <c r="C1843" s="16" t="s">
        <v>455</v>
      </c>
      <c r="D1843" s="16" t="str">
        <f>VLOOKUP(C1843,[1]master_data!$A$2:$E$495,2,FALSE)</f>
        <v>ZEBRA PINK</v>
      </c>
      <c r="E1843" s="16">
        <v>50</v>
      </c>
      <c r="F1843" s="16">
        <f>VLOOKUP(C1843,[1]master_data!$A$2:$E$495,3,FALSE)</f>
        <v>800</v>
      </c>
      <c r="G1843" s="16">
        <f>VLOOKUP(C1843,[1]master_data!$A$2:$E$495,4,FALSE)</f>
        <v>2000</v>
      </c>
      <c r="H1843" s="16">
        <f>E1843*F1843</f>
        <v>40000</v>
      </c>
      <c r="I1843" s="16">
        <f>E1843*G1843</f>
        <v>100000</v>
      </c>
      <c r="J1843" s="16">
        <f>I1843-H1843</f>
        <v>60000</v>
      </c>
      <c r="K1843" s="16" t="str">
        <f>VLOOKUP(C1843,[1]master_data!$A$2:$E$495,5,FALSE)</f>
        <v>Ikan</v>
      </c>
      <c r="L1843" s="1"/>
    </row>
    <row r="1844" spans="1:12" ht="12" customHeight="1" x14ac:dyDescent="0.25">
      <c r="A1844" s="15">
        <v>45039</v>
      </c>
      <c r="B1844" s="16">
        <v>22300657</v>
      </c>
      <c r="C1844" s="16" t="s">
        <v>409</v>
      </c>
      <c r="D1844" s="16" t="str">
        <f>VLOOKUP(C1844,[1]master_data!$A$2:$E$495,2,FALSE)</f>
        <v>GOLDEN BLACK</v>
      </c>
      <c r="E1844" s="16">
        <v>20</v>
      </c>
      <c r="F1844" s="16">
        <f>VLOOKUP(C1844,[1]master_data!$A$2:$E$495,3,FALSE)</f>
        <v>800</v>
      </c>
      <c r="G1844" s="16">
        <f>VLOOKUP(C1844,[1]master_data!$A$2:$E$495,4,FALSE)</f>
        <v>2000</v>
      </c>
      <c r="H1844" s="16">
        <f>E1844*F1844</f>
        <v>16000</v>
      </c>
      <c r="I1844" s="16">
        <f>E1844*G1844</f>
        <v>40000</v>
      </c>
      <c r="J1844" s="16">
        <f>I1844-H1844</f>
        <v>24000</v>
      </c>
      <c r="K1844" s="16" t="str">
        <f>VLOOKUP(C1844,[1]master_data!$A$2:$E$495,5,FALSE)</f>
        <v>Ikan</v>
      </c>
      <c r="L1844" s="1"/>
    </row>
    <row r="1845" spans="1:12" ht="12" customHeight="1" x14ac:dyDescent="0.25">
      <c r="A1845" s="15">
        <v>45039</v>
      </c>
      <c r="B1845" s="16">
        <v>22300658</v>
      </c>
      <c r="C1845" s="16" t="s">
        <v>442</v>
      </c>
      <c r="D1845" s="16" t="str">
        <f>VLOOKUP(C1845,[1]master_data!$A$2:$E$495,2,FALSE)</f>
        <v>PARROT</v>
      </c>
      <c r="E1845" s="16">
        <v>2</v>
      </c>
      <c r="F1845" s="16">
        <f>VLOOKUP(C1845,[1]master_data!$A$2:$E$495,3,FALSE)</f>
        <v>27000</v>
      </c>
      <c r="G1845" s="16">
        <f>VLOOKUP(C1845,[1]master_data!$A$2:$E$495,4,FALSE)</f>
        <v>60000</v>
      </c>
      <c r="H1845" s="16">
        <f>E1845*F1845</f>
        <v>54000</v>
      </c>
      <c r="I1845" s="16">
        <f>E1845*G1845</f>
        <v>120000</v>
      </c>
      <c r="J1845" s="16">
        <f>I1845-H1845</f>
        <v>66000</v>
      </c>
      <c r="K1845" s="16" t="str">
        <f>VLOOKUP(C1845,[1]master_data!$A$2:$E$495,5,FALSE)</f>
        <v>Ikan</v>
      </c>
      <c r="L1845" s="1"/>
    </row>
    <row r="1846" spans="1:12" ht="12" customHeight="1" x14ac:dyDescent="0.25">
      <c r="A1846" s="15">
        <v>45039</v>
      </c>
      <c r="B1846" s="16">
        <v>22300659</v>
      </c>
      <c r="C1846" s="16" t="s">
        <v>422</v>
      </c>
      <c r="D1846" s="16" t="str">
        <f>VLOOKUP(C1846,[1]master_data!$A$2:$E$495,2,FALSE)</f>
        <v>KOI SLAYER B</v>
      </c>
      <c r="E1846" s="16">
        <v>5</v>
      </c>
      <c r="F1846" s="16">
        <f>VLOOKUP(C1846,[1]master_data!$A$2:$E$495,3,FALSE)</f>
        <v>8000</v>
      </c>
      <c r="G1846" s="16">
        <f>VLOOKUP(C1846,[1]master_data!$A$2:$E$495,4,FALSE)</f>
        <v>20000</v>
      </c>
      <c r="H1846" s="16">
        <f>E1846*F1846</f>
        <v>40000</v>
      </c>
      <c r="I1846" s="16">
        <f>E1846*G1846</f>
        <v>100000</v>
      </c>
      <c r="J1846" s="16">
        <f>I1846-H1846</f>
        <v>60000</v>
      </c>
      <c r="K1846" s="16" t="str">
        <f>VLOOKUP(C1846,[1]master_data!$A$2:$E$495,5,FALSE)</f>
        <v>Ikan</v>
      </c>
      <c r="L1846" s="1"/>
    </row>
    <row r="1847" spans="1:12" ht="12" customHeight="1" x14ac:dyDescent="0.25">
      <c r="A1847" s="15">
        <v>45039</v>
      </c>
      <c r="B1847" s="16">
        <v>22300660</v>
      </c>
      <c r="C1847" s="16" t="s">
        <v>418</v>
      </c>
      <c r="D1847" s="16" t="str">
        <f>VLOOKUP(C1847,[1]master_data!$A$2:$E$495,2,FALSE)</f>
        <v>KAVIAT</v>
      </c>
      <c r="E1847" s="16">
        <v>12</v>
      </c>
      <c r="F1847" s="16">
        <f>VLOOKUP(C1847,[1]master_data!$A$2:$E$495,3,FALSE)</f>
        <v>3500</v>
      </c>
      <c r="G1847" s="16">
        <f>VLOOKUP(C1847,[1]master_data!$A$2:$E$495,4,FALSE)</f>
        <v>8000</v>
      </c>
      <c r="H1847" s="16">
        <f>E1847*F1847</f>
        <v>42000</v>
      </c>
      <c r="I1847" s="16">
        <f>E1847*G1847</f>
        <v>96000</v>
      </c>
      <c r="J1847" s="16">
        <f>I1847-H1847</f>
        <v>54000</v>
      </c>
      <c r="K1847" s="16" t="str">
        <f>VLOOKUP(C1847,[1]master_data!$A$2:$E$495,5,FALSE)</f>
        <v>Ikan</v>
      </c>
      <c r="L1847" s="1"/>
    </row>
    <row r="1848" spans="1:12" ht="12" customHeight="1" x14ac:dyDescent="0.25">
      <c r="A1848" s="15">
        <v>45039</v>
      </c>
      <c r="B1848" s="16">
        <v>22300661</v>
      </c>
      <c r="C1848" s="16" t="s">
        <v>428</v>
      </c>
      <c r="D1848" s="16" t="str">
        <f>VLOOKUP(C1848,[1]master_data!$A$2:$E$495,2,FALSE)</f>
        <v>MANFISH K</v>
      </c>
      <c r="E1848" s="16">
        <v>1</v>
      </c>
      <c r="F1848" s="16">
        <f>VLOOKUP(C1848,[1]master_data!$A$2:$E$495,3,FALSE)</f>
        <v>2000</v>
      </c>
      <c r="G1848" s="16">
        <f>VLOOKUP(C1848,[1]master_data!$A$2:$E$495,4,FALSE)</f>
        <v>5000</v>
      </c>
      <c r="H1848" s="16">
        <f>E1848*F1848</f>
        <v>2000</v>
      </c>
      <c r="I1848" s="16">
        <f>E1848*G1848</f>
        <v>5000</v>
      </c>
      <c r="J1848" s="16">
        <f>I1848-H1848</f>
        <v>3000</v>
      </c>
      <c r="K1848" s="16" t="str">
        <f>VLOOKUP(C1848,[1]master_data!$A$2:$E$495,5,FALSE)</f>
        <v>Ikan</v>
      </c>
      <c r="L1848" s="1"/>
    </row>
    <row r="1849" spans="1:12" ht="12" customHeight="1" x14ac:dyDescent="0.25">
      <c r="A1849" s="15">
        <v>45039</v>
      </c>
      <c r="B1849" s="16">
        <v>22300662</v>
      </c>
      <c r="C1849" s="16" t="s">
        <v>441</v>
      </c>
      <c r="D1849" s="16" t="str">
        <f>VLOOKUP(C1849,[1]master_data!$A$2:$E$495,2,FALSE)</f>
        <v>PALMAS</v>
      </c>
      <c r="E1849" s="16">
        <v>1</v>
      </c>
      <c r="F1849" s="16">
        <f>VLOOKUP(C1849,[1]master_data!$A$2:$E$495,3,FALSE)</f>
        <v>10000</v>
      </c>
      <c r="G1849" s="16">
        <f>VLOOKUP(C1849,[1]master_data!$A$2:$E$495,4,FALSE)</f>
        <v>25000</v>
      </c>
      <c r="H1849" s="16">
        <f>E1849*F1849</f>
        <v>10000</v>
      </c>
      <c r="I1849" s="16">
        <f>E1849*G1849</f>
        <v>25000</v>
      </c>
      <c r="J1849" s="16">
        <f>I1849-H1849</f>
        <v>15000</v>
      </c>
      <c r="K1849" s="16" t="str">
        <f>VLOOKUP(C1849,[1]master_data!$A$2:$E$495,5,FALSE)</f>
        <v>Ikan</v>
      </c>
      <c r="L1849" s="1"/>
    </row>
    <row r="1850" spans="1:12" ht="12" customHeight="1" x14ac:dyDescent="0.25">
      <c r="A1850" s="15">
        <v>45038</v>
      </c>
      <c r="B1850" s="16">
        <v>22300649</v>
      </c>
      <c r="C1850" s="16" t="s">
        <v>441</v>
      </c>
      <c r="D1850" s="16" t="str">
        <f>VLOOKUP(C1850,[1]master_data!$A$2:$E$495,2,FALSE)</f>
        <v>PALMAS</v>
      </c>
      <c r="E1850" s="16">
        <v>1</v>
      </c>
      <c r="F1850" s="16">
        <f>VLOOKUP(C1850,[1]master_data!$A$2:$E$495,3,FALSE)</f>
        <v>10000</v>
      </c>
      <c r="G1850" s="16">
        <f>VLOOKUP(C1850,[1]master_data!$A$2:$E$495,4,FALSE)</f>
        <v>25000</v>
      </c>
      <c r="H1850" s="16">
        <f>E1850*F1850</f>
        <v>10000</v>
      </c>
      <c r="I1850" s="16">
        <f>E1850*G1850</f>
        <v>25000</v>
      </c>
      <c r="J1850" s="16">
        <f>I1850-H1850</f>
        <v>15000</v>
      </c>
      <c r="K1850" s="16" t="str">
        <f>VLOOKUP(C1850,[1]master_data!$A$2:$E$495,5,FALSE)</f>
        <v>Ikan</v>
      </c>
      <c r="L1850" s="1"/>
    </row>
    <row r="1851" spans="1:12" ht="12" customHeight="1" x14ac:dyDescent="0.25">
      <c r="A1851" s="15">
        <v>45038</v>
      </c>
      <c r="B1851" s="16">
        <v>22300650</v>
      </c>
      <c r="C1851" s="16" t="s">
        <v>9</v>
      </c>
      <c r="D1851" s="16" t="str">
        <f>VLOOKUP(C1851,[1]master_data!$A$2:$E$495,2,FALSE)</f>
        <v>TOP FILTER YANG 910</v>
      </c>
      <c r="E1851" s="16">
        <v>5</v>
      </c>
      <c r="F1851" s="16">
        <f>VLOOKUP(C1851,[1]master_data!$A$2:$E$495,3,FALSE)</f>
        <v>41000</v>
      </c>
      <c r="G1851" s="16">
        <f>VLOOKUP(C1851,[1]master_data!$A$2:$E$495,4,FALSE)</f>
        <v>65000</v>
      </c>
      <c r="H1851" s="16">
        <f>E1851*F1851</f>
        <v>205000</v>
      </c>
      <c r="I1851" s="16">
        <f>E1851*G1851</f>
        <v>325000</v>
      </c>
      <c r="J1851" s="16">
        <f>I1851-H1851</f>
        <v>120000</v>
      </c>
      <c r="K1851" s="16" t="str">
        <f>VLOOKUP(C1851,[1]master_data!$A$2:$E$495,5,FALSE)</f>
        <v>Aksesoris</v>
      </c>
      <c r="L1851" s="1"/>
    </row>
    <row r="1852" spans="1:12" ht="12" customHeight="1" x14ac:dyDescent="0.25">
      <c r="A1852" s="15">
        <v>45038</v>
      </c>
      <c r="B1852" s="16">
        <v>22300651</v>
      </c>
      <c r="C1852" s="16" t="s">
        <v>445</v>
      </c>
      <c r="D1852" s="16" t="str">
        <f>VLOOKUP(C1852,[1]master_data!$A$2:$E$495,2,FALSE)</f>
        <v>REDFIN ALBINO</v>
      </c>
      <c r="E1852" s="16">
        <v>30</v>
      </c>
      <c r="F1852" s="16">
        <f>VLOOKUP(C1852,[1]master_data!$A$2:$E$495,3,FALSE)</f>
        <v>1500</v>
      </c>
      <c r="G1852" s="16">
        <f>VLOOKUP(C1852,[1]master_data!$A$2:$E$495,4,FALSE)</f>
        <v>4000</v>
      </c>
      <c r="H1852" s="16">
        <f>E1852*F1852</f>
        <v>45000</v>
      </c>
      <c r="I1852" s="16">
        <f>E1852*G1852</f>
        <v>120000</v>
      </c>
      <c r="J1852" s="16">
        <f>I1852-H1852</f>
        <v>75000</v>
      </c>
      <c r="K1852" s="16" t="str">
        <f>VLOOKUP(C1852,[1]master_data!$A$2:$E$495,5,FALSE)</f>
        <v>Ikan</v>
      </c>
      <c r="L1852" s="1"/>
    </row>
    <row r="1853" spans="1:12" ht="12" customHeight="1" x14ac:dyDescent="0.25">
      <c r="A1853" s="15">
        <v>45038</v>
      </c>
      <c r="B1853" s="16">
        <v>22300652</v>
      </c>
      <c r="C1853" s="16" t="s">
        <v>69</v>
      </c>
      <c r="D1853" s="16" t="str">
        <f>VLOOKUP(C1853,[1]master_data!$A$2:$E$495,2,FALSE)</f>
        <v>BIO FOAM L</v>
      </c>
      <c r="E1853" s="16">
        <v>3</v>
      </c>
      <c r="F1853" s="16">
        <f>VLOOKUP(C1853,[1]master_data!$A$2:$E$495,3,FALSE)</f>
        <v>22000</v>
      </c>
      <c r="G1853" s="16">
        <f>VLOOKUP(C1853,[1]master_data!$A$2:$E$495,4,FALSE)</f>
        <v>35000</v>
      </c>
      <c r="H1853" s="16">
        <f>E1853*F1853</f>
        <v>66000</v>
      </c>
      <c r="I1853" s="16">
        <f>E1853*G1853</f>
        <v>105000</v>
      </c>
      <c r="J1853" s="16">
        <f>I1853-H1853</f>
        <v>39000</v>
      </c>
      <c r="K1853" s="16" t="str">
        <f>VLOOKUP(C1853,[1]master_data!$A$2:$E$495,5,FALSE)</f>
        <v>Aksesoris</v>
      </c>
      <c r="L1853" s="1"/>
    </row>
    <row r="1854" spans="1:12" ht="12" customHeight="1" x14ac:dyDescent="0.25">
      <c r="A1854" s="15">
        <v>45038</v>
      </c>
      <c r="B1854" s="16">
        <v>22300653</v>
      </c>
      <c r="C1854" s="16" t="s">
        <v>460</v>
      </c>
      <c r="D1854" s="16" t="str">
        <f>VLOOKUP(C1854,[1]master_data!$A$2:$E$495,2,FALSE)</f>
        <v>SEPAT ALBINO</v>
      </c>
      <c r="E1854" s="16">
        <v>1</v>
      </c>
      <c r="F1854" s="16">
        <f>VLOOKUP(C1854,[1]master_data!$A$2:$E$495,3,FALSE)</f>
        <v>2000</v>
      </c>
      <c r="G1854" s="16">
        <f>VLOOKUP(C1854,[1]master_data!$A$2:$E$495,4,FALSE)</f>
        <v>5000</v>
      </c>
      <c r="H1854" s="16">
        <f>E1854*F1854</f>
        <v>2000</v>
      </c>
      <c r="I1854" s="16">
        <f>E1854*G1854</f>
        <v>5000</v>
      </c>
      <c r="J1854" s="16">
        <f>I1854-H1854</f>
        <v>3000</v>
      </c>
      <c r="K1854" s="16" t="str">
        <f>VLOOKUP(C1854,[1]master_data!$A$2:$E$495,5,FALSE)</f>
        <v>Ikan</v>
      </c>
      <c r="L1854" s="1"/>
    </row>
    <row r="1855" spans="1:12" ht="12" customHeight="1" x14ac:dyDescent="0.25">
      <c r="A1855" s="15">
        <v>45038</v>
      </c>
      <c r="B1855" s="16">
        <v>22300654</v>
      </c>
      <c r="C1855" s="16" t="s">
        <v>437</v>
      </c>
      <c r="D1855" s="16" t="str">
        <f>VLOOKUP(C1855,[1]master_data!$A$2:$E$495,2,FALSE)</f>
        <v>NEON</v>
      </c>
      <c r="E1855" s="16">
        <v>50</v>
      </c>
      <c r="F1855" s="16">
        <f>VLOOKUP(C1855,[1]master_data!$A$2:$E$495,3,FALSE)</f>
        <v>1250</v>
      </c>
      <c r="G1855" s="16">
        <f>VLOOKUP(C1855,[1]master_data!$A$2:$E$495,4,FALSE)</f>
        <v>5000</v>
      </c>
      <c r="H1855" s="16">
        <f>E1855*F1855</f>
        <v>62500</v>
      </c>
      <c r="I1855" s="16">
        <f>E1855*G1855</f>
        <v>250000</v>
      </c>
      <c r="J1855" s="16">
        <f>I1855-H1855</f>
        <v>187500</v>
      </c>
      <c r="K1855" s="16" t="str">
        <f>VLOOKUP(C1855,[1]master_data!$A$2:$E$495,5,FALSE)</f>
        <v>Ikan</v>
      </c>
      <c r="L1855" s="1"/>
    </row>
    <row r="1856" spans="1:12" ht="12" customHeight="1" x14ac:dyDescent="0.25">
      <c r="A1856" s="15">
        <v>45037</v>
      </c>
      <c r="B1856" s="16">
        <v>22300641</v>
      </c>
      <c r="C1856" s="16" t="s">
        <v>458</v>
      </c>
      <c r="D1856" s="16" t="str">
        <f>VLOOKUP(C1856,[1]master_data!$A$2:$E$495,2,FALSE)</f>
        <v>ZEBRA KUNING</v>
      </c>
      <c r="E1856" s="16">
        <v>20</v>
      </c>
      <c r="F1856" s="16">
        <f>VLOOKUP(C1856,[1]master_data!$A$2:$E$495,3,FALSE)</f>
        <v>800</v>
      </c>
      <c r="G1856" s="16">
        <f>VLOOKUP(C1856,[1]master_data!$A$2:$E$495,4,FALSE)</f>
        <v>2000</v>
      </c>
      <c r="H1856" s="16">
        <f>E1856*F1856</f>
        <v>16000</v>
      </c>
      <c r="I1856" s="16">
        <f>E1856*G1856</f>
        <v>40000</v>
      </c>
      <c r="J1856" s="16">
        <f>I1856-H1856</f>
        <v>24000</v>
      </c>
      <c r="K1856" s="16" t="str">
        <f>VLOOKUP(C1856,[1]master_data!$A$2:$E$495,5,FALSE)</f>
        <v>Ikan</v>
      </c>
      <c r="L1856" s="1"/>
    </row>
    <row r="1857" spans="1:12" ht="12" customHeight="1" x14ac:dyDescent="0.25">
      <c r="A1857" s="15">
        <v>45037</v>
      </c>
      <c r="B1857" s="16">
        <v>22300642</v>
      </c>
      <c r="C1857" s="16" t="s">
        <v>185</v>
      </c>
      <c r="D1857" s="16" t="str">
        <f>VLOOKUP(C1857,[1]master_data!$A$2:$E$495,2,FALSE)</f>
        <v>LED RECENT DnN 40 CM</v>
      </c>
      <c r="E1857" s="16">
        <v>1</v>
      </c>
      <c r="F1857" s="16">
        <f>VLOOKUP(C1857,[1]master_data!$A$2:$E$495,3,FALSE)</f>
        <v>29000</v>
      </c>
      <c r="G1857" s="16">
        <f>VLOOKUP(C1857,[1]master_data!$A$2:$E$495,4,FALSE)</f>
        <v>50000</v>
      </c>
      <c r="H1857" s="16">
        <f>E1857*F1857</f>
        <v>29000</v>
      </c>
      <c r="I1857" s="16">
        <f>E1857*G1857</f>
        <v>50000</v>
      </c>
      <c r="J1857" s="16">
        <f>I1857-H1857</f>
        <v>21000</v>
      </c>
      <c r="K1857" s="16" t="str">
        <f>VLOOKUP(C1857,[1]master_data!$A$2:$E$495,5,FALSE)</f>
        <v>Aksesoris</v>
      </c>
      <c r="L1857" s="1"/>
    </row>
    <row r="1858" spans="1:12" ht="12" customHeight="1" x14ac:dyDescent="0.25">
      <c r="A1858" s="15">
        <v>45037</v>
      </c>
      <c r="B1858" s="16">
        <v>22300643</v>
      </c>
      <c r="C1858" s="16" t="s">
        <v>442</v>
      </c>
      <c r="D1858" s="16" t="str">
        <f>VLOOKUP(C1858,[1]master_data!$A$2:$E$495,2,FALSE)</f>
        <v>PARROT</v>
      </c>
      <c r="E1858" s="16">
        <v>2</v>
      </c>
      <c r="F1858" s="16">
        <f>VLOOKUP(C1858,[1]master_data!$A$2:$E$495,3,FALSE)</f>
        <v>27000</v>
      </c>
      <c r="G1858" s="16">
        <f>VLOOKUP(C1858,[1]master_data!$A$2:$E$495,4,FALSE)</f>
        <v>60000</v>
      </c>
      <c r="H1858" s="16">
        <f>E1858*F1858</f>
        <v>54000</v>
      </c>
      <c r="I1858" s="16">
        <f>E1858*G1858</f>
        <v>120000</v>
      </c>
      <c r="J1858" s="16">
        <f>I1858-H1858</f>
        <v>66000</v>
      </c>
      <c r="K1858" s="16" t="str">
        <f>VLOOKUP(C1858,[1]master_data!$A$2:$E$495,5,FALSE)</f>
        <v>Ikan</v>
      </c>
      <c r="L1858" s="1"/>
    </row>
    <row r="1859" spans="1:12" ht="12" customHeight="1" x14ac:dyDescent="0.25">
      <c r="A1859" s="15">
        <v>45037</v>
      </c>
      <c r="B1859" s="16">
        <v>22300644</v>
      </c>
      <c r="C1859" s="16" t="s">
        <v>415</v>
      </c>
      <c r="D1859" s="16" t="str">
        <f>VLOOKUP(C1859,[1]master_data!$A$2:$E$495,2,FALSE)</f>
        <v>KOI T</v>
      </c>
      <c r="E1859" s="16">
        <v>2</v>
      </c>
      <c r="F1859" s="16">
        <f>VLOOKUP(C1859,[1]master_data!$A$2:$E$495,3,FALSE)</f>
        <v>7000</v>
      </c>
      <c r="G1859" s="16">
        <f>VLOOKUP(C1859,[1]master_data!$A$2:$E$495,4,FALSE)</f>
        <v>20000</v>
      </c>
      <c r="H1859" s="16">
        <f>E1859*F1859</f>
        <v>14000</v>
      </c>
      <c r="I1859" s="16">
        <f>E1859*G1859</f>
        <v>40000</v>
      </c>
      <c r="J1859" s="16">
        <f>I1859-H1859</f>
        <v>26000</v>
      </c>
      <c r="K1859" s="16" t="str">
        <f>VLOOKUP(C1859,[1]master_data!$A$2:$E$495,5,FALSE)</f>
        <v>Ikan</v>
      </c>
      <c r="L1859" s="1"/>
    </row>
    <row r="1860" spans="1:12" ht="12" customHeight="1" x14ac:dyDescent="0.25">
      <c r="A1860" s="15">
        <v>45037</v>
      </c>
      <c r="B1860" s="16">
        <v>22300645</v>
      </c>
      <c r="C1860" s="16" t="s">
        <v>254</v>
      </c>
      <c r="D1860" s="16" t="str">
        <f>VLOOKUP(C1860,[1]master_data!$A$2:$E$495,2,FALSE)</f>
        <v>BACKGROUND</v>
      </c>
      <c r="E1860" s="16">
        <v>5</v>
      </c>
      <c r="F1860" s="16">
        <f>VLOOKUP(C1860,[1]master_data!$A$2:$E$495,3,FALSE)</f>
        <v>8000</v>
      </c>
      <c r="G1860" s="16">
        <f>VLOOKUP(C1860,[1]master_data!$A$2:$E$495,4,FALSE)</f>
        <v>15000</v>
      </c>
      <c r="H1860" s="16">
        <f>E1860*F1860</f>
        <v>40000</v>
      </c>
      <c r="I1860" s="16">
        <f>E1860*G1860</f>
        <v>75000</v>
      </c>
      <c r="J1860" s="16">
        <f>I1860-H1860</f>
        <v>35000</v>
      </c>
      <c r="K1860" s="16" t="str">
        <f>VLOOKUP(C1860,[1]master_data!$A$2:$E$495,5,FALSE)</f>
        <v>Aksesoris</v>
      </c>
      <c r="L1860" s="1"/>
    </row>
    <row r="1861" spans="1:12" ht="12" customHeight="1" x14ac:dyDescent="0.25">
      <c r="A1861" s="15">
        <v>45037</v>
      </c>
      <c r="B1861" s="16">
        <v>22300646</v>
      </c>
      <c r="C1861" s="16" t="s">
        <v>433</v>
      </c>
      <c r="D1861" s="16" t="str">
        <f>VLOOKUP(C1861,[1]master_data!$A$2:$E$495,2,FALSE)</f>
        <v>MOLI BALON</v>
      </c>
      <c r="E1861" s="16">
        <v>20</v>
      </c>
      <c r="F1861" s="16">
        <f>VLOOKUP(C1861,[1]master_data!$A$2:$E$495,3,FALSE)</f>
        <v>800</v>
      </c>
      <c r="G1861" s="16">
        <f>VLOOKUP(C1861,[1]master_data!$A$2:$E$495,4,FALSE)</f>
        <v>2000</v>
      </c>
      <c r="H1861" s="16">
        <f>E1861*F1861</f>
        <v>16000</v>
      </c>
      <c r="I1861" s="16">
        <f>E1861*G1861</f>
        <v>40000</v>
      </c>
      <c r="J1861" s="16">
        <f>I1861-H1861</f>
        <v>24000</v>
      </c>
      <c r="K1861" s="16" t="str">
        <f>VLOOKUP(C1861,[1]master_data!$A$2:$E$495,5,FALSE)</f>
        <v>Ikan</v>
      </c>
      <c r="L1861" s="1"/>
    </row>
    <row r="1862" spans="1:12" ht="12" customHeight="1" x14ac:dyDescent="0.25">
      <c r="A1862" s="15">
        <v>45037</v>
      </c>
      <c r="B1862" s="16">
        <v>22300647</v>
      </c>
      <c r="C1862" s="16" t="s">
        <v>443</v>
      </c>
      <c r="D1862" s="16" t="str">
        <f>VLOOKUP(C1862,[1]master_data!$A$2:$E$495,2,FALSE)</f>
        <v>PESO</v>
      </c>
      <c r="E1862" s="16">
        <v>2</v>
      </c>
      <c r="F1862" s="16">
        <f>VLOOKUP(C1862,[1]master_data!$A$2:$E$495,3,FALSE)</f>
        <v>19000</v>
      </c>
      <c r="G1862" s="16">
        <f>VLOOKUP(C1862,[1]master_data!$A$2:$E$495,4,FALSE)</f>
        <v>40000</v>
      </c>
      <c r="H1862" s="16">
        <f>E1862*F1862</f>
        <v>38000</v>
      </c>
      <c r="I1862" s="16">
        <f>E1862*G1862</f>
        <v>80000</v>
      </c>
      <c r="J1862" s="16">
        <f>I1862-H1862</f>
        <v>42000</v>
      </c>
      <c r="K1862" s="16" t="str">
        <f>VLOOKUP(C1862,[1]master_data!$A$2:$E$495,5,FALSE)</f>
        <v>Ikan</v>
      </c>
      <c r="L1862" s="1"/>
    </row>
    <row r="1863" spans="1:12" ht="12" customHeight="1" x14ac:dyDescent="0.25">
      <c r="A1863" s="15">
        <v>45037</v>
      </c>
      <c r="B1863" s="16">
        <v>22300648</v>
      </c>
      <c r="C1863" s="16" t="s">
        <v>398</v>
      </c>
      <c r="D1863" s="16" t="str">
        <f>VLOOKUP(C1863,[1]master_data!$A$2:$E$495,2,FALSE)</f>
        <v>BALA BALA K</v>
      </c>
      <c r="E1863" s="16">
        <v>3</v>
      </c>
      <c r="F1863" s="16">
        <f>VLOOKUP(C1863,[1]master_data!$A$2:$E$495,3,FALSE)</f>
        <v>4000</v>
      </c>
      <c r="G1863" s="16">
        <f>VLOOKUP(C1863,[1]master_data!$A$2:$E$495,4,FALSE)</f>
        <v>8000</v>
      </c>
      <c r="H1863" s="16">
        <f>E1863*F1863</f>
        <v>12000</v>
      </c>
      <c r="I1863" s="16">
        <f>E1863*G1863</f>
        <v>24000</v>
      </c>
      <c r="J1863" s="16">
        <f>I1863-H1863</f>
        <v>12000</v>
      </c>
      <c r="K1863" s="16" t="str">
        <f>VLOOKUP(C1863,[1]master_data!$A$2:$E$495,5,FALSE)</f>
        <v>Ikan</v>
      </c>
      <c r="L1863" s="1"/>
    </row>
    <row r="1864" spans="1:12" ht="12" customHeight="1" x14ac:dyDescent="0.25">
      <c r="A1864" s="15">
        <v>45036</v>
      </c>
      <c r="B1864" s="16">
        <v>22300638</v>
      </c>
      <c r="C1864" s="16" t="s">
        <v>406</v>
      </c>
      <c r="D1864" s="16" t="str">
        <f>VLOOKUP(C1864,[1]master_data!$A$2:$E$495,2,FALSE)</f>
        <v>CATFISH</v>
      </c>
      <c r="E1864" s="16">
        <v>8</v>
      </c>
      <c r="F1864" s="16">
        <f>VLOOKUP(C1864,[1]master_data!$A$2:$E$495,3,FALSE)</f>
        <v>20000</v>
      </c>
      <c r="G1864" s="16">
        <f>VLOOKUP(C1864,[1]master_data!$A$2:$E$495,4,FALSE)</f>
        <v>50000</v>
      </c>
      <c r="H1864" s="16">
        <f>E1864*F1864</f>
        <v>160000</v>
      </c>
      <c r="I1864" s="16">
        <f>E1864*G1864</f>
        <v>400000</v>
      </c>
      <c r="J1864" s="16">
        <f>I1864-H1864</f>
        <v>240000</v>
      </c>
      <c r="K1864" s="16" t="str">
        <f>VLOOKUP(C1864,[1]master_data!$A$2:$E$495,5,FALSE)</f>
        <v>Ikan</v>
      </c>
      <c r="L1864" s="1"/>
    </row>
    <row r="1865" spans="1:12" ht="12" customHeight="1" x14ac:dyDescent="0.25">
      <c r="A1865" s="15">
        <v>45036</v>
      </c>
      <c r="B1865" s="16">
        <v>22300639</v>
      </c>
      <c r="C1865" s="16" t="s">
        <v>418</v>
      </c>
      <c r="D1865" s="16" t="str">
        <f>VLOOKUP(C1865,[1]master_data!$A$2:$E$495,2,FALSE)</f>
        <v>KAVIAT</v>
      </c>
      <c r="E1865" s="16">
        <v>2</v>
      </c>
      <c r="F1865" s="16">
        <f>VLOOKUP(C1865,[1]master_data!$A$2:$E$495,3,FALSE)</f>
        <v>3500</v>
      </c>
      <c r="G1865" s="16">
        <f>VLOOKUP(C1865,[1]master_data!$A$2:$E$495,4,FALSE)</f>
        <v>8000</v>
      </c>
      <c r="H1865" s="16">
        <f>E1865*F1865</f>
        <v>7000</v>
      </c>
      <c r="I1865" s="16">
        <f>E1865*G1865</f>
        <v>16000</v>
      </c>
      <c r="J1865" s="16">
        <f>I1865-H1865</f>
        <v>9000</v>
      </c>
      <c r="K1865" s="16" t="str">
        <f>VLOOKUP(C1865,[1]master_data!$A$2:$E$495,5,FALSE)</f>
        <v>Ikan</v>
      </c>
      <c r="L1865" s="1"/>
    </row>
    <row r="1866" spans="1:12" ht="12" customHeight="1" x14ac:dyDescent="0.25">
      <c r="A1866" s="15">
        <v>45036</v>
      </c>
      <c r="B1866" s="16">
        <v>22300640</v>
      </c>
      <c r="C1866" s="16" t="s">
        <v>17</v>
      </c>
      <c r="D1866" s="16" t="str">
        <f>VLOOKUP(C1866,[1]master_data!$A$2:$E$495,2,FALSE)</f>
        <v>MESIN YANG WAVE MAKER 100</v>
      </c>
      <c r="E1866" s="16">
        <v>1</v>
      </c>
      <c r="F1866" s="16">
        <f>VLOOKUP(C1866,[1]master_data!$A$2:$E$495,3,FALSE)</f>
        <v>67500</v>
      </c>
      <c r="G1866" s="16">
        <f>VLOOKUP(C1866,[1]master_data!$A$2:$E$495,4,FALSE)</f>
        <v>85000</v>
      </c>
      <c r="H1866" s="16">
        <f>E1866*F1866</f>
        <v>67500</v>
      </c>
      <c r="I1866" s="16">
        <f>E1866*G1866</f>
        <v>85000</v>
      </c>
      <c r="J1866" s="16">
        <f>I1866-H1866</f>
        <v>17500</v>
      </c>
      <c r="K1866" s="16" t="str">
        <f>VLOOKUP(C1866,[1]master_data!$A$2:$E$495,5,FALSE)</f>
        <v>Aksesoris</v>
      </c>
      <c r="L1866" s="1"/>
    </row>
    <row r="1867" spans="1:12" ht="12" customHeight="1" x14ac:dyDescent="0.25">
      <c r="A1867" s="15">
        <v>45035</v>
      </c>
      <c r="B1867" s="16">
        <v>22300635</v>
      </c>
      <c r="C1867" s="16" t="s">
        <v>157</v>
      </c>
      <c r="D1867" s="16" t="str">
        <f>VLOOKUP(C1867,[1]master_data!$A$2:$E$495,2,FALSE)</f>
        <v>LED KANDILA 2 BRS 80 CM</v>
      </c>
      <c r="E1867" s="16">
        <v>5</v>
      </c>
      <c r="F1867" s="16">
        <f>VLOOKUP(C1867,[1]master_data!$A$2:$E$495,3,FALSE)</f>
        <v>45000</v>
      </c>
      <c r="G1867" s="16">
        <f>VLOOKUP(C1867,[1]master_data!$A$2:$E$495,4,FALSE)</f>
        <v>85000</v>
      </c>
      <c r="H1867" s="16">
        <f>E1867*F1867</f>
        <v>225000</v>
      </c>
      <c r="I1867" s="16">
        <f>E1867*G1867</f>
        <v>425000</v>
      </c>
      <c r="J1867" s="16">
        <f>I1867-H1867</f>
        <v>200000</v>
      </c>
      <c r="K1867" s="16" t="str">
        <f>VLOOKUP(C1867,[1]master_data!$A$2:$E$495,5,FALSE)</f>
        <v>Aksesoris</v>
      </c>
      <c r="L1867" s="1"/>
    </row>
    <row r="1868" spans="1:12" ht="12" customHeight="1" x14ac:dyDescent="0.25">
      <c r="A1868" s="15">
        <v>45035</v>
      </c>
      <c r="B1868" s="16">
        <v>22300636</v>
      </c>
      <c r="C1868" s="16" t="s">
        <v>31</v>
      </c>
      <c r="D1868" s="16" t="str">
        <f>VLOOKUP(C1868,[1]master_data!$A$2:$E$495,2,FALSE)</f>
        <v>TOP FILTER ROSTON B</v>
      </c>
      <c r="E1868" s="16">
        <v>2</v>
      </c>
      <c r="F1868" s="16">
        <f>VLOOKUP(C1868,[1]master_data!$A$2:$E$495,3,FALSE)</f>
        <v>35000</v>
      </c>
      <c r="G1868" s="16">
        <f>VLOOKUP(C1868,[1]master_data!$A$2:$E$495,4,FALSE)</f>
        <v>65000</v>
      </c>
      <c r="H1868" s="16">
        <f>E1868*F1868</f>
        <v>70000</v>
      </c>
      <c r="I1868" s="16">
        <f>E1868*G1868</f>
        <v>130000</v>
      </c>
      <c r="J1868" s="16">
        <f>I1868-H1868</f>
        <v>60000</v>
      </c>
      <c r="K1868" s="16" t="str">
        <f>VLOOKUP(C1868,[1]master_data!$A$2:$E$495,5,FALSE)</f>
        <v>Aksesoris</v>
      </c>
      <c r="L1868" s="1"/>
    </row>
    <row r="1869" spans="1:12" ht="12" customHeight="1" x14ac:dyDescent="0.25">
      <c r="A1869" s="15">
        <v>45035</v>
      </c>
      <c r="B1869" s="16">
        <v>22300637</v>
      </c>
      <c r="C1869" s="16" t="s">
        <v>420</v>
      </c>
      <c r="D1869" s="16" t="str">
        <f>VLOOKUP(C1869,[1]master_data!$A$2:$E$495,2,FALSE)</f>
        <v>KOMET SLAYER</v>
      </c>
      <c r="E1869" s="16">
        <v>1</v>
      </c>
      <c r="F1869" s="16">
        <f>VLOOKUP(C1869,[1]master_data!$A$2:$E$495,3,FALSE)</f>
        <v>2000</v>
      </c>
      <c r="G1869" s="16">
        <f>VLOOKUP(C1869,[1]master_data!$A$2:$E$495,4,FALSE)</f>
        <v>5000</v>
      </c>
      <c r="H1869" s="16">
        <f>E1869*F1869</f>
        <v>2000</v>
      </c>
      <c r="I1869" s="16">
        <f>E1869*G1869</f>
        <v>5000</v>
      </c>
      <c r="J1869" s="16">
        <f>I1869-H1869</f>
        <v>3000</v>
      </c>
      <c r="K1869" s="16" t="str">
        <f>VLOOKUP(C1869,[1]master_data!$A$2:$E$495,5,FALSE)</f>
        <v>Ikan</v>
      </c>
      <c r="L1869" s="1"/>
    </row>
    <row r="1870" spans="1:12" ht="12" customHeight="1" x14ac:dyDescent="0.25">
      <c r="A1870" s="15">
        <v>45034</v>
      </c>
      <c r="B1870" s="16">
        <v>22300624</v>
      </c>
      <c r="C1870" s="16" t="s">
        <v>341</v>
      </c>
      <c r="D1870" s="16" t="str">
        <f>VLOOKUP(C1870,[1]master_data!$A$2:$E$495,2,FALSE)</f>
        <v>FISH ALL ANTI ALGAE</v>
      </c>
      <c r="E1870" s="16">
        <v>1</v>
      </c>
      <c r="F1870" s="16">
        <f>VLOOKUP(C1870,[1]master_data!$A$2:$E$495,3,FALSE)</f>
        <v>6000</v>
      </c>
      <c r="G1870" s="16">
        <f>VLOOKUP(C1870,[1]master_data!$A$2:$E$495,4,FALSE)</f>
        <v>12000</v>
      </c>
      <c r="H1870" s="16">
        <f>E1870*F1870</f>
        <v>6000</v>
      </c>
      <c r="I1870" s="16">
        <f>E1870*G1870</f>
        <v>12000</v>
      </c>
      <c r="J1870" s="16">
        <f>I1870-H1870</f>
        <v>6000</v>
      </c>
      <c r="K1870" s="16" t="str">
        <f>VLOOKUP(C1870,[1]master_data!$A$2:$E$495,5,FALSE)</f>
        <v>Aksesoris</v>
      </c>
      <c r="L1870" s="1"/>
    </row>
    <row r="1871" spans="1:12" ht="12" customHeight="1" x14ac:dyDescent="0.25">
      <c r="A1871" s="15">
        <v>45034</v>
      </c>
      <c r="B1871" s="16">
        <v>22300625</v>
      </c>
      <c r="C1871" s="16" t="s">
        <v>25</v>
      </c>
      <c r="D1871" s="16" t="str">
        <f>VLOOKUP(C1871,[1]master_data!$A$2:$E$495,2,FALSE)</f>
        <v>MESIN ROSTON 105</v>
      </c>
      <c r="E1871" s="16">
        <v>2</v>
      </c>
      <c r="F1871" s="16">
        <f>VLOOKUP(C1871,[1]master_data!$A$2:$E$495,3,FALSE)</f>
        <v>75000</v>
      </c>
      <c r="G1871" s="16">
        <f>VLOOKUP(C1871,[1]master_data!$A$2:$E$495,4,FALSE)</f>
        <v>110000</v>
      </c>
      <c r="H1871" s="16">
        <f>E1871*F1871</f>
        <v>150000</v>
      </c>
      <c r="I1871" s="16">
        <f>E1871*G1871</f>
        <v>220000</v>
      </c>
      <c r="J1871" s="16">
        <f>I1871-H1871</f>
        <v>70000</v>
      </c>
      <c r="K1871" s="16" t="str">
        <f>VLOOKUP(C1871,[1]master_data!$A$2:$E$495,5,FALSE)</f>
        <v>Aksesoris</v>
      </c>
      <c r="L1871" s="1"/>
    </row>
    <row r="1872" spans="1:12" ht="12" customHeight="1" x14ac:dyDescent="0.25">
      <c r="A1872" s="15">
        <v>45034</v>
      </c>
      <c r="B1872" s="16">
        <v>22300626</v>
      </c>
      <c r="C1872" s="16" t="s">
        <v>422</v>
      </c>
      <c r="D1872" s="16" t="str">
        <f>VLOOKUP(C1872,[1]master_data!$A$2:$E$495,2,FALSE)</f>
        <v>KOI SLAYER B</v>
      </c>
      <c r="E1872" s="16">
        <v>2</v>
      </c>
      <c r="F1872" s="16">
        <f>VLOOKUP(C1872,[1]master_data!$A$2:$E$495,3,FALSE)</f>
        <v>8000</v>
      </c>
      <c r="G1872" s="16">
        <f>VLOOKUP(C1872,[1]master_data!$A$2:$E$495,4,FALSE)</f>
        <v>20000</v>
      </c>
      <c r="H1872" s="16">
        <f>E1872*F1872</f>
        <v>16000</v>
      </c>
      <c r="I1872" s="16">
        <f>E1872*G1872</f>
        <v>40000</v>
      </c>
      <c r="J1872" s="16">
        <f>I1872-H1872</f>
        <v>24000</v>
      </c>
      <c r="K1872" s="16" t="str">
        <f>VLOOKUP(C1872,[1]master_data!$A$2:$E$495,5,FALSE)</f>
        <v>Ikan</v>
      </c>
      <c r="L1872" s="1"/>
    </row>
    <row r="1873" spans="1:12" ht="12" customHeight="1" x14ac:dyDescent="0.25">
      <c r="A1873" s="15">
        <v>45034</v>
      </c>
      <c r="B1873" s="16">
        <v>22300627</v>
      </c>
      <c r="C1873" s="16" t="s">
        <v>453</v>
      </c>
      <c r="D1873" s="16" t="str">
        <f>VLOOKUP(C1873,[1]master_data!$A$2:$E$495,2,FALSE)</f>
        <v>TETRA</v>
      </c>
      <c r="E1873" s="16">
        <v>10</v>
      </c>
      <c r="F1873" s="16">
        <f>VLOOKUP(C1873,[1]master_data!$A$2:$E$495,3,FALSE)</f>
        <v>800</v>
      </c>
      <c r="G1873" s="16">
        <f>VLOOKUP(C1873,[1]master_data!$A$2:$E$495,4,FALSE)</f>
        <v>2000</v>
      </c>
      <c r="H1873" s="16">
        <f>E1873*F1873</f>
        <v>8000</v>
      </c>
      <c r="I1873" s="16">
        <f>E1873*G1873</f>
        <v>20000</v>
      </c>
      <c r="J1873" s="16">
        <f>I1873-H1873</f>
        <v>12000</v>
      </c>
      <c r="K1873" s="16" t="str">
        <f>VLOOKUP(C1873,[1]master_data!$A$2:$E$495,5,FALSE)</f>
        <v>Ikan</v>
      </c>
      <c r="L1873" s="1"/>
    </row>
    <row r="1874" spans="1:12" ht="12" customHeight="1" x14ac:dyDescent="0.25">
      <c r="A1874" s="15">
        <v>45034</v>
      </c>
      <c r="B1874" s="16">
        <v>22300628</v>
      </c>
      <c r="C1874" s="16" t="s">
        <v>444</v>
      </c>
      <c r="D1874" s="16" t="str">
        <f>VLOOKUP(C1874,[1]master_data!$A$2:$E$495,2,FALSE)</f>
        <v>REDFIN HITAM</v>
      </c>
      <c r="E1874" s="16">
        <v>15</v>
      </c>
      <c r="F1874" s="16">
        <f>VLOOKUP(C1874,[1]master_data!$A$2:$E$495,3,FALSE)</f>
        <v>1500</v>
      </c>
      <c r="G1874" s="16">
        <f>VLOOKUP(C1874,[1]master_data!$A$2:$E$495,4,FALSE)</f>
        <v>4000</v>
      </c>
      <c r="H1874" s="16">
        <f>E1874*F1874</f>
        <v>22500</v>
      </c>
      <c r="I1874" s="16">
        <f>E1874*G1874</f>
        <v>60000</v>
      </c>
      <c r="J1874" s="16">
        <f>I1874-H1874</f>
        <v>37500</v>
      </c>
      <c r="K1874" s="16" t="str">
        <f>VLOOKUP(C1874,[1]master_data!$A$2:$E$495,5,FALSE)</f>
        <v>Ikan</v>
      </c>
      <c r="L1874" s="1"/>
    </row>
    <row r="1875" spans="1:12" ht="12" customHeight="1" x14ac:dyDescent="0.25">
      <c r="A1875" s="15">
        <v>45034</v>
      </c>
      <c r="B1875" s="16">
        <v>22300629</v>
      </c>
      <c r="C1875" s="16" t="s">
        <v>305</v>
      </c>
      <c r="D1875" s="16" t="str">
        <f>VLOOKUP(C1875,[1]master_data!$A$2:$E$495,2,FALSE)</f>
        <v>SEDOTAN</v>
      </c>
      <c r="E1875" s="16">
        <v>5</v>
      </c>
      <c r="F1875" s="16">
        <f>VLOOKUP(C1875,[1]master_data!$A$2:$E$495,3,FALSE)</f>
        <v>10000</v>
      </c>
      <c r="G1875" s="16">
        <f>VLOOKUP(C1875,[1]master_data!$A$2:$E$495,4,FALSE)</f>
        <v>15000</v>
      </c>
      <c r="H1875" s="16">
        <f>E1875*F1875</f>
        <v>50000</v>
      </c>
      <c r="I1875" s="16">
        <f>E1875*G1875</f>
        <v>75000</v>
      </c>
      <c r="J1875" s="16">
        <f>I1875-H1875</f>
        <v>25000</v>
      </c>
      <c r="K1875" s="16" t="str">
        <f>VLOOKUP(C1875,[1]master_data!$A$2:$E$495,5,FALSE)</f>
        <v>Aksesoris</v>
      </c>
      <c r="L1875" s="1"/>
    </row>
    <row r="1876" spans="1:12" ht="12" customHeight="1" x14ac:dyDescent="0.25">
      <c r="A1876" s="15">
        <v>45034</v>
      </c>
      <c r="B1876" s="16">
        <v>22300630</v>
      </c>
      <c r="C1876" s="16" t="s">
        <v>206</v>
      </c>
      <c r="D1876" s="16" t="str">
        <f>VLOOKUP(C1876,[1]master_data!$A$2:$E$495,2,FALSE)</f>
        <v>TAKARI K</v>
      </c>
      <c r="E1876" s="16">
        <v>20</v>
      </c>
      <c r="F1876" s="16">
        <f>VLOOKUP(C1876,[1]master_data!$A$2:$E$495,3,FALSE)</f>
        <v>3500</v>
      </c>
      <c r="G1876" s="16">
        <f>VLOOKUP(C1876,[1]master_data!$A$2:$E$495,4,FALSE)</f>
        <v>5000</v>
      </c>
      <c r="H1876" s="16">
        <f>E1876*F1876</f>
        <v>70000</v>
      </c>
      <c r="I1876" s="16">
        <f>E1876*G1876</f>
        <v>100000</v>
      </c>
      <c r="J1876" s="16">
        <f>I1876-H1876</f>
        <v>30000</v>
      </c>
      <c r="K1876" s="16" t="str">
        <f>VLOOKUP(C1876,[1]master_data!$A$2:$E$495,5,FALSE)</f>
        <v>Aksesoris</v>
      </c>
      <c r="L1876" s="1"/>
    </row>
    <row r="1877" spans="1:12" ht="12" customHeight="1" x14ac:dyDescent="0.25">
      <c r="A1877" s="15">
        <v>45034</v>
      </c>
      <c r="B1877" s="16">
        <v>22300631</v>
      </c>
      <c r="C1877" s="16" t="s">
        <v>155</v>
      </c>
      <c r="D1877" s="16" t="str">
        <f>VLOOKUP(C1877,[1]master_data!$A$2:$E$495,2,FALSE)</f>
        <v>LED ROSTON 3 MODE 40 CM</v>
      </c>
      <c r="E1877" s="16">
        <v>1</v>
      </c>
      <c r="F1877" s="16">
        <f>VLOOKUP(C1877,[1]master_data!$A$2:$E$495,3,FALSE)</f>
        <v>27000</v>
      </c>
      <c r="G1877" s="16">
        <f>VLOOKUP(C1877,[1]master_data!$A$2:$E$495,4,FALSE)</f>
        <v>50000</v>
      </c>
      <c r="H1877" s="16">
        <f>E1877*F1877</f>
        <v>27000</v>
      </c>
      <c r="I1877" s="16">
        <f>E1877*G1877</f>
        <v>50000</v>
      </c>
      <c r="J1877" s="16">
        <f>I1877-H1877</f>
        <v>23000</v>
      </c>
      <c r="K1877" s="16" t="str">
        <f>VLOOKUP(C1877,[1]master_data!$A$2:$E$495,5,FALSE)</f>
        <v>Aksesoris</v>
      </c>
      <c r="L1877" s="1"/>
    </row>
    <row r="1878" spans="1:12" ht="12" customHeight="1" x14ac:dyDescent="0.25">
      <c r="A1878" s="15">
        <v>45034</v>
      </c>
      <c r="B1878" s="16">
        <v>22300632</v>
      </c>
      <c r="C1878" s="16" t="s">
        <v>401</v>
      </c>
      <c r="D1878" s="16" t="str">
        <f>VLOOKUP(C1878,[1]master_data!$A$2:$E$495,2,FALSE)</f>
        <v>CHANNA BLUE PULCHRA K</v>
      </c>
      <c r="E1878" s="16">
        <v>1</v>
      </c>
      <c r="F1878" s="16">
        <f>VLOOKUP(C1878,[1]master_data!$A$2:$E$495,3,FALSE)</f>
        <v>25000</v>
      </c>
      <c r="G1878" s="16">
        <f>VLOOKUP(C1878,[1]master_data!$A$2:$E$495,4,FALSE)</f>
        <v>50000</v>
      </c>
      <c r="H1878" s="16">
        <f>E1878*F1878</f>
        <v>25000</v>
      </c>
      <c r="I1878" s="16">
        <f>E1878*G1878</f>
        <v>50000</v>
      </c>
      <c r="J1878" s="16">
        <f>I1878-H1878</f>
        <v>25000</v>
      </c>
      <c r="K1878" s="16" t="str">
        <f>VLOOKUP(C1878,[1]master_data!$A$2:$E$495,5,FALSE)</f>
        <v>Ikan</v>
      </c>
      <c r="L1878" s="1"/>
    </row>
    <row r="1879" spans="1:12" ht="12" customHeight="1" x14ac:dyDescent="0.25">
      <c r="A1879" s="15">
        <v>45034</v>
      </c>
      <c r="B1879" s="16">
        <v>22300633</v>
      </c>
      <c r="C1879" s="16" t="s">
        <v>418</v>
      </c>
      <c r="D1879" s="16" t="str">
        <f>VLOOKUP(C1879,[1]master_data!$A$2:$E$495,2,FALSE)</f>
        <v>KAVIAT</v>
      </c>
      <c r="E1879" s="16">
        <v>5</v>
      </c>
      <c r="F1879" s="16">
        <f>VLOOKUP(C1879,[1]master_data!$A$2:$E$495,3,FALSE)</f>
        <v>3500</v>
      </c>
      <c r="G1879" s="16">
        <f>VLOOKUP(C1879,[1]master_data!$A$2:$E$495,4,FALSE)</f>
        <v>8000</v>
      </c>
      <c r="H1879" s="16">
        <f>E1879*F1879</f>
        <v>17500</v>
      </c>
      <c r="I1879" s="16">
        <f>E1879*G1879</f>
        <v>40000</v>
      </c>
      <c r="J1879" s="16">
        <f>I1879-H1879</f>
        <v>22500</v>
      </c>
      <c r="K1879" s="16" t="str">
        <f>VLOOKUP(C1879,[1]master_data!$A$2:$E$495,5,FALSE)</f>
        <v>Ikan</v>
      </c>
      <c r="L1879" s="1"/>
    </row>
    <row r="1880" spans="1:12" ht="12" customHeight="1" x14ac:dyDescent="0.25">
      <c r="A1880" s="15">
        <v>45034</v>
      </c>
      <c r="B1880" s="16">
        <v>22300634</v>
      </c>
      <c r="C1880" s="16" t="s">
        <v>5</v>
      </c>
      <c r="D1880" s="16" t="str">
        <f>VLOOKUP(C1880,[1]master_data!$A$2:$E$495,2,FALSE)</f>
        <v>MESIN YANG 1000 L</v>
      </c>
      <c r="E1880" s="16">
        <v>1</v>
      </c>
      <c r="F1880" s="16">
        <f>VLOOKUP(C1880,[1]master_data!$A$2:$E$495,3,FALSE)</f>
        <v>31000</v>
      </c>
      <c r="G1880" s="16">
        <f>VLOOKUP(C1880,[1]master_data!$A$2:$E$495,4,FALSE)</f>
        <v>50000</v>
      </c>
      <c r="H1880" s="16">
        <f>E1880*F1880</f>
        <v>31000</v>
      </c>
      <c r="I1880" s="16">
        <f>E1880*G1880</f>
        <v>50000</v>
      </c>
      <c r="J1880" s="16">
        <f>I1880-H1880</f>
        <v>19000</v>
      </c>
      <c r="K1880" s="16" t="str">
        <f>VLOOKUP(C1880,[1]master_data!$A$2:$E$495,5,FALSE)</f>
        <v>Aksesoris</v>
      </c>
      <c r="L1880" s="1"/>
    </row>
    <row r="1881" spans="1:12" ht="12" customHeight="1" x14ac:dyDescent="0.25">
      <c r="A1881" s="15">
        <v>45033</v>
      </c>
      <c r="B1881" s="16">
        <v>22300620</v>
      </c>
      <c r="C1881" s="16" t="s">
        <v>399</v>
      </c>
      <c r="D1881" s="16" t="str">
        <f>VLOOKUP(C1881,[1]master_data!$A$2:$E$495,2,FALSE)</f>
        <v>BALA BALA B</v>
      </c>
      <c r="E1881" s="16">
        <v>5</v>
      </c>
      <c r="F1881" s="16">
        <f>VLOOKUP(C1881,[1]master_data!$A$2:$E$495,3,FALSE)</f>
        <v>7000</v>
      </c>
      <c r="G1881" s="16">
        <f>VLOOKUP(C1881,[1]master_data!$A$2:$E$495,4,FALSE)</f>
        <v>15000</v>
      </c>
      <c r="H1881" s="16">
        <f>E1881*F1881</f>
        <v>35000</v>
      </c>
      <c r="I1881" s="16">
        <f>E1881*G1881</f>
        <v>75000</v>
      </c>
      <c r="J1881" s="16">
        <f>I1881-H1881</f>
        <v>40000</v>
      </c>
      <c r="K1881" s="16" t="str">
        <f>VLOOKUP(C1881,[1]master_data!$A$2:$E$495,5,FALSE)</f>
        <v>Ikan</v>
      </c>
      <c r="L1881" s="1"/>
    </row>
    <row r="1882" spans="1:12" ht="12" customHeight="1" x14ac:dyDescent="0.25">
      <c r="A1882" s="15">
        <v>45033</v>
      </c>
      <c r="B1882" s="16">
        <v>22300621</v>
      </c>
      <c r="C1882" s="16" t="s">
        <v>196</v>
      </c>
      <c r="D1882" s="16" t="str">
        <f>VLOOKUP(C1882,[1]master_data!$A$2:$E$495,2,FALSE)</f>
        <v>LED KANDILA PRO RED ECO 80 CM</v>
      </c>
      <c r="E1882" s="16">
        <v>10</v>
      </c>
      <c r="F1882" s="16">
        <f>VLOOKUP(C1882,[1]master_data!$A$2:$E$495,3,FALSE)</f>
        <v>71000</v>
      </c>
      <c r="G1882" s="16">
        <f>VLOOKUP(C1882,[1]master_data!$A$2:$E$495,4,FALSE)</f>
        <v>95000</v>
      </c>
      <c r="H1882" s="16">
        <f>E1882*F1882</f>
        <v>710000</v>
      </c>
      <c r="I1882" s="16">
        <f>E1882*G1882</f>
        <v>950000</v>
      </c>
      <c r="J1882" s="16">
        <f>I1882-H1882</f>
        <v>240000</v>
      </c>
      <c r="K1882" s="16" t="str">
        <f>VLOOKUP(C1882,[1]master_data!$A$2:$E$495,5,FALSE)</f>
        <v>Aksesoris</v>
      </c>
      <c r="L1882" s="1"/>
    </row>
    <row r="1883" spans="1:12" ht="12" customHeight="1" x14ac:dyDescent="0.25">
      <c r="A1883" s="15">
        <v>45033</v>
      </c>
      <c r="B1883" s="16">
        <v>22300622</v>
      </c>
      <c r="C1883" s="16" t="s">
        <v>355</v>
      </c>
      <c r="D1883" s="16" t="str">
        <f>VLOOKUP(C1883,[1]master_data!$A$2:$E$495,2,FALSE)</f>
        <v>TOPLES  1,5 L</v>
      </c>
      <c r="E1883" s="16">
        <v>1</v>
      </c>
      <c r="F1883" s="16">
        <f>VLOOKUP(C1883,[1]master_data!$A$2:$E$495,3,FALSE)</f>
        <v>38500</v>
      </c>
      <c r="G1883" s="16">
        <f>VLOOKUP(C1883,[1]master_data!$A$2:$E$495,4,FALSE)</f>
        <v>55000</v>
      </c>
      <c r="H1883" s="16">
        <f>E1883*F1883</f>
        <v>38500</v>
      </c>
      <c r="I1883" s="16">
        <f>E1883*G1883</f>
        <v>55000</v>
      </c>
      <c r="J1883" s="16">
        <f>I1883-H1883</f>
        <v>16500</v>
      </c>
      <c r="K1883" s="16" t="str">
        <f>VLOOKUP(C1883,[1]master_data!$A$2:$E$495,5,FALSE)</f>
        <v>Aksesoris</v>
      </c>
      <c r="L1883" s="1"/>
    </row>
    <row r="1884" spans="1:12" ht="12" customHeight="1" x14ac:dyDescent="0.25">
      <c r="A1884" s="15">
        <v>45033</v>
      </c>
      <c r="B1884" s="16">
        <v>22300623</v>
      </c>
      <c r="C1884" s="16" t="s">
        <v>145</v>
      </c>
      <c r="D1884" s="16" t="str">
        <f>VLOOKUP(C1884,[1]master_data!$A$2:$E$495,2,FALSE)</f>
        <v>LED KIYOSAKI 3 MODE 20 CM</v>
      </c>
      <c r="E1884" s="16">
        <v>1</v>
      </c>
      <c r="F1884" s="16">
        <f>VLOOKUP(C1884,[1]master_data!$A$2:$E$495,3,FALSE)</f>
        <v>35000</v>
      </c>
      <c r="G1884" s="16">
        <f>VLOOKUP(C1884,[1]master_data!$A$2:$E$495,4,FALSE)</f>
        <v>50000</v>
      </c>
      <c r="H1884" s="16">
        <f>E1884*F1884</f>
        <v>35000</v>
      </c>
      <c r="I1884" s="16">
        <f>E1884*G1884</f>
        <v>50000</v>
      </c>
      <c r="J1884" s="16">
        <f>I1884-H1884</f>
        <v>15000</v>
      </c>
      <c r="K1884" s="16" t="str">
        <f>VLOOKUP(C1884,[1]master_data!$A$2:$E$495,5,FALSE)</f>
        <v>Aksesoris</v>
      </c>
      <c r="L1884" s="1"/>
    </row>
    <row r="1885" spans="1:12" ht="12" customHeight="1" x14ac:dyDescent="0.25">
      <c r="A1885" s="15">
        <v>45032</v>
      </c>
      <c r="B1885" s="16">
        <v>22300616</v>
      </c>
      <c r="C1885" s="16" t="s">
        <v>438</v>
      </c>
      <c r="D1885" s="16" t="str">
        <f>VLOOKUP(C1885,[1]master_data!$A$2:$E$495,2,FALSE)</f>
        <v>OSCAR</v>
      </c>
      <c r="E1885" s="16">
        <v>1</v>
      </c>
      <c r="F1885" s="16">
        <f>VLOOKUP(C1885,[1]master_data!$A$2:$E$495,3,FALSE)</f>
        <v>25000</v>
      </c>
      <c r="G1885" s="16">
        <f>VLOOKUP(C1885,[1]master_data!$A$2:$E$495,4,FALSE)</f>
        <v>50000</v>
      </c>
      <c r="H1885" s="16">
        <f>E1885*F1885</f>
        <v>25000</v>
      </c>
      <c r="I1885" s="16">
        <f>E1885*G1885</f>
        <v>50000</v>
      </c>
      <c r="J1885" s="16">
        <f>I1885-H1885</f>
        <v>25000</v>
      </c>
      <c r="K1885" s="16" t="str">
        <f>VLOOKUP(C1885,[1]master_data!$A$2:$E$495,5,FALSE)</f>
        <v>Ikan</v>
      </c>
      <c r="L1885" s="1"/>
    </row>
    <row r="1886" spans="1:12" ht="12" customHeight="1" x14ac:dyDescent="0.25">
      <c r="A1886" s="15">
        <v>45032</v>
      </c>
      <c r="B1886" s="16">
        <v>22300617</v>
      </c>
      <c r="C1886" s="16" t="s">
        <v>426</v>
      </c>
      <c r="D1886" s="16" t="str">
        <f>VLOOKUP(C1886,[1]master_data!$A$2:$E$495,2,FALSE)</f>
        <v>LOUHAN</v>
      </c>
      <c r="E1886" s="16">
        <v>2</v>
      </c>
      <c r="F1886" s="16">
        <f>VLOOKUP(C1886,[1]master_data!$A$2:$E$495,3,FALSE)</f>
        <v>85000</v>
      </c>
      <c r="G1886" s="16">
        <f>VLOOKUP(C1886,[1]master_data!$A$2:$E$495,4,FALSE)</f>
        <v>200000</v>
      </c>
      <c r="H1886" s="16">
        <f>E1886*F1886</f>
        <v>170000</v>
      </c>
      <c r="I1886" s="16">
        <f>E1886*G1886</f>
        <v>400000</v>
      </c>
      <c r="J1886" s="16">
        <f>I1886-H1886</f>
        <v>230000</v>
      </c>
      <c r="K1886" s="16" t="str">
        <f>VLOOKUP(C1886,[1]master_data!$A$2:$E$495,5,FALSE)</f>
        <v>Ikan</v>
      </c>
      <c r="L1886" s="1"/>
    </row>
    <row r="1887" spans="1:12" ht="12" customHeight="1" x14ac:dyDescent="0.25">
      <c r="A1887" s="15">
        <v>45032</v>
      </c>
      <c r="B1887" s="16">
        <v>22300618</v>
      </c>
      <c r="C1887" s="16" t="s">
        <v>414</v>
      </c>
      <c r="D1887" s="16" t="str">
        <f>VLOOKUP(C1887,[1]master_data!$A$2:$E$495,2,FALSE)</f>
        <v>KOI K</v>
      </c>
      <c r="E1887" s="16">
        <v>8</v>
      </c>
      <c r="F1887" s="16">
        <f>VLOOKUP(C1887,[1]master_data!$A$2:$E$495,3,FALSE)</f>
        <v>2500</v>
      </c>
      <c r="G1887" s="16">
        <f>VLOOKUP(C1887,[1]master_data!$A$2:$E$495,4,FALSE)</f>
        <v>10000</v>
      </c>
      <c r="H1887" s="16">
        <f>E1887*F1887</f>
        <v>20000</v>
      </c>
      <c r="I1887" s="16">
        <f>E1887*G1887</f>
        <v>80000</v>
      </c>
      <c r="J1887" s="16">
        <f>I1887-H1887</f>
        <v>60000</v>
      </c>
      <c r="K1887" s="16" t="str">
        <f>VLOOKUP(C1887,[1]master_data!$A$2:$E$495,5,FALSE)</f>
        <v>Ikan</v>
      </c>
      <c r="L1887" s="1"/>
    </row>
    <row r="1888" spans="1:12" ht="12" customHeight="1" x14ac:dyDescent="0.25">
      <c r="A1888" s="15">
        <v>45032</v>
      </c>
      <c r="B1888" s="16">
        <v>22300619</v>
      </c>
      <c r="C1888" s="16" t="s">
        <v>316</v>
      </c>
      <c r="D1888" s="16" t="str">
        <f>VLOOKUP(C1888,[1]master_data!$A$2:$E$495,2,FALSE)</f>
        <v>PEMBERSIH KERAK KACA</v>
      </c>
      <c r="E1888" s="16">
        <v>1</v>
      </c>
      <c r="F1888" s="16">
        <f>VLOOKUP(C1888,[1]master_data!$A$2:$E$495,3,FALSE)</f>
        <v>7000</v>
      </c>
      <c r="G1888" s="16">
        <f>VLOOKUP(C1888,[1]master_data!$A$2:$E$495,4,FALSE)</f>
        <v>15000</v>
      </c>
      <c r="H1888" s="16">
        <f>E1888*F1888</f>
        <v>7000</v>
      </c>
      <c r="I1888" s="16">
        <f>E1888*G1888</f>
        <v>15000</v>
      </c>
      <c r="J1888" s="16">
        <f>I1888-H1888</f>
        <v>8000</v>
      </c>
      <c r="K1888" s="16" t="str">
        <f>VLOOKUP(C1888,[1]master_data!$A$2:$E$495,5,FALSE)</f>
        <v>Aksesoris</v>
      </c>
      <c r="L1888" s="1"/>
    </row>
    <row r="1889" spans="1:12" ht="12" customHeight="1" x14ac:dyDescent="0.25">
      <c r="A1889" s="15">
        <v>45031</v>
      </c>
      <c r="B1889" s="16">
        <v>22300610</v>
      </c>
      <c r="C1889" s="16" t="s">
        <v>114</v>
      </c>
      <c r="D1889" s="16" t="str">
        <f>VLOOKUP(C1889,[1]master_data!$A$2:$E$495,2,FALSE)</f>
        <v>AIRATOR KANDILA LUB 2</v>
      </c>
      <c r="E1889" s="16">
        <v>5</v>
      </c>
      <c r="F1889" s="16">
        <f>VLOOKUP(C1889,[1]master_data!$A$2:$E$495,3,FALSE)</f>
        <v>26000</v>
      </c>
      <c r="G1889" s="16">
        <f>VLOOKUP(C1889,[1]master_data!$A$2:$E$495,4,FALSE)</f>
        <v>50000</v>
      </c>
      <c r="H1889" s="16">
        <f>E1889*F1889</f>
        <v>130000</v>
      </c>
      <c r="I1889" s="16">
        <f>E1889*G1889</f>
        <v>250000</v>
      </c>
      <c r="J1889" s="16">
        <f>I1889-H1889</f>
        <v>120000</v>
      </c>
      <c r="K1889" s="16" t="str">
        <f>VLOOKUP(C1889,[1]master_data!$A$2:$E$495,5,FALSE)</f>
        <v>Aksesoris</v>
      </c>
      <c r="L1889" s="1"/>
    </row>
    <row r="1890" spans="1:12" ht="12" customHeight="1" x14ac:dyDescent="0.25">
      <c r="A1890" s="15">
        <v>45031</v>
      </c>
      <c r="B1890" s="16">
        <v>22300611</v>
      </c>
      <c r="C1890" s="16" t="s">
        <v>422</v>
      </c>
      <c r="D1890" s="16" t="str">
        <f>VLOOKUP(C1890,[1]master_data!$A$2:$E$495,2,FALSE)</f>
        <v>KOI SLAYER B</v>
      </c>
      <c r="E1890" s="16">
        <v>5</v>
      </c>
      <c r="F1890" s="16">
        <f>VLOOKUP(C1890,[1]master_data!$A$2:$E$495,3,FALSE)</f>
        <v>8000</v>
      </c>
      <c r="G1890" s="16">
        <f>VLOOKUP(C1890,[1]master_data!$A$2:$E$495,4,FALSE)</f>
        <v>20000</v>
      </c>
      <c r="H1890" s="16">
        <f>E1890*F1890</f>
        <v>40000</v>
      </c>
      <c r="I1890" s="16">
        <f>E1890*G1890</f>
        <v>100000</v>
      </c>
      <c r="J1890" s="16">
        <f>I1890-H1890</f>
        <v>60000</v>
      </c>
      <c r="K1890" s="16" t="str">
        <f>VLOOKUP(C1890,[1]master_data!$A$2:$E$495,5,FALSE)</f>
        <v>Ikan</v>
      </c>
      <c r="L1890" s="1"/>
    </row>
    <row r="1891" spans="1:12" ht="12" customHeight="1" x14ac:dyDescent="0.25">
      <c r="A1891" s="15">
        <v>45031</v>
      </c>
      <c r="B1891" s="16">
        <v>22300612</v>
      </c>
      <c r="C1891" s="16" t="s">
        <v>69</v>
      </c>
      <c r="D1891" s="16" t="str">
        <f>VLOOKUP(C1891,[1]master_data!$A$2:$E$495,2,FALSE)</f>
        <v>BIO FOAM L</v>
      </c>
      <c r="E1891" s="16">
        <v>2</v>
      </c>
      <c r="F1891" s="16">
        <f>VLOOKUP(C1891,[1]master_data!$A$2:$E$495,3,FALSE)</f>
        <v>22000</v>
      </c>
      <c r="G1891" s="16">
        <f>VLOOKUP(C1891,[1]master_data!$A$2:$E$495,4,FALSE)</f>
        <v>35000</v>
      </c>
      <c r="H1891" s="16">
        <f>E1891*F1891</f>
        <v>44000</v>
      </c>
      <c r="I1891" s="16">
        <f>E1891*G1891</f>
        <v>70000</v>
      </c>
      <c r="J1891" s="16">
        <f>I1891-H1891</f>
        <v>26000</v>
      </c>
      <c r="K1891" s="16" t="str">
        <f>VLOOKUP(C1891,[1]master_data!$A$2:$E$495,5,FALSE)</f>
        <v>Aksesoris</v>
      </c>
      <c r="L1891" s="1"/>
    </row>
    <row r="1892" spans="1:12" ht="12" customHeight="1" x14ac:dyDescent="0.25">
      <c r="A1892" s="15">
        <v>45031</v>
      </c>
      <c r="B1892" s="16">
        <v>22300613</v>
      </c>
      <c r="C1892" s="16" t="s">
        <v>79</v>
      </c>
      <c r="D1892" s="16" t="str">
        <f>VLOOKUP(C1892,[1]master_data!$A$2:$E$495,2,FALSE)</f>
        <v>MESIN KIYOSAKI 1600</v>
      </c>
      <c r="E1892" s="16">
        <v>4</v>
      </c>
      <c r="F1892" s="16">
        <f>VLOOKUP(C1892,[1]master_data!$A$2:$E$495,3,FALSE)</f>
        <v>35000</v>
      </c>
      <c r="G1892" s="16">
        <f>VLOOKUP(C1892,[1]master_data!$A$2:$E$495,4,FALSE)</f>
        <v>65000</v>
      </c>
      <c r="H1892" s="16">
        <f>E1892*F1892</f>
        <v>140000</v>
      </c>
      <c r="I1892" s="16">
        <f>E1892*G1892</f>
        <v>260000</v>
      </c>
      <c r="J1892" s="16">
        <f>I1892-H1892</f>
        <v>120000</v>
      </c>
      <c r="K1892" s="16" t="str">
        <f>VLOOKUP(C1892,[1]master_data!$A$2:$E$495,5,FALSE)</f>
        <v>Aksesoris</v>
      </c>
      <c r="L1892" s="1"/>
    </row>
    <row r="1893" spans="1:12" ht="12" customHeight="1" x14ac:dyDescent="0.25">
      <c r="A1893" s="15">
        <v>45031</v>
      </c>
      <c r="B1893" s="16">
        <v>22300614</v>
      </c>
      <c r="C1893" s="16" t="s">
        <v>16</v>
      </c>
      <c r="D1893" s="16" t="str">
        <f>VLOOKUP(C1893,[1]master_data!$A$2:$E$495,2,FALSE)</f>
        <v>HANG ON YANG 502</v>
      </c>
      <c r="E1893" s="16">
        <v>1</v>
      </c>
      <c r="F1893" s="16">
        <f>VLOOKUP(C1893,[1]master_data!$A$2:$E$495,3,FALSE)</f>
        <v>71000</v>
      </c>
      <c r="G1893" s="16">
        <f>VLOOKUP(C1893,[1]master_data!$A$2:$E$495,4,FALSE)</f>
        <v>95000</v>
      </c>
      <c r="H1893" s="16">
        <f>E1893*F1893</f>
        <v>71000</v>
      </c>
      <c r="I1893" s="16">
        <f>E1893*G1893</f>
        <v>95000</v>
      </c>
      <c r="J1893" s="16">
        <f>I1893-H1893</f>
        <v>24000</v>
      </c>
      <c r="K1893" s="16" t="str">
        <f>VLOOKUP(C1893,[1]master_data!$A$2:$E$495,5,FALSE)</f>
        <v>Aksesoris</v>
      </c>
      <c r="L1893" s="1"/>
    </row>
    <row r="1894" spans="1:12" ht="12" customHeight="1" x14ac:dyDescent="0.25">
      <c r="A1894" s="15">
        <v>45031</v>
      </c>
      <c r="B1894" s="16">
        <v>22300615</v>
      </c>
      <c r="C1894" s="16" t="s">
        <v>399</v>
      </c>
      <c r="D1894" s="16" t="str">
        <f>VLOOKUP(C1894,[1]master_data!$A$2:$E$495,2,FALSE)</f>
        <v>BALA BALA B</v>
      </c>
      <c r="E1894" s="16">
        <v>30</v>
      </c>
      <c r="F1894" s="16">
        <f>VLOOKUP(C1894,[1]master_data!$A$2:$E$495,3,FALSE)</f>
        <v>7000</v>
      </c>
      <c r="G1894" s="16">
        <f>VLOOKUP(C1894,[1]master_data!$A$2:$E$495,4,FALSE)</f>
        <v>15000</v>
      </c>
      <c r="H1894" s="16">
        <f>E1894*F1894</f>
        <v>210000</v>
      </c>
      <c r="I1894" s="16">
        <f>E1894*G1894</f>
        <v>450000</v>
      </c>
      <c r="J1894" s="16">
        <f>I1894-H1894</f>
        <v>240000</v>
      </c>
      <c r="K1894" s="16" t="str">
        <f>VLOOKUP(C1894,[1]master_data!$A$2:$E$495,5,FALSE)</f>
        <v>Ikan</v>
      </c>
      <c r="L1894" s="1"/>
    </row>
    <row r="1895" spans="1:12" ht="12" customHeight="1" x14ac:dyDescent="0.25">
      <c r="A1895" s="15">
        <v>45030</v>
      </c>
      <c r="B1895" s="16">
        <v>22300603</v>
      </c>
      <c r="C1895" s="16" t="s">
        <v>285</v>
      </c>
      <c r="D1895" s="16" t="str">
        <f>VLOOKUP(C1895,[1]master_data!$A$2:$E$495,2,FALSE)</f>
        <v>KAPAS 4 LAPIS</v>
      </c>
      <c r="E1895" s="16">
        <v>25</v>
      </c>
      <c r="F1895" s="16">
        <f>VLOOKUP(C1895,[1]master_data!$A$2:$E$495,3,FALSE)</f>
        <v>6500</v>
      </c>
      <c r="G1895" s="16">
        <f>VLOOKUP(C1895,[1]master_data!$A$2:$E$495,4,FALSE)</f>
        <v>10000</v>
      </c>
      <c r="H1895" s="16">
        <f>E1895*F1895</f>
        <v>162500</v>
      </c>
      <c r="I1895" s="16">
        <f>E1895*G1895</f>
        <v>250000</v>
      </c>
      <c r="J1895" s="16">
        <f>I1895-H1895</f>
        <v>87500</v>
      </c>
      <c r="K1895" s="16" t="str">
        <f>VLOOKUP(C1895,[1]master_data!$A$2:$E$495,5,FALSE)</f>
        <v>Aksesoris</v>
      </c>
      <c r="L1895" s="1"/>
    </row>
    <row r="1896" spans="1:12" ht="12" customHeight="1" x14ac:dyDescent="0.25">
      <c r="A1896" s="15">
        <v>45030</v>
      </c>
      <c r="B1896" s="16">
        <v>22300604</v>
      </c>
      <c r="C1896" s="16" t="s">
        <v>309</v>
      </c>
      <c r="D1896" s="16" t="str">
        <f>VLOOKUP(C1896,[1]master_data!$A$2:$E$495,2,FALSE)</f>
        <v>SELANG FUSO</v>
      </c>
      <c r="E1896" s="16">
        <v>25</v>
      </c>
      <c r="F1896" s="16">
        <f>VLOOKUP(C1896,[1]master_data!$A$2:$E$495,3,FALSE)</f>
        <v>800</v>
      </c>
      <c r="G1896" s="16">
        <f>VLOOKUP(C1896,[1]master_data!$A$2:$E$495,4,FALSE)</f>
        <v>2000</v>
      </c>
      <c r="H1896" s="16">
        <f>E1896*F1896</f>
        <v>20000</v>
      </c>
      <c r="I1896" s="16">
        <f>E1896*G1896</f>
        <v>50000</v>
      </c>
      <c r="J1896" s="16">
        <f>I1896-H1896</f>
        <v>30000</v>
      </c>
      <c r="K1896" s="16" t="str">
        <f>VLOOKUP(C1896,[1]master_data!$A$2:$E$495,5,FALSE)</f>
        <v>Aksesoris</v>
      </c>
      <c r="L1896" s="1"/>
    </row>
    <row r="1897" spans="1:12" ht="12" customHeight="1" x14ac:dyDescent="0.25">
      <c r="A1897" s="15">
        <v>45030</v>
      </c>
      <c r="B1897" s="16">
        <v>22300605</v>
      </c>
      <c r="C1897" s="16" t="s">
        <v>458</v>
      </c>
      <c r="D1897" s="16" t="str">
        <f>VLOOKUP(C1897,[1]master_data!$A$2:$E$495,2,FALSE)</f>
        <v>ZEBRA KUNING</v>
      </c>
      <c r="E1897" s="16">
        <v>25</v>
      </c>
      <c r="F1897" s="16">
        <f>VLOOKUP(C1897,[1]master_data!$A$2:$E$495,3,FALSE)</f>
        <v>800</v>
      </c>
      <c r="G1897" s="16">
        <f>VLOOKUP(C1897,[1]master_data!$A$2:$E$495,4,FALSE)</f>
        <v>2000</v>
      </c>
      <c r="H1897" s="16">
        <f>E1897*F1897</f>
        <v>20000</v>
      </c>
      <c r="I1897" s="16">
        <f>E1897*G1897</f>
        <v>50000</v>
      </c>
      <c r="J1897" s="16">
        <f>I1897-H1897</f>
        <v>30000</v>
      </c>
      <c r="K1897" s="16" t="str">
        <f>VLOOKUP(C1897,[1]master_data!$A$2:$E$495,5,FALSE)</f>
        <v>Ikan</v>
      </c>
      <c r="L1897" s="1"/>
    </row>
    <row r="1898" spans="1:12" ht="12" customHeight="1" x14ac:dyDescent="0.25">
      <c r="A1898" s="15">
        <v>45030</v>
      </c>
      <c r="B1898" s="16">
        <v>22300606</v>
      </c>
      <c r="C1898" s="16" t="s">
        <v>82</v>
      </c>
      <c r="D1898" s="16" t="str">
        <f>VLOOKUP(C1898,[1]master_data!$A$2:$E$495,2,FALSE)</f>
        <v>TOP FILTER ARMADA K</v>
      </c>
      <c r="E1898" s="16">
        <v>5</v>
      </c>
      <c r="F1898" s="16">
        <f>VLOOKUP(C1898,[1]master_data!$A$2:$E$495,3,FALSE)</f>
        <v>33000</v>
      </c>
      <c r="G1898" s="16">
        <f>VLOOKUP(C1898,[1]master_data!$A$2:$E$495,4,FALSE)</f>
        <v>55000</v>
      </c>
      <c r="H1898" s="16">
        <f>E1898*F1898</f>
        <v>165000</v>
      </c>
      <c r="I1898" s="16">
        <f>E1898*G1898</f>
        <v>275000</v>
      </c>
      <c r="J1898" s="16">
        <f>I1898-H1898</f>
        <v>110000</v>
      </c>
      <c r="K1898" s="16" t="str">
        <f>VLOOKUP(C1898,[1]master_data!$A$2:$E$495,5,FALSE)</f>
        <v>Aksesoris</v>
      </c>
      <c r="L1898" s="1"/>
    </row>
    <row r="1899" spans="1:12" ht="12" customHeight="1" x14ac:dyDescent="0.25">
      <c r="A1899" s="15">
        <v>45030</v>
      </c>
      <c r="B1899" s="16">
        <v>22300607</v>
      </c>
      <c r="C1899" s="16" t="s">
        <v>394</v>
      </c>
      <c r="D1899" s="16" t="str">
        <f>VLOOKUP(C1899,[1]master_data!$A$2:$E$495,2,FALSE)</f>
        <v>ALGA EATER</v>
      </c>
      <c r="E1899" s="16">
        <v>10</v>
      </c>
      <c r="F1899" s="16">
        <f>VLOOKUP(C1899,[1]master_data!$A$2:$E$495,3,FALSE)</f>
        <v>1750</v>
      </c>
      <c r="G1899" s="16">
        <f>VLOOKUP(C1899,[1]master_data!$A$2:$E$495,4,FALSE)</f>
        <v>5000</v>
      </c>
      <c r="H1899" s="16">
        <f>E1899*F1899</f>
        <v>17500</v>
      </c>
      <c r="I1899" s="16">
        <f>E1899*G1899</f>
        <v>50000</v>
      </c>
      <c r="J1899" s="16">
        <f>I1899-H1899</f>
        <v>32500</v>
      </c>
      <c r="K1899" s="16" t="str">
        <f>VLOOKUP(C1899,[1]master_data!$A$2:$E$495,5,FALSE)</f>
        <v>Ikan</v>
      </c>
      <c r="L1899" s="1"/>
    </row>
    <row r="1900" spans="1:12" ht="12" customHeight="1" x14ac:dyDescent="0.25">
      <c r="A1900" s="15">
        <v>45030</v>
      </c>
      <c r="B1900" s="16">
        <v>22300608</v>
      </c>
      <c r="C1900" s="16" t="s">
        <v>437</v>
      </c>
      <c r="D1900" s="16" t="str">
        <f>VLOOKUP(C1900,[1]master_data!$A$2:$E$495,2,FALSE)</f>
        <v>NEON</v>
      </c>
      <c r="E1900" s="16">
        <v>18</v>
      </c>
      <c r="F1900" s="16">
        <f>VLOOKUP(C1900,[1]master_data!$A$2:$E$495,3,FALSE)</f>
        <v>1250</v>
      </c>
      <c r="G1900" s="16">
        <f>VLOOKUP(C1900,[1]master_data!$A$2:$E$495,4,FALSE)</f>
        <v>5000</v>
      </c>
      <c r="H1900" s="16">
        <f>E1900*F1900</f>
        <v>22500</v>
      </c>
      <c r="I1900" s="16">
        <f>E1900*G1900</f>
        <v>90000</v>
      </c>
      <c r="J1900" s="16">
        <f>I1900-H1900</f>
        <v>67500</v>
      </c>
      <c r="K1900" s="16" t="str">
        <f>VLOOKUP(C1900,[1]master_data!$A$2:$E$495,5,FALSE)</f>
        <v>Ikan</v>
      </c>
      <c r="L1900" s="1"/>
    </row>
    <row r="1901" spans="1:12" ht="12" customHeight="1" x14ac:dyDescent="0.25">
      <c r="A1901" s="15">
        <v>45030</v>
      </c>
      <c r="B1901" s="16">
        <v>22300609</v>
      </c>
      <c r="C1901" s="16" t="s">
        <v>79</v>
      </c>
      <c r="D1901" s="16" t="str">
        <f>VLOOKUP(C1901,[1]master_data!$A$2:$E$495,2,FALSE)</f>
        <v>MESIN KIYOSAKI 1600</v>
      </c>
      <c r="E1901" s="16">
        <v>1</v>
      </c>
      <c r="F1901" s="16">
        <f>VLOOKUP(C1901,[1]master_data!$A$2:$E$495,3,FALSE)</f>
        <v>35000</v>
      </c>
      <c r="G1901" s="16">
        <f>VLOOKUP(C1901,[1]master_data!$A$2:$E$495,4,FALSE)</f>
        <v>65000</v>
      </c>
      <c r="H1901" s="16">
        <f>E1901*F1901</f>
        <v>35000</v>
      </c>
      <c r="I1901" s="16">
        <f>E1901*G1901</f>
        <v>65000</v>
      </c>
      <c r="J1901" s="16">
        <f>I1901-H1901</f>
        <v>30000</v>
      </c>
      <c r="K1901" s="16" t="str">
        <f>VLOOKUP(C1901,[1]master_data!$A$2:$E$495,5,FALSE)</f>
        <v>Aksesoris</v>
      </c>
      <c r="L1901" s="1"/>
    </row>
    <row r="1902" spans="1:12" ht="12" customHeight="1" x14ac:dyDescent="0.25">
      <c r="A1902" s="15">
        <v>45029</v>
      </c>
      <c r="B1902" s="16">
        <v>22300594</v>
      </c>
      <c r="C1902" s="16" t="s">
        <v>404</v>
      </c>
      <c r="D1902" s="16" t="str">
        <f>VLOOKUP(C1902,[1]master_data!$A$2:$E$495,2,FALSE)</f>
        <v>BARBIR</v>
      </c>
      <c r="E1902" s="16">
        <v>15</v>
      </c>
      <c r="F1902" s="16">
        <f>VLOOKUP(C1902,[1]master_data!$A$2:$E$495,3,FALSE)</f>
        <v>800</v>
      </c>
      <c r="G1902" s="16">
        <f>VLOOKUP(C1902,[1]master_data!$A$2:$E$495,4,FALSE)</f>
        <v>2000</v>
      </c>
      <c r="H1902" s="16">
        <f>E1902*F1902</f>
        <v>12000</v>
      </c>
      <c r="I1902" s="16">
        <f>E1902*G1902</f>
        <v>30000</v>
      </c>
      <c r="J1902" s="16">
        <f>I1902-H1902</f>
        <v>18000</v>
      </c>
      <c r="K1902" s="16" t="str">
        <f>VLOOKUP(C1902,[1]master_data!$A$2:$E$495,5,FALSE)</f>
        <v>Ikan</v>
      </c>
      <c r="L1902" s="1"/>
    </row>
    <row r="1903" spans="1:12" ht="12" customHeight="1" x14ac:dyDescent="0.25">
      <c r="A1903" s="15">
        <v>45029</v>
      </c>
      <c r="B1903" s="16">
        <v>22300595</v>
      </c>
      <c r="C1903" s="16" t="s">
        <v>450</v>
      </c>
      <c r="D1903" s="16" t="str">
        <f>VLOOKUP(C1903,[1]master_data!$A$2:$E$495,2,FALSE)</f>
        <v>SNOW WHITE</v>
      </c>
      <c r="E1903" s="16">
        <v>30</v>
      </c>
      <c r="F1903" s="16">
        <f>VLOOKUP(C1903,[1]master_data!$A$2:$E$495,3,FALSE)</f>
        <v>1500</v>
      </c>
      <c r="G1903" s="16">
        <f>VLOOKUP(C1903,[1]master_data!$A$2:$E$495,4,FALSE)</f>
        <v>3000</v>
      </c>
      <c r="H1903" s="16">
        <f>E1903*F1903</f>
        <v>45000</v>
      </c>
      <c r="I1903" s="16">
        <f>E1903*G1903</f>
        <v>90000</v>
      </c>
      <c r="J1903" s="16">
        <f>I1903-H1903</f>
        <v>45000</v>
      </c>
      <c r="K1903" s="16" t="str">
        <f>VLOOKUP(C1903,[1]master_data!$A$2:$E$495,5,FALSE)</f>
        <v>Ikan</v>
      </c>
      <c r="L1903" s="1"/>
    </row>
    <row r="1904" spans="1:12" ht="12" customHeight="1" x14ac:dyDescent="0.25">
      <c r="A1904" s="15">
        <v>45029</v>
      </c>
      <c r="B1904" s="16">
        <v>22300596</v>
      </c>
      <c r="C1904" s="16" t="s">
        <v>424</v>
      </c>
      <c r="D1904" s="16" t="str">
        <f>VLOOKUP(C1904,[1]master_data!$A$2:$E$495,2,FALSE)</f>
        <v>DISCUS</v>
      </c>
      <c r="E1904" s="16">
        <v>2</v>
      </c>
      <c r="F1904" s="16">
        <f>VLOOKUP(C1904,[1]master_data!$A$2:$E$495,3,FALSE)</f>
        <v>50000</v>
      </c>
      <c r="G1904" s="16">
        <f>VLOOKUP(C1904,[1]master_data!$A$2:$E$495,4,FALSE)</f>
        <v>150000</v>
      </c>
      <c r="H1904" s="16">
        <f>E1904*F1904</f>
        <v>100000</v>
      </c>
      <c r="I1904" s="16">
        <f>E1904*G1904</f>
        <v>300000</v>
      </c>
      <c r="J1904" s="16">
        <f>I1904-H1904</f>
        <v>200000</v>
      </c>
      <c r="K1904" s="16" t="str">
        <f>VLOOKUP(C1904,[1]master_data!$A$2:$E$495,5,FALSE)</f>
        <v>Ikan</v>
      </c>
      <c r="L1904" s="1"/>
    </row>
    <row r="1905" spans="1:12" ht="12" customHeight="1" x14ac:dyDescent="0.25">
      <c r="A1905" s="15">
        <v>45029</v>
      </c>
      <c r="B1905" s="16">
        <v>22300597</v>
      </c>
      <c r="C1905" s="16" t="s">
        <v>451</v>
      </c>
      <c r="D1905" s="16" t="str">
        <f>VLOOKUP(C1905,[1]master_data!$A$2:$E$495,2,FALSE)</f>
        <v>SYNODONTIS K</v>
      </c>
      <c r="E1905" s="16">
        <v>30</v>
      </c>
      <c r="F1905" s="16">
        <f>VLOOKUP(C1905,[1]master_data!$A$2:$E$495,3,FALSE)</f>
        <v>1500</v>
      </c>
      <c r="G1905" s="16">
        <f>VLOOKUP(C1905,[1]master_data!$A$2:$E$495,4,FALSE)</f>
        <v>5000</v>
      </c>
      <c r="H1905" s="16">
        <f>E1905*F1905</f>
        <v>45000</v>
      </c>
      <c r="I1905" s="16">
        <f>E1905*G1905</f>
        <v>150000</v>
      </c>
      <c r="J1905" s="16">
        <f>I1905-H1905</f>
        <v>105000</v>
      </c>
      <c r="K1905" s="16" t="str">
        <f>VLOOKUP(C1905,[1]master_data!$A$2:$E$495,5,FALSE)</f>
        <v>Ikan</v>
      </c>
      <c r="L1905" s="1"/>
    </row>
    <row r="1906" spans="1:12" ht="12" customHeight="1" x14ac:dyDescent="0.25">
      <c r="A1906" s="15">
        <v>45029</v>
      </c>
      <c r="B1906" s="16">
        <v>22300598</v>
      </c>
      <c r="C1906" s="16" t="s">
        <v>287</v>
      </c>
      <c r="D1906" s="16" t="str">
        <f>VLOOKUP(C1906,[1]master_data!$A$2:$E$495,2,FALSE)</f>
        <v>KAPAS 2X1</v>
      </c>
      <c r="E1906" s="16">
        <v>10</v>
      </c>
      <c r="F1906" s="16">
        <f>VLOOKUP(C1906,[1]master_data!$A$2:$E$495,3,FALSE)</f>
        <v>35000</v>
      </c>
      <c r="G1906" s="16">
        <f>VLOOKUP(C1906,[1]master_data!$A$2:$E$495,4,FALSE)</f>
        <v>40000</v>
      </c>
      <c r="H1906" s="16">
        <f>E1906*F1906</f>
        <v>350000</v>
      </c>
      <c r="I1906" s="16">
        <f>E1906*G1906</f>
        <v>400000</v>
      </c>
      <c r="J1906" s="16">
        <f>I1906-H1906</f>
        <v>50000</v>
      </c>
      <c r="K1906" s="16" t="str">
        <f>VLOOKUP(C1906,[1]master_data!$A$2:$E$495,5,FALSE)</f>
        <v>Aksesoris</v>
      </c>
      <c r="L1906" s="1"/>
    </row>
    <row r="1907" spans="1:12" ht="12" customHeight="1" x14ac:dyDescent="0.25">
      <c r="A1907" s="15">
        <v>45029</v>
      </c>
      <c r="B1907" s="16">
        <v>22300599</v>
      </c>
      <c r="C1907" s="16" t="s">
        <v>419</v>
      </c>
      <c r="D1907" s="16" t="str">
        <f>VLOOKUP(C1907,[1]master_data!$A$2:$E$495,2,FALSE)</f>
        <v>KOMET PAKAN</v>
      </c>
      <c r="E1907" s="16">
        <v>75</v>
      </c>
      <c r="F1907" s="16">
        <f>VLOOKUP(C1907,[1]master_data!$A$2:$E$495,3,FALSE)</f>
        <v>300</v>
      </c>
      <c r="G1907" s="16">
        <f>VLOOKUP(C1907,[1]master_data!$A$2:$E$495,4,FALSE)</f>
        <v>1000</v>
      </c>
      <c r="H1907" s="16">
        <f>E1907*F1907</f>
        <v>22500</v>
      </c>
      <c r="I1907" s="16">
        <f>E1907*G1907</f>
        <v>75000</v>
      </c>
      <c r="J1907" s="16">
        <f>I1907-H1907</f>
        <v>52500</v>
      </c>
      <c r="K1907" s="16" t="str">
        <f>VLOOKUP(C1907,[1]master_data!$A$2:$E$495,5,FALSE)</f>
        <v>Ikan</v>
      </c>
      <c r="L1907" s="1"/>
    </row>
    <row r="1908" spans="1:12" ht="12" customHeight="1" x14ac:dyDescent="0.25">
      <c r="A1908" s="15">
        <v>45029</v>
      </c>
      <c r="B1908" s="16">
        <v>22300600</v>
      </c>
      <c r="C1908" s="16" t="s">
        <v>90</v>
      </c>
      <c r="D1908" s="16" t="str">
        <f>VLOOKUP(C1908,[1]master_data!$A$2:$E$495,2,FALSE)</f>
        <v>MESIN RECENT WV 3000</v>
      </c>
      <c r="E1908" s="16">
        <v>1</v>
      </c>
      <c r="F1908" s="16">
        <f>VLOOKUP(C1908,[1]master_data!$A$2:$E$495,3,FALSE)</f>
        <v>59000</v>
      </c>
      <c r="G1908" s="16">
        <f>VLOOKUP(C1908,[1]master_data!$A$2:$E$495,4,FALSE)</f>
        <v>85000</v>
      </c>
      <c r="H1908" s="16">
        <f>E1908*F1908</f>
        <v>59000</v>
      </c>
      <c r="I1908" s="16">
        <f>E1908*G1908</f>
        <v>85000</v>
      </c>
      <c r="J1908" s="16">
        <f>I1908-H1908</f>
        <v>26000</v>
      </c>
      <c r="K1908" s="16" t="str">
        <f>VLOOKUP(C1908,[1]master_data!$A$2:$E$495,5,FALSE)</f>
        <v>Aksesoris</v>
      </c>
      <c r="L1908" s="1"/>
    </row>
    <row r="1909" spans="1:12" ht="12" customHeight="1" x14ac:dyDescent="0.25">
      <c r="A1909" s="15">
        <v>45029</v>
      </c>
      <c r="B1909" s="16">
        <v>22300601</v>
      </c>
      <c r="C1909" s="16" t="s">
        <v>243</v>
      </c>
      <c r="D1909" s="16" t="str">
        <f>VLOOKUP(C1909,[1]master_data!$A$2:$E$495,2,FALSE)</f>
        <v>FISH ALL CONTRA BACTERIAL</v>
      </c>
      <c r="E1909" s="16">
        <v>3</v>
      </c>
      <c r="F1909" s="16">
        <f>VLOOKUP(C1909,[1]master_data!$A$2:$E$495,3,FALSE)</f>
        <v>6500</v>
      </c>
      <c r="G1909" s="16">
        <f>VLOOKUP(C1909,[1]master_data!$A$2:$E$495,4,FALSE)</f>
        <v>12000</v>
      </c>
      <c r="H1909" s="16">
        <f>E1909*F1909</f>
        <v>19500</v>
      </c>
      <c r="I1909" s="16">
        <f>E1909*G1909</f>
        <v>36000</v>
      </c>
      <c r="J1909" s="16">
        <f>I1909-H1909</f>
        <v>16500</v>
      </c>
      <c r="K1909" s="16" t="str">
        <f>VLOOKUP(C1909,[1]master_data!$A$2:$E$495,5,FALSE)</f>
        <v>Aksesoris</v>
      </c>
      <c r="L1909" s="1"/>
    </row>
    <row r="1910" spans="1:12" ht="12" customHeight="1" x14ac:dyDescent="0.25">
      <c r="A1910" s="15">
        <v>45029</v>
      </c>
      <c r="B1910" s="16">
        <v>22300602</v>
      </c>
      <c r="C1910" s="16" t="s">
        <v>405</v>
      </c>
      <c r="D1910" s="16" t="str">
        <f>VLOOKUP(C1910,[1]master_data!$A$2:$E$495,2,FALSE)</f>
        <v>CUPANG</v>
      </c>
      <c r="E1910" s="16">
        <v>1</v>
      </c>
      <c r="F1910" s="16">
        <f>VLOOKUP(C1910,[1]master_data!$A$2:$E$495,3,FALSE)</f>
        <v>2000</v>
      </c>
      <c r="G1910" s="16">
        <f>VLOOKUP(C1910,[1]master_data!$A$2:$E$495,4,FALSE)</f>
        <v>5000</v>
      </c>
      <c r="H1910" s="16">
        <f>E1910*F1910</f>
        <v>2000</v>
      </c>
      <c r="I1910" s="16">
        <f>E1910*G1910</f>
        <v>5000</v>
      </c>
      <c r="J1910" s="16">
        <f>I1910-H1910</f>
        <v>3000</v>
      </c>
      <c r="K1910" s="16" t="str">
        <f>VLOOKUP(C1910,[1]master_data!$A$2:$E$495,5,FALSE)</f>
        <v>Ikan</v>
      </c>
      <c r="L1910" s="1"/>
    </row>
    <row r="1911" spans="1:12" ht="12" customHeight="1" x14ac:dyDescent="0.25">
      <c r="A1911" s="15">
        <v>45028</v>
      </c>
      <c r="B1911" s="16">
        <v>22300589</v>
      </c>
      <c r="C1911" s="16" t="s">
        <v>20</v>
      </c>
      <c r="D1911" s="16" t="str">
        <f>VLOOKUP(C1911,[1]master_data!$A$2:$E$495,2,FALSE)</f>
        <v>MESIN ROSTON 1200</v>
      </c>
      <c r="E1911" s="16">
        <v>2</v>
      </c>
      <c r="F1911" s="16">
        <f>VLOOKUP(C1911,[1]master_data!$A$2:$E$495,3,FALSE)</f>
        <v>23000</v>
      </c>
      <c r="G1911" s="16">
        <f>VLOOKUP(C1911,[1]master_data!$A$2:$E$495,4,FALSE)</f>
        <v>35000</v>
      </c>
      <c r="H1911" s="16">
        <f>E1911*F1911</f>
        <v>46000</v>
      </c>
      <c r="I1911" s="16">
        <f>E1911*G1911</f>
        <v>70000</v>
      </c>
      <c r="J1911" s="16">
        <f>I1911-H1911</f>
        <v>24000</v>
      </c>
      <c r="K1911" s="16" t="str">
        <f>VLOOKUP(C1911,[1]master_data!$A$2:$E$495,5,FALSE)</f>
        <v>Aksesoris</v>
      </c>
      <c r="L1911" s="1"/>
    </row>
    <row r="1912" spans="1:12" ht="12" customHeight="1" x14ac:dyDescent="0.25">
      <c r="A1912" s="15">
        <v>45028</v>
      </c>
      <c r="B1912" s="16">
        <v>22300590</v>
      </c>
      <c r="C1912" s="16" t="s">
        <v>97</v>
      </c>
      <c r="D1912" s="16" t="str">
        <f>VLOOKUP(C1912,[1]master_data!$A$2:$E$495,2,FALSE)</f>
        <v>MESIN AMARA 1000 L</v>
      </c>
      <c r="E1912" s="16">
        <v>5</v>
      </c>
      <c r="F1912" s="16">
        <f>VLOOKUP(C1912,[1]master_data!$A$2:$E$495,3,FALSE)</f>
        <v>34500</v>
      </c>
      <c r="G1912" s="16">
        <f>VLOOKUP(C1912,[1]master_data!$A$2:$E$495,4,FALSE)</f>
        <v>50000</v>
      </c>
      <c r="H1912" s="16">
        <f>E1912*F1912</f>
        <v>172500</v>
      </c>
      <c r="I1912" s="16">
        <f>E1912*G1912</f>
        <v>250000</v>
      </c>
      <c r="J1912" s="16">
        <f>I1912-H1912</f>
        <v>77500</v>
      </c>
      <c r="K1912" s="16" t="str">
        <f>VLOOKUP(C1912,[1]master_data!$A$2:$E$495,5,FALSE)</f>
        <v>Aksesoris</v>
      </c>
      <c r="L1912" s="1"/>
    </row>
    <row r="1913" spans="1:12" ht="12" customHeight="1" x14ac:dyDescent="0.25">
      <c r="A1913" s="15">
        <v>45028</v>
      </c>
      <c r="B1913" s="16">
        <v>22300591</v>
      </c>
      <c r="C1913" s="16" t="s">
        <v>436</v>
      </c>
      <c r="D1913" s="16" t="str">
        <f>VLOOKUP(C1913,[1]master_data!$A$2:$E$495,2,FALSE)</f>
        <v>NENTINEN</v>
      </c>
      <c r="E1913" s="16">
        <v>30</v>
      </c>
      <c r="F1913" s="16">
        <f>VLOOKUP(C1913,[1]master_data!$A$2:$E$495,3,FALSE)</f>
        <v>1000</v>
      </c>
      <c r="G1913" s="16">
        <f>VLOOKUP(C1913,[1]master_data!$A$2:$E$495,4,FALSE)</f>
        <v>2500</v>
      </c>
      <c r="H1913" s="16">
        <f>E1913*F1913</f>
        <v>30000</v>
      </c>
      <c r="I1913" s="16">
        <f>E1913*G1913</f>
        <v>75000</v>
      </c>
      <c r="J1913" s="16">
        <f>I1913-H1913</f>
        <v>45000</v>
      </c>
      <c r="K1913" s="16" t="str">
        <f>VLOOKUP(C1913,[1]master_data!$A$2:$E$495,5,FALSE)</f>
        <v>Ikan</v>
      </c>
      <c r="L1913" s="1"/>
    </row>
    <row r="1914" spans="1:12" ht="12" customHeight="1" x14ac:dyDescent="0.25">
      <c r="A1914" s="15">
        <v>45028</v>
      </c>
      <c r="B1914" s="16">
        <v>22300592</v>
      </c>
      <c r="C1914" s="16" t="s">
        <v>433</v>
      </c>
      <c r="D1914" s="16" t="str">
        <f>VLOOKUP(C1914,[1]master_data!$A$2:$E$495,2,FALSE)</f>
        <v>MOLI BALON</v>
      </c>
      <c r="E1914" s="16">
        <v>30</v>
      </c>
      <c r="F1914" s="16">
        <f>VLOOKUP(C1914,[1]master_data!$A$2:$E$495,3,FALSE)</f>
        <v>800</v>
      </c>
      <c r="G1914" s="16">
        <f>VLOOKUP(C1914,[1]master_data!$A$2:$E$495,4,FALSE)</f>
        <v>2000</v>
      </c>
      <c r="H1914" s="16">
        <f>E1914*F1914</f>
        <v>24000</v>
      </c>
      <c r="I1914" s="16">
        <f>E1914*G1914</f>
        <v>60000</v>
      </c>
      <c r="J1914" s="16">
        <f>I1914-H1914</f>
        <v>36000</v>
      </c>
      <c r="K1914" s="16" t="str">
        <f>VLOOKUP(C1914,[1]master_data!$A$2:$E$495,5,FALSE)</f>
        <v>Ikan</v>
      </c>
      <c r="L1914" s="1"/>
    </row>
    <row r="1915" spans="1:12" ht="12" customHeight="1" x14ac:dyDescent="0.25">
      <c r="A1915" s="15">
        <v>45028</v>
      </c>
      <c r="B1915" s="16">
        <v>22300593</v>
      </c>
      <c r="C1915" s="16" t="s">
        <v>391</v>
      </c>
      <c r="D1915" s="16" t="str">
        <f>VLOOKUP(C1915,[1]master_data!$A$2:$E$495,2,FALSE)</f>
        <v>CHANNA ANDRAO B</v>
      </c>
      <c r="E1915" s="16">
        <v>2</v>
      </c>
      <c r="F1915" s="16">
        <f>VLOOKUP(C1915,[1]master_data!$A$2:$E$495,3,FALSE)</f>
        <v>100000</v>
      </c>
      <c r="G1915" s="16">
        <f>VLOOKUP(C1915,[1]master_data!$A$2:$E$495,4,FALSE)</f>
        <v>200000</v>
      </c>
      <c r="H1915" s="16">
        <f>E1915*F1915</f>
        <v>200000</v>
      </c>
      <c r="I1915" s="16">
        <f>E1915*G1915</f>
        <v>400000</v>
      </c>
      <c r="J1915" s="16">
        <f>I1915-H1915</f>
        <v>200000</v>
      </c>
      <c r="K1915" s="16" t="str">
        <f>VLOOKUP(C1915,[1]master_data!$A$2:$E$495,5,FALSE)</f>
        <v>Ikan</v>
      </c>
      <c r="L1915" s="1"/>
    </row>
    <row r="1916" spans="1:12" ht="12" customHeight="1" x14ac:dyDescent="0.25">
      <c r="A1916" s="15">
        <v>45027</v>
      </c>
      <c r="B1916" s="16">
        <v>22300583</v>
      </c>
      <c r="C1916" s="16" t="s">
        <v>391</v>
      </c>
      <c r="D1916" s="16" t="str">
        <f>VLOOKUP(C1916,[1]master_data!$A$2:$E$495,2,FALSE)</f>
        <v>CHANNA ANDRAO B</v>
      </c>
      <c r="E1916" s="16">
        <v>2</v>
      </c>
      <c r="F1916" s="16">
        <f>VLOOKUP(C1916,[1]master_data!$A$2:$E$495,3,FALSE)</f>
        <v>100000</v>
      </c>
      <c r="G1916" s="16">
        <f>VLOOKUP(C1916,[1]master_data!$A$2:$E$495,4,FALSE)</f>
        <v>200000</v>
      </c>
      <c r="H1916" s="16">
        <f>E1916*F1916</f>
        <v>200000</v>
      </c>
      <c r="I1916" s="16">
        <f>E1916*G1916</f>
        <v>400000</v>
      </c>
      <c r="J1916" s="16">
        <f>I1916-H1916</f>
        <v>200000</v>
      </c>
      <c r="K1916" s="16" t="str">
        <f>VLOOKUP(C1916,[1]master_data!$A$2:$E$495,5,FALSE)</f>
        <v>Ikan</v>
      </c>
      <c r="L1916" s="1"/>
    </row>
    <row r="1917" spans="1:12" ht="12" customHeight="1" x14ac:dyDescent="0.25">
      <c r="A1917" s="15">
        <v>45027</v>
      </c>
      <c r="B1917" s="16">
        <v>22300584</v>
      </c>
      <c r="C1917" s="16" t="s">
        <v>430</v>
      </c>
      <c r="D1917" s="16" t="str">
        <f>VLOOKUP(C1917,[1]master_data!$A$2:$E$495,2,FALSE)</f>
        <v>MARU K</v>
      </c>
      <c r="E1917" s="16">
        <v>1</v>
      </c>
      <c r="F1917" s="16">
        <f>VLOOKUP(C1917,[1]master_data!$A$2:$E$495,3,FALSE)</f>
        <v>23000</v>
      </c>
      <c r="G1917" s="16">
        <f>VLOOKUP(C1917,[1]master_data!$A$2:$E$495,4,FALSE)</f>
        <v>50000</v>
      </c>
      <c r="H1917" s="16">
        <f>E1917*F1917</f>
        <v>23000</v>
      </c>
      <c r="I1917" s="16">
        <f>E1917*G1917</f>
        <v>50000</v>
      </c>
      <c r="J1917" s="16">
        <f>I1917-H1917</f>
        <v>27000</v>
      </c>
      <c r="K1917" s="16" t="str">
        <f>VLOOKUP(C1917,[1]master_data!$A$2:$E$495,5,FALSE)</f>
        <v>Ikan</v>
      </c>
      <c r="L1917" s="1"/>
    </row>
    <row r="1918" spans="1:12" ht="12" customHeight="1" x14ac:dyDescent="0.25">
      <c r="A1918" s="15">
        <v>45027</v>
      </c>
      <c r="B1918" s="16">
        <v>22300585</v>
      </c>
      <c r="C1918" s="16" t="s">
        <v>142</v>
      </c>
      <c r="D1918" s="16" t="str">
        <f>VLOOKUP(C1918,[1]master_data!$A$2:$E$495,2,FALSE)</f>
        <v>LED YANG HW 45 CM</v>
      </c>
      <c r="E1918" s="16">
        <v>5</v>
      </c>
      <c r="F1918" s="16">
        <f>VLOOKUP(C1918,[1]master_data!$A$2:$E$495,3,FALSE)</f>
        <v>70000</v>
      </c>
      <c r="G1918" s="16">
        <f>VLOOKUP(C1918,[1]master_data!$A$2:$E$495,4,FALSE)</f>
        <v>90000</v>
      </c>
      <c r="H1918" s="16">
        <f>E1918*F1918</f>
        <v>350000</v>
      </c>
      <c r="I1918" s="16">
        <f>E1918*G1918</f>
        <v>450000</v>
      </c>
      <c r="J1918" s="16">
        <f>I1918-H1918</f>
        <v>100000</v>
      </c>
      <c r="K1918" s="16" t="str">
        <f>VLOOKUP(C1918,[1]master_data!$A$2:$E$495,5,FALSE)</f>
        <v>Aksesoris</v>
      </c>
      <c r="L1918" s="1"/>
    </row>
    <row r="1919" spans="1:12" ht="12" customHeight="1" x14ac:dyDescent="0.25">
      <c r="A1919" s="15">
        <v>45027</v>
      </c>
      <c r="B1919" s="16">
        <v>22300586</v>
      </c>
      <c r="C1919" s="16" t="s">
        <v>178</v>
      </c>
      <c r="D1919" s="16" t="str">
        <f>VLOOKUP(C1919,[1]master_data!$A$2:$E$495,2,FALSE)</f>
        <v>LED HAILONG H400</v>
      </c>
      <c r="E1919" s="16">
        <v>6</v>
      </c>
      <c r="F1919" s="16">
        <f>VLOOKUP(C1919,[1]master_data!$A$2:$E$495,3,FALSE)</f>
        <v>54000</v>
      </c>
      <c r="G1919" s="16">
        <f>VLOOKUP(C1919,[1]master_data!$A$2:$E$495,4,FALSE)</f>
        <v>80000</v>
      </c>
      <c r="H1919" s="16">
        <f>E1919*F1919</f>
        <v>324000</v>
      </c>
      <c r="I1919" s="16">
        <f>E1919*G1919</f>
        <v>480000</v>
      </c>
      <c r="J1919" s="16">
        <f>I1919-H1919</f>
        <v>156000</v>
      </c>
      <c r="K1919" s="16" t="str">
        <f>VLOOKUP(C1919,[1]master_data!$A$2:$E$495,5,FALSE)</f>
        <v>Aksesoris</v>
      </c>
      <c r="L1919" s="1"/>
    </row>
    <row r="1920" spans="1:12" ht="12" customHeight="1" x14ac:dyDescent="0.25">
      <c r="A1920" s="15">
        <v>45027</v>
      </c>
      <c r="B1920" s="16">
        <v>22300587</v>
      </c>
      <c r="C1920" s="16" t="s">
        <v>396</v>
      </c>
      <c r="D1920" s="16" t="str">
        <f>VLOOKUP(C1920,[1]master_data!$A$2:$E$495,2,FALSE)</f>
        <v>BIPOLAR</v>
      </c>
      <c r="E1920" s="16">
        <v>10</v>
      </c>
      <c r="F1920" s="16">
        <f>VLOOKUP(C1920,[1]master_data!$A$2:$E$495,3,FALSE)</f>
        <v>1000</v>
      </c>
      <c r="G1920" s="16">
        <f>VLOOKUP(C1920,[1]master_data!$A$2:$E$495,4,FALSE)</f>
        <v>2500</v>
      </c>
      <c r="H1920" s="16">
        <f>E1920*F1920</f>
        <v>10000</v>
      </c>
      <c r="I1920" s="16">
        <f>E1920*G1920</f>
        <v>25000</v>
      </c>
      <c r="J1920" s="16">
        <f>I1920-H1920</f>
        <v>15000</v>
      </c>
      <c r="K1920" s="16" t="str">
        <f>VLOOKUP(C1920,[1]master_data!$A$2:$E$495,5,FALSE)</f>
        <v>Ikan</v>
      </c>
      <c r="L1920" s="1"/>
    </row>
    <row r="1921" spans="1:12" ht="12" customHeight="1" x14ac:dyDescent="0.25">
      <c r="A1921" s="15">
        <v>45027</v>
      </c>
      <c r="B1921" s="16">
        <v>22300588</v>
      </c>
      <c r="C1921" s="16" t="s">
        <v>455</v>
      </c>
      <c r="D1921" s="16" t="str">
        <f>VLOOKUP(C1921,[1]master_data!$A$2:$E$495,2,FALSE)</f>
        <v>ZEBRA PINK</v>
      </c>
      <c r="E1921" s="16">
        <v>200</v>
      </c>
      <c r="F1921" s="16">
        <f>VLOOKUP(C1921,[1]master_data!$A$2:$E$495,3,FALSE)</f>
        <v>800</v>
      </c>
      <c r="G1921" s="16">
        <f>VLOOKUP(C1921,[1]master_data!$A$2:$E$495,4,FALSE)</f>
        <v>2000</v>
      </c>
      <c r="H1921" s="16">
        <f>E1921*F1921</f>
        <v>160000</v>
      </c>
      <c r="I1921" s="16">
        <f>E1921*G1921</f>
        <v>400000</v>
      </c>
      <c r="J1921" s="16">
        <f>I1921-H1921</f>
        <v>240000</v>
      </c>
      <c r="K1921" s="16" t="str">
        <f>VLOOKUP(C1921,[1]master_data!$A$2:$E$495,5,FALSE)</f>
        <v>Ikan</v>
      </c>
      <c r="L1921" s="1"/>
    </row>
    <row r="1922" spans="1:12" ht="12" customHeight="1" x14ac:dyDescent="0.25">
      <c r="A1922" s="15">
        <v>45026</v>
      </c>
      <c r="B1922" s="16">
        <v>22300576</v>
      </c>
      <c r="C1922" s="16" t="s">
        <v>456</v>
      </c>
      <c r="D1922" s="16" t="str">
        <f>VLOOKUP(C1922,[1]master_data!$A$2:$E$495,2,FALSE)</f>
        <v>ZEBRA HIJAU</v>
      </c>
      <c r="E1922" s="16">
        <v>25</v>
      </c>
      <c r="F1922" s="16">
        <f>VLOOKUP(C1922,[1]master_data!$A$2:$E$495,3,FALSE)</f>
        <v>800</v>
      </c>
      <c r="G1922" s="16">
        <f>VLOOKUP(C1922,[1]master_data!$A$2:$E$495,4,FALSE)</f>
        <v>2000</v>
      </c>
      <c r="H1922" s="16">
        <f>E1922*F1922</f>
        <v>20000</v>
      </c>
      <c r="I1922" s="16">
        <f>E1922*G1922</f>
        <v>50000</v>
      </c>
      <c r="J1922" s="16">
        <f>I1922-H1922</f>
        <v>30000</v>
      </c>
      <c r="K1922" s="16" t="str">
        <f>VLOOKUP(C1922,[1]master_data!$A$2:$E$495,5,FALSE)</f>
        <v>Ikan</v>
      </c>
      <c r="L1922" s="1"/>
    </row>
    <row r="1923" spans="1:12" ht="12" customHeight="1" x14ac:dyDescent="0.25">
      <c r="A1923" s="15">
        <v>45026</v>
      </c>
      <c r="B1923" s="16">
        <v>22300577</v>
      </c>
      <c r="C1923" s="16" t="s">
        <v>40</v>
      </c>
      <c r="D1923" s="16" t="str">
        <f>VLOOKUP(C1923,[1]master_data!$A$2:$E$495,2,FALSE)</f>
        <v>MESIN YAMANO 106</v>
      </c>
      <c r="E1923" s="16">
        <v>1</v>
      </c>
      <c r="F1923" s="16">
        <f>VLOOKUP(C1923,[1]master_data!$A$2:$E$495,3,FALSE)</f>
        <v>239000</v>
      </c>
      <c r="G1923" s="16">
        <f>VLOOKUP(C1923,[1]master_data!$A$2:$E$495,4,FALSE)</f>
        <v>285000</v>
      </c>
      <c r="H1923" s="16">
        <f>E1923*F1923</f>
        <v>239000</v>
      </c>
      <c r="I1923" s="16">
        <f>E1923*G1923</f>
        <v>285000</v>
      </c>
      <c r="J1923" s="16">
        <f>I1923-H1923</f>
        <v>46000</v>
      </c>
      <c r="K1923" s="16" t="str">
        <f>VLOOKUP(C1923,[1]master_data!$A$2:$E$495,5,FALSE)</f>
        <v>Aksesoris</v>
      </c>
      <c r="L1923" s="1"/>
    </row>
    <row r="1924" spans="1:12" ht="12" customHeight="1" x14ac:dyDescent="0.25">
      <c r="A1924" s="15">
        <v>45026</v>
      </c>
      <c r="B1924" s="16">
        <v>22300578</v>
      </c>
      <c r="C1924" s="16" t="s">
        <v>403</v>
      </c>
      <c r="D1924" s="16" t="str">
        <f>VLOOKUP(C1924,[1]master_data!$A$2:$E$495,2,FALSE)</f>
        <v>KOMET BOKIM</v>
      </c>
      <c r="E1924" s="16">
        <v>30</v>
      </c>
      <c r="F1924" s="16">
        <f>VLOOKUP(C1924,[1]master_data!$A$2:$E$495,3,FALSE)</f>
        <v>1500</v>
      </c>
      <c r="G1924" s="16">
        <f>VLOOKUP(C1924,[1]master_data!$A$2:$E$495,4,FALSE)</f>
        <v>5000</v>
      </c>
      <c r="H1924" s="16">
        <f>E1924*F1924</f>
        <v>45000</v>
      </c>
      <c r="I1924" s="16">
        <f>E1924*G1924</f>
        <v>150000</v>
      </c>
      <c r="J1924" s="16">
        <f>I1924-H1924</f>
        <v>105000</v>
      </c>
      <c r="K1924" s="16" t="str">
        <f>VLOOKUP(C1924,[1]master_data!$A$2:$E$495,5,FALSE)</f>
        <v>Ikan</v>
      </c>
      <c r="L1924" s="1"/>
    </row>
    <row r="1925" spans="1:12" ht="12" customHeight="1" x14ac:dyDescent="0.25">
      <c r="A1925" s="15">
        <v>45026</v>
      </c>
      <c r="B1925" s="16">
        <v>22300579</v>
      </c>
      <c r="C1925" s="16" t="s">
        <v>449</v>
      </c>
      <c r="D1925" s="16" t="str">
        <f>VLOOKUP(C1925,[1]master_data!$A$2:$E$495,2,FALSE)</f>
        <v>SUMATRA GOLD FISH</v>
      </c>
      <c r="E1925" s="16">
        <v>50</v>
      </c>
      <c r="F1925" s="16">
        <f>VLOOKUP(C1925,[1]master_data!$A$2:$E$495,3,FALSE)</f>
        <v>2500</v>
      </c>
      <c r="G1925" s="16">
        <f>VLOOKUP(C1925,[1]master_data!$A$2:$E$495,4,FALSE)</f>
        <v>4000</v>
      </c>
      <c r="H1925" s="16">
        <f>E1925*F1925</f>
        <v>125000</v>
      </c>
      <c r="I1925" s="16">
        <f>E1925*G1925</f>
        <v>200000</v>
      </c>
      <c r="J1925" s="16">
        <f>I1925-H1925</f>
        <v>75000</v>
      </c>
      <c r="K1925" s="16" t="str">
        <f>VLOOKUP(C1925,[1]master_data!$A$2:$E$495,5,FALSE)</f>
        <v>Ikan</v>
      </c>
      <c r="L1925" s="1"/>
    </row>
    <row r="1926" spans="1:12" ht="12" customHeight="1" x14ac:dyDescent="0.25">
      <c r="A1926" s="15">
        <v>45026</v>
      </c>
      <c r="B1926" s="16">
        <v>22300580</v>
      </c>
      <c r="C1926" s="16" t="s">
        <v>12</v>
      </c>
      <c r="D1926" s="16" t="str">
        <f>VLOOKUP(C1926,[1]master_data!$A$2:$E$495,2,FALSE)</f>
        <v>MESIN YANG 104</v>
      </c>
      <c r="E1926" s="16">
        <v>2</v>
      </c>
      <c r="F1926" s="16">
        <f>VLOOKUP(C1926,[1]master_data!$A$2:$E$495,3,FALSE)</f>
        <v>98000</v>
      </c>
      <c r="G1926" s="16">
        <f>VLOOKUP(C1926,[1]master_data!$A$2:$E$495,4,FALSE)</f>
        <v>140000</v>
      </c>
      <c r="H1926" s="16">
        <f>E1926*F1926</f>
        <v>196000</v>
      </c>
      <c r="I1926" s="16">
        <f>E1926*G1926</f>
        <v>280000</v>
      </c>
      <c r="J1926" s="16">
        <f>I1926-H1926</f>
        <v>84000</v>
      </c>
      <c r="K1926" s="16" t="str">
        <f>VLOOKUP(C1926,[1]master_data!$A$2:$E$495,5,FALSE)</f>
        <v>Aksesoris</v>
      </c>
      <c r="L1926" s="1"/>
    </row>
    <row r="1927" spans="1:12" ht="12" customHeight="1" x14ac:dyDescent="0.25">
      <c r="A1927" s="15">
        <v>45026</v>
      </c>
      <c r="B1927" s="16">
        <v>22300581</v>
      </c>
      <c r="C1927" s="16" t="s">
        <v>167</v>
      </c>
      <c r="D1927" s="16" t="str">
        <f>VLOOKUP(C1927,[1]master_data!$A$2:$E$495,2,FALSE)</f>
        <v>LED RECENT ATAS 3 MODE 80 CM</v>
      </c>
      <c r="E1927" s="16">
        <v>2</v>
      </c>
      <c r="F1927" s="16">
        <f>VLOOKUP(C1927,[1]master_data!$A$2:$E$495,3,FALSE)</f>
        <v>88000</v>
      </c>
      <c r="G1927" s="16">
        <f>VLOOKUP(C1927,[1]master_data!$A$2:$E$495,4,FALSE)</f>
        <v>130000</v>
      </c>
      <c r="H1927" s="16">
        <f>E1927*F1927</f>
        <v>176000</v>
      </c>
      <c r="I1927" s="16">
        <f>E1927*G1927</f>
        <v>260000</v>
      </c>
      <c r="J1927" s="16">
        <f>I1927-H1927</f>
        <v>84000</v>
      </c>
      <c r="K1927" s="16" t="str">
        <f>VLOOKUP(C1927,[1]master_data!$A$2:$E$495,5,FALSE)</f>
        <v>Aksesoris</v>
      </c>
      <c r="L1927" s="1"/>
    </row>
    <row r="1928" spans="1:12" ht="12" customHeight="1" x14ac:dyDescent="0.25">
      <c r="A1928" s="15">
        <v>45026</v>
      </c>
      <c r="B1928" s="16">
        <v>22300582</v>
      </c>
      <c r="C1928" s="16" t="s">
        <v>242</v>
      </c>
      <c r="D1928" s="16" t="str">
        <f>VLOOKUP(C1928,[1]master_data!$A$2:$E$495,2,FALSE)</f>
        <v>BACTERIAL STATER</v>
      </c>
      <c r="E1928" s="16">
        <v>9</v>
      </c>
      <c r="F1928" s="16">
        <f>VLOOKUP(C1928,[1]master_data!$A$2:$E$495,3,FALSE)</f>
        <v>10000</v>
      </c>
      <c r="G1928" s="16">
        <f>VLOOKUP(C1928,[1]master_data!$A$2:$E$495,4,FALSE)</f>
        <v>15000</v>
      </c>
      <c r="H1928" s="16">
        <f>E1928*F1928</f>
        <v>90000</v>
      </c>
      <c r="I1928" s="16">
        <f>E1928*G1928</f>
        <v>135000</v>
      </c>
      <c r="J1928" s="16">
        <f>I1928-H1928</f>
        <v>45000</v>
      </c>
      <c r="K1928" s="16" t="str">
        <f>VLOOKUP(C1928,[1]master_data!$A$2:$E$495,5,FALSE)</f>
        <v>Aksesoris</v>
      </c>
      <c r="L1928" s="1"/>
    </row>
    <row r="1929" spans="1:12" ht="12" customHeight="1" x14ac:dyDescent="0.25">
      <c r="A1929" s="15">
        <v>45025</v>
      </c>
      <c r="B1929" s="16">
        <v>22300570</v>
      </c>
      <c r="C1929" s="16" t="s">
        <v>94</v>
      </c>
      <c r="D1929" s="16" t="str">
        <f>VLOOKUP(C1929,[1]master_data!$A$2:$E$495,2,FALSE)</f>
        <v>MESIN KANDILA MAGURA 104</v>
      </c>
      <c r="E1929" s="16">
        <v>2</v>
      </c>
      <c r="F1929" s="16">
        <f>VLOOKUP(C1929,[1]master_data!$A$2:$E$495,3,FALSE)</f>
        <v>100000</v>
      </c>
      <c r="G1929" s="16">
        <f>VLOOKUP(C1929,[1]master_data!$A$2:$E$495,4,FALSE)</f>
        <v>135000</v>
      </c>
      <c r="H1929" s="16">
        <f>E1929*F1929</f>
        <v>200000</v>
      </c>
      <c r="I1929" s="16">
        <f>E1929*G1929</f>
        <v>270000</v>
      </c>
      <c r="J1929" s="16">
        <f>I1929-H1929</f>
        <v>70000</v>
      </c>
      <c r="K1929" s="16" t="str">
        <f>VLOOKUP(C1929,[1]master_data!$A$2:$E$495,5,FALSE)</f>
        <v>Aksesoris</v>
      </c>
      <c r="L1929" s="1"/>
    </row>
    <row r="1930" spans="1:12" ht="12" customHeight="1" x14ac:dyDescent="0.25">
      <c r="A1930" s="15">
        <v>45025</v>
      </c>
      <c r="B1930" s="16">
        <v>22300571</v>
      </c>
      <c r="C1930" s="16" t="s">
        <v>193</v>
      </c>
      <c r="D1930" s="16" t="str">
        <f>VLOOKUP(C1930,[1]master_data!$A$2:$E$495,2,FALSE)</f>
        <v>LED KANDILA DnN ECO 80 CM</v>
      </c>
      <c r="E1930" s="16">
        <v>1</v>
      </c>
      <c r="F1930" s="16">
        <f>VLOOKUP(C1930,[1]master_data!$A$2:$E$495,3,FALSE)</f>
        <v>78000</v>
      </c>
      <c r="G1930" s="16">
        <f>VLOOKUP(C1930,[1]master_data!$A$2:$E$495,4,FALSE)</f>
        <v>110000</v>
      </c>
      <c r="H1930" s="16">
        <f>E1930*F1930</f>
        <v>78000</v>
      </c>
      <c r="I1930" s="16">
        <f>E1930*G1930</f>
        <v>110000</v>
      </c>
      <c r="J1930" s="16">
        <f>I1930-H1930</f>
        <v>32000</v>
      </c>
      <c r="K1930" s="16" t="str">
        <f>VLOOKUP(C1930,[1]master_data!$A$2:$E$495,5,FALSE)</f>
        <v>Aksesoris</v>
      </c>
      <c r="L1930" s="1"/>
    </row>
    <row r="1931" spans="1:12" ht="12" customHeight="1" x14ac:dyDescent="0.25">
      <c r="A1931" s="15">
        <v>45025</v>
      </c>
      <c r="B1931" s="16">
        <v>22300572</v>
      </c>
      <c r="C1931" s="16" t="s">
        <v>37</v>
      </c>
      <c r="D1931" s="16" t="str">
        <f>VLOOKUP(C1931,[1]master_data!$A$2:$E$495,2,FALSE)</f>
        <v>MESIN YAMANO ACT 5800</v>
      </c>
      <c r="E1931" s="16">
        <v>1</v>
      </c>
      <c r="F1931" s="16">
        <f>VLOOKUP(C1931,[1]master_data!$A$2:$E$495,3,FALSE)</f>
        <v>500000</v>
      </c>
      <c r="G1931" s="16">
        <f>VLOOKUP(C1931,[1]master_data!$A$2:$E$495,4,FALSE)</f>
        <v>600000</v>
      </c>
      <c r="H1931" s="16">
        <f>E1931*F1931</f>
        <v>500000</v>
      </c>
      <c r="I1931" s="16">
        <f>E1931*G1931</f>
        <v>600000</v>
      </c>
      <c r="J1931" s="16">
        <f>I1931-H1931</f>
        <v>100000</v>
      </c>
      <c r="K1931" s="16" t="str">
        <f>VLOOKUP(C1931,[1]master_data!$A$2:$E$495,5,FALSE)</f>
        <v>Aksesoris</v>
      </c>
      <c r="L1931" s="1"/>
    </row>
    <row r="1932" spans="1:12" ht="12" customHeight="1" x14ac:dyDescent="0.25">
      <c r="A1932" s="15">
        <v>45025</v>
      </c>
      <c r="B1932" s="16">
        <v>22300573</v>
      </c>
      <c r="C1932" s="16" t="s">
        <v>442</v>
      </c>
      <c r="D1932" s="16" t="str">
        <f>VLOOKUP(C1932,[1]master_data!$A$2:$E$495,2,FALSE)</f>
        <v>PARROT</v>
      </c>
      <c r="E1932" s="16">
        <v>2</v>
      </c>
      <c r="F1932" s="16">
        <f>VLOOKUP(C1932,[1]master_data!$A$2:$E$495,3,FALSE)</f>
        <v>27000</v>
      </c>
      <c r="G1932" s="16">
        <f>VLOOKUP(C1932,[1]master_data!$A$2:$E$495,4,FALSE)</f>
        <v>60000</v>
      </c>
      <c r="H1932" s="16">
        <f>E1932*F1932</f>
        <v>54000</v>
      </c>
      <c r="I1932" s="16">
        <f>E1932*G1932</f>
        <v>120000</v>
      </c>
      <c r="J1932" s="16">
        <f>I1932-H1932</f>
        <v>66000</v>
      </c>
      <c r="K1932" s="16" t="str">
        <f>VLOOKUP(C1932,[1]master_data!$A$2:$E$495,5,FALSE)</f>
        <v>Ikan</v>
      </c>
      <c r="L1932" s="1"/>
    </row>
    <row r="1933" spans="1:12" ht="12" customHeight="1" x14ac:dyDescent="0.25">
      <c r="A1933" s="15">
        <v>45025</v>
      </c>
      <c r="B1933" s="16">
        <v>22300574</v>
      </c>
      <c r="C1933" s="16" t="s">
        <v>395</v>
      </c>
      <c r="D1933" s="16" t="str">
        <f>VLOOKUP(C1933,[1]master_data!$A$2:$E$495,2,FALSE)</f>
        <v>ALIGATOR</v>
      </c>
      <c r="E1933" s="16">
        <v>2</v>
      </c>
      <c r="F1933" s="16">
        <f>VLOOKUP(C1933,[1]master_data!$A$2:$E$495,3,FALSE)</f>
        <v>17000</v>
      </c>
      <c r="G1933" s="16">
        <f>VLOOKUP(C1933,[1]master_data!$A$2:$E$495,4,FALSE)</f>
        <v>35000</v>
      </c>
      <c r="H1933" s="16">
        <f>E1933*F1933</f>
        <v>34000</v>
      </c>
      <c r="I1933" s="16">
        <f>E1933*G1933</f>
        <v>70000</v>
      </c>
      <c r="J1933" s="16">
        <f>I1933-H1933</f>
        <v>36000</v>
      </c>
      <c r="K1933" s="16" t="str">
        <f>VLOOKUP(C1933,[1]master_data!$A$2:$E$495,5,FALSE)</f>
        <v>Ikan</v>
      </c>
      <c r="L1933" s="1"/>
    </row>
    <row r="1934" spans="1:12" ht="12" customHeight="1" x14ac:dyDescent="0.25">
      <c r="A1934" s="15">
        <v>45025</v>
      </c>
      <c r="B1934" s="16">
        <v>22300575</v>
      </c>
      <c r="C1934" s="16" t="s">
        <v>441</v>
      </c>
      <c r="D1934" s="16" t="str">
        <f>VLOOKUP(C1934,[1]master_data!$A$2:$E$495,2,FALSE)</f>
        <v>PALMAS</v>
      </c>
      <c r="E1934" s="16">
        <v>10</v>
      </c>
      <c r="F1934" s="16">
        <f>VLOOKUP(C1934,[1]master_data!$A$2:$E$495,3,FALSE)</f>
        <v>10000</v>
      </c>
      <c r="G1934" s="16">
        <f>VLOOKUP(C1934,[1]master_data!$A$2:$E$495,4,FALSE)</f>
        <v>25000</v>
      </c>
      <c r="H1934" s="16">
        <f>E1934*F1934</f>
        <v>100000</v>
      </c>
      <c r="I1934" s="16">
        <f>E1934*G1934</f>
        <v>250000</v>
      </c>
      <c r="J1934" s="16">
        <f>I1934-H1934</f>
        <v>150000</v>
      </c>
      <c r="K1934" s="16" t="str">
        <f>VLOOKUP(C1934,[1]master_data!$A$2:$E$495,5,FALSE)</f>
        <v>Ikan</v>
      </c>
      <c r="L1934" s="1"/>
    </row>
    <row r="1935" spans="1:12" ht="12" customHeight="1" x14ac:dyDescent="0.25">
      <c r="A1935" s="15">
        <v>45024</v>
      </c>
      <c r="B1935" s="16">
        <v>22300562</v>
      </c>
      <c r="C1935" s="16" t="s">
        <v>275</v>
      </c>
      <c r="D1935" s="16" t="str">
        <f>VLOOKUP(C1935,[1]master_data!$A$2:$E$495,2,FALSE)</f>
        <v>JARING 20</v>
      </c>
      <c r="E1935" s="16">
        <v>10</v>
      </c>
      <c r="F1935" s="16">
        <f>VLOOKUP(C1935,[1]master_data!$A$2:$E$495,3,FALSE)</f>
        <v>5600</v>
      </c>
      <c r="G1935" s="16">
        <f>VLOOKUP(C1935,[1]master_data!$A$2:$E$495,4,FALSE)</f>
        <v>10000</v>
      </c>
      <c r="H1935" s="16">
        <f>E1935*F1935</f>
        <v>56000</v>
      </c>
      <c r="I1935" s="16">
        <f>E1935*G1935</f>
        <v>100000</v>
      </c>
      <c r="J1935" s="16">
        <f>I1935-H1935</f>
        <v>44000</v>
      </c>
      <c r="K1935" s="16" t="str">
        <f>VLOOKUP(C1935,[1]master_data!$A$2:$E$495,5,FALSE)</f>
        <v>Aksesoris</v>
      </c>
      <c r="L1935" s="1"/>
    </row>
    <row r="1936" spans="1:12" ht="12" customHeight="1" x14ac:dyDescent="0.25">
      <c r="A1936" s="15">
        <v>45024</v>
      </c>
      <c r="B1936" s="16">
        <v>22300563</v>
      </c>
      <c r="C1936" s="16" t="s">
        <v>452</v>
      </c>
      <c r="D1936" s="16" t="str">
        <f>VLOOKUP(C1936,[1]master_data!$A$2:$E$495,2,FALSE)</f>
        <v>SYNODONTI B</v>
      </c>
      <c r="E1936" s="16">
        <v>20</v>
      </c>
      <c r="F1936" s="16">
        <f>VLOOKUP(C1936,[1]master_data!$A$2:$E$495,3,FALSE)</f>
        <v>4000</v>
      </c>
      <c r="G1936" s="16">
        <f>VLOOKUP(C1936,[1]master_data!$A$2:$E$495,4,FALSE)</f>
        <v>10000</v>
      </c>
      <c r="H1936" s="16">
        <f>E1936*F1936</f>
        <v>80000</v>
      </c>
      <c r="I1936" s="16">
        <f>E1936*G1936</f>
        <v>200000</v>
      </c>
      <c r="J1936" s="16">
        <f>I1936-H1936</f>
        <v>120000</v>
      </c>
      <c r="K1936" s="16" t="str">
        <f>VLOOKUP(C1936,[1]master_data!$A$2:$E$495,5,FALSE)</f>
        <v>Ikan</v>
      </c>
      <c r="L1936" s="1"/>
    </row>
    <row r="1937" spans="1:12" ht="12" customHeight="1" x14ac:dyDescent="0.25">
      <c r="A1937" s="15">
        <v>45024</v>
      </c>
      <c r="B1937" s="16">
        <v>22300564</v>
      </c>
      <c r="C1937" s="16" t="s">
        <v>422</v>
      </c>
      <c r="D1937" s="16" t="str">
        <f>VLOOKUP(C1937,[1]master_data!$A$2:$E$495,2,FALSE)</f>
        <v>KOI SLAYER B</v>
      </c>
      <c r="E1937" s="16">
        <v>2</v>
      </c>
      <c r="F1937" s="16">
        <f>VLOOKUP(C1937,[1]master_data!$A$2:$E$495,3,FALSE)</f>
        <v>8000</v>
      </c>
      <c r="G1937" s="16">
        <f>VLOOKUP(C1937,[1]master_data!$A$2:$E$495,4,FALSE)</f>
        <v>20000</v>
      </c>
      <c r="H1937" s="16">
        <f>E1937*F1937</f>
        <v>16000</v>
      </c>
      <c r="I1937" s="16">
        <f>E1937*G1937</f>
        <v>40000</v>
      </c>
      <c r="J1937" s="16">
        <f>I1937-H1937</f>
        <v>24000</v>
      </c>
      <c r="K1937" s="16" t="str">
        <f>VLOOKUP(C1937,[1]master_data!$A$2:$E$495,5,FALSE)</f>
        <v>Ikan</v>
      </c>
      <c r="L1937" s="1"/>
    </row>
    <row r="1938" spans="1:12" ht="12" customHeight="1" x14ac:dyDescent="0.25">
      <c r="A1938" s="15">
        <v>45024</v>
      </c>
      <c r="B1938" s="16">
        <v>22300565</v>
      </c>
      <c r="C1938" s="16" t="s">
        <v>86</v>
      </c>
      <c r="D1938" s="16" t="str">
        <f>VLOOKUP(C1938,[1]master_data!$A$2:$E$495,2,FALSE)</f>
        <v>MESIN KANDILA WAVE MAKER 3000</v>
      </c>
      <c r="E1938" s="16">
        <v>1</v>
      </c>
      <c r="F1938" s="16">
        <f>VLOOKUP(C1938,[1]master_data!$A$2:$E$495,3,FALSE)</f>
        <v>36500</v>
      </c>
      <c r="G1938" s="16">
        <f>VLOOKUP(C1938,[1]master_data!$A$2:$E$495,4,FALSE)</f>
        <v>65000</v>
      </c>
      <c r="H1938" s="16">
        <f>E1938*F1938</f>
        <v>36500</v>
      </c>
      <c r="I1938" s="16">
        <f>E1938*G1938</f>
        <v>65000</v>
      </c>
      <c r="J1938" s="16">
        <f>I1938-H1938</f>
        <v>28500</v>
      </c>
      <c r="K1938" s="16" t="str">
        <f>VLOOKUP(C1938,[1]master_data!$A$2:$E$495,5,FALSE)</f>
        <v>Aksesoris</v>
      </c>
      <c r="L1938" s="1"/>
    </row>
    <row r="1939" spans="1:12" ht="12" customHeight="1" x14ac:dyDescent="0.25">
      <c r="A1939" s="15">
        <v>45024</v>
      </c>
      <c r="B1939" s="16">
        <v>22300566</v>
      </c>
      <c r="C1939" s="16" t="s">
        <v>440</v>
      </c>
      <c r="D1939" s="16" t="str">
        <f>VLOOKUP(C1939,[1]master_data!$A$2:$E$495,2,FALSE)</f>
        <v>PEMBERSIH KACA ALBINO</v>
      </c>
      <c r="E1939" s="16">
        <v>50</v>
      </c>
      <c r="F1939" s="16">
        <f>VLOOKUP(C1939,[1]master_data!$A$2:$E$495,3,FALSE)</f>
        <v>2500</v>
      </c>
      <c r="G1939" s="16">
        <f>VLOOKUP(C1939,[1]master_data!$A$2:$E$495,4,FALSE)</f>
        <v>5000</v>
      </c>
      <c r="H1939" s="16">
        <f>E1939*F1939</f>
        <v>125000</v>
      </c>
      <c r="I1939" s="16">
        <f>E1939*G1939</f>
        <v>250000</v>
      </c>
      <c r="J1939" s="16">
        <f>I1939-H1939</f>
        <v>125000</v>
      </c>
      <c r="K1939" s="16" t="str">
        <f>VLOOKUP(C1939,[1]master_data!$A$2:$E$495,5,FALSE)</f>
        <v>Ikan</v>
      </c>
      <c r="L1939" s="1"/>
    </row>
    <row r="1940" spans="1:12" ht="12" customHeight="1" x14ac:dyDescent="0.25">
      <c r="A1940" s="15">
        <v>45024</v>
      </c>
      <c r="B1940" s="16">
        <v>22300567</v>
      </c>
      <c r="C1940" s="16" t="s">
        <v>390</v>
      </c>
      <c r="D1940" s="16" t="str">
        <f>VLOOKUP(C1940,[1]master_data!$A$2:$E$495,2,FALSE)</f>
        <v>CHANNA ASIATICA B</v>
      </c>
      <c r="E1940" s="16">
        <v>2</v>
      </c>
      <c r="F1940" s="16">
        <f>VLOOKUP(C1940,[1]master_data!$A$2:$E$495,3,FALSE)</f>
        <v>40000</v>
      </c>
      <c r="G1940" s="16">
        <f>VLOOKUP(C1940,[1]master_data!$A$2:$E$495,4,FALSE)</f>
        <v>100000</v>
      </c>
      <c r="H1940" s="16">
        <f>E1940*F1940</f>
        <v>80000</v>
      </c>
      <c r="I1940" s="16">
        <f>E1940*G1940</f>
        <v>200000</v>
      </c>
      <c r="J1940" s="16">
        <f>I1940-H1940</f>
        <v>120000</v>
      </c>
      <c r="K1940" s="16" t="str">
        <f>VLOOKUP(C1940,[1]master_data!$A$2:$E$495,5,FALSE)</f>
        <v>Ikan</v>
      </c>
      <c r="L1940" s="1"/>
    </row>
    <row r="1941" spans="1:12" ht="12" customHeight="1" x14ac:dyDescent="0.25">
      <c r="A1941" s="15">
        <v>45024</v>
      </c>
      <c r="B1941" s="16">
        <v>22300568</v>
      </c>
      <c r="C1941" s="16" t="s">
        <v>416</v>
      </c>
      <c r="D1941" s="16" t="str">
        <f>VLOOKUP(C1941,[1]master_data!$A$2:$E$495,2,FALSE)</f>
        <v>KOI B</v>
      </c>
      <c r="E1941" s="16">
        <v>1</v>
      </c>
      <c r="F1941" s="16">
        <f>VLOOKUP(C1941,[1]master_data!$A$2:$E$495,3,FALSE)</f>
        <v>9000</v>
      </c>
      <c r="G1941" s="16">
        <f>VLOOKUP(C1941,[1]master_data!$A$2:$E$495,4,FALSE)</f>
        <v>30000</v>
      </c>
      <c r="H1941" s="16">
        <f>E1941*F1941</f>
        <v>9000</v>
      </c>
      <c r="I1941" s="16">
        <f>E1941*G1941</f>
        <v>30000</v>
      </c>
      <c r="J1941" s="16">
        <f>I1941-H1941</f>
        <v>21000</v>
      </c>
      <c r="K1941" s="16" t="str">
        <f>VLOOKUP(C1941,[1]master_data!$A$2:$E$495,5,FALSE)</f>
        <v>Ikan</v>
      </c>
      <c r="L1941" s="1"/>
    </row>
    <row r="1942" spans="1:12" ht="12" customHeight="1" x14ac:dyDescent="0.25">
      <c r="A1942" s="15">
        <v>45024</v>
      </c>
      <c r="B1942" s="16">
        <v>22300569</v>
      </c>
      <c r="C1942" s="16" t="s">
        <v>454</v>
      </c>
      <c r="D1942" s="16" t="str">
        <f>VLOOKUP(C1942,[1]master_data!$A$2:$E$495,2,FALSE)</f>
        <v>TOMAN</v>
      </c>
      <c r="E1942" s="16">
        <v>2</v>
      </c>
      <c r="F1942" s="16">
        <f>VLOOKUP(C1942,[1]master_data!$A$2:$E$495,3,FALSE)</f>
        <v>10000</v>
      </c>
      <c r="G1942" s="16">
        <f>VLOOKUP(C1942,[1]master_data!$A$2:$E$495,4,FALSE)</f>
        <v>25000</v>
      </c>
      <c r="H1942" s="16">
        <f>E1942*F1942</f>
        <v>20000</v>
      </c>
      <c r="I1942" s="16">
        <f>E1942*G1942</f>
        <v>50000</v>
      </c>
      <c r="J1942" s="16">
        <f>I1942-H1942</f>
        <v>30000</v>
      </c>
      <c r="K1942" s="16" t="str">
        <f>VLOOKUP(C1942,[1]master_data!$A$2:$E$495,5,FALSE)</f>
        <v>Ikan</v>
      </c>
      <c r="L1942" s="1"/>
    </row>
    <row r="1943" spans="1:12" ht="12" customHeight="1" x14ac:dyDescent="0.25">
      <c r="A1943" s="15">
        <v>45023</v>
      </c>
      <c r="B1943" s="16">
        <v>22300555</v>
      </c>
      <c r="C1943" s="16" t="s">
        <v>57</v>
      </c>
      <c r="D1943" s="16" t="str">
        <f>VLOOKUP(C1943,[1]master_data!$A$2:$E$495,2,FALSE)</f>
        <v>MESIN  ARMDA 1200</v>
      </c>
      <c r="E1943" s="16">
        <v>5</v>
      </c>
      <c r="F1943" s="16">
        <f>VLOOKUP(C1943,[1]master_data!$A$2:$E$495,3,FALSE)</f>
        <v>20000</v>
      </c>
      <c r="G1943" s="16">
        <f>VLOOKUP(C1943,[1]master_data!$A$2:$E$495,4,FALSE)</f>
        <v>30000</v>
      </c>
      <c r="H1943" s="16">
        <f>E1943*F1943</f>
        <v>100000</v>
      </c>
      <c r="I1943" s="16">
        <f>E1943*G1943</f>
        <v>150000</v>
      </c>
      <c r="J1943" s="16">
        <f>I1943-H1943</f>
        <v>50000</v>
      </c>
      <c r="K1943" s="16" t="str">
        <f>VLOOKUP(C1943,[1]master_data!$A$2:$E$495,5,FALSE)</f>
        <v>Aksesoris</v>
      </c>
      <c r="L1943" s="1"/>
    </row>
    <row r="1944" spans="1:12" ht="12" customHeight="1" x14ac:dyDescent="0.25">
      <c r="A1944" s="15">
        <v>45023</v>
      </c>
      <c r="B1944" s="16">
        <v>22300556</v>
      </c>
      <c r="C1944" s="16" t="s">
        <v>444</v>
      </c>
      <c r="D1944" s="16" t="str">
        <f>VLOOKUP(C1944,[1]master_data!$A$2:$E$495,2,FALSE)</f>
        <v>REDFIN HITAM</v>
      </c>
      <c r="E1944" s="16">
        <v>20</v>
      </c>
      <c r="F1944" s="16">
        <f>VLOOKUP(C1944,[1]master_data!$A$2:$E$495,3,FALSE)</f>
        <v>1500</v>
      </c>
      <c r="G1944" s="16">
        <f>VLOOKUP(C1944,[1]master_data!$A$2:$E$495,4,FALSE)</f>
        <v>4000</v>
      </c>
      <c r="H1944" s="16">
        <f>E1944*F1944</f>
        <v>30000</v>
      </c>
      <c r="I1944" s="16">
        <f>E1944*G1944</f>
        <v>80000</v>
      </c>
      <c r="J1944" s="16">
        <f>I1944-H1944</f>
        <v>50000</v>
      </c>
      <c r="K1944" s="16" t="str">
        <f>VLOOKUP(C1944,[1]master_data!$A$2:$E$495,5,FALSE)</f>
        <v>Ikan</v>
      </c>
      <c r="L1944" s="1"/>
    </row>
    <row r="1945" spans="1:12" ht="12" customHeight="1" x14ac:dyDescent="0.25">
      <c r="A1945" s="15">
        <v>45023</v>
      </c>
      <c r="B1945" s="16">
        <v>22300557</v>
      </c>
      <c r="C1945" s="16" t="s">
        <v>403</v>
      </c>
      <c r="D1945" s="16" t="str">
        <f>VLOOKUP(C1945,[1]master_data!$A$2:$E$495,2,FALSE)</f>
        <v>KOMET BOKIM</v>
      </c>
      <c r="E1945" s="16">
        <v>30</v>
      </c>
      <c r="F1945" s="16">
        <f>VLOOKUP(C1945,[1]master_data!$A$2:$E$495,3,FALSE)</f>
        <v>1500</v>
      </c>
      <c r="G1945" s="16">
        <f>VLOOKUP(C1945,[1]master_data!$A$2:$E$495,4,FALSE)</f>
        <v>5000</v>
      </c>
      <c r="H1945" s="16">
        <f>E1945*F1945</f>
        <v>45000</v>
      </c>
      <c r="I1945" s="16">
        <f>E1945*G1945</f>
        <v>150000</v>
      </c>
      <c r="J1945" s="16">
        <f>I1945-H1945</f>
        <v>105000</v>
      </c>
      <c r="K1945" s="16" t="str">
        <f>VLOOKUP(C1945,[1]master_data!$A$2:$E$495,5,FALSE)</f>
        <v>Ikan</v>
      </c>
      <c r="L1945" s="1"/>
    </row>
    <row r="1946" spans="1:12" ht="12" customHeight="1" x14ac:dyDescent="0.25">
      <c r="A1946" s="15">
        <v>45023</v>
      </c>
      <c r="B1946" s="16">
        <v>22300558</v>
      </c>
      <c r="C1946" s="16" t="s">
        <v>431</v>
      </c>
      <c r="D1946" s="16" t="str">
        <f>VLOOKUP(C1946,[1]master_data!$A$2:$E$495,2,FALSE)</f>
        <v>MARU B</v>
      </c>
      <c r="E1946" s="16">
        <v>4</v>
      </c>
      <c r="F1946" s="16">
        <f>VLOOKUP(C1946,[1]master_data!$A$2:$E$495,3,FALSE)</f>
        <v>90000</v>
      </c>
      <c r="G1946" s="16">
        <f>VLOOKUP(C1946,[1]master_data!$A$2:$E$495,4,FALSE)</f>
        <v>150000</v>
      </c>
      <c r="H1946" s="16">
        <f>E1946*F1946</f>
        <v>360000</v>
      </c>
      <c r="I1946" s="16">
        <f>E1946*G1946</f>
        <v>600000</v>
      </c>
      <c r="J1946" s="16">
        <f>I1946-H1946</f>
        <v>240000</v>
      </c>
      <c r="K1946" s="16" t="str">
        <f>VLOOKUP(C1946,[1]master_data!$A$2:$E$495,5,FALSE)</f>
        <v>Ikan</v>
      </c>
      <c r="L1946" s="1"/>
    </row>
    <row r="1947" spans="1:12" ht="12" customHeight="1" x14ac:dyDescent="0.25">
      <c r="A1947" s="15">
        <v>45023</v>
      </c>
      <c r="B1947" s="16">
        <v>22300559</v>
      </c>
      <c r="C1947" s="16" t="s">
        <v>440</v>
      </c>
      <c r="D1947" s="16" t="str">
        <f>VLOOKUP(C1947,[1]master_data!$A$2:$E$495,2,FALSE)</f>
        <v>PEMBERSIH KACA ALBINO</v>
      </c>
      <c r="E1947" s="16">
        <v>25</v>
      </c>
      <c r="F1947" s="16">
        <f>VLOOKUP(C1947,[1]master_data!$A$2:$E$495,3,FALSE)</f>
        <v>2500</v>
      </c>
      <c r="G1947" s="16">
        <f>VLOOKUP(C1947,[1]master_data!$A$2:$E$495,4,FALSE)</f>
        <v>5000</v>
      </c>
      <c r="H1947" s="16">
        <f>E1947*F1947</f>
        <v>62500</v>
      </c>
      <c r="I1947" s="16">
        <f>E1947*G1947</f>
        <v>125000</v>
      </c>
      <c r="J1947" s="16">
        <f>I1947-H1947</f>
        <v>62500</v>
      </c>
      <c r="K1947" s="16" t="str">
        <f>VLOOKUP(C1947,[1]master_data!$A$2:$E$495,5,FALSE)</f>
        <v>Ikan</v>
      </c>
      <c r="L1947" s="1"/>
    </row>
    <row r="1948" spans="1:12" ht="12" customHeight="1" x14ac:dyDescent="0.25">
      <c r="A1948" s="15">
        <v>45023</v>
      </c>
      <c r="B1948" s="16">
        <v>22300560</v>
      </c>
      <c r="C1948" s="16" t="s">
        <v>65</v>
      </c>
      <c r="D1948" s="16" t="str">
        <f>VLOOKUP(C1948,[1]master_data!$A$2:$E$495,2,FALSE)</f>
        <v>BOX KOSONG JUMBO</v>
      </c>
      <c r="E1948" s="16">
        <v>50</v>
      </c>
      <c r="F1948" s="16">
        <f>VLOOKUP(C1948,[1]master_data!$A$2:$E$495,3,FALSE)</f>
        <v>25000</v>
      </c>
      <c r="G1948" s="16">
        <f>VLOOKUP(C1948,[1]master_data!$A$2:$E$495,4,FALSE)</f>
        <v>45000</v>
      </c>
      <c r="H1948" s="16">
        <f>E1948*F1948</f>
        <v>1250000</v>
      </c>
      <c r="I1948" s="16">
        <f>E1948*G1948</f>
        <v>2250000</v>
      </c>
      <c r="J1948" s="16">
        <f>I1948-H1948</f>
        <v>1000000</v>
      </c>
      <c r="K1948" s="16" t="str">
        <f>VLOOKUP(C1948,[1]master_data!$A$2:$E$495,5,FALSE)</f>
        <v>Aksesoris</v>
      </c>
      <c r="L1948" s="1"/>
    </row>
    <row r="1949" spans="1:12" ht="12" customHeight="1" x14ac:dyDescent="0.25">
      <c r="A1949" s="15">
        <v>45023</v>
      </c>
      <c r="B1949" s="16">
        <v>22300561</v>
      </c>
      <c r="C1949" s="16" t="s">
        <v>445</v>
      </c>
      <c r="D1949" s="16" t="str">
        <f>VLOOKUP(C1949,[1]master_data!$A$2:$E$495,2,FALSE)</f>
        <v>REDFIN ALBINO</v>
      </c>
      <c r="E1949" s="16">
        <v>3</v>
      </c>
      <c r="F1949" s="16">
        <f>VLOOKUP(C1949,[1]master_data!$A$2:$E$495,3,FALSE)</f>
        <v>1500</v>
      </c>
      <c r="G1949" s="16">
        <f>VLOOKUP(C1949,[1]master_data!$A$2:$E$495,4,FALSE)</f>
        <v>4000</v>
      </c>
      <c r="H1949" s="16">
        <f>E1949*F1949</f>
        <v>4500</v>
      </c>
      <c r="I1949" s="16">
        <f>E1949*G1949</f>
        <v>12000</v>
      </c>
      <c r="J1949" s="16">
        <f>I1949-H1949</f>
        <v>7500</v>
      </c>
      <c r="K1949" s="16" t="str">
        <f>VLOOKUP(C1949,[1]master_data!$A$2:$E$495,5,FALSE)</f>
        <v>Ikan</v>
      </c>
      <c r="L1949" s="1"/>
    </row>
    <row r="1950" spans="1:12" ht="12" customHeight="1" x14ac:dyDescent="0.25">
      <c r="A1950" s="15">
        <v>45022</v>
      </c>
      <c r="B1950" s="16">
        <v>22300549</v>
      </c>
      <c r="C1950" s="16" t="s">
        <v>419</v>
      </c>
      <c r="D1950" s="16" t="str">
        <f>VLOOKUP(C1950,[1]master_data!$A$2:$E$495,2,FALSE)</f>
        <v>KOMET PAKAN</v>
      </c>
      <c r="E1950" s="16">
        <v>60</v>
      </c>
      <c r="F1950" s="16">
        <f>VLOOKUP(C1950,[1]master_data!$A$2:$E$495,3,FALSE)</f>
        <v>300</v>
      </c>
      <c r="G1950" s="16">
        <f>VLOOKUP(C1950,[1]master_data!$A$2:$E$495,4,FALSE)</f>
        <v>1000</v>
      </c>
      <c r="H1950" s="16">
        <f>E1950*F1950</f>
        <v>18000</v>
      </c>
      <c r="I1950" s="16">
        <f>E1950*G1950</f>
        <v>60000</v>
      </c>
      <c r="J1950" s="16">
        <f>I1950-H1950</f>
        <v>42000</v>
      </c>
      <c r="K1950" s="16" t="str">
        <f>VLOOKUP(C1950,[1]master_data!$A$2:$E$495,5,FALSE)</f>
        <v>Ikan</v>
      </c>
      <c r="L1950" s="1"/>
    </row>
    <row r="1951" spans="1:12" ht="12" customHeight="1" x14ac:dyDescent="0.25">
      <c r="A1951" s="15">
        <v>45022</v>
      </c>
      <c r="B1951" s="16">
        <v>22300550</v>
      </c>
      <c r="C1951" s="16" t="s">
        <v>118</v>
      </c>
      <c r="D1951" s="16" t="str">
        <f>VLOOKUP(C1951,[1]master_data!$A$2:$E$495,2,FALSE)</f>
        <v>LED ROSTON 3 MODE 20 CM</v>
      </c>
      <c r="E1951" s="16">
        <v>1</v>
      </c>
      <c r="F1951" s="16">
        <f>VLOOKUP(C1951,[1]master_data!$A$2:$E$495,3,FALSE)</f>
        <v>23000</v>
      </c>
      <c r="G1951" s="16">
        <f>VLOOKUP(C1951,[1]master_data!$A$2:$E$495,4,FALSE)</f>
        <v>40000</v>
      </c>
      <c r="H1951" s="16">
        <f>E1951*F1951</f>
        <v>23000</v>
      </c>
      <c r="I1951" s="16">
        <f>E1951*G1951</f>
        <v>40000</v>
      </c>
      <c r="J1951" s="16">
        <f>I1951-H1951</f>
        <v>17000</v>
      </c>
      <c r="K1951" s="16" t="str">
        <f>VLOOKUP(C1951,[1]master_data!$A$2:$E$495,5,FALSE)</f>
        <v>Aksesoris</v>
      </c>
      <c r="L1951" s="1"/>
    </row>
    <row r="1952" spans="1:12" ht="12" customHeight="1" x14ac:dyDescent="0.25">
      <c r="A1952" s="15">
        <v>45022</v>
      </c>
      <c r="B1952" s="16">
        <v>22300551</v>
      </c>
      <c r="C1952" s="16" t="s">
        <v>427</v>
      </c>
      <c r="D1952" s="16" t="str">
        <f>VLOOKUP(C1952,[1]master_data!$A$2:$E$495,2,FALSE)</f>
        <v>LOUHAN SUPER</v>
      </c>
      <c r="E1952" s="16">
        <v>1</v>
      </c>
      <c r="F1952" s="16">
        <f>VLOOKUP(C1952,[1]master_data!$A$2:$E$495,3,FALSE)</f>
        <v>300000</v>
      </c>
      <c r="G1952" s="16">
        <f>VLOOKUP(C1952,[1]master_data!$A$2:$E$495,4,FALSE)</f>
        <v>500000</v>
      </c>
      <c r="H1952" s="16">
        <f>E1952*F1952</f>
        <v>300000</v>
      </c>
      <c r="I1952" s="16">
        <f>E1952*G1952</f>
        <v>500000</v>
      </c>
      <c r="J1952" s="16">
        <f>I1952-H1952</f>
        <v>200000</v>
      </c>
      <c r="K1952" s="16" t="str">
        <f>VLOOKUP(C1952,[1]master_data!$A$2:$E$495,5,FALSE)</f>
        <v>Ikan</v>
      </c>
      <c r="L1952" s="1"/>
    </row>
    <row r="1953" spans="1:12" ht="12" customHeight="1" x14ac:dyDescent="0.25">
      <c r="A1953" s="15">
        <v>45022</v>
      </c>
      <c r="B1953" s="16">
        <v>22300552</v>
      </c>
      <c r="C1953" s="16" t="s">
        <v>415</v>
      </c>
      <c r="D1953" s="16" t="str">
        <f>VLOOKUP(C1953,[1]master_data!$A$2:$E$495,2,FALSE)</f>
        <v>KOI T</v>
      </c>
      <c r="E1953" s="16">
        <v>10</v>
      </c>
      <c r="F1953" s="16">
        <f>VLOOKUP(C1953,[1]master_data!$A$2:$E$495,3,FALSE)</f>
        <v>7000</v>
      </c>
      <c r="G1953" s="16">
        <f>VLOOKUP(C1953,[1]master_data!$A$2:$E$495,4,FALSE)</f>
        <v>20000</v>
      </c>
      <c r="H1953" s="16">
        <f>E1953*F1953</f>
        <v>70000</v>
      </c>
      <c r="I1953" s="16">
        <f>E1953*G1953</f>
        <v>200000</v>
      </c>
      <c r="J1953" s="16">
        <f>I1953-H1953</f>
        <v>130000</v>
      </c>
      <c r="K1953" s="16" t="str">
        <f>VLOOKUP(C1953,[1]master_data!$A$2:$E$495,5,FALSE)</f>
        <v>Ikan</v>
      </c>
      <c r="L1953" s="1"/>
    </row>
    <row r="1954" spans="1:12" ht="12" customHeight="1" x14ac:dyDescent="0.25">
      <c r="A1954" s="15">
        <v>45022</v>
      </c>
      <c r="B1954" s="16">
        <v>22300553</v>
      </c>
      <c r="C1954" s="16" t="s">
        <v>254</v>
      </c>
      <c r="D1954" s="16" t="str">
        <f>VLOOKUP(C1954,[1]master_data!$A$2:$E$495,2,FALSE)</f>
        <v>BACKGROUND</v>
      </c>
      <c r="E1954" s="16">
        <v>5</v>
      </c>
      <c r="F1954" s="16">
        <f>VLOOKUP(C1954,[1]master_data!$A$2:$E$495,3,FALSE)</f>
        <v>8000</v>
      </c>
      <c r="G1954" s="16">
        <f>VLOOKUP(C1954,[1]master_data!$A$2:$E$495,4,FALSE)</f>
        <v>15000</v>
      </c>
      <c r="H1954" s="16">
        <f>E1954*F1954</f>
        <v>40000</v>
      </c>
      <c r="I1954" s="16">
        <f>E1954*G1954</f>
        <v>75000</v>
      </c>
      <c r="J1954" s="16">
        <f>I1954-H1954</f>
        <v>35000</v>
      </c>
      <c r="K1954" s="16" t="str">
        <f>VLOOKUP(C1954,[1]master_data!$A$2:$E$495,5,FALSE)</f>
        <v>Aksesoris</v>
      </c>
      <c r="L1954" s="1"/>
    </row>
    <row r="1955" spans="1:12" ht="12" customHeight="1" x14ac:dyDescent="0.25">
      <c r="A1955" s="15">
        <v>45022</v>
      </c>
      <c r="B1955" s="16">
        <v>22300554</v>
      </c>
      <c r="C1955" s="16" t="s">
        <v>327</v>
      </c>
      <c r="D1955" s="16" t="str">
        <f>VLOOKUP(C1955,[1]master_data!$A$2:$E$495,2,FALSE)</f>
        <v>AIRSTONE K</v>
      </c>
      <c r="E1955" s="16">
        <v>1</v>
      </c>
      <c r="F1955" s="16">
        <f>VLOOKUP(C1955,[1]master_data!$A$2:$E$495,3,FALSE)</f>
        <v>850</v>
      </c>
      <c r="G1955" s="16">
        <f>VLOOKUP(C1955,[1]master_data!$A$2:$E$495,4,FALSE)</f>
        <v>3000</v>
      </c>
      <c r="H1955" s="16">
        <f>E1955*F1955</f>
        <v>850</v>
      </c>
      <c r="I1955" s="16">
        <f>E1955*G1955</f>
        <v>3000</v>
      </c>
      <c r="J1955" s="16">
        <f>I1955-H1955</f>
        <v>2150</v>
      </c>
      <c r="K1955" s="16" t="str">
        <f>VLOOKUP(C1955,[1]master_data!$A$2:$E$495,5,FALSE)</f>
        <v>Aksesoris</v>
      </c>
      <c r="L1955" s="1"/>
    </row>
    <row r="1956" spans="1:12" ht="12" customHeight="1" x14ac:dyDescent="0.25">
      <c r="A1956" s="15">
        <v>45021</v>
      </c>
      <c r="B1956" s="16">
        <v>22300545</v>
      </c>
      <c r="C1956" s="16" t="s">
        <v>66</v>
      </c>
      <c r="D1956" s="16" t="str">
        <f>VLOOKUP(C1956,[1]master_data!$A$2:$E$495,2,FALSE)</f>
        <v>BOX KOSONG TANGGUNG</v>
      </c>
      <c r="E1956" s="16">
        <v>1</v>
      </c>
      <c r="F1956" s="16">
        <f>VLOOKUP(C1956,[1]master_data!$A$2:$E$495,3,FALSE)</f>
        <v>15000</v>
      </c>
      <c r="G1956" s="16">
        <f>VLOOKUP(C1956,[1]master_data!$A$2:$E$495,4,FALSE)</f>
        <v>25000</v>
      </c>
      <c r="H1956" s="16">
        <f>E1956*F1956</f>
        <v>15000</v>
      </c>
      <c r="I1956" s="16">
        <f>E1956*G1956</f>
        <v>25000</v>
      </c>
      <c r="J1956" s="16">
        <f>I1956-H1956</f>
        <v>10000</v>
      </c>
      <c r="K1956" s="16" t="str">
        <f>VLOOKUP(C1956,[1]master_data!$A$2:$E$495,5,FALSE)</f>
        <v>Aksesoris</v>
      </c>
      <c r="L1956" s="1"/>
    </row>
    <row r="1957" spans="1:12" ht="12" customHeight="1" x14ac:dyDescent="0.25">
      <c r="A1957" s="15">
        <v>45021</v>
      </c>
      <c r="B1957" s="16">
        <v>22300546</v>
      </c>
      <c r="C1957" s="16" t="s">
        <v>444</v>
      </c>
      <c r="D1957" s="16" t="str">
        <f>VLOOKUP(C1957,[1]master_data!$A$2:$E$495,2,FALSE)</f>
        <v>REDFIN HITAM</v>
      </c>
      <c r="E1957" s="16">
        <v>15</v>
      </c>
      <c r="F1957" s="16">
        <f>VLOOKUP(C1957,[1]master_data!$A$2:$E$495,3,FALSE)</f>
        <v>1500</v>
      </c>
      <c r="G1957" s="16">
        <f>VLOOKUP(C1957,[1]master_data!$A$2:$E$495,4,FALSE)</f>
        <v>4000</v>
      </c>
      <c r="H1957" s="16">
        <f>E1957*F1957</f>
        <v>22500</v>
      </c>
      <c r="I1957" s="16">
        <f>E1957*G1957</f>
        <v>60000</v>
      </c>
      <c r="J1957" s="16">
        <f>I1957-H1957</f>
        <v>37500</v>
      </c>
      <c r="K1957" s="16" t="str">
        <f>VLOOKUP(C1957,[1]master_data!$A$2:$E$495,5,FALSE)</f>
        <v>Ikan</v>
      </c>
      <c r="L1957" s="1"/>
    </row>
    <row r="1958" spans="1:12" ht="12" customHeight="1" x14ac:dyDescent="0.25">
      <c r="A1958" s="15">
        <v>45021</v>
      </c>
      <c r="B1958" s="16">
        <v>22300547</v>
      </c>
      <c r="C1958" s="16" t="s">
        <v>169</v>
      </c>
      <c r="D1958" s="16" t="str">
        <f>VLOOKUP(C1958,[1]master_data!$A$2:$E$495,2,FALSE)</f>
        <v>LED KANDILA DnN 60 CM</v>
      </c>
      <c r="E1958" s="16">
        <v>5</v>
      </c>
      <c r="F1958" s="16">
        <f>VLOOKUP(C1958,[1]master_data!$A$2:$E$495,3,FALSE)</f>
        <v>32000</v>
      </c>
      <c r="G1958" s="16">
        <f>VLOOKUP(C1958,[1]master_data!$A$2:$E$495,4,FALSE)</f>
        <v>70000</v>
      </c>
      <c r="H1958" s="16">
        <f>E1958*F1958</f>
        <v>160000</v>
      </c>
      <c r="I1958" s="16">
        <f>E1958*G1958</f>
        <v>350000</v>
      </c>
      <c r="J1958" s="16">
        <f>I1958-H1958</f>
        <v>190000</v>
      </c>
      <c r="K1958" s="16" t="str">
        <f>VLOOKUP(C1958,[1]master_data!$A$2:$E$495,5,FALSE)</f>
        <v>Aksesoris</v>
      </c>
      <c r="L1958" s="1"/>
    </row>
    <row r="1959" spans="1:12" ht="12" customHeight="1" x14ac:dyDescent="0.25">
      <c r="A1959" s="15">
        <v>45021</v>
      </c>
      <c r="B1959" s="16">
        <v>22300548</v>
      </c>
      <c r="C1959" s="16" t="s">
        <v>277</v>
      </c>
      <c r="D1959" s="16" t="str">
        <f>VLOOKUP(C1959,[1]master_data!$A$2:$E$495,2,FALSE)</f>
        <v>HEATER STENLEES 50 W</v>
      </c>
      <c r="E1959" s="16">
        <v>7</v>
      </c>
      <c r="F1959" s="16">
        <f>VLOOKUP(C1959,[1]master_data!$A$2:$E$495,3,FALSE)</f>
        <v>63000</v>
      </c>
      <c r="G1959" s="16">
        <f>VLOOKUP(C1959,[1]master_data!$A$2:$E$495,4,FALSE)</f>
        <v>85000</v>
      </c>
      <c r="H1959" s="16">
        <f>E1959*F1959</f>
        <v>441000</v>
      </c>
      <c r="I1959" s="16">
        <f>E1959*G1959</f>
        <v>595000</v>
      </c>
      <c r="J1959" s="16">
        <f>I1959-H1959</f>
        <v>154000</v>
      </c>
      <c r="K1959" s="16" t="str">
        <f>VLOOKUP(C1959,[1]master_data!$A$2:$E$495,5,FALSE)</f>
        <v>Aksesoris</v>
      </c>
      <c r="L1959" s="1"/>
    </row>
    <row r="1960" spans="1:12" ht="12" customHeight="1" x14ac:dyDescent="0.25">
      <c r="A1960" s="15">
        <v>45020</v>
      </c>
      <c r="B1960" s="16">
        <v>22300542</v>
      </c>
      <c r="C1960" s="16" t="s">
        <v>456</v>
      </c>
      <c r="D1960" s="16" t="str">
        <f>VLOOKUP(C1960,[1]master_data!$A$2:$E$495,2,FALSE)</f>
        <v>ZEBRA HIJAU</v>
      </c>
      <c r="E1960" s="16">
        <v>20</v>
      </c>
      <c r="F1960" s="16">
        <f>VLOOKUP(C1960,[1]master_data!$A$2:$E$495,3,FALSE)</f>
        <v>800</v>
      </c>
      <c r="G1960" s="16">
        <f>VLOOKUP(C1960,[1]master_data!$A$2:$E$495,4,FALSE)</f>
        <v>2000</v>
      </c>
      <c r="H1960" s="16">
        <f>E1960*F1960</f>
        <v>16000</v>
      </c>
      <c r="I1960" s="16">
        <f>E1960*G1960</f>
        <v>40000</v>
      </c>
      <c r="J1960" s="16">
        <f>I1960-H1960</f>
        <v>24000</v>
      </c>
      <c r="K1960" s="16" t="str">
        <f>VLOOKUP(C1960,[1]master_data!$A$2:$E$495,5,FALSE)</f>
        <v>Ikan</v>
      </c>
      <c r="L1960" s="1"/>
    </row>
    <row r="1961" spans="1:12" ht="12" customHeight="1" x14ac:dyDescent="0.25">
      <c r="A1961" s="15">
        <v>45020</v>
      </c>
      <c r="B1961" s="16">
        <v>22300543</v>
      </c>
      <c r="C1961" s="16" t="s">
        <v>427</v>
      </c>
      <c r="D1961" s="16" t="str">
        <f>VLOOKUP(C1961,[1]master_data!$A$2:$E$495,2,FALSE)</f>
        <v>LOUHAN SUPER</v>
      </c>
      <c r="E1961" s="16">
        <v>1</v>
      </c>
      <c r="F1961" s="16">
        <f>VLOOKUP(C1961,[1]master_data!$A$2:$E$495,3,FALSE)</f>
        <v>300000</v>
      </c>
      <c r="G1961" s="16">
        <f>VLOOKUP(C1961,[1]master_data!$A$2:$E$495,4,FALSE)</f>
        <v>500000</v>
      </c>
      <c r="H1961" s="16">
        <f>E1961*F1961</f>
        <v>300000</v>
      </c>
      <c r="I1961" s="16">
        <f>E1961*G1961</f>
        <v>500000</v>
      </c>
      <c r="J1961" s="16">
        <f>I1961-H1961</f>
        <v>200000</v>
      </c>
      <c r="K1961" s="16" t="str">
        <f>VLOOKUP(C1961,[1]master_data!$A$2:$E$495,5,FALSE)</f>
        <v>Ikan</v>
      </c>
      <c r="L1961" s="1"/>
    </row>
    <row r="1962" spans="1:12" ht="12" customHeight="1" x14ac:dyDescent="0.25">
      <c r="A1962" s="15">
        <v>45020</v>
      </c>
      <c r="B1962" s="16">
        <v>22300544</v>
      </c>
      <c r="C1962" s="16" t="s">
        <v>175</v>
      </c>
      <c r="D1962" s="16" t="str">
        <f>VLOOKUP(C1962,[1]master_data!$A$2:$E$495,2,FALSE)</f>
        <v>LED ARMADA 3 BRS AP 600</v>
      </c>
      <c r="E1962" s="16">
        <v>5</v>
      </c>
      <c r="F1962" s="16">
        <f>VLOOKUP(C1962,[1]master_data!$A$2:$E$495,3,FALSE)</f>
        <v>55000</v>
      </c>
      <c r="G1962" s="16">
        <f>VLOOKUP(C1962,[1]master_data!$A$2:$E$495,4,FALSE)</f>
        <v>80000</v>
      </c>
      <c r="H1962" s="16">
        <f>E1962*F1962</f>
        <v>275000</v>
      </c>
      <c r="I1962" s="16">
        <f>E1962*G1962</f>
        <v>400000</v>
      </c>
      <c r="J1962" s="16">
        <f>I1962-H1962</f>
        <v>125000</v>
      </c>
      <c r="K1962" s="16" t="str">
        <f>VLOOKUP(C1962,[1]master_data!$A$2:$E$495,5,FALSE)</f>
        <v>Aksesoris</v>
      </c>
      <c r="L1962" s="1"/>
    </row>
    <row r="1963" spans="1:12" ht="12" customHeight="1" x14ac:dyDescent="0.25">
      <c r="A1963" s="15">
        <v>45019</v>
      </c>
      <c r="B1963" s="16">
        <v>22300534</v>
      </c>
      <c r="C1963" s="16" t="s">
        <v>404</v>
      </c>
      <c r="D1963" s="16" t="str">
        <f>VLOOKUP(C1963,[1]master_data!$A$2:$E$495,2,FALSE)</f>
        <v>BARBIR</v>
      </c>
      <c r="E1963" s="16">
        <v>20</v>
      </c>
      <c r="F1963" s="16">
        <f>VLOOKUP(C1963,[1]master_data!$A$2:$E$495,3,FALSE)</f>
        <v>800</v>
      </c>
      <c r="G1963" s="16">
        <f>VLOOKUP(C1963,[1]master_data!$A$2:$E$495,4,FALSE)</f>
        <v>2000</v>
      </c>
      <c r="H1963" s="16">
        <f>E1963*F1963</f>
        <v>16000</v>
      </c>
      <c r="I1963" s="16">
        <f>E1963*G1963</f>
        <v>40000</v>
      </c>
      <c r="J1963" s="16">
        <f>I1963-H1963</f>
        <v>24000</v>
      </c>
      <c r="K1963" s="16" t="str">
        <f>VLOOKUP(C1963,[1]master_data!$A$2:$E$495,5,FALSE)</f>
        <v>Ikan</v>
      </c>
      <c r="L1963" s="1"/>
    </row>
    <row r="1964" spans="1:12" ht="12" customHeight="1" x14ac:dyDescent="0.25">
      <c r="A1964" s="15">
        <v>45019</v>
      </c>
      <c r="B1964" s="16">
        <v>22300535</v>
      </c>
      <c r="C1964" s="16" t="s">
        <v>455</v>
      </c>
      <c r="D1964" s="16" t="str">
        <f>VLOOKUP(C1964,[1]master_data!$A$2:$E$495,2,FALSE)</f>
        <v>ZEBRA PINK</v>
      </c>
      <c r="E1964" s="16">
        <v>60</v>
      </c>
      <c r="F1964" s="16">
        <f>VLOOKUP(C1964,[1]master_data!$A$2:$E$495,3,FALSE)</f>
        <v>800</v>
      </c>
      <c r="G1964" s="16">
        <f>VLOOKUP(C1964,[1]master_data!$A$2:$E$495,4,FALSE)</f>
        <v>2000</v>
      </c>
      <c r="H1964" s="16">
        <f>E1964*F1964</f>
        <v>48000</v>
      </c>
      <c r="I1964" s="16">
        <f>E1964*G1964</f>
        <v>120000</v>
      </c>
      <c r="J1964" s="16">
        <f>I1964-H1964</f>
        <v>72000</v>
      </c>
      <c r="K1964" s="16" t="str">
        <f>VLOOKUP(C1964,[1]master_data!$A$2:$E$495,5,FALSE)</f>
        <v>Ikan</v>
      </c>
      <c r="L1964" s="1"/>
    </row>
    <row r="1965" spans="1:12" ht="12" customHeight="1" x14ac:dyDescent="0.25">
      <c r="A1965" s="15">
        <v>45019</v>
      </c>
      <c r="B1965" s="16">
        <v>22300536</v>
      </c>
      <c r="C1965" s="16" t="s">
        <v>232</v>
      </c>
      <c r="D1965" s="16" t="str">
        <f>VLOOKUP(C1965,[1]master_data!$A$2:$E$495,2,FALSE)</f>
        <v>MIZUKO</v>
      </c>
      <c r="E1965" s="16">
        <v>1</v>
      </c>
      <c r="F1965" s="16">
        <f>VLOOKUP(C1965,[1]master_data!$A$2:$E$495,3,FALSE)</f>
        <v>30000</v>
      </c>
      <c r="G1965" s="16">
        <f>VLOOKUP(C1965,[1]master_data!$A$2:$E$495,4,FALSE)</f>
        <v>50000</v>
      </c>
      <c r="H1965" s="16">
        <f>E1965*F1965</f>
        <v>30000</v>
      </c>
      <c r="I1965" s="16">
        <f>E1965*G1965</f>
        <v>50000</v>
      </c>
      <c r="J1965" s="16">
        <f>I1965-H1965</f>
        <v>20000</v>
      </c>
      <c r="K1965" s="16" t="str">
        <f>VLOOKUP(C1965,[1]master_data!$A$2:$E$495,5,FALSE)</f>
        <v>Aksesoris</v>
      </c>
      <c r="L1965" s="1"/>
    </row>
    <row r="1966" spans="1:12" ht="12" customHeight="1" x14ac:dyDescent="0.25">
      <c r="A1966" s="15">
        <v>45019</v>
      </c>
      <c r="B1966" s="16">
        <v>22300537</v>
      </c>
      <c r="C1966" s="16" t="s">
        <v>388</v>
      </c>
      <c r="D1966" s="16" t="str">
        <f>VLOOKUP(C1966,[1]master_data!$A$2:$E$495,2,FALSE)</f>
        <v>CHANNA ASIATICA K</v>
      </c>
      <c r="E1966" s="16">
        <v>2</v>
      </c>
      <c r="F1966" s="16">
        <f>VLOOKUP(C1966,[1]master_data!$A$2:$E$495,3,FALSE)</f>
        <v>10000</v>
      </c>
      <c r="G1966" s="16">
        <f>VLOOKUP(C1966,[1]master_data!$A$2:$E$495,4,FALSE)</f>
        <v>40000</v>
      </c>
      <c r="H1966" s="16">
        <f>E1966*F1966</f>
        <v>20000</v>
      </c>
      <c r="I1966" s="16">
        <f>E1966*G1966</f>
        <v>80000</v>
      </c>
      <c r="J1966" s="16">
        <f>I1966-H1966</f>
        <v>60000</v>
      </c>
      <c r="K1966" s="16" t="str">
        <f>VLOOKUP(C1966,[1]master_data!$A$2:$E$495,5,FALSE)</f>
        <v>Ikan</v>
      </c>
      <c r="L1966" s="1"/>
    </row>
    <row r="1967" spans="1:12" ht="12" customHeight="1" x14ac:dyDescent="0.25">
      <c r="A1967" s="15">
        <v>45019</v>
      </c>
      <c r="B1967" s="16">
        <v>22300538</v>
      </c>
      <c r="C1967" s="16" t="s">
        <v>448</v>
      </c>
      <c r="D1967" s="16" t="str">
        <f>VLOOKUP(C1967,[1]master_data!$A$2:$E$495,2,FALSE)</f>
        <v>SUMATRA BIASA</v>
      </c>
      <c r="E1967" s="16">
        <v>15</v>
      </c>
      <c r="F1967" s="16">
        <f>VLOOKUP(C1967,[1]master_data!$A$2:$E$495,3,FALSE)</f>
        <v>800</v>
      </c>
      <c r="G1967" s="16">
        <f>VLOOKUP(C1967,[1]master_data!$A$2:$E$495,4,FALSE)</f>
        <v>2000</v>
      </c>
      <c r="H1967" s="16">
        <f>E1967*F1967</f>
        <v>12000</v>
      </c>
      <c r="I1967" s="16">
        <f>E1967*G1967</f>
        <v>30000</v>
      </c>
      <c r="J1967" s="16">
        <f>I1967-H1967</f>
        <v>18000</v>
      </c>
      <c r="K1967" s="16" t="str">
        <f>VLOOKUP(C1967,[1]master_data!$A$2:$E$495,5,FALSE)</f>
        <v>Ikan</v>
      </c>
      <c r="L1967" s="1"/>
    </row>
    <row r="1968" spans="1:12" ht="12" customHeight="1" x14ac:dyDescent="0.25">
      <c r="A1968" s="15">
        <v>45019</v>
      </c>
      <c r="B1968" s="16">
        <v>22300539</v>
      </c>
      <c r="C1968" s="16" t="s">
        <v>414</v>
      </c>
      <c r="D1968" s="16" t="str">
        <f>VLOOKUP(C1968,[1]master_data!$A$2:$E$495,2,FALSE)</f>
        <v>KOI K</v>
      </c>
      <c r="E1968" s="16">
        <v>15</v>
      </c>
      <c r="F1968" s="16">
        <f>VLOOKUP(C1968,[1]master_data!$A$2:$E$495,3,FALSE)</f>
        <v>2500</v>
      </c>
      <c r="G1968" s="16">
        <f>VLOOKUP(C1968,[1]master_data!$A$2:$E$495,4,FALSE)</f>
        <v>10000</v>
      </c>
      <c r="H1968" s="16">
        <f>E1968*F1968</f>
        <v>37500</v>
      </c>
      <c r="I1968" s="16">
        <f>E1968*G1968</f>
        <v>150000</v>
      </c>
      <c r="J1968" s="16">
        <f>I1968-H1968</f>
        <v>112500</v>
      </c>
      <c r="K1968" s="16" t="str">
        <f>VLOOKUP(C1968,[1]master_data!$A$2:$E$495,5,FALSE)</f>
        <v>Ikan</v>
      </c>
      <c r="L1968" s="1"/>
    </row>
    <row r="1969" spans="1:12" ht="12" customHeight="1" x14ac:dyDescent="0.25">
      <c r="A1969" s="15">
        <v>45019</v>
      </c>
      <c r="B1969" s="16">
        <v>22300540</v>
      </c>
      <c r="C1969" s="16" t="s">
        <v>380</v>
      </c>
      <c r="D1969" s="16" t="str">
        <f>VLOOKUP(C1969,[1]master_data!$A$2:$E$495,2,FALSE)</f>
        <v>BATU WARNA FOSFOR K</v>
      </c>
      <c r="E1969" s="16">
        <v>15</v>
      </c>
      <c r="F1969" s="16">
        <f>VLOOKUP(C1969,[1]master_data!$A$2:$E$495,3,FALSE)</f>
        <v>5500</v>
      </c>
      <c r="G1969" s="16">
        <f>VLOOKUP(C1969,[1]master_data!$A$2:$E$495,4,FALSE)</f>
        <v>10000</v>
      </c>
      <c r="H1969" s="16">
        <f>E1969*F1969</f>
        <v>82500</v>
      </c>
      <c r="I1969" s="16">
        <f>E1969*G1969</f>
        <v>150000</v>
      </c>
      <c r="J1969" s="16">
        <f>I1969-H1969</f>
        <v>67500</v>
      </c>
      <c r="K1969" s="16" t="str">
        <f>VLOOKUP(C1969,[1]master_data!$A$2:$E$495,5,FALSE)</f>
        <v>Aksesoris</v>
      </c>
      <c r="L1969" s="1"/>
    </row>
    <row r="1970" spans="1:12" ht="12" customHeight="1" x14ac:dyDescent="0.25">
      <c r="A1970" s="15">
        <v>45019</v>
      </c>
      <c r="B1970" s="16">
        <v>22300541</v>
      </c>
      <c r="C1970" s="16" t="s">
        <v>442</v>
      </c>
      <c r="D1970" s="16" t="str">
        <f>VLOOKUP(C1970,[1]master_data!$A$2:$E$495,2,FALSE)</f>
        <v>PARROT</v>
      </c>
      <c r="E1970" s="16">
        <v>1</v>
      </c>
      <c r="F1970" s="16">
        <f>VLOOKUP(C1970,[1]master_data!$A$2:$E$495,3,FALSE)</f>
        <v>27000</v>
      </c>
      <c r="G1970" s="16">
        <f>VLOOKUP(C1970,[1]master_data!$A$2:$E$495,4,FALSE)</f>
        <v>60000</v>
      </c>
      <c r="H1970" s="16">
        <f>E1970*F1970</f>
        <v>27000</v>
      </c>
      <c r="I1970" s="16">
        <f>E1970*G1970</f>
        <v>60000</v>
      </c>
      <c r="J1970" s="16">
        <f>I1970-H1970</f>
        <v>33000</v>
      </c>
      <c r="K1970" s="16" t="str">
        <f>VLOOKUP(C1970,[1]master_data!$A$2:$E$495,5,FALSE)</f>
        <v>Ikan</v>
      </c>
      <c r="L1970" s="1"/>
    </row>
    <row r="1971" spans="1:12" ht="12" customHeight="1" x14ac:dyDescent="0.25">
      <c r="A1971" s="15">
        <v>45018</v>
      </c>
      <c r="B1971" s="16">
        <v>22300527</v>
      </c>
      <c r="C1971" s="16" t="s">
        <v>397</v>
      </c>
      <c r="D1971" s="16" t="str">
        <f>VLOOKUP(C1971,[1]master_data!$A$2:$E$495,2,FALSE)</f>
        <v>BUENOS AIRES TETRA</v>
      </c>
      <c r="E1971" s="16">
        <v>30</v>
      </c>
      <c r="F1971" s="16">
        <f>VLOOKUP(C1971,[1]master_data!$A$2:$E$495,3,FALSE)</f>
        <v>800</v>
      </c>
      <c r="G1971" s="16">
        <f>VLOOKUP(C1971,[1]master_data!$A$2:$E$495,4,FALSE)</f>
        <v>2000</v>
      </c>
      <c r="H1971" s="16">
        <f>E1971*F1971</f>
        <v>24000</v>
      </c>
      <c r="I1971" s="16">
        <f>E1971*G1971</f>
        <v>60000</v>
      </c>
      <c r="J1971" s="16">
        <f>I1971-H1971</f>
        <v>36000</v>
      </c>
      <c r="K1971" s="16" t="str">
        <f>VLOOKUP(C1971,[1]master_data!$A$2:$E$495,5,FALSE)</f>
        <v>Ikan</v>
      </c>
      <c r="L1971" s="1"/>
    </row>
    <row r="1972" spans="1:12" ht="12" customHeight="1" x14ac:dyDescent="0.25">
      <c r="A1972" s="15">
        <v>45018</v>
      </c>
      <c r="B1972" s="16">
        <v>22300528</v>
      </c>
      <c r="C1972" s="16" t="s">
        <v>141</v>
      </c>
      <c r="D1972" s="16" t="str">
        <f>VLOOKUP(C1972,[1]master_data!$A$2:$E$495,2,FALSE)</f>
        <v>LED YANG HW 30 CM</v>
      </c>
      <c r="E1972" s="16">
        <v>1</v>
      </c>
      <c r="F1972" s="16">
        <f>VLOOKUP(C1972,[1]master_data!$A$2:$E$495,3,FALSE)</f>
        <v>56000</v>
      </c>
      <c r="G1972" s="16">
        <f>VLOOKUP(C1972,[1]master_data!$A$2:$E$495,4,FALSE)</f>
        <v>75000</v>
      </c>
      <c r="H1972" s="16">
        <f>E1972*F1972</f>
        <v>56000</v>
      </c>
      <c r="I1972" s="16">
        <f>E1972*G1972</f>
        <v>75000</v>
      </c>
      <c r="J1972" s="16">
        <f>I1972-H1972</f>
        <v>19000</v>
      </c>
      <c r="K1972" s="16" t="str">
        <f>VLOOKUP(C1972,[1]master_data!$A$2:$E$495,5,FALSE)</f>
        <v>Aksesoris</v>
      </c>
      <c r="L1972" s="1"/>
    </row>
    <row r="1973" spans="1:12" ht="12" customHeight="1" x14ac:dyDescent="0.25">
      <c r="A1973" s="15">
        <v>45018</v>
      </c>
      <c r="B1973" s="16">
        <v>22300529</v>
      </c>
      <c r="C1973" s="16" t="s">
        <v>458</v>
      </c>
      <c r="D1973" s="16" t="str">
        <f>VLOOKUP(C1973,[1]master_data!$A$2:$E$495,2,FALSE)</f>
        <v>ZEBRA KUNING</v>
      </c>
      <c r="E1973" s="16">
        <v>10</v>
      </c>
      <c r="F1973" s="16">
        <f>VLOOKUP(C1973,[1]master_data!$A$2:$E$495,3,FALSE)</f>
        <v>800</v>
      </c>
      <c r="G1973" s="16">
        <f>VLOOKUP(C1973,[1]master_data!$A$2:$E$495,4,FALSE)</f>
        <v>2000</v>
      </c>
      <c r="H1973" s="16">
        <f>E1973*F1973</f>
        <v>8000</v>
      </c>
      <c r="I1973" s="16">
        <f>E1973*G1973</f>
        <v>20000</v>
      </c>
      <c r="J1973" s="16">
        <f>I1973-H1973</f>
        <v>12000</v>
      </c>
      <c r="K1973" s="16" t="str">
        <f>VLOOKUP(C1973,[1]master_data!$A$2:$E$495,5,FALSE)</f>
        <v>Ikan</v>
      </c>
      <c r="L1973" s="1"/>
    </row>
    <row r="1974" spans="1:12" ht="12" customHeight="1" x14ac:dyDescent="0.25">
      <c r="A1974" s="15">
        <v>45018</v>
      </c>
      <c r="B1974" s="16">
        <v>22300530</v>
      </c>
      <c r="C1974" s="16" t="s">
        <v>396</v>
      </c>
      <c r="D1974" s="16" t="str">
        <f>VLOOKUP(C1974,[1]master_data!$A$2:$E$495,2,FALSE)</f>
        <v>BIPOLAR</v>
      </c>
      <c r="E1974" s="16">
        <v>25</v>
      </c>
      <c r="F1974" s="16">
        <f>VLOOKUP(C1974,[1]master_data!$A$2:$E$495,3,FALSE)</f>
        <v>1000</v>
      </c>
      <c r="G1974" s="16">
        <f>VLOOKUP(C1974,[1]master_data!$A$2:$E$495,4,FALSE)</f>
        <v>2500</v>
      </c>
      <c r="H1974" s="16">
        <f>E1974*F1974</f>
        <v>25000</v>
      </c>
      <c r="I1974" s="16">
        <f>E1974*G1974</f>
        <v>62500</v>
      </c>
      <c r="J1974" s="16">
        <f>I1974-H1974</f>
        <v>37500</v>
      </c>
      <c r="K1974" s="16" t="str">
        <f>VLOOKUP(C1974,[1]master_data!$A$2:$E$495,5,FALSE)</f>
        <v>Ikan</v>
      </c>
      <c r="L1974" s="1"/>
    </row>
    <row r="1975" spans="1:12" ht="12" customHeight="1" x14ac:dyDescent="0.25">
      <c r="A1975" s="15">
        <v>45018</v>
      </c>
      <c r="B1975" s="16">
        <v>22300531</v>
      </c>
      <c r="C1975" s="16" t="s">
        <v>446</v>
      </c>
      <c r="D1975" s="16" t="str">
        <f>VLOOKUP(C1975,[1]master_data!$A$2:$E$495,2,FALSE)</f>
        <v xml:space="preserve"> CHANNA RED BARITO K</v>
      </c>
      <c r="E1975" s="16">
        <v>4</v>
      </c>
      <c r="F1975" s="16">
        <f>VLOOKUP(C1975,[1]master_data!$A$2:$E$495,3,FALSE)</f>
        <v>45000</v>
      </c>
      <c r="G1975" s="16">
        <f>VLOOKUP(C1975,[1]master_data!$A$2:$E$495,4,FALSE)</f>
        <v>100000</v>
      </c>
      <c r="H1975" s="16">
        <f>E1975*F1975</f>
        <v>180000</v>
      </c>
      <c r="I1975" s="16">
        <f>E1975*G1975</f>
        <v>400000</v>
      </c>
      <c r="J1975" s="16">
        <f>I1975-H1975</f>
        <v>220000</v>
      </c>
      <c r="K1975" s="16" t="str">
        <f>VLOOKUP(C1975,[1]master_data!$A$2:$E$495,5,FALSE)</f>
        <v>Ikan</v>
      </c>
      <c r="L1975" s="1"/>
    </row>
    <row r="1976" spans="1:12" ht="12" customHeight="1" x14ac:dyDescent="0.25">
      <c r="A1976" s="15">
        <v>45018</v>
      </c>
      <c r="B1976" s="16">
        <v>22300532</v>
      </c>
      <c r="C1976" s="16" t="s">
        <v>214</v>
      </c>
      <c r="D1976" s="16" t="str">
        <f>VLOOKUP(C1976,[1]master_data!$A$2:$E$495,2,FALSE)</f>
        <v>HOKKY LOUHAN COLOUR</v>
      </c>
      <c r="E1976" s="16">
        <v>2</v>
      </c>
      <c r="F1976" s="16">
        <f>VLOOKUP(C1976,[1]master_data!$A$2:$E$495,3,FALSE)</f>
        <v>18000</v>
      </c>
      <c r="G1976" s="16">
        <f>VLOOKUP(C1976,[1]master_data!$A$2:$E$495,4,FALSE)</f>
        <v>25000</v>
      </c>
      <c r="H1976" s="16">
        <f>E1976*F1976</f>
        <v>36000</v>
      </c>
      <c r="I1976" s="16">
        <f>E1976*G1976</f>
        <v>50000</v>
      </c>
      <c r="J1976" s="16">
        <f>I1976-H1976</f>
        <v>14000</v>
      </c>
      <c r="K1976" s="16" t="str">
        <f>VLOOKUP(C1976,[1]master_data!$A$2:$E$495,5,FALSE)</f>
        <v>Aksesoris</v>
      </c>
      <c r="L1976" s="1"/>
    </row>
    <row r="1977" spans="1:12" ht="12" customHeight="1" x14ac:dyDescent="0.25">
      <c r="A1977" s="15">
        <v>45018</v>
      </c>
      <c r="B1977" s="16">
        <v>22300533</v>
      </c>
      <c r="C1977" s="16" t="s">
        <v>273</v>
      </c>
      <c r="D1977" s="16" t="str">
        <f>VLOOKUP(C1977,[1]master_data!$A$2:$E$495,2,FALSE)</f>
        <v>JARING 12</v>
      </c>
      <c r="E1977" s="16">
        <v>1</v>
      </c>
      <c r="F1977" s="16">
        <f>VLOOKUP(C1977,[1]master_data!$A$2:$E$495,3,FALSE)</f>
        <v>4000</v>
      </c>
      <c r="G1977" s="16">
        <f>VLOOKUP(C1977,[1]master_data!$A$2:$E$495,4,FALSE)</f>
        <v>7000</v>
      </c>
      <c r="H1977" s="16">
        <f>E1977*F1977</f>
        <v>4000</v>
      </c>
      <c r="I1977" s="16">
        <f>E1977*G1977</f>
        <v>7000</v>
      </c>
      <c r="J1977" s="16">
        <f>I1977-H1977</f>
        <v>3000</v>
      </c>
      <c r="K1977" s="16" t="str">
        <f>VLOOKUP(C1977,[1]master_data!$A$2:$E$495,5,FALSE)</f>
        <v>Aksesoris</v>
      </c>
      <c r="L1977" s="1"/>
    </row>
    <row r="1978" spans="1:12" ht="12" customHeight="1" x14ac:dyDescent="0.25">
      <c r="A1978" s="15">
        <v>45017</v>
      </c>
      <c r="B1978" s="16">
        <v>22300522</v>
      </c>
      <c r="C1978" s="16" t="s">
        <v>414</v>
      </c>
      <c r="D1978" s="16" t="str">
        <f>VLOOKUP(C1978,[1]master_data!$A$2:$E$495,2,FALSE)</f>
        <v>KOI K</v>
      </c>
      <c r="E1978" s="16">
        <v>15</v>
      </c>
      <c r="F1978" s="16">
        <f>VLOOKUP(C1978,[1]master_data!$A$2:$E$495,3,FALSE)</f>
        <v>2500</v>
      </c>
      <c r="G1978" s="16">
        <f>VLOOKUP(C1978,[1]master_data!$A$2:$E$495,4,FALSE)</f>
        <v>10000</v>
      </c>
      <c r="H1978" s="16">
        <f>E1978*F1978</f>
        <v>37500</v>
      </c>
      <c r="I1978" s="16">
        <f>E1978*G1978</f>
        <v>150000</v>
      </c>
      <c r="J1978" s="16">
        <f>I1978-H1978</f>
        <v>112500</v>
      </c>
      <c r="K1978" s="16" t="str">
        <f>VLOOKUP(C1978,[1]master_data!$A$2:$E$495,5,FALSE)</f>
        <v>Ikan</v>
      </c>
      <c r="L1978" s="1"/>
    </row>
    <row r="1979" spans="1:12" ht="12" customHeight="1" x14ac:dyDescent="0.25">
      <c r="A1979" s="15">
        <v>45017</v>
      </c>
      <c r="B1979" s="16">
        <v>22300523</v>
      </c>
      <c r="C1979" s="16" t="s">
        <v>254</v>
      </c>
      <c r="D1979" s="16" t="str">
        <f>VLOOKUP(C1979,[1]master_data!$A$2:$E$495,2,FALSE)</f>
        <v>BACKGROUND</v>
      </c>
      <c r="E1979" s="16">
        <v>5</v>
      </c>
      <c r="F1979" s="16">
        <f>VLOOKUP(C1979,[1]master_data!$A$2:$E$495,3,FALSE)</f>
        <v>8000</v>
      </c>
      <c r="G1979" s="16">
        <f>VLOOKUP(C1979,[1]master_data!$A$2:$E$495,4,FALSE)</f>
        <v>15000</v>
      </c>
      <c r="H1979" s="16">
        <f>E1979*F1979</f>
        <v>40000</v>
      </c>
      <c r="I1979" s="16">
        <f>E1979*G1979</f>
        <v>75000</v>
      </c>
      <c r="J1979" s="16">
        <f>I1979-H1979</f>
        <v>35000</v>
      </c>
      <c r="K1979" s="16" t="str">
        <f>VLOOKUP(C1979,[1]master_data!$A$2:$E$495,5,FALSE)</f>
        <v>Aksesoris</v>
      </c>
      <c r="L1979" s="1"/>
    </row>
    <row r="1980" spans="1:12" ht="12" customHeight="1" x14ac:dyDescent="0.25">
      <c r="A1980" s="15">
        <v>45017</v>
      </c>
      <c r="B1980" s="16">
        <v>22300524</v>
      </c>
      <c r="C1980" s="16" t="s">
        <v>439</v>
      </c>
      <c r="D1980" s="16" t="str">
        <f>VLOOKUP(C1980,[1]master_data!$A$2:$E$495,2,FALSE)</f>
        <v>PEMBERSIH KACA BIASA</v>
      </c>
      <c r="E1980" s="16">
        <v>30</v>
      </c>
      <c r="F1980" s="16">
        <f>VLOOKUP(C1980,[1]master_data!$A$2:$E$495,3,FALSE)</f>
        <v>2000</v>
      </c>
      <c r="G1980" s="16">
        <f>VLOOKUP(C1980,[1]master_data!$A$2:$E$495,4,FALSE)</f>
        <v>5000</v>
      </c>
      <c r="H1980" s="16">
        <f>E1980*F1980</f>
        <v>60000</v>
      </c>
      <c r="I1980" s="16">
        <f>E1980*G1980</f>
        <v>150000</v>
      </c>
      <c r="J1980" s="16">
        <f>I1980-H1980</f>
        <v>90000</v>
      </c>
      <c r="K1980" s="16" t="str">
        <f>VLOOKUP(C1980,[1]master_data!$A$2:$E$495,5,FALSE)</f>
        <v>Ikan</v>
      </c>
      <c r="L1980" s="1"/>
    </row>
    <row r="1981" spans="1:12" ht="12" customHeight="1" x14ac:dyDescent="0.25">
      <c r="A1981" s="15">
        <v>45017</v>
      </c>
      <c r="B1981" s="16">
        <v>22300525</v>
      </c>
      <c r="C1981" s="16" t="s">
        <v>405</v>
      </c>
      <c r="D1981" s="16" t="str">
        <f>VLOOKUP(C1981,[1]master_data!$A$2:$E$495,2,FALSE)</f>
        <v>CUPANG</v>
      </c>
      <c r="E1981" s="16">
        <v>20</v>
      </c>
      <c r="F1981" s="16">
        <f>VLOOKUP(C1981,[1]master_data!$A$2:$E$495,3,FALSE)</f>
        <v>2000</v>
      </c>
      <c r="G1981" s="16">
        <f>VLOOKUP(C1981,[1]master_data!$A$2:$E$495,4,FALSE)</f>
        <v>5000</v>
      </c>
      <c r="H1981" s="16">
        <f>E1981*F1981</f>
        <v>40000</v>
      </c>
      <c r="I1981" s="16">
        <f>E1981*G1981</f>
        <v>100000</v>
      </c>
      <c r="J1981" s="16">
        <f>I1981-H1981</f>
        <v>60000</v>
      </c>
      <c r="K1981" s="16" t="str">
        <f>VLOOKUP(C1981,[1]master_data!$A$2:$E$495,5,FALSE)</f>
        <v>Ikan</v>
      </c>
      <c r="L1981" s="1"/>
    </row>
    <row r="1982" spans="1:12" ht="12" customHeight="1" x14ac:dyDescent="0.25">
      <c r="A1982" s="15">
        <v>45017</v>
      </c>
      <c r="B1982" s="16">
        <v>22300526</v>
      </c>
      <c r="C1982" s="16" t="s">
        <v>391</v>
      </c>
      <c r="D1982" s="16" t="str">
        <f>VLOOKUP(C1982,[1]master_data!$A$2:$E$495,2,FALSE)</f>
        <v>CHANNA ANDRAO B</v>
      </c>
      <c r="E1982" s="16">
        <v>2</v>
      </c>
      <c r="F1982" s="16">
        <f>VLOOKUP(C1982,[1]master_data!$A$2:$E$495,3,FALSE)</f>
        <v>100000</v>
      </c>
      <c r="G1982" s="16">
        <f>VLOOKUP(C1982,[1]master_data!$A$2:$E$495,4,FALSE)</f>
        <v>200000</v>
      </c>
      <c r="H1982" s="16">
        <f>E1982*F1982</f>
        <v>200000</v>
      </c>
      <c r="I1982" s="16">
        <f>E1982*G1982</f>
        <v>400000</v>
      </c>
      <c r="J1982" s="16">
        <f>I1982-H1982</f>
        <v>200000</v>
      </c>
      <c r="K1982" s="16" t="str">
        <f>VLOOKUP(C1982,[1]master_data!$A$2:$E$495,5,FALSE)</f>
        <v>Ikan</v>
      </c>
      <c r="L1982" s="1"/>
    </row>
    <row r="1983" spans="1:12" ht="12" customHeight="1" x14ac:dyDescent="0.25">
      <c r="A1983" s="15">
        <v>45016</v>
      </c>
      <c r="B1983" s="16">
        <v>22300515</v>
      </c>
      <c r="C1983" s="16" t="s">
        <v>44</v>
      </c>
      <c r="D1983" s="16" t="str">
        <f>VLOOKUP(C1983,[1]master_data!$A$2:$E$495,2,FALSE)</f>
        <v>MESIN YAMANO ACO 004</v>
      </c>
      <c r="E1983" s="16">
        <v>1</v>
      </c>
      <c r="F1983" s="16">
        <f>VLOOKUP(C1983,[1]master_data!$A$2:$E$495,3,FALSE)</f>
        <v>505000</v>
      </c>
      <c r="G1983" s="16">
        <f>VLOOKUP(C1983,[1]master_data!$A$2:$E$495,4,FALSE)</f>
        <v>550000</v>
      </c>
      <c r="H1983" s="16">
        <f>E1983*F1983</f>
        <v>505000</v>
      </c>
      <c r="I1983" s="16">
        <f>E1983*G1983</f>
        <v>550000</v>
      </c>
      <c r="J1983" s="16">
        <f>I1983-H1983</f>
        <v>45000</v>
      </c>
      <c r="K1983" s="16" t="str">
        <f>VLOOKUP(C1983,[1]master_data!$A$2:$E$495,5,FALSE)</f>
        <v>Aksesoris</v>
      </c>
      <c r="L1983" s="1"/>
    </row>
    <row r="1984" spans="1:12" ht="12" customHeight="1" x14ac:dyDescent="0.25">
      <c r="A1984" s="15">
        <v>45016</v>
      </c>
      <c r="B1984" s="16">
        <v>22300516</v>
      </c>
      <c r="C1984" s="16" t="s">
        <v>457</v>
      </c>
      <c r="D1984" s="16" t="str">
        <f>VLOOKUP(C1984,[1]master_data!$A$2:$E$495,2,FALSE)</f>
        <v>ZEBRA UNGU</v>
      </c>
      <c r="E1984" s="16">
        <v>30</v>
      </c>
      <c r="F1984" s="16">
        <f>VLOOKUP(C1984,[1]master_data!$A$2:$E$495,3,FALSE)</f>
        <v>800</v>
      </c>
      <c r="G1984" s="16">
        <f>VLOOKUP(C1984,[1]master_data!$A$2:$E$495,4,FALSE)</f>
        <v>2000</v>
      </c>
      <c r="H1984" s="16">
        <f>E1984*F1984</f>
        <v>24000</v>
      </c>
      <c r="I1984" s="16">
        <f>E1984*G1984</f>
        <v>60000</v>
      </c>
      <c r="J1984" s="16">
        <f>I1984-H1984</f>
        <v>36000</v>
      </c>
      <c r="K1984" s="16" t="str">
        <f>VLOOKUP(C1984,[1]master_data!$A$2:$E$495,5,FALSE)</f>
        <v>Ikan</v>
      </c>
      <c r="L1984" s="1"/>
    </row>
    <row r="1985" spans="1:12" ht="12" customHeight="1" x14ac:dyDescent="0.25">
      <c r="A1985" s="15">
        <v>45016</v>
      </c>
      <c r="B1985" s="16">
        <v>22300517</v>
      </c>
      <c r="C1985" s="16" t="s">
        <v>332</v>
      </c>
      <c r="D1985" s="16" t="str">
        <f>VLOOKUP(C1985,[1]master_data!$A$2:$E$495,2,FALSE)</f>
        <v>KAPAS 2 LAPIS</v>
      </c>
      <c r="E1985" s="16">
        <v>30</v>
      </c>
      <c r="F1985" s="16">
        <f>VLOOKUP(C1985,[1]master_data!$A$2:$E$495,3,FALSE)</f>
        <v>2000</v>
      </c>
      <c r="G1985" s="16">
        <f>VLOOKUP(C1985,[1]master_data!$A$2:$E$495,4,FALSE)</f>
        <v>4000</v>
      </c>
      <c r="H1985" s="16">
        <f>E1985*F1985</f>
        <v>60000</v>
      </c>
      <c r="I1985" s="16">
        <f>E1985*G1985</f>
        <v>120000</v>
      </c>
      <c r="J1985" s="16">
        <f>I1985-H1985</f>
        <v>60000</v>
      </c>
      <c r="K1985" s="16" t="str">
        <f>VLOOKUP(C1985,[1]master_data!$A$2:$E$495,5,FALSE)</f>
        <v>Aksesoris</v>
      </c>
      <c r="L1985" s="1"/>
    </row>
    <row r="1986" spans="1:12" ht="12" customHeight="1" x14ac:dyDescent="0.25">
      <c r="A1986" s="15">
        <v>45016</v>
      </c>
      <c r="B1986" s="16">
        <v>22300518</v>
      </c>
      <c r="C1986" s="16" t="s">
        <v>399</v>
      </c>
      <c r="D1986" s="16" t="str">
        <f>VLOOKUP(C1986,[1]master_data!$A$2:$E$495,2,FALSE)</f>
        <v>BALA BALA B</v>
      </c>
      <c r="E1986" s="16">
        <v>5</v>
      </c>
      <c r="F1986" s="16">
        <f>VLOOKUP(C1986,[1]master_data!$A$2:$E$495,3,FALSE)</f>
        <v>7000</v>
      </c>
      <c r="G1986" s="16">
        <f>VLOOKUP(C1986,[1]master_data!$A$2:$E$495,4,FALSE)</f>
        <v>15000</v>
      </c>
      <c r="H1986" s="16">
        <f>E1986*F1986</f>
        <v>35000</v>
      </c>
      <c r="I1986" s="16">
        <f>E1986*G1986</f>
        <v>75000</v>
      </c>
      <c r="J1986" s="16">
        <f>I1986-H1986</f>
        <v>40000</v>
      </c>
      <c r="K1986" s="16" t="str">
        <f>VLOOKUP(C1986,[1]master_data!$A$2:$E$495,5,FALSE)</f>
        <v>Ikan</v>
      </c>
      <c r="L1986" s="1"/>
    </row>
    <row r="1987" spans="1:12" ht="12" customHeight="1" x14ac:dyDescent="0.25">
      <c r="A1987" s="15">
        <v>45016</v>
      </c>
      <c r="B1987" s="16">
        <v>22300519</v>
      </c>
      <c r="C1987" s="16" t="s">
        <v>439</v>
      </c>
      <c r="D1987" s="16" t="str">
        <f>VLOOKUP(C1987,[1]master_data!$A$2:$E$495,2,FALSE)</f>
        <v>PEMBERSIH KACA BIASA</v>
      </c>
      <c r="E1987" s="16">
        <v>1</v>
      </c>
      <c r="F1987" s="16">
        <f>VLOOKUP(C1987,[1]master_data!$A$2:$E$495,3,FALSE)</f>
        <v>2000</v>
      </c>
      <c r="G1987" s="16">
        <f>VLOOKUP(C1987,[1]master_data!$A$2:$E$495,4,FALSE)</f>
        <v>5000</v>
      </c>
      <c r="H1987" s="16">
        <f>E1987*F1987</f>
        <v>2000</v>
      </c>
      <c r="I1987" s="16">
        <f>E1987*G1987</f>
        <v>5000</v>
      </c>
      <c r="J1987" s="16">
        <f>I1987-H1987</f>
        <v>3000</v>
      </c>
      <c r="K1987" s="16" t="str">
        <f>VLOOKUP(C1987,[1]master_data!$A$2:$E$495,5,FALSE)</f>
        <v>Ikan</v>
      </c>
      <c r="L1987" s="1"/>
    </row>
    <row r="1988" spans="1:12" ht="12" customHeight="1" x14ac:dyDescent="0.25">
      <c r="A1988" s="15">
        <v>45016</v>
      </c>
      <c r="B1988" s="16">
        <v>22300520</v>
      </c>
      <c r="C1988" s="16" t="s">
        <v>442</v>
      </c>
      <c r="D1988" s="16" t="str">
        <f>VLOOKUP(C1988,[1]master_data!$A$2:$E$495,2,FALSE)</f>
        <v>PARROT</v>
      </c>
      <c r="E1988" s="16">
        <v>1</v>
      </c>
      <c r="F1988" s="16">
        <f>VLOOKUP(C1988,[1]master_data!$A$2:$E$495,3,FALSE)</f>
        <v>27000</v>
      </c>
      <c r="G1988" s="16">
        <f>VLOOKUP(C1988,[1]master_data!$A$2:$E$495,4,FALSE)</f>
        <v>60000</v>
      </c>
      <c r="H1988" s="16">
        <f>E1988*F1988</f>
        <v>27000</v>
      </c>
      <c r="I1988" s="16">
        <f>E1988*G1988</f>
        <v>60000</v>
      </c>
      <c r="J1988" s="16">
        <f>I1988-H1988</f>
        <v>33000</v>
      </c>
      <c r="K1988" s="16" t="str">
        <f>VLOOKUP(C1988,[1]master_data!$A$2:$E$495,5,FALSE)</f>
        <v>Ikan</v>
      </c>
      <c r="L1988" s="1"/>
    </row>
    <row r="1989" spans="1:12" ht="12" customHeight="1" x14ac:dyDescent="0.25">
      <c r="A1989" s="15">
        <v>45016</v>
      </c>
      <c r="B1989" s="16">
        <v>22300521</v>
      </c>
      <c r="C1989" s="16" t="s">
        <v>415</v>
      </c>
      <c r="D1989" s="16" t="str">
        <f>VLOOKUP(C1989,[1]master_data!$A$2:$E$495,2,FALSE)</f>
        <v>KOI T</v>
      </c>
      <c r="E1989" s="16">
        <v>10</v>
      </c>
      <c r="F1989" s="16">
        <f>VLOOKUP(C1989,[1]master_data!$A$2:$E$495,3,FALSE)</f>
        <v>7000</v>
      </c>
      <c r="G1989" s="16">
        <f>VLOOKUP(C1989,[1]master_data!$A$2:$E$495,4,FALSE)</f>
        <v>20000</v>
      </c>
      <c r="H1989" s="16">
        <f>E1989*F1989</f>
        <v>70000</v>
      </c>
      <c r="I1989" s="16">
        <f>E1989*G1989</f>
        <v>200000</v>
      </c>
      <c r="J1989" s="16">
        <f>I1989-H1989</f>
        <v>130000</v>
      </c>
      <c r="K1989" s="16" t="str">
        <f>VLOOKUP(C1989,[1]master_data!$A$2:$E$495,5,FALSE)</f>
        <v>Ikan</v>
      </c>
      <c r="L1989" s="1"/>
    </row>
    <row r="1990" spans="1:12" ht="12" customHeight="1" x14ac:dyDescent="0.25">
      <c r="A1990" s="15">
        <v>45015</v>
      </c>
      <c r="B1990" s="16">
        <v>22300508</v>
      </c>
      <c r="C1990" s="16" t="s">
        <v>408</v>
      </c>
      <c r="D1990" s="16" t="str">
        <f>VLOOKUP(C1990,[1]master_data!$A$2:$E$495,2,FALSE)</f>
        <v>GUPY</v>
      </c>
      <c r="E1990" s="16">
        <v>10</v>
      </c>
      <c r="F1990" s="16">
        <f>VLOOKUP(C1990,[1]master_data!$A$2:$E$495,3,FALSE)</f>
        <v>1200</v>
      </c>
      <c r="G1990" s="16">
        <f>VLOOKUP(C1990,[1]master_data!$A$2:$E$495,4,FALSE)</f>
        <v>2500</v>
      </c>
      <c r="H1990" s="16">
        <f>E1990*F1990</f>
        <v>12000</v>
      </c>
      <c r="I1990" s="16">
        <f>E1990*G1990</f>
        <v>25000</v>
      </c>
      <c r="J1990" s="16">
        <f>I1990-H1990</f>
        <v>13000</v>
      </c>
      <c r="K1990" s="16" t="str">
        <f>VLOOKUP(C1990,[1]master_data!$A$2:$E$495,5,FALSE)</f>
        <v>Ikan</v>
      </c>
      <c r="L1990" s="1"/>
    </row>
    <row r="1991" spans="1:12" ht="12" customHeight="1" x14ac:dyDescent="0.25">
      <c r="A1991" s="15">
        <v>45015</v>
      </c>
      <c r="B1991" s="16">
        <v>22300509</v>
      </c>
      <c r="C1991" s="16" t="s">
        <v>374</v>
      </c>
      <c r="D1991" s="16" t="str">
        <f>VLOOKUP(C1991,[1]master_data!$A$2:$E$495,2,FALSE)</f>
        <v>PASIR MERAH K</v>
      </c>
      <c r="E1991" s="16">
        <v>10</v>
      </c>
      <c r="F1991" s="16">
        <f>VLOOKUP(C1991,[1]master_data!$A$2:$E$495,3,FALSE)</f>
        <v>2500</v>
      </c>
      <c r="G1991" s="16">
        <f>VLOOKUP(C1991,[1]master_data!$A$2:$E$495,4,FALSE)</f>
        <v>5000</v>
      </c>
      <c r="H1991" s="16">
        <f>E1991*F1991</f>
        <v>25000</v>
      </c>
      <c r="I1991" s="16">
        <f>E1991*G1991</f>
        <v>50000</v>
      </c>
      <c r="J1991" s="16">
        <f>I1991-H1991</f>
        <v>25000</v>
      </c>
      <c r="K1991" s="16" t="str">
        <f>VLOOKUP(C1991,[1]master_data!$A$2:$E$495,5,FALSE)</f>
        <v>Aksesoris</v>
      </c>
      <c r="L1991" s="1"/>
    </row>
    <row r="1992" spans="1:12" ht="12" customHeight="1" x14ac:dyDescent="0.25">
      <c r="A1992" s="15">
        <v>45015</v>
      </c>
      <c r="B1992" s="16">
        <v>22300510</v>
      </c>
      <c r="C1992" s="16" t="s">
        <v>449</v>
      </c>
      <c r="D1992" s="16" t="str">
        <f>VLOOKUP(C1992,[1]master_data!$A$2:$E$495,2,FALSE)</f>
        <v>SUMATRA GOLD FISH</v>
      </c>
      <c r="E1992" s="16">
        <v>50</v>
      </c>
      <c r="F1992" s="16">
        <f>VLOOKUP(C1992,[1]master_data!$A$2:$E$495,3,FALSE)</f>
        <v>2500</v>
      </c>
      <c r="G1992" s="16">
        <f>VLOOKUP(C1992,[1]master_data!$A$2:$E$495,4,FALSE)</f>
        <v>4000</v>
      </c>
      <c r="H1992" s="16">
        <f>E1992*F1992</f>
        <v>125000</v>
      </c>
      <c r="I1992" s="16">
        <f>E1992*G1992</f>
        <v>200000</v>
      </c>
      <c r="J1992" s="16">
        <f>I1992-H1992</f>
        <v>75000</v>
      </c>
      <c r="K1992" s="16" t="str">
        <f>VLOOKUP(C1992,[1]master_data!$A$2:$E$495,5,FALSE)</f>
        <v>Ikan</v>
      </c>
      <c r="L1992" s="1"/>
    </row>
    <row r="1993" spans="1:12" ht="12" customHeight="1" x14ac:dyDescent="0.25">
      <c r="A1993" s="15">
        <v>45015</v>
      </c>
      <c r="B1993" s="16">
        <v>22300511</v>
      </c>
      <c r="C1993" s="16" t="s">
        <v>415</v>
      </c>
      <c r="D1993" s="16" t="str">
        <f>VLOOKUP(C1993,[1]master_data!$A$2:$E$495,2,FALSE)</f>
        <v>KOI T</v>
      </c>
      <c r="E1993" s="16">
        <v>1</v>
      </c>
      <c r="F1993" s="16">
        <f>VLOOKUP(C1993,[1]master_data!$A$2:$E$495,3,FALSE)</f>
        <v>7000</v>
      </c>
      <c r="G1993" s="16">
        <f>VLOOKUP(C1993,[1]master_data!$A$2:$E$495,4,FALSE)</f>
        <v>20000</v>
      </c>
      <c r="H1993" s="16">
        <f>E1993*F1993</f>
        <v>7000</v>
      </c>
      <c r="I1993" s="16">
        <f>E1993*G1993</f>
        <v>20000</v>
      </c>
      <c r="J1993" s="16">
        <f>I1993-H1993</f>
        <v>13000</v>
      </c>
      <c r="K1993" s="16" t="str">
        <f>VLOOKUP(C1993,[1]master_data!$A$2:$E$495,5,FALSE)</f>
        <v>Ikan</v>
      </c>
      <c r="L1993" s="1"/>
    </row>
    <row r="1994" spans="1:12" ht="12" customHeight="1" x14ac:dyDescent="0.25">
      <c r="A1994" s="15">
        <v>45015</v>
      </c>
      <c r="B1994" s="16">
        <v>22300512</v>
      </c>
      <c r="C1994" s="16" t="s">
        <v>430</v>
      </c>
      <c r="D1994" s="16" t="str">
        <f>VLOOKUP(C1994,[1]master_data!$A$2:$E$495,2,FALSE)</f>
        <v>MARU K</v>
      </c>
      <c r="E1994" s="16">
        <v>1</v>
      </c>
      <c r="F1994" s="16">
        <f>VLOOKUP(C1994,[1]master_data!$A$2:$E$495,3,FALSE)</f>
        <v>23000</v>
      </c>
      <c r="G1994" s="16">
        <f>VLOOKUP(C1994,[1]master_data!$A$2:$E$495,4,FALSE)</f>
        <v>50000</v>
      </c>
      <c r="H1994" s="16">
        <f>E1994*F1994</f>
        <v>23000</v>
      </c>
      <c r="I1994" s="16">
        <f>E1994*G1994</f>
        <v>50000</v>
      </c>
      <c r="J1994" s="16">
        <f>I1994-H1994</f>
        <v>27000</v>
      </c>
      <c r="K1994" s="16" t="str">
        <f>VLOOKUP(C1994,[1]master_data!$A$2:$E$495,5,FALSE)</f>
        <v>Ikan</v>
      </c>
      <c r="L1994" s="1"/>
    </row>
    <row r="1995" spans="1:12" ht="12" customHeight="1" x14ac:dyDescent="0.25">
      <c r="A1995" s="15">
        <v>45015</v>
      </c>
      <c r="B1995" s="16">
        <v>22300513</v>
      </c>
      <c r="C1995" s="16" t="s">
        <v>402</v>
      </c>
      <c r="D1995" s="16" t="str">
        <f>VLOOKUP(C1995,[1]master_data!$A$2:$E$495,2,FALSE)</f>
        <v>CHANNA BLUE PULCHRA B</v>
      </c>
      <c r="E1995" s="16">
        <v>2</v>
      </c>
      <c r="F1995" s="16">
        <f>VLOOKUP(C1995,[1]master_data!$A$2:$E$495,3,FALSE)</f>
        <v>125000</v>
      </c>
      <c r="G1995" s="16">
        <f>VLOOKUP(C1995,[1]master_data!$A$2:$E$495,4,FALSE)</f>
        <v>200000</v>
      </c>
      <c r="H1995" s="16">
        <f>E1995*F1995</f>
        <v>250000</v>
      </c>
      <c r="I1995" s="16">
        <f>E1995*G1995</f>
        <v>400000</v>
      </c>
      <c r="J1995" s="16">
        <f>I1995-H1995</f>
        <v>150000</v>
      </c>
      <c r="K1995" s="16" t="str">
        <f>VLOOKUP(C1995,[1]master_data!$A$2:$E$495,5,FALSE)</f>
        <v>Ikan</v>
      </c>
      <c r="L1995" s="1"/>
    </row>
    <row r="1996" spans="1:12" ht="12" customHeight="1" x14ac:dyDescent="0.25">
      <c r="A1996" s="15">
        <v>45015</v>
      </c>
      <c r="B1996" s="16">
        <v>22300514</v>
      </c>
      <c r="C1996" s="16" t="s">
        <v>414</v>
      </c>
      <c r="D1996" s="16" t="str">
        <f>VLOOKUP(C1996,[1]master_data!$A$2:$E$495,2,FALSE)</f>
        <v>KOI K</v>
      </c>
      <c r="E1996" s="16">
        <v>3</v>
      </c>
      <c r="F1996" s="16">
        <f>VLOOKUP(C1996,[1]master_data!$A$2:$E$495,3,FALSE)</f>
        <v>2500</v>
      </c>
      <c r="G1996" s="16">
        <f>VLOOKUP(C1996,[1]master_data!$A$2:$E$495,4,FALSE)</f>
        <v>10000</v>
      </c>
      <c r="H1996" s="16">
        <f>E1996*F1996</f>
        <v>7500</v>
      </c>
      <c r="I1996" s="16">
        <f>E1996*G1996</f>
        <v>30000</v>
      </c>
      <c r="J1996" s="16">
        <f>I1996-H1996</f>
        <v>22500</v>
      </c>
      <c r="K1996" s="16" t="str">
        <f>VLOOKUP(C1996,[1]master_data!$A$2:$E$495,5,FALSE)</f>
        <v>Ikan</v>
      </c>
      <c r="L1996" s="1"/>
    </row>
    <row r="1997" spans="1:12" ht="12" customHeight="1" x14ac:dyDescent="0.25">
      <c r="A1997" s="15">
        <v>45014</v>
      </c>
      <c r="B1997" s="16">
        <v>22300505</v>
      </c>
      <c r="C1997" s="16" t="s">
        <v>455</v>
      </c>
      <c r="D1997" s="16" t="str">
        <f>VLOOKUP(C1997,[1]master_data!$A$2:$E$495,2,FALSE)</f>
        <v>ZEBRA PINK</v>
      </c>
      <c r="E1997" s="16">
        <v>60</v>
      </c>
      <c r="F1997" s="16">
        <f>VLOOKUP(C1997,[1]master_data!$A$2:$E$495,3,FALSE)</f>
        <v>800</v>
      </c>
      <c r="G1997" s="16">
        <f>VLOOKUP(C1997,[1]master_data!$A$2:$E$495,4,FALSE)</f>
        <v>2000</v>
      </c>
      <c r="H1997" s="16">
        <f>E1997*F1997</f>
        <v>48000</v>
      </c>
      <c r="I1997" s="16">
        <f>E1997*G1997</f>
        <v>120000</v>
      </c>
      <c r="J1997" s="16">
        <f>I1997-H1997</f>
        <v>72000</v>
      </c>
      <c r="K1997" s="16" t="str">
        <f>VLOOKUP(C1997,[1]master_data!$A$2:$E$495,5,FALSE)</f>
        <v>Ikan</v>
      </c>
      <c r="L1997" s="1"/>
    </row>
    <row r="1998" spans="1:12" ht="12" customHeight="1" x14ac:dyDescent="0.25">
      <c r="A1998" s="15">
        <v>45014</v>
      </c>
      <c r="B1998" s="16">
        <v>22300506</v>
      </c>
      <c r="C1998" s="16" t="s">
        <v>431</v>
      </c>
      <c r="D1998" s="16" t="str">
        <f>VLOOKUP(C1998,[1]master_data!$A$2:$E$495,2,FALSE)</f>
        <v>MARU B</v>
      </c>
      <c r="E1998" s="16">
        <v>2</v>
      </c>
      <c r="F1998" s="16">
        <f>VLOOKUP(C1998,[1]master_data!$A$2:$E$495,3,FALSE)</f>
        <v>90000</v>
      </c>
      <c r="G1998" s="16">
        <f>VLOOKUP(C1998,[1]master_data!$A$2:$E$495,4,FALSE)</f>
        <v>150000</v>
      </c>
      <c r="H1998" s="16">
        <f>E1998*F1998</f>
        <v>180000</v>
      </c>
      <c r="I1998" s="16">
        <f>E1998*G1998</f>
        <v>300000</v>
      </c>
      <c r="J1998" s="16">
        <f>I1998-H1998</f>
        <v>120000</v>
      </c>
      <c r="K1998" s="16" t="str">
        <f>VLOOKUP(C1998,[1]master_data!$A$2:$E$495,5,FALSE)</f>
        <v>Ikan</v>
      </c>
      <c r="L1998" s="1"/>
    </row>
    <row r="1999" spans="1:12" ht="12" customHeight="1" x14ac:dyDescent="0.25">
      <c r="A1999" s="15">
        <v>45014</v>
      </c>
      <c r="B1999" s="16">
        <v>22300507</v>
      </c>
      <c r="C1999" s="16" t="s">
        <v>447</v>
      </c>
      <c r="D1999" s="16" t="str">
        <f>VLOOKUP(C1999,[1]master_data!$A$2:$E$495,2,FALSE)</f>
        <v>CHANNA RED BARITO B</v>
      </c>
      <c r="E1999" s="16">
        <v>1</v>
      </c>
      <c r="F1999" s="16">
        <f>VLOOKUP(C1999,[1]master_data!$A$2:$E$495,3,FALSE)</f>
        <v>120000</v>
      </c>
      <c r="G1999" s="16">
        <f>VLOOKUP(C1999,[1]master_data!$A$2:$E$495,4,FALSE)</f>
        <v>200000</v>
      </c>
      <c r="H1999" s="16">
        <f>E1999*F1999</f>
        <v>120000</v>
      </c>
      <c r="I1999" s="16">
        <f>E1999*G1999</f>
        <v>200000</v>
      </c>
      <c r="J1999" s="16">
        <f>I1999-H1999</f>
        <v>80000</v>
      </c>
      <c r="K1999" s="16" t="str">
        <f>VLOOKUP(C1999,[1]master_data!$A$2:$E$495,5,FALSE)</f>
        <v>Ikan</v>
      </c>
      <c r="L1999" s="1"/>
    </row>
    <row r="2000" spans="1:12" ht="12" customHeight="1" x14ac:dyDescent="0.25">
      <c r="A2000" s="15">
        <v>45013</v>
      </c>
      <c r="B2000" s="16">
        <v>22300504</v>
      </c>
      <c r="C2000" s="16" t="s">
        <v>393</v>
      </c>
      <c r="D2000" s="16" t="str">
        <f>VLOOKUP(C2000,[1]master_data!$A$2:$E$495,2,FALSE)</f>
        <v>ARWANA SILVER B</v>
      </c>
      <c r="E2000" s="16">
        <v>1</v>
      </c>
      <c r="F2000" s="16">
        <f>VLOOKUP(C2000,[1]master_data!$A$2:$E$495,3,FALSE)</f>
        <v>300000</v>
      </c>
      <c r="G2000" s="16">
        <f>VLOOKUP(C2000,[1]master_data!$A$2:$E$495,4,FALSE)</f>
        <v>500000</v>
      </c>
      <c r="H2000" s="16">
        <f>E2000*F2000</f>
        <v>300000</v>
      </c>
      <c r="I2000" s="16">
        <f>E2000*G2000</f>
        <v>500000</v>
      </c>
      <c r="J2000" s="16">
        <f>I2000-H2000</f>
        <v>200000</v>
      </c>
      <c r="K2000" s="16" t="str">
        <f>VLOOKUP(C2000,[1]master_data!$A$2:$E$495,5,FALSE)</f>
        <v>Ikan</v>
      </c>
      <c r="L2000" s="1"/>
    </row>
    <row r="2001" spans="1:12" ht="12" customHeight="1" x14ac:dyDescent="0.25">
      <c r="A2001" s="15">
        <v>45012</v>
      </c>
      <c r="B2001" s="16">
        <v>22300501</v>
      </c>
      <c r="C2001" s="16" t="s">
        <v>415</v>
      </c>
      <c r="D2001" s="16" t="str">
        <f>VLOOKUP(C2001,[1]master_data!$A$2:$E$495,2,FALSE)</f>
        <v>KOI T</v>
      </c>
      <c r="E2001" s="16">
        <v>10</v>
      </c>
      <c r="F2001" s="16">
        <f>VLOOKUP(C2001,[1]master_data!$A$2:$E$495,3,FALSE)</f>
        <v>7000</v>
      </c>
      <c r="G2001" s="16">
        <f>VLOOKUP(C2001,[1]master_data!$A$2:$E$495,4,FALSE)</f>
        <v>20000</v>
      </c>
      <c r="H2001" s="16">
        <f>E2001*F2001</f>
        <v>70000</v>
      </c>
      <c r="I2001" s="16">
        <f>E2001*G2001</f>
        <v>200000</v>
      </c>
      <c r="J2001" s="16">
        <f>I2001-H2001</f>
        <v>130000</v>
      </c>
      <c r="K2001" s="16" t="str">
        <f>VLOOKUP(C2001,[1]master_data!$A$2:$E$495,5,FALSE)</f>
        <v>Ikan</v>
      </c>
      <c r="L2001" s="1"/>
    </row>
    <row r="2002" spans="1:12" ht="12" customHeight="1" x14ac:dyDescent="0.25">
      <c r="A2002" s="15">
        <v>45012</v>
      </c>
      <c r="B2002" s="16">
        <v>22300502</v>
      </c>
      <c r="C2002" s="16" t="s">
        <v>134</v>
      </c>
      <c r="D2002" s="16" t="str">
        <f>VLOOKUP(C2002,[1]master_data!$A$2:$E$495,2,FALSE)</f>
        <v>LED NIKITA NS 300</v>
      </c>
      <c r="E2002" s="16">
        <v>2</v>
      </c>
      <c r="F2002" s="16">
        <f>VLOOKUP(C2002,[1]master_data!$A$2:$E$495,3,FALSE)</f>
        <v>36000</v>
      </c>
      <c r="G2002" s="16">
        <f>VLOOKUP(C2002,[1]master_data!$A$2:$E$495,4,FALSE)</f>
        <v>55000</v>
      </c>
      <c r="H2002" s="16">
        <f>E2002*F2002</f>
        <v>72000</v>
      </c>
      <c r="I2002" s="16">
        <f>E2002*G2002</f>
        <v>110000</v>
      </c>
      <c r="J2002" s="16">
        <f>I2002-H2002</f>
        <v>38000</v>
      </c>
      <c r="K2002" s="16" t="str">
        <f>VLOOKUP(C2002,[1]master_data!$A$2:$E$495,5,FALSE)</f>
        <v>Aksesoris</v>
      </c>
      <c r="L2002" s="1"/>
    </row>
    <row r="2003" spans="1:12" ht="12" customHeight="1" x14ac:dyDescent="0.25">
      <c r="A2003" s="15">
        <v>45012</v>
      </c>
      <c r="B2003" s="16">
        <v>22300503</v>
      </c>
      <c r="C2003" s="16" t="s">
        <v>184</v>
      </c>
      <c r="D2003" s="16" t="str">
        <f>VLOOKUP(C2003,[1]master_data!$A$2:$E$495,2,FALSE)</f>
        <v>LED KANDILA PRO RED 150 CM</v>
      </c>
      <c r="E2003" s="16">
        <v>1</v>
      </c>
      <c r="F2003" s="16">
        <f>VLOOKUP(C2003,[1]master_data!$A$2:$E$495,3,FALSE)</f>
        <v>265000</v>
      </c>
      <c r="G2003" s="16">
        <f>VLOOKUP(C2003,[1]master_data!$A$2:$E$495,4,FALSE)</f>
        <v>365000</v>
      </c>
      <c r="H2003" s="16">
        <f>E2003*F2003</f>
        <v>265000</v>
      </c>
      <c r="I2003" s="16">
        <f>E2003*G2003</f>
        <v>365000</v>
      </c>
      <c r="J2003" s="16">
        <f>I2003-H2003</f>
        <v>100000</v>
      </c>
      <c r="K2003" s="16" t="str">
        <f>VLOOKUP(C2003,[1]master_data!$A$2:$E$495,5,FALSE)</f>
        <v>Aksesoris</v>
      </c>
      <c r="L2003" s="1"/>
    </row>
    <row r="2004" spans="1:12" ht="12" customHeight="1" x14ac:dyDescent="0.25">
      <c r="A2004" s="15">
        <v>45011</v>
      </c>
      <c r="B2004" s="16">
        <v>22300499</v>
      </c>
      <c r="C2004" s="16" t="s">
        <v>37</v>
      </c>
      <c r="D2004" s="16" t="str">
        <f>VLOOKUP(C2004,[1]master_data!$A$2:$E$495,2,FALSE)</f>
        <v>MESIN YAMANO ACT 5800</v>
      </c>
      <c r="E2004" s="16">
        <v>1</v>
      </c>
      <c r="F2004" s="16">
        <f>VLOOKUP(C2004,[1]master_data!$A$2:$E$495,3,FALSE)</f>
        <v>500000</v>
      </c>
      <c r="G2004" s="16">
        <f>VLOOKUP(C2004,[1]master_data!$A$2:$E$495,4,FALSE)</f>
        <v>600000</v>
      </c>
      <c r="H2004" s="16">
        <f>E2004*F2004</f>
        <v>500000</v>
      </c>
      <c r="I2004" s="16">
        <f>E2004*G2004</f>
        <v>600000</v>
      </c>
      <c r="J2004" s="16">
        <f>I2004-H2004</f>
        <v>100000</v>
      </c>
      <c r="K2004" s="16" t="str">
        <f>VLOOKUP(C2004,[1]master_data!$A$2:$E$495,5,FALSE)</f>
        <v>Aksesoris</v>
      </c>
      <c r="L2004" s="1"/>
    </row>
    <row r="2005" spans="1:12" ht="12" customHeight="1" x14ac:dyDescent="0.25">
      <c r="A2005" s="15">
        <v>45011</v>
      </c>
      <c r="B2005" s="16">
        <v>22300500</v>
      </c>
      <c r="C2005" s="16" t="s">
        <v>213</v>
      </c>
      <c r="D2005" s="16" t="str">
        <f>VLOOKUP(C2005,[1]master_data!$A$2:$E$495,2,FALSE)</f>
        <v>MEM PRIME 10 GR</v>
      </c>
      <c r="E2005" s="16">
        <v>16</v>
      </c>
      <c r="F2005" s="16">
        <f>VLOOKUP(C2005,[1]master_data!$A$2:$E$495,3,FALSE)</f>
        <v>5000</v>
      </c>
      <c r="G2005" s="16">
        <f>VLOOKUP(C2005,[1]master_data!$A$2:$E$495,4,FALSE)</f>
        <v>10000</v>
      </c>
      <c r="H2005" s="16">
        <f>E2005*F2005</f>
        <v>80000</v>
      </c>
      <c r="I2005" s="16">
        <f>E2005*G2005</f>
        <v>160000</v>
      </c>
      <c r="J2005" s="16">
        <f>I2005-H2005</f>
        <v>80000</v>
      </c>
      <c r="K2005" s="16" t="str">
        <f>VLOOKUP(C2005,[1]master_data!$A$2:$E$495,5,FALSE)</f>
        <v>Aksesoris</v>
      </c>
      <c r="L2005" s="1"/>
    </row>
    <row r="2006" spans="1:12" ht="12" customHeight="1" x14ac:dyDescent="0.25">
      <c r="A2006" s="15">
        <v>45010</v>
      </c>
      <c r="B2006" s="16">
        <v>22300494</v>
      </c>
      <c r="C2006" s="16" t="s">
        <v>406</v>
      </c>
      <c r="D2006" s="16" t="str">
        <f>VLOOKUP(C2006,[1]master_data!$A$2:$E$495,2,FALSE)</f>
        <v>CATFISH</v>
      </c>
      <c r="E2006" s="16">
        <v>2</v>
      </c>
      <c r="F2006" s="16">
        <f>VLOOKUP(C2006,[1]master_data!$A$2:$E$495,3,FALSE)</f>
        <v>20000</v>
      </c>
      <c r="G2006" s="16">
        <f>VLOOKUP(C2006,[1]master_data!$A$2:$E$495,4,FALSE)</f>
        <v>50000</v>
      </c>
      <c r="H2006" s="16">
        <f>E2006*F2006</f>
        <v>40000</v>
      </c>
      <c r="I2006" s="16">
        <f>E2006*G2006</f>
        <v>100000</v>
      </c>
      <c r="J2006" s="16">
        <f>I2006-H2006</f>
        <v>60000</v>
      </c>
      <c r="K2006" s="16" t="str">
        <f>VLOOKUP(C2006,[1]master_data!$A$2:$E$495,5,FALSE)</f>
        <v>Ikan</v>
      </c>
      <c r="L2006" s="1"/>
    </row>
    <row r="2007" spans="1:12" ht="12" customHeight="1" x14ac:dyDescent="0.25">
      <c r="A2007" s="15">
        <v>45010</v>
      </c>
      <c r="B2007" s="16">
        <v>22300495</v>
      </c>
      <c r="C2007" s="16" t="s">
        <v>402</v>
      </c>
      <c r="D2007" s="16" t="str">
        <f>VLOOKUP(C2007,[1]master_data!$A$2:$E$495,2,FALSE)</f>
        <v>CHANNA BLUE PULCHRA B</v>
      </c>
      <c r="E2007" s="16">
        <v>2</v>
      </c>
      <c r="F2007" s="16">
        <f>VLOOKUP(C2007,[1]master_data!$A$2:$E$495,3,FALSE)</f>
        <v>125000</v>
      </c>
      <c r="G2007" s="16">
        <f>VLOOKUP(C2007,[1]master_data!$A$2:$E$495,4,FALSE)</f>
        <v>200000</v>
      </c>
      <c r="H2007" s="16">
        <f>E2007*F2007</f>
        <v>250000</v>
      </c>
      <c r="I2007" s="16">
        <f>E2007*G2007</f>
        <v>400000</v>
      </c>
      <c r="J2007" s="16">
        <f>I2007-H2007</f>
        <v>150000</v>
      </c>
      <c r="K2007" s="16" t="str">
        <f>VLOOKUP(C2007,[1]master_data!$A$2:$E$495,5,FALSE)</f>
        <v>Ikan</v>
      </c>
      <c r="L2007" s="1"/>
    </row>
    <row r="2008" spans="1:12" ht="12" customHeight="1" x14ac:dyDescent="0.25">
      <c r="A2008" s="15">
        <v>45010</v>
      </c>
      <c r="B2008" s="16">
        <v>22300496</v>
      </c>
      <c r="C2008" s="16" t="s">
        <v>257</v>
      </c>
      <c r="D2008" s="16" t="str">
        <f>VLOOKUP(C2008,[1]master_data!$A$2:$E$495,2,FALSE)</f>
        <v>BIORING</v>
      </c>
      <c r="E2008" s="16">
        <v>1</v>
      </c>
      <c r="F2008" s="16">
        <f>VLOOKUP(C2008,[1]master_data!$A$2:$E$495,3,FALSE)</f>
        <v>8000</v>
      </c>
      <c r="G2008" s="16">
        <f>VLOOKUP(C2008,[1]master_data!$A$2:$E$495,4,FALSE)</f>
        <v>15000</v>
      </c>
      <c r="H2008" s="16">
        <f>E2008*F2008</f>
        <v>8000</v>
      </c>
      <c r="I2008" s="16">
        <f>E2008*G2008</f>
        <v>15000</v>
      </c>
      <c r="J2008" s="16">
        <f>I2008-H2008</f>
        <v>7000</v>
      </c>
      <c r="K2008" s="16" t="str">
        <f>VLOOKUP(C2008,[1]master_data!$A$2:$E$495,5,FALSE)</f>
        <v>Aksesoris</v>
      </c>
      <c r="L2008" s="1"/>
    </row>
    <row r="2009" spans="1:12" ht="12" customHeight="1" x14ac:dyDescent="0.25">
      <c r="A2009" s="15">
        <v>45010</v>
      </c>
      <c r="B2009" s="16">
        <v>22300497</v>
      </c>
      <c r="C2009" s="16" t="s">
        <v>444</v>
      </c>
      <c r="D2009" s="16" t="str">
        <f>VLOOKUP(C2009,[1]master_data!$A$2:$E$495,2,FALSE)</f>
        <v>REDFIN HITAM</v>
      </c>
      <c r="E2009" s="16">
        <v>15</v>
      </c>
      <c r="F2009" s="16">
        <f>VLOOKUP(C2009,[1]master_data!$A$2:$E$495,3,FALSE)</f>
        <v>1500</v>
      </c>
      <c r="G2009" s="16">
        <f>VLOOKUP(C2009,[1]master_data!$A$2:$E$495,4,FALSE)</f>
        <v>4000</v>
      </c>
      <c r="H2009" s="16">
        <f>E2009*F2009</f>
        <v>22500</v>
      </c>
      <c r="I2009" s="16">
        <f>E2009*G2009</f>
        <v>60000</v>
      </c>
      <c r="J2009" s="16">
        <f>I2009-H2009</f>
        <v>37500</v>
      </c>
      <c r="K2009" s="16" t="str">
        <f>VLOOKUP(C2009,[1]master_data!$A$2:$E$495,5,FALSE)</f>
        <v>Ikan</v>
      </c>
      <c r="L2009" s="1"/>
    </row>
    <row r="2010" spans="1:12" ht="12" customHeight="1" x14ac:dyDescent="0.25">
      <c r="A2010" s="15">
        <v>45010</v>
      </c>
      <c r="B2010" s="16">
        <v>22300498</v>
      </c>
      <c r="C2010" s="16" t="s">
        <v>425</v>
      </c>
      <c r="D2010" s="16" t="str">
        <f>VLOOKUP(C2010,[1]master_data!$A$2:$E$495,2,FALSE)</f>
        <v>LEMON</v>
      </c>
      <c r="E2010" s="16">
        <v>1</v>
      </c>
      <c r="F2010" s="16">
        <f>VLOOKUP(C2010,[1]master_data!$A$2:$E$495,3,FALSE)</f>
        <v>1000</v>
      </c>
      <c r="G2010" s="16">
        <f>VLOOKUP(C2010,[1]master_data!$A$2:$E$495,4,FALSE)</f>
        <v>2000</v>
      </c>
      <c r="H2010" s="16">
        <f>E2010*F2010</f>
        <v>1000</v>
      </c>
      <c r="I2010" s="16">
        <f>E2010*G2010</f>
        <v>2000</v>
      </c>
      <c r="J2010" s="16">
        <f>I2010-H2010</f>
        <v>1000</v>
      </c>
      <c r="K2010" s="16" t="str">
        <f>VLOOKUP(C2010,[1]master_data!$A$2:$E$495,5,FALSE)</f>
        <v>Ikan</v>
      </c>
      <c r="L2010" s="1"/>
    </row>
    <row r="2011" spans="1:12" ht="12" customHeight="1" x14ac:dyDescent="0.25">
      <c r="A2011" s="15">
        <v>45009</v>
      </c>
      <c r="B2011" s="16">
        <v>22300490</v>
      </c>
      <c r="C2011" s="16" t="s">
        <v>454</v>
      </c>
      <c r="D2011" s="16" t="str">
        <f>VLOOKUP(C2011,[1]master_data!$A$2:$E$495,2,FALSE)</f>
        <v>TOMAN</v>
      </c>
      <c r="E2011" s="16">
        <v>10</v>
      </c>
      <c r="F2011" s="16">
        <f>VLOOKUP(C2011,[1]master_data!$A$2:$E$495,3,FALSE)</f>
        <v>10000</v>
      </c>
      <c r="G2011" s="16">
        <f>VLOOKUP(C2011,[1]master_data!$A$2:$E$495,4,FALSE)</f>
        <v>25000</v>
      </c>
      <c r="H2011" s="16">
        <f>E2011*F2011</f>
        <v>100000</v>
      </c>
      <c r="I2011" s="16">
        <f>E2011*G2011</f>
        <v>250000</v>
      </c>
      <c r="J2011" s="16">
        <f>I2011-H2011</f>
        <v>150000</v>
      </c>
      <c r="K2011" s="16" t="str">
        <f>VLOOKUP(C2011,[1]master_data!$A$2:$E$495,5,FALSE)</f>
        <v>Ikan</v>
      </c>
      <c r="L2011" s="1"/>
    </row>
    <row r="2012" spans="1:12" ht="12" customHeight="1" x14ac:dyDescent="0.25">
      <c r="A2012" s="15">
        <v>45009</v>
      </c>
      <c r="B2012" s="16">
        <v>22300491</v>
      </c>
      <c r="C2012" s="16" t="s">
        <v>451</v>
      </c>
      <c r="D2012" s="16" t="str">
        <f>VLOOKUP(C2012,[1]master_data!$A$2:$E$495,2,FALSE)</f>
        <v>SYNODONTIS K</v>
      </c>
      <c r="E2012" s="16">
        <v>8</v>
      </c>
      <c r="F2012" s="16">
        <f>VLOOKUP(C2012,[1]master_data!$A$2:$E$495,3,FALSE)</f>
        <v>1500</v>
      </c>
      <c r="G2012" s="16">
        <f>VLOOKUP(C2012,[1]master_data!$A$2:$E$495,4,FALSE)</f>
        <v>5000</v>
      </c>
      <c r="H2012" s="16">
        <f>E2012*F2012</f>
        <v>12000</v>
      </c>
      <c r="I2012" s="16">
        <f>E2012*G2012</f>
        <v>40000</v>
      </c>
      <c r="J2012" s="16">
        <f>I2012-H2012</f>
        <v>28000</v>
      </c>
      <c r="K2012" s="16" t="str">
        <f>VLOOKUP(C2012,[1]master_data!$A$2:$E$495,5,FALSE)</f>
        <v>Ikan</v>
      </c>
      <c r="L2012" s="1"/>
    </row>
    <row r="2013" spans="1:12" ht="12" customHeight="1" x14ac:dyDescent="0.25">
      <c r="A2013" s="15">
        <v>45009</v>
      </c>
      <c r="B2013" s="16">
        <v>22300492</v>
      </c>
      <c r="C2013" s="16" t="s">
        <v>396</v>
      </c>
      <c r="D2013" s="16" t="str">
        <f>VLOOKUP(C2013,[1]master_data!$A$2:$E$495,2,FALSE)</f>
        <v>BIPOLAR</v>
      </c>
      <c r="E2013" s="16">
        <v>1</v>
      </c>
      <c r="F2013" s="16">
        <f>VLOOKUP(C2013,[1]master_data!$A$2:$E$495,3,FALSE)</f>
        <v>1000</v>
      </c>
      <c r="G2013" s="16">
        <f>VLOOKUP(C2013,[1]master_data!$A$2:$E$495,4,FALSE)</f>
        <v>2500</v>
      </c>
      <c r="H2013" s="16">
        <f>E2013*F2013</f>
        <v>1000</v>
      </c>
      <c r="I2013" s="16">
        <f>E2013*G2013</f>
        <v>2500</v>
      </c>
      <c r="J2013" s="16">
        <f>I2013-H2013</f>
        <v>1500</v>
      </c>
      <c r="K2013" s="16" t="str">
        <f>VLOOKUP(C2013,[1]master_data!$A$2:$E$495,5,FALSE)</f>
        <v>Ikan</v>
      </c>
      <c r="L2013" s="1"/>
    </row>
    <row r="2014" spans="1:12" ht="12" customHeight="1" x14ac:dyDescent="0.25">
      <c r="A2014" s="15">
        <v>45009</v>
      </c>
      <c r="B2014" s="16">
        <v>22300493</v>
      </c>
      <c r="C2014" s="16" t="s">
        <v>349</v>
      </c>
      <c r="D2014" s="16" t="str">
        <f>VLOOKUP(C2014,[1]master_data!$A$2:$E$495,2,FALSE)</f>
        <v>AKUARIUM 70 ROBOT</v>
      </c>
      <c r="E2014" s="16">
        <v>1</v>
      </c>
      <c r="F2014" s="16">
        <f>VLOOKUP(C2014,[1]master_data!$A$2:$E$495,3,FALSE)</f>
        <v>260000</v>
      </c>
      <c r="G2014" s="16">
        <f>VLOOKUP(C2014,[1]master_data!$A$2:$E$495,4,FALSE)</f>
        <v>350000</v>
      </c>
      <c r="H2014" s="16">
        <f>E2014*F2014</f>
        <v>260000</v>
      </c>
      <c r="I2014" s="16">
        <f>E2014*G2014</f>
        <v>350000</v>
      </c>
      <c r="J2014" s="16">
        <f>I2014-H2014</f>
        <v>90000</v>
      </c>
      <c r="K2014" s="16" t="str">
        <f>VLOOKUP(C2014,[1]master_data!$A$2:$E$495,5,FALSE)</f>
        <v>Aksesoris</v>
      </c>
      <c r="L2014" s="1"/>
    </row>
    <row r="2015" spans="1:12" ht="12" customHeight="1" x14ac:dyDescent="0.25">
      <c r="A2015" s="15">
        <v>45008</v>
      </c>
      <c r="B2015" s="16">
        <v>22300487</v>
      </c>
      <c r="C2015" s="16" t="s">
        <v>401</v>
      </c>
      <c r="D2015" s="16" t="str">
        <f>VLOOKUP(C2015,[1]master_data!$A$2:$E$495,2,FALSE)</f>
        <v>CHANNA BLUE PULCHRA K</v>
      </c>
      <c r="E2015" s="16">
        <v>5</v>
      </c>
      <c r="F2015" s="16">
        <f>VLOOKUP(C2015,[1]master_data!$A$2:$E$495,3,FALSE)</f>
        <v>25000</v>
      </c>
      <c r="G2015" s="16">
        <f>VLOOKUP(C2015,[1]master_data!$A$2:$E$495,4,FALSE)</f>
        <v>50000</v>
      </c>
      <c r="H2015" s="16">
        <f>E2015*F2015</f>
        <v>125000</v>
      </c>
      <c r="I2015" s="16">
        <f>E2015*G2015</f>
        <v>250000</v>
      </c>
      <c r="J2015" s="16">
        <f>I2015-H2015</f>
        <v>125000</v>
      </c>
      <c r="K2015" s="16" t="str">
        <f>VLOOKUP(C2015,[1]master_data!$A$2:$E$495,5,FALSE)</f>
        <v>Ikan</v>
      </c>
      <c r="L2015" s="1"/>
    </row>
    <row r="2016" spans="1:12" ht="12" customHeight="1" x14ac:dyDescent="0.25">
      <c r="A2016" s="15">
        <v>45008</v>
      </c>
      <c r="B2016" s="16">
        <v>22300488</v>
      </c>
      <c r="C2016" s="16" t="s">
        <v>267</v>
      </c>
      <c r="D2016" s="16" t="str">
        <f>VLOOKUP(C2016,[1]master_data!$A$2:$E$495,2,FALSE)</f>
        <v>GARAM</v>
      </c>
      <c r="E2016" s="16">
        <v>10</v>
      </c>
      <c r="F2016" s="16">
        <f>VLOOKUP(C2016,[1]master_data!$A$2:$E$495,3,FALSE)</f>
        <v>3000</v>
      </c>
      <c r="G2016" s="16">
        <f>VLOOKUP(C2016,[1]master_data!$A$2:$E$495,4,FALSE)</f>
        <v>5000</v>
      </c>
      <c r="H2016" s="16">
        <f>E2016*F2016</f>
        <v>30000</v>
      </c>
      <c r="I2016" s="16">
        <f>E2016*G2016</f>
        <v>50000</v>
      </c>
      <c r="J2016" s="16">
        <f>I2016-H2016</f>
        <v>20000</v>
      </c>
      <c r="K2016" s="16" t="str">
        <f>VLOOKUP(C2016,[1]master_data!$A$2:$E$495,5,FALSE)</f>
        <v>Aksesoris</v>
      </c>
      <c r="L2016" s="1"/>
    </row>
    <row r="2017" spans="1:12" ht="12" customHeight="1" x14ac:dyDescent="0.25">
      <c r="A2017" s="15">
        <v>45008</v>
      </c>
      <c r="B2017" s="16">
        <v>22300489</v>
      </c>
      <c r="C2017" s="16" t="s">
        <v>35</v>
      </c>
      <c r="D2017" s="16" t="str">
        <f>VLOOKUP(C2017,[1]master_data!$A$2:$E$495,2,FALSE)</f>
        <v>MESIN YAMANO 1800</v>
      </c>
      <c r="E2017" s="16">
        <v>1</v>
      </c>
      <c r="F2017" s="16">
        <f>VLOOKUP(C2017,[1]master_data!$A$2:$E$495,3,FALSE)</f>
        <v>64000</v>
      </c>
      <c r="G2017" s="16">
        <f>VLOOKUP(C2017,[1]master_data!$A$2:$E$495,4,FALSE)</f>
        <v>110000</v>
      </c>
      <c r="H2017" s="16">
        <f>E2017*F2017</f>
        <v>64000</v>
      </c>
      <c r="I2017" s="16">
        <f>E2017*G2017</f>
        <v>110000</v>
      </c>
      <c r="J2017" s="16">
        <f>I2017-H2017</f>
        <v>46000</v>
      </c>
      <c r="K2017" s="16" t="str">
        <f>VLOOKUP(C2017,[1]master_data!$A$2:$E$495,5,FALSE)</f>
        <v>Aksesoris</v>
      </c>
      <c r="L2017" s="1"/>
    </row>
    <row r="2018" spans="1:12" ht="12" customHeight="1" x14ac:dyDescent="0.25">
      <c r="A2018" s="15">
        <v>45007</v>
      </c>
      <c r="B2018" s="16">
        <v>22300484</v>
      </c>
      <c r="C2018" s="16" t="s">
        <v>104</v>
      </c>
      <c r="D2018" s="16" t="str">
        <f>VLOOKUP(C2018,[1]master_data!$A$2:$E$495,2,FALSE)</f>
        <v>AIRATOR ROSTON LUB 2</v>
      </c>
      <c r="E2018" s="16">
        <v>5</v>
      </c>
      <c r="F2018" s="16">
        <f>VLOOKUP(C2018,[1]master_data!$A$2:$E$495,3,FALSE)</f>
        <v>31000</v>
      </c>
      <c r="G2018" s="16">
        <f>VLOOKUP(C2018,[1]master_data!$A$2:$E$495,4,FALSE)</f>
        <v>50000</v>
      </c>
      <c r="H2018" s="16">
        <f>E2018*F2018</f>
        <v>155000</v>
      </c>
      <c r="I2018" s="16">
        <f>E2018*G2018</f>
        <v>250000</v>
      </c>
      <c r="J2018" s="16">
        <f>I2018-H2018</f>
        <v>95000</v>
      </c>
      <c r="K2018" s="16" t="str">
        <f>VLOOKUP(C2018,[1]master_data!$A$2:$E$495,5,FALSE)</f>
        <v>Aksesoris</v>
      </c>
      <c r="L2018" s="1"/>
    </row>
    <row r="2019" spans="1:12" ht="12" customHeight="1" x14ac:dyDescent="0.25">
      <c r="A2019" s="15">
        <v>45007</v>
      </c>
      <c r="B2019" s="16">
        <v>22300485</v>
      </c>
      <c r="C2019" s="16" t="s">
        <v>411</v>
      </c>
      <c r="D2019" s="16" t="str">
        <f>VLOOKUP(C2019,[1]master_data!$A$2:$E$495,2,FALSE)</f>
        <v>KOKI K</v>
      </c>
      <c r="E2019" s="16">
        <v>13</v>
      </c>
      <c r="F2019" s="16">
        <f>VLOOKUP(C2019,[1]master_data!$A$2:$E$495,3,FALSE)</f>
        <v>3500</v>
      </c>
      <c r="G2019" s="16">
        <f>VLOOKUP(C2019,[1]master_data!$A$2:$E$495,4,FALSE)</f>
        <v>10000</v>
      </c>
      <c r="H2019" s="16">
        <f>E2019*F2019</f>
        <v>45500</v>
      </c>
      <c r="I2019" s="16">
        <f>E2019*G2019</f>
        <v>130000</v>
      </c>
      <c r="J2019" s="16">
        <f>I2019-H2019</f>
        <v>84500</v>
      </c>
      <c r="K2019" s="16" t="str">
        <f>VLOOKUP(C2019,[1]master_data!$A$2:$E$495,5,FALSE)</f>
        <v>Ikan</v>
      </c>
      <c r="L2019" s="1"/>
    </row>
    <row r="2020" spans="1:12" ht="12" customHeight="1" x14ac:dyDescent="0.25">
      <c r="A2020" s="15">
        <v>45007</v>
      </c>
      <c r="B2020" s="16">
        <v>22300486</v>
      </c>
      <c r="C2020" s="16" t="s">
        <v>447</v>
      </c>
      <c r="D2020" s="16" t="str">
        <f>VLOOKUP(C2020,[1]master_data!$A$2:$E$495,2,FALSE)</f>
        <v>CHANNA RED BARITO B</v>
      </c>
      <c r="E2020" s="16">
        <v>1</v>
      </c>
      <c r="F2020" s="16">
        <f>VLOOKUP(C2020,[1]master_data!$A$2:$E$495,3,FALSE)</f>
        <v>120000</v>
      </c>
      <c r="G2020" s="16">
        <f>VLOOKUP(C2020,[1]master_data!$A$2:$E$495,4,FALSE)</f>
        <v>200000</v>
      </c>
      <c r="H2020" s="16">
        <f>E2020*F2020</f>
        <v>120000</v>
      </c>
      <c r="I2020" s="16">
        <f>E2020*G2020</f>
        <v>200000</v>
      </c>
      <c r="J2020" s="16">
        <f>I2020-H2020</f>
        <v>80000</v>
      </c>
      <c r="K2020" s="16" t="str">
        <f>VLOOKUP(C2020,[1]master_data!$A$2:$E$495,5,FALSE)</f>
        <v>Ikan</v>
      </c>
      <c r="L2020" s="1"/>
    </row>
    <row r="2021" spans="1:12" ht="12" customHeight="1" x14ac:dyDescent="0.25">
      <c r="A2021" s="15">
        <v>45006</v>
      </c>
      <c r="B2021" s="16">
        <v>22300477</v>
      </c>
      <c r="C2021" s="16" t="s">
        <v>439</v>
      </c>
      <c r="D2021" s="16" t="str">
        <f>VLOOKUP(C2021,[1]master_data!$A$2:$E$495,2,FALSE)</f>
        <v>PEMBERSIH KACA BIASA</v>
      </c>
      <c r="E2021" s="16">
        <v>10</v>
      </c>
      <c r="F2021" s="16">
        <f>VLOOKUP(C2021,[1]master_data!$A$2:$E$495,3,FALSE)</f>
        <v>2000</v>
      </c>
      <c r="G2021" s="16">
        <f>VLOOKUP(C2021,[1]master_data!$A$2:$E$495,4,FALSE)</f>
        <v>5000</v>
      </c>
      <c r="H2021" s="16">
        <f>E2021*F2021</f>
        <v>20000</v>
      </c>
      <c r="I2021" s="16">
        <f>E2021*G2021</f>
        <v>50000</v>
      </c>
      <c r="J2021" s="16">
        <f>I2021-H2021</f>
        <v>30000</v>
      </c>
      <c r="K2021" s="16" t="str">
        <f>VLOOKUP(C2021,[1]master_data!$A$2:$E$495,5,FALSE)</f>
        <v>Ikan</v>
      </c>
      <c r="L2021" s="1"/>
    </row>
    <row r="2022" spans="1:12" ht="12" customHeight="1" x14ac:dyDescent="0.25">
      <c r="A2022" s="15">
        <v>45006</v>
      </c>
      <c r="B2022" s="16">
        <v>22300478</v>
      </c>
      <c r="C2022" s="16" t="s">
        <v>397</v>
      </c>
      <c r="D2022" s="16" t="str">
        <f>VLOOKUP(C2022,[1]master_data!$A$2:$E$495,2,FALSE)</f>
        <v>BUENOS AIRES TETRA</v>
      </c>
      <c r="E2022" s="16">
        <v>20</v>
      </c>
      <c r="F2022" s="16">
        <f>VLOOKUP(C2022,[1]master_data!$A$2:$E$495,3,FALSE)</f>
        <v>800</v>
      </c>
      <c r="G2022" s="16">
        <f>VLOOKUP(C2022,[1]master_data!$A$2:$E$495,4,FALSE)</f>
        <v>2000</v>
      </c>
      <c r="H2022" s="16">
        <f>E2022*F2022</f>
        <v>16000</v>
      </c>
      <c r="I2022" s="16">
        <f>E2022*G2022</f>
        <v>40000</v>
      </c>
      <c r="J2022" s="16">
        <f>I2022-H2022</f>
        <v>24000</v>
      </c>
      <c r="K2022" s="16" t="str">
        <f>VLOOKUP(C2022,[1]master_data!$A$2:$E$495,5,FALSE)</f>
        <v>Ikan</v>
      </c>
      <c r="L2022" s="1"/>
    </row>
    <row r="2023" spans="1:12" ht="12" customHeight="1" x14ac:dyDescent="0.25">
      <c r="A2023" s="15">
        <v>45006</v>
      </c>
      <c r="B2023" s="16">
        <v>22300479</v>
      </c>
      <c r="C2023" s="16" t="s">
        <v>409</v>
      </c>
      <c r="D2023" s="16" t="str">
        <f>VLOOKUP(C2023,[1]master_data!$A$2:$E$495,2,FALSE)</f>
        <v>GOLDEN BLACK</v>
      </c>
      <c r="E2023" s="16">
        <v>10</v>
      </c>
      <c r="F2023" s="16">
        <f>VLOOKUP(C2023,[1]master_data!$A$2:$E$495,3,FALSE)</f>
        <v>800</v>
      </c>
      <c r="G2023" s="16">
        <f>VLOOKUP(C2023,[1]master_data!$A$2:$E$495,4,FALSE)</f>
        <v>2000</v>
      </c>
      <c r="H2023" s="16">
        <f>E2023*F2023</f>
        <v>8000</v>
      </c>
      <c r="I2023" s="16">
        <f>E2023*G2023</f>
        <v>20000</v>
      </c>
      <c r="J2023" s="16">
        <f>I2023-H2023</f>
        <v>12000</v>
      </c>
      <c r="K2023" s="16" t="str">
        <f>VLOOKUP(C2023,[1]master_data!$A$2:$E$495,5,FALSE)</f>
        <v>Ikan</v>
      </c>
      <c r="L2023" s="1"/>
    </row>
    <row r="2024" spans="1:12" ht="12" customHeight="1" x14ac:dyDescent="0.25">
      <c r="A2024" s="15">
        <v>45006</v>
      </c>
      <c r="B2024" s="16">
        <v>22300480</v>
      </c>
      <c r="C2024" s="16" t="s">
        <v>425</v>
      </c>
      <c r="D2024" s="16" t="str">
        <f>VLOOKUP(C2024,[1]master_data!$A$2:$E$495,2,FALSE)</f>
        <v>LEMON</v>
      </c>
      <c r="E2024" s="16">
        <v>30</v>
      </c>
      <c r="F2024" s="16">
        <f>VLOOKUP(C2024,[1]master_data!$A$2:$E$495,3,FALSE)</f>
        <v>1000</v>
      </c>
      <c r="G2024" s="16">
        <f>VLOOKUP(C2024,[1]master_data!$A$2:$E$495,4,FALSE)</f>
        <v>2000</v>
      </c>
      <c r="H2024" s="16">
        <f>E2024*F2024</f>
        <v>30000</v>
      </c>
      <c r="I2024" s="16">
        <f>E2024*G2024</f>
        <v>60000</v>
      </c>
      <c r="J2024" s="16">
        <f>I2024-H2024</f>
        <v>30000</v>
      </c>
      <c r="K2024" s="16" t="str">
        <f>VLOOKUP(C2024,[1]master_data!$A$2:$E$495,5,FALSE)</f>
        <v>Ikan</v>
      </c>
      <c r="L2024" s="1"/>
    </row>
    <row r="2025" spans="1:12" ht="12" customHeight="1" x14ac:dyDescent="0.25">
      <c r="A2025" s="15">
        <v>45006</v>
      </c>
      <c r="B2025" s="16">
        <v>22300481</v>
      </c>
      <c r="C2025" s="16" t="s">
        <v>131</v>
      </c>
      <c r="D2025" s="16" t="str">
        <f>VLOOKUP(C2025,[1]master_data!$A$2:$E$495,2,FALSE)</f>
        <v>LED YAMANO S800</v>
      </c>
      <c r="E2025" s="16">
        <v>1</v>
      </c>
      <c r="F2025" s="16">
        <f>VLOOKUP(C2025,[1]master_data!$A$2:$E$495,3,FALSE)</f>
        <v>70000</v>
      </c>
      <c r="G2025" s="16">
        <f>VLOOKUP(C2025,[1]master_data!$A$2:$E$495,4,FALSE)</f>
        <v>115000</v>
      </c>
      <c r="H2025" s="16">
        <f>E2025*F2025</f>
        <v>70000</v>
      </c>
      <c r="I2025" s="16">
        <f>E2025*G2025</f>
        <v>115000</v>
      </c>
      <c r="J2025" s="16">
        <f>I2025-H2025</f>
        <v>45000</v>
      </c>
      <c r="K2025" s="16" t="str">
        <f>VLOOKUP(C2025,[1]master_data!$A$2:$E$495,5,FALSE)</f>
        <v>Aksesoris</v>
      </c>
      <c r="L2025" s="1"/>
    </row>
    <row r="2026" spans="1:12" ht="12" customHeight="1" x14ac:dyDescent="0.25">
      <c r="A2026" s="15">
        <v>45006</v>
      </c>
      <c r="B2026" s="16">
        <v>22300482</v>
      </c>
      <c r="C2026" s="16" t="s">
        <v>433</v>
      </c>
      <c r="D2026" s="16" t="str">
        <f>VLOOKUP(C2026,[1]master_data!$A$2:$E$495,2,FALSE)</f>
        <v>MOLI BALON</v>
      </c>
      <c r="E2026" s="16">
        <v>30</v>
      </c>
      <c r="F2026" s="16">
        <f>VLOOKUP(C2026,[1]master_data!$A$2:$E$495,3,FALSE)</f>
        <v>800</v>
      </c>
      <c r="G2026" s="16">
        <f>VLOOKUP(C2026,[1]master_data!$A$2:$E$495,4,FALSE)</f>
        <v>2000</v>
      </c>
      <c r="H2026" s="16">
        <f>E2026*F2026</f>
        <v>24000</v>
      </c>
      <c r="I2026" s="16">
        <f>E2026*G2026</f>
        <v>60000</v>
      </c>
      <c r="J2026" s="16">
        <f>I2026-H2026</f>
        <v>36000</v>
      </c>
      <c r="K2026" s="16" t="str">
        <f>VLOOKUP(C2026,[1]master_data!$A$2:$E$495,5,FALSE)</f>
        <v>Ikan</v>
      </c>
      <c r="L2026" s="1"/>
    </row>
    <row r="2027" spans="1:12" ht="12" customHeight="1" x14ac:dyDescent="0.25">
      <c r="A2027" s="15">
        <v>45006</v>
      </c>
      <c r="B2027" s="16">
        <v>22300483</v>
      </c>
      <c r="C2027" s="16" t="s">
        <v>160</v>
      </c>
      <c r="D2027" s="16" t="str">
        <f>VLOOKUP(C2027,[1]master_data!$A$2:$E$495,2,FALSE)</f>
        <v>LED KANDILA PRO RED 80 CM</v>
      </c>
      <c r="E2027" s="16">
        <v>1</v>
      </c>
      <c r="F2027" s="16">
        <f>VLOOKUP(C2027,[1]master_data!$A$2:$E$495,3,FALSE)</f>
        <v>176500</v>
      </c>
      <c r="G2027" s="16">
        <f>VLOOKUP(C2027,[1]master_data!$A$2:$E$495,4,FALSE)</f>
        <v>235000</v>
      </c>
      <c r="H2027" s="16">
        <f>E2027*F2027</f>
        <v>176500</v>
      </c>
      <c r="I2027" s="16">
        <f>E2027*G2027</f>
        <v>235000</v>
      </c>
      <c r="J2027" s="16">
        <f>I2027-H2027</f>
        <v>58500</v>
      </c>
      <c r="K2027" s="16" t="str">
        <f>VLOOKUP(C2027,[1]master_data!$A$2:$E$495,5,FALSE)</f>
        <v>Aksesoris</v>
      </c>
      <c r="L2027" s="1"/>
    </row>
    <row r="2028" spans="1:12" ht="12" customHeight="1" x14ac:dyDescent="0.25">
      <c r="A2028" s="15">
        <v>45005</v>
      </c>
      <c r="B2028" s="16">
        <v>22300473</v>
      </c>
      <c r="C2028" s="16" t="s">
        <v>331</v>
      </c>
      <c r="D2028" s="16" t="str">
        <f>VLOOKUP(C2028,[1]master_data!$A$2:$E$495,2,FALSE)</f>
        <v>TERMOMETER</v>
      </c>
      <c r="E2028" s="16">
        <v>10</v>
      </c>
      <c r="F2028" s="16">
        <f>VLOOKUP(C2028,[1]master_data!$A$2:$E$495,3,FALSE)</f>
        <v>5250</v>
      </c>
      <c r="G2028" s="16">
        <f>VLOOKUP(C2028,[1]master_data!$A$2:$E$495,4,FALSE)</f>
        <v>10000</v>
      </c>
      <c r="H2028" s="16">
        <f>E2028*F2028</f>
        <v>52500</v>
      </c>
      <c r="I2028" s="16">
        <f>E2028*G2028</f>
        <v>100000</v>
      </c>
      <c r="J2028" s="16">
        <f>I2028-H2028</f>
        <v>47500</v>
      </c>
      <c r="K2028" s="16" t="str">
        <f>VLOOKUP(C2028,[1]master_data!$A$2:$E$495,5,FALSE)</f>
        <v>Aksesoris</v>
      </c>
      <c r="L2028" s="1"/>
    </row>
    <row r="2029" spans="1:12" ht="12" customHeight="1" x14ac:dyDescent="0.25">
      <c r="A2029" s="15">
        <v>45005</v>
      </c>
      <c r="B2029" s="16">
        <v>22300474</v>
      </c>
      <c r="C2029" s="16" t="s">
        <v>424</v>
      </c>
      <c r="D2029" s="16" t="str">
        <f>VLOOKUP(C2029,[1]master_data!$A$2:$E$495,2,FALSE)</f>
        <v>DISCUS</v>
      </c>
      <c r="E2029" s="16">
        <v>2</v>
      </c>
      <c r="F2029" s="16">
        <f>VLOOKUP(C2029,[1]master_data!$A$2:$E$495,3,FALSE)</f>
        <v>50000</v>
      </c>
      <c r="G2029" s="16">
        <f>VLOOKUP(C2029,[1]master_data!$A$2:$E$495,4,FALSE)</f>
        <v>150000</v>
      </c>
      <c r="H2029" s="16">
        <f>E2029*F2029</f>
        <v>100000</v>
      </c>
      <c r="I2029" s="16">
        <f>E2029*G2029</f>
        <v>300000</v>
      </c>
      <c r="J2029" s="16">
        <f>I2029-H2029</f>
        <v>200000</v>
      </c>
      <c r="K2029" s="16" t="str">
        <f>VLOOKUP(C2029,[1]master_data!$A$2:$E$495,5,FALSE)</f>
        <v>Ikan</v>
      </c>
      <c r="L2029" s="1"/>
    </row>
    <row r="2030" spans="1:12" ht="12" customHeight="1" x14ac:dyDescent="0.25">
      <c r="A2030" s="15">
        <v>45005</v>
      </c>
      <c r="B2030" s="16">
        <v>22300475</v>
      </c>
      <c r="C2030" s="16" t="s">
        <v>450</v>
      </c>
      <c r="D2030" s="16" t="str">
        <f>VLOOKUP(C2030,[1]master_data!$A$2:$E$495,2,FALSE)</f>
        <v>SNOW WHITE</v>
      </c>
      <c r="E2030" s="16">
        <v>24</v>
      </c>
      <c r="F2030" s="16">
        <f>VLOOKUP(C2030,[1]master_data!$A$2:$E$495,3,FALSE)</f>
        <v>1500</v>
      </c>
      <c r="G2030" s="16">
        <f>VLOOKUP(C2030,[1]master_data!$A$2:$E$495,4,FALSE)</f>
        <v>3000</v>
      </c>
      <c r="H2030" s="16">
        <f>E2030*F2030</f>
        <v>36000</v>
      </c>
      <c r="I2030" s="16">
        <f>E2030*G2030</f>
        <v>72000</v>
      </c>
      <c r="J2030" s="16">
        <f>I2030-H2030</f>
        <v>36000</v>
      </c>
      <c r="K2030" s="16" t="str">
        <f>VLOOKUP(C2030,[1]master_data!$A$2:$E$495,5,FALSE)</f>
        <v>Ikan</v>
      </c>
      <c r="L2030" s="1"/>
    </row>
    <row r="2031" spans="1:12" ht="12" customHeight="1" x14ac:dyDescent="0.25">
      <c r="A2031" s="15">
        <v>45005</v>
      </c>
      <c r="B2031" s="16">
        <v>22300476</v>
      </c>
      <c r="C2031" s="16" t="s">
        <v>136</v>
      </c>
      <c r="D2031" s="16" t="str">
        <f>VLOOKUP(C2031,[1]master_data!$A$2:$E$495,2,FALSE)</f>
        <v>LED NIKITA NS 600</v>
      </c>
      <c r="E2031" s="16">
        <v>1</v>
      </c>
      <c r="F2031" s="16">
        <f>VLOOKUP(C2031,[1]master_data!$A$2:$E$495,3,FALSE)</f>
        <v>50000</v>
      </c>
      <c r="G2031" s="16">
        <f>VLOOKUP(C2031,[1]master_data!$A$2:$E$495,4,FALSE)</f>
        <v>75000</v>
      </c>
      <c r="H2031" s="16">
        <f>E2031*F2031</f>
        <v>50000</v>
      </c>
      <c r="I2031" s="16">
        <f>E2031*G2031</f>
        <v>75000</v>
      </c>
      <c r="J2031" s="16">
        <f>I2031-H2031</f>
        <v>25000</v>
      </c>
      <c r="K2031" s="16" t="str">
        <f>VLOOKUP(C2031,[1]master_data!$A$2:$E$495,5,FALSE)</f>
        <v>Aksesoris</v>
      </c>
      <c r="L2031" s="1"/>
    </row>
    <row r="2032" spans="1:12" ht="12" customHeight="1" x14ac:dyDescent="0.25">
      <c r="A2032" s="15">
        <v>45004</v>
      </c>
      <c r="B2032" s="16">
        <v>22300470</v>
      </c>
      <c r="C2032" s="16" t="s">
        <v>438</v>
      </c>
      <c r="D2032" s="16" t="str">
        <f>VLOOKUP(C2032,[1]master_data!$A$2:$E$495,2,FALSE)</f>
        <v>OSCAR</v>
      </c>
      <c r="E2032" s="16">
        <v>5</v>
      </c>
      <c r="F2032" s="16">
        <f>VLOOKUP(C2032,[1]master_data!$A$2:$E$495,3,FALSE)</f>
        <v>25000</v>
      </c>
      <c r="G2032" s="16">
        <f>VLOOKUP(C2032,[1]master_data!$A$2:$E$495,4,FALSE)</f>
        <v>50000</v>
      </c>
      <c r="H2032" s="16">
        <f>E2032*F2032</f>
        <v>125000</v>
      </c>
      <c r="I2032" s="16">
        <f>E2032*G2032</f>
        <v>250000</v>
      </c>
      <c r="J2032" s="16">
        <f>I2032-H2032</f>
        <v>125000</v>
      </c>
      <c r="K2032" s="16" t="str">
        <f>VLOOKUP(C2032,[1]master_data!$A$2:$E$495,5,FALSE)</f>
        <v>Ikan</v>
      </c>
      <c r="L2032" s="1"/>
    </row>
    <row r="2033" spans="1:12" ht="12" customHeight="1" x14ac:dyDescent="0.25">
      <c r="A2033" s="15">
        <v>45004</v>
      </c>
      <c r="B2033" s="16">
        <v>22300471</v>
      </c>
      <c r="C2033" s="16" t="s">
        <v>402</v>
      </c>
      <c r="D2033" s="16" t="str">
        <f>VLOOKUP(C2033,[1]master_data!$A$2:$E$495,2,FALSE)</f>
        <v>CHANNA BLUE PULCHRA B</v>
      </c>
      <c r="E2033" s="16">
        <v>2</v>
      </c>
      <c r="F2033" s="16">
        <f>VLOOKUP(C2033,[1]master_data!$A$2:$E$495,3,FALSE)</f>
        <v>125000</v>
      </c>
      <c r="G2033" s="16">
        <f>VLOOKUP(C2033,[1]master_data!$A$2:$E$495,4,FALSE)</f>
        <v>200000</v>
      </c>
      <c r="H2033" s="16">
        <f>E2033*F2033</f>
        <v>250000</v>
      </c>
      <c r="I2033" s="16">
        <f>E2033*G2033</f>
        <v>400000</v>
      </c>
      <c r="J2033" s="16">
        <f>I2033-H2033</f>
        <v>150000</v>
      </c>
      <c r="K2033" s="16" t="str">
        <f>VLOOKUP(C2033,[1]master_data!$A$2:$E$495,5,FALSE)</f>
        <v>Ikan</v>
      </c>
      <c r="L2033" s="1"/>
    </row>
    <row r="2034" spans="1:12" ht="12" customHeight="1" x14ac:dyDescent="0.25">
      <c r="A2034" s="15">
        <v>45004</v>
      </c>
      <c r="B2034" s="16">
        <v>22300472</v>
      </c>
      <c r="C2034" s="16" t="s">
        <v>61</v>
      </c>
      <c r="D2034" s="16" t="str">
        <f>VLOOKUP(C2034,[1]master_data!$A$2:$E$495,2,FALSE)</f>
        <v>MINI FILTER</v>
      </c>
      <c r="E2034" s="16">
        <v>1</v>
      </c>
      <c r="F2034" s="16">
        <f>VLOOKUP(C2034,[1]master_data!$A$2:$E$495,3,FALSE)</f>
        <v>13000</v>
      </c>
      <c r="G2034" s="16">
        <f>VLOOKUP(C2034,[1]master_data!$A$2:$E$495,4,FALSE)</f>
        <v>25000</v>
      </c>
      <c r="H2034" s="16">
        <f>E2034*F2034</f>
        <v>13000</v>
      </c>
      <c r="I2034" s="16">
        <f>E2034*G2034</f>
        <v>25000</v>
      </c>
      <c r="J2034" s="16">
        <f>I2034-H2034</f>
        <v>12000</v>
      </c>
      <c r="K2034" s="16" t="str">
        <f>VLOOKUP(C2034,[1]master_data!$A$2:$E$495,5,FALSE)</f>
        <v>Aksesoris</v>
      </c>
      <c r="L2034" s="1"/>
    </row>
    <row r="2035" spans="1:12" ht="12" customHeight="1" x14ac:dyDescent="0.25">
      <c r="A2035" s="15">
        <v>45003</v>
      </c>
      <c r="B2035" s="16">
        <v>22300466</v>
      </c>
      <c r="C2035" s="16" t="s">
        <v>199</v>
      </c>
      <c r="D2035" s="16" t="str">
        <f>VLOOKUP(C2035,[1]master_data!$A$2:$E$495,2,FALSE)</f>
        <v>AKARI PREMIUM BLUE</v>
      </c>
      <c r="E2035" s="16">
        <v>5</v>
      </c>
      <c r="F2035" s="16">
        <f>VLOOKUP(C2035,[1]master_data!$A$2:$E$495,3,FALSE)</f>
        <v>37000</v>
      </c>
      <c r="G2035" s="16">
        <f>VLOOKUP(C2035,[1]master_data!$A$2:$E$495,4,FALSE)</f>
        <v>50000</v>
      </c>
      <c r="H2035" s="16">
        <f>E2035*F2035</f>
        <v>185000</v>
      </c>
      <c r="I2035" s="16">
        <f>E2035*G2035</f>
        <v>250000</v>
      </c>
      <c r="J2035" s="16">
        <f>I2035-H2035</f>
        <v>65000</v>
      </c>
      <c r="K2035" s="16" t="str">
        <f>VLOOKUP(C2035,[1]master_data!$A$2:$E$495,5,FALSE)</f>
        <v>Aksesoris</v>
      </c>
      <c r="L2035" s="1"/>
    </row>
    <row r="2036" spans="1:12" ht="12" customHeight="1" x14ac:dyDescent="0.25">
      <c r="A2036" s="15">
        <v>45003</v>
      </c>
      <c r="B2036" s="16">
        <v>22300467</v>
      </c>
      <c r="C2036" s="16" t="s">
        <v>442</v>
      </c>
      <c r="D2036" s="16" t="str">
        <f>VLOOKUP(C2036,[1]master_data!$A$2:$E$495,2,FALSE)</f>
        <v>PARROT</v>
      </c>
      <c r="E2036" s="16">
        <v>4</v>
      </c>
      <c r="F2036" s="16">
        <f>VLOOKUP(C2036,[1]master_data!$A$2:$E$495,3,FALSE)</f>
        <v>27000</v>
      </c>
      <c r="G2036" s="16">
        <f>VLOOKUP(C2036,[1]master_data!$A$2:$E$495,4,FALSE)</f>
        <v>60000</v>
      </c>
      <c r="H2036" s="16">
        <f>E2036*F2036</f>
        <v>108000</v>
      </c>
      <c r="I2036" s="16">
        <f>E2036*G2036</f>
        <v>240000</v>
      </c>
      <c r="J2036" s="16">
        <f>I2036-H2036</f>
        <v>132000</v>
      </c>
      <c r="K2036" s="16" t="str">
        <f>VLOOKUP(C2036,[1]master_data!$A$2:$E$495,5,FALSE)</f>
        <v>Ikan</v>
      </c>
      <c r="L2036" s="1"/>
    </row>
    <row r="2037" spans="1:12" ht="12" customHeight="1" x14ac:dyDescent="0.25">
      <c r="A2037" s="15">
        <v>45003</v>
      </c>
      <c r="B2037" s="16">
        <v>22300468</v>
      </c>
      <c r="C2037" s="16" t="s">
        <v>66</v>
      </c>
      <c r="D2037" s="16" t="str">
        <f>VLOOKUP(C2037,[1]master_data!$A$2:$E$495,2,FALSE)</f>
        <v>BOX KOSONG TANGGUNG</v>
      </c>
      <c r="E2037" s="16">
        <v>2</v>
      </c>
      <c r="F2037" s="16">
        <f>VLOOKUP(C2037,[1]master_data!$A$2:$E$495,3,FALSE)</f>
        <v>15000</v>
      </c>
      <c r="G2037" s="16">
        <f>VLOOKUP(C2037,[1]master_data!$A$2:$E$495,4,FALSE)</f>
        <v>25000</v>
      </c>
      <c r="H2037" s="16">
        <f>E2037*F2037</f>
        <v>30000</v>
      </c>
      <c r="I2037" s="16">
        <f>E2037*G2037</f>
        <v>50000</v>
      </c>
      <c r="J2037" s="16">
        <f>I2037-H2037</f>
        <v>20000</v>
      </c>
      <c r="K2037" s="16" t="str">
        <f>VLOOKUP(C2037,[1]master_data!$A$2:$E$495,5,FALSE)</f>
        <v>Aksesoris</v>
      </c>
      <c r="L2037" s="1"/>
    </row>
    <row r="2038" spans="1:12" ht="12" customHeight="1" x14ac:dyDescent="0.25">
      <c r="A2038" s="15">
        <v>45003</v>
      </c>
      <c r="B2038" s="16">
        <v>22300469</v>
      </c>
      <c r="C2038" s="16" t="s">
        <v>263</v>
      </c>
      <c r="D2038" s="16" t="str">
        <f>VLOOKUP(C2038,[1]master_data!$A$2:$E$495,2,FALSE)</f>
        <v>CORNER FLTER TOP OF MEDIUM</v>
      </c>
      <c r="E2038" s="16">
        <v>1</v>
      </c>
      <c r="F2038" s="16">
        <f>VLOOKUP(C2038,[1]master_data!$A$2:$E$495,3,FALSE)</f>
        <v>14000</v>
      </c>
      <c r="G2038" s="16">
        <f>VLOOKUP(C2038,[1]master_data!$A$2:$E$495,4,FALSE)</f>
        <v>25000</v>
      </c>
      <c r="H2038" s="16">
        <f>E2038*F2038</f>
        <v>14000</v>
      </c>
      <c r="I2038" s="16">
        <f>E2038*G2038</f>
        <v>25000</v>
      </c>
      <c r="J2038" s="16">
        <f>I2038-H2038</f>
        <v>11000</v>
      </c>
      <c r="K2038" s="16" t="str">
        <f>VLOOKUP(C2038,[1]master_data!$A$2:$E$495,5,FALSE)</f>
        <v>Aksesoris</v>
      </c>
      <c r="L2038" s="1"/>
    </row>
    <row r="2039" spans="1:12" ht="12" customHeight="1" x14ac:dyDescent="0.25">
      <c r="A2039" s="15">
        <v>45002</v>
      </c>
      <c r="B2039" s="16">
        <v>22300461</v>
      </c>
      <c r="C2039" s="16" t="s">
        <v>291</v>
      </c>
      <c r="D2039" s="16" t="str">
        <f>VLOOKUP(C2039,[1]master_data!$A$2:$E$495,2,FALSE)</f>
        <v>MAINAN KODOK</v>
      </c>
      <c r="E2039" s="16">
        <v>1</v>
      </c>
      <c r="F2039" s="16">
        <f>VLOOKUP(C2039,[1]master_data!$A$2:$E$495,3,FALSE)</f>
        <v>11000</v>
      </c>
      <c r="G2039" s="16">
        <f>VLOOKUP(C2039,[1]master_data!$A$2:$E$495,4,FALSE)</f>
        <v>20000</v>
      </c>
      <c r="H2039" s="16">
        <f>E2039*F2039</f>
        <v>11000</v>
      </c>
      <c r="I2039" s="16">
        <f>E2039*G2039</f>
        <v>20000</v>
      </c>
      <c r="J2039" s="16">
        <f>I2039-H2039</f>
        <v>9000</v>
      </c>
      <c r="K2039" s="16" t="str">
        <f>VLOOKUP(C2039,[1]master_data!$A$2:$E$495,5,FALSE)</f>
        <v>Aksesoris</v>
      </c>
      <c r="L2039" s="1"/>
    </row>
    <row r="2040" spans="1:12" ht="12" customHeight="1" x14ac:dyDescent="0.25">
      <c r="A2040" s="15">
        <v>45002</v>
      </c>
      <c r="B2040" s="16">
        <v>22300462</v>
      </c>
      <c r="C2040" s="16" t="s">
        <v>31</v>
      </c>
      <c r="D2040" s="16" t="str">
        <f>VLOOKUP(C2040,[1]master_data!$A$2:$E$495,2,FALSE)</f>
        <v>TOP FILTER ROSTON B</v>
      </c>
      <c r="E2040" s="16">
        <v>5</v>
      </c>
      <c r="F2040" s="16">
        <f>VLOOKUP(C2040,[1]master_data!$A$2:$E$495,3,FALSE)</f>
        <v>35000</v>
      </c>
      <c r="G2040" s="16">
        <f>VLOOKUP(C2040,[1]master_data!$A$2:$E$495,4,FALSE)</f>
        <v>65000</v>
      </c>
      <c r="H2040" s="16">
        <f>E2040*F2040</f>
        <v>175000</v>
      </c>
      <c r="I2040" s="16">
        <f>E2040*G2040</f>
        <v>325000</v>
      </c>
      <c r="J2040" s="16">
        <f>I2040-H2040</f>
        <v>150000</v>
      </c>
      <c r="K2040" s="16" t="str">
        <f>VLOOKUP(C2040,[1]master_data!$A$2:$E$495,5,FALSE)</f>
        <v>Aksesoris</v>
      </c>
      <c r="L2040" s="1"/>
    </row>
    <row r="2041" spans="1:12" ht="12" customHeight="1" x14ac:dyDescent="0.25">
      <c r="A2041" s="15">
        <v>45002</v>
      </c>
      <c r="B2041" s="16">
        <v>22300463</v>
      </c>
      <c r="C2041" s="16" t="s">
        <v>150</v>
      </c>
      <c r="D2041" s="16" t="str">
        <f>VLOOKUP(C2041,[1]master_data!$A$2:$E$495,2,FALSE)</f>
        <v>LED VOSSO 50-60 CM</v>
      </c>
      <c r="E2041" s="16">
        <v>5</v>
      </c>
      <c r="F2041" s="16">
        <f>VLOOKUP(C2041,[1]master_data!$A$2:$E$495,3,FALSE)</f>
        <v>50000</v>
      </c>
      <c r="G2041" s="16">
        <f>VLOOKUP(C2041,[1]master_data!$A$2:$E$495,4,FALSE)</f>
        <v>75000</v>
      </c>
      <c r="H2041" s="16">
        <f>E2041*F2041</f>
        <v>250000</v>
      </c>
      <c r="I2041" s="16">
        <f>E2041*G2041</f>
        <v>375000</v>
      </c>
      <c r="J2041" s="16">
        <f>I2041-H2041</f>
        <v>125000</v>
      </c>
      <c r="K2041" s="16" t="str">
        <f>VLOOKUP(C2041,[1]master_data!$A$2:$E$495,5,FALSE)</f>
        <v>Aksesoris</v>
      </c>
      <c r="L2041" s="1"/>
    </row>
    <row r="2042" spans="1:12" ht="12" customHeight="1" x14ac:dyDescent="0.25">
      <c r="A2042" s="15">
        <v>45002</v>
      </c>
      <c r="B2042" s="16">
        <v>22300464</v>
      </c>
      <c r="C2042" s="16" t="s">
        <v>116</v>
      </c>
      <c r="D2042" s="16" t="str">
        <f>VLOOKUP(C2042,[1]master_data!$A$2:$E$495,2,FALSE)</f>
        <v>AIRATOR ROSTON LUB 1</v>
      </c>
      <c r="E2042" s="16">
        <v>1</v>
      </c>
      <c r="F2042" s="16">
        <f>VLOOKUP(C2042,[1]master_data!$A$2:$E$495,3,FALSE)</f>
        <v>20000</v>
      </c>
      <c r="G2042" s="16">
        <f>VLOOKUP(C2042,[1]master_data!$A$2:$E$495,4,FALSE)</f>
        <v>30000</v>
      </c>
      <c r="H2042" s="16">
        <f>E2042*F2042</f>
        <v>20000</v>
      </c>
      <c r="I2042" s="16">
        <f>E2042*G2042</f>
        <v>30000</v>
      </c>
      <c r="J2042" s="16">
        <f>I2042-H2042</f>
        <v>10000</v>
      </c>
      <c r="K2042" s="16" t="str">
        <f>VLOOKUP(C2042,[1]master_data!$A$2:$E$495,5,FALSE)</f>
        <v>Aksesoris</v>
      </c>
      <c r="L2042" s="1"/>
    </row>
    <row r="2043" spans="1:12" ht="12" customHeight="1" x14ac:dyDescent="0.25">
      <c r="A2043" s="15">
        <v>45002</v>
      </c>
      <c r="B2043" s="16">
        <v>22300465</v>
      </c>
      <c r="C2043" s="16" t="s">
        <v>357</v>
      </c>
      <c r="D2043" s="16" t="str">
        <f>VLOOKUP(C2043,[1]master_data!$A$2:$E$495,2,FALSE)</f>
        <v>TOPLES 4,2 L</v>
      </c>
      <c r="E2043" s="16">
        <v>1</v>
      </c>
      <c r="F2043" s="16">
        <f>VLOOKUP(C2043,[1]master_data!$A$2:$E$495,3,FALSE)</f>
        <v>53000</v>
      </c>
      <c r="G2043" s="16">
        <f>VLOOKUP(C2043,[1]master_data!$A$2:$E$495,4,FALSE)</f>
        <v>85000</v>
      </c>
      <c r="H2043" s="16">
        <f>E2043*F2043</f>
        <v>53000</v>
      </c>
      <c r="I2043" s="16">
        <f>E2043*G2043</f>
        <v>85000</v>
      </c>
      <c r="J2043" s="16">
        <f>I2043-H2043</f>
        <v>32000</v>
      </c>
      <c r="K2043" s="16" t="str">
        <f>VLOOKUP(C2043,[1]master_data!$A$2:$E$495,5,FALSE)</f>
        <v>Aksesoris</v>
      </c>
      <c r="L2043" s="1"/>
    </row>
    <row r="2044" spans="1:12" ht="12" customHeight="1" x14ac:dyDescent="0.25">
      <c r="A2044" s="15">
        <v>45001</v>
      </c>
      <c r="B2044" s="16">
        <v>22300456</v>
      </c>
      <c r="C2044" s="16" t="s">
        <v>374</v>
      </c>
      <c r="D2044" s="16" t="str">
        <f>VLOOKUP(C2044,[1]master_data!$A$2:$E$495,2,FALSE)</f>
        <v>PASIR MERAH K</v>
      </c>
      <c r="E2044" s="16">
        <v>30</v>
      </c>
      <c r="F2044" s="16">
        <f>VLOOKUP(C2044,[1]master_data!$A$2:$E$495,3,FALSE)</f>
        <v>2500</v>
      </c>
      <c r="G2044" s="16">
        <f>VLOOKUP(C2044,[1]master_data!$A$2:$E$495,4,FALSE)</f>
        <v>5000</v>
      </c>
      <c r="H2044" s="16">
        <f>E2044*F2044</f>
        <v>75000</v>
      </c>
      <c r="I2044" s="16">
        <f>E2044*G2044</f>
        <v>150000</v>
      </c>
      <c r="J2044" s="16">
        <f>I2044-H2044</f>
        <v>75000</v>
      </c>
      <c r="K2044" s="16" t="str">
        <f>VLOOKUP(C2044,[1]master_data!$A$2:$E$495,5,FALSE)</f>
        <v>Aksesoris</v>
      </c>
      <c r="L2044" s="1"/>
    </row>
    <row r="2045" spans="1:12" ht="12" customHeight="1" x14ac:dyDescent="0.25">
      <c r="A2045" s="15">
        <v>45001</v>
      </c>
      <c r="B2045" s="16">
        <v>22300457</v>
      </c>
      <c r="C2045" s="16" t="s">
        <v>332</v>
      </c>
      <c r="D2045" s="16" t="str">
        <f>VLOOKUP(C2045,[1]master_data!$A$2:$E$495,2,FALSE)</f>
        <v>KAPAS 2 LAPIS</v>
      </c>
      <c r="E2045" s="16">
        <v>20</v>
      </c>
      <c r="F2045" s="16">
        <f>VLOOKUP(C2045,[1]master_data!$A$2:$E$495,3,FALSE)</f>
        <v>2000</v>
      </c>
      <c r="G2045" s="16">
        <f>VLOOKUP(C2045,[1]master_data!$A$2:$E$495,4,FALSE)</f>
        <v>4000</v>
      </c>
      <c r="H2045" s="16">
        <f>E2045*F2045</f>
        <v>40000</v>
      </c>
      <c r="I2045" s="16">
        <f>E2045*G2045</f>
        <v>80000</v>
      </c>
      <c r="J2045" s="16">
        <f>I2045-H2045</f>
        <v>40000</v>
      </c>
      <c r="K2045" s="16" t="str">
        <f>VLOOKUP(C2045,[1]master_data!$A$2:$E$495,5,FALSE)</f>
        <v>Aksesoris</v>
      </c>
      <c r="L2045" s="1"/>
    </row>
    <row r="2046" spans="1:12" ht="12" customHeight="1" x14ac:dyDescent="0.25">
      <c r="A2046" s="15">
        <v>45001</v>
      </c>
      <c r="B2046" s="16">
        <v>22300458</v>
      </c>
      <c r="C2046" s="16" t="s">
        <v>441</v>
      </c>
      <c r="D2046" s="16" t="str">
        <f>VLOOKUP(C2046,[1]master_data!$A$2:$E$495,2,FALSE)</f>
        <v>PALMAS</v>
      </c>
      <c r="E2046" s="16">
        <v>5</v>
      </c>
      <c r="F2046" s="16">
        <f>VLOOKUP(C2046,[1]master_data!$A$2:$E$495,3,FALSE)</f>
        <v>10000</v>
      </c>
      <c r="G2046" s="16">
        <f>VLOOKUP(C2046,[1]master_data!$A$2:$E$495,4,FALSE)</f>
        <v>25000</v>
      </c>
      <c r="H2046" s="16">
        <f>E2046*F2046</f>
        <v>50000</v>
      </c>
      <c r="I2046" s="16">
        <f>E2046*G2046</f>
        <v>125000</v>
      </c>
      <c r="J2046" s="16">
        <f>I2046-H2046</f>
        <v>75000</v>
      </c>
      <c r="K2046" s="16" t="str">
        <f>VLOOKUP(C2046,[1]master_data!$A$2:$E$495,5,FALSE)</f>
        <v>Ikan</v>
      </c>
      <c r="L2046" s="1"/>
    </row>
    <row r="2047" spans="1:12" ht="12" customHeight="1" x14ac:dyDescent="0.25">
      <c r="A2047" s="15">
        <v>45001</v>
      </c>
      <c r="B2047" s="16">
        <v>22300459</v>
      </c>
      <c r="C2047" s="16" t="s">
        <v>441</v>
      </c>
      <c r="D2047" s="16" t="str">
        <f>VLOOKUP(C2047,[1]master_data!$A$2:$E$495,2,FALSE)</f>
        <v>PALMAS</v>
      </c>
      <c r="E2047" s="16">
        <v>4</v>
      </c>
      <c r="F2047" s="16">
        <f>VLOOKUP(C2047,[1]master_data!$A$2:$E$495,3,FALSE)</f>
        <v>10000</v>
      </c>
      <c r="G2047" s="16">
        <f>VLOOKUP(C2047,[1]master_data!$A$2:$E$495,4,FALSE)</f>
        <v>25000</v>
      </c>
      <c r="H2047" s="16">
        <f>E2047*F2047</f>
        <v>40000</v>
      </c>
      <c r="I2047" s="16">
        <f>E2047*G2047</f>
        <v>100000</v>
      </c>
      <c r="J2047" s="16">
        <f>I2047-H2047</f>
        <v>60000</v>
      </c>
      <c r="K2047" s="16" t="str">
        <f>VLOOKUP(C2047,[1]master_data!$A$2:$E$495,5,FALSE)</f>
        <v>Ikan</v>
      </c>
      <c r="L2047" s="1"/>
    </row>
    <row r="2048" spans="1:12" ht="12" customHeight="1" x14ac:dyDescent="0.25">
      <c r="A2048" s="15">
        <v>45001</v>
      </c>
      <c r="B2048" s="16">
        <v>22300460</v>
      </c>
      <c r="C2048" s="16" t="s">
        <v>441</v>
      </c>
      <c r="D2048" s="16" t="str">
        <f>VLOOKUP(C2048,[1]master_data!$A$2:$E$495,2,FALSE)</f>
        <v>PALMAS</v>
      </c>
      <c r="E2048" s="16">
        <v>1</v>
      </c>
      <c r="F2048" s="16">
        <f>VLOOKUP(C2048,[1]master_data!$A$2:$E$495,3,FALSE)</f>
        <v>10000</v>
      </c>
      <c r="G2048" s="16">
        <f>VLOOKUP(C2048,[1]master_data!$A$2:$E$495,4,FALSE)</f>
        <v>25000</v>
      </c>
      <c r="H2048" s="16">
        <f>E2048*F2048</f>
        <v>10000</v>
      </c>
      <c r="I2048" s="16">
        <f>E2048*G2048</f>
        <v>25000</v>
      </c>
      <c r="J2048" s="16">
        <f>I2048-H2048</f>
        <v>15000</v>
      </c>
      <c r="K2048" s="16" t="str">
        <f>VLOOKUP(C2048,[1]master_data!$A$2:$E$495,5,FALSE)</f>
        <v>Ikan</v>
      </c>
      <c r="L2048" s="1"/>
    </row>
    <row r="2049" spans="1:12" ht="12" customHeight="1" x14ac:dyDescent="0.25">
      <c r="A2049" s="15">
        <v>45000</v>
      </c>
      <c r="B2049" s="16">
        <v>22300450</v>
      </c>
      <c r="C2049" s="16" t="s">
        <v>404</v>
      </c>
      <c r="D2049" s="16" t="str">
        <f>VLOOKUP(C2049,[1]master_data!$A$2:$E$495,2,FALSE)</f>
        <v>BARBIR</v>
      </c>
      <c r="E2049" s="16">
        <v>25</v>
      </c>
      <c r="F2049" s="16">
        <f>VLOOKUP(C2049,[1]master_data!$A$2:$E$495,3,FALSE)</f>
        <v>800</v>
      </c>
      <c r="G2049" s="16">
        <f>VLOOKUP(C2049,[1]master_data!$A$2:$E$495,4,FALSE)</f>
        <v>2000</v>
      </c>
      <c r="H2049" s="16">
        <f>E2049*F2049</f>
        <v>20000</v>
      </c>
      <c r="I2049" s="16">
        <f>E2049*G2049</f>
        <v>50000</v>
      </c>
      <c r="J2049" s="16">
        <f>I2049-H2049</f>
        <v>30000</v>
      </c>
      <c r="K2049" s="16" t="str">
        <f>VLOOKUP(C2049,[1]master_data!$A$2:$E$495,5,FALSE)</f>
        <v>Ikan</v>
      </c>
      <c r="L2049" s="1"/>
    </row>
    <row r="2050" spans="1:12" ht="12" customHeight="1" x14ac:dyDescent="0.25">
      <c r="A2050" s="15">
        <v>45000</v>
      </c>
      <c r="B2050" s="16">
        <v>22300451</v>
      </c>
      <c r="C2050" s="16" t="s">
        <v>343</v>
      </c>
      <c r="D2050" s="16" t="str">
        <f>VLOOKUP(C2050,[1]master_data!$A$2:$E$495,2,FALSE)</f>
        <v>KRAN 5 W</v>
      </c>
      <c r="E2050" s="16">
        <v>2</v>
      </c>
      <c r="F2050" s="16">
        <f>VLOOKUP(C2050,[1]master_data!$A$2:$E$495,3,FALSE)</f>
        <v>10000</v>
      </c>
      <c r="G2050" s="16">
        <f>VLOOKUP(C2050,[1]master_data!$A$2:$E$495,4,FALSE)</f>
        <v>15000</v>
      </c>
      <c r="H2050" s="16">
        <f>E2050*F2050</f>
        <v>20000</v>
      </c>
      <c r="I2050" s="16">
        <f>E2050*G2050</f>
        <v>30000</v>
      </c>
      <c r="J2050" s="16">
        <f>I2050-H2050</f>
        <v>10000</v>
      </c>
      <c r="K2050" s="16" t="str">
        <f>VLOOKUP(C2050,[1]master_data!$A$2:$E$495,5,FALSE)</f>
        <v>Aksesoris</v>
      </c>
      <c r="L2050" s="1"/>
    </row>
    <row r="2051" spans="1:12" ht="12" customHeight="1" x14ac:dyDescent="0.25">
      <c r="A2051" s="15">
        <v>45000</v>
      </c>
      <c r="B2051" s="16">
        <v>22300452</v>
      </c>
      <c r="C2051" s="16" t="s">
        <v>95</v>
      </c>
      <c r="D2051" s="16" t="str">
        <f>VLOOKUP(C2051,[1]master_data!$A$2:$E$495,2,FALSE)</f>
        <v>MESIN AMARA 107</v>
      </c>
      <c r="E2051" s="16">
        <v>1</v>
      </c>
      <c r="F2051" s="16">
        <f>VLOOKUP(C2051,[1]master_data!$A$2:$E$495,3,FALSE)</f>
        <v>310000</v>
      </c>
      <c r="G2051" s="16">
        <f>VLOOKUP(C2051,[1]master_data!$A$2:$E$495,4,FALSE)</f>
        <v>380000</v>
      </c>
      <c r="H2051" s="16">
        <f>E2051*F2051</f>
        <v>310000</v>
      </c>
      <c r="I2051" s="16">
        <f>E2051*G2051</f>
        <v>380000</v>
      </c>
      <c r="J2051" s="16">
        <f>I2051-H2051</f>
        <v>70000</v>
      </c>
      <c r="K2051" s="16" t="str">
        <f>VLOOKUP(C2051,[1]master_data!$A$2:$E$495,5,FALSE)</f>
        <v>Aksesoris</v>
      </c>
      <c r="L2051" s="1"/>
    </row>
    <row r="2052" spans="1:12" ht="12" customHeight="1" x14ac:dyDescent="0.25">
      <c r="A2052" s="15">
        <v>45000</v>
      </c>
      <c r="B2052" s="16">
        <v>22300453</v>
      </c>
      <c r="C2052" s="16" t="s">
        <v>398</v>
      </c>
      <c r="D2052" s="16" t="str">
        <f>VLOOKUP(C2052,[1]master_data!$A$2:$E$495,2,FALSE)</f>
        <v>BALA BALA K</v>
      </c>
      <c r="E2052" s="16">
        <v>30</v>
      </c>
      <c r="F2052" s="16">
        <f>VLOOKUP(C2052,[1]master_data!$A$2:$E$495,3,FALSE)</f>
        <v>4000</v>
      </c>
      <c r="G2052" s="16">
        <f>VLOOKUP(C2052,[1]master_data!$A$2:$E$495,4,FALSE)</f>
        <v>8000</v>
      </c>
      <c r="H2052" s="16">
        <f>E2052*F2052</f>
        <v>120000</v>
      </c>
      <c r="I2052" s="16">
        <f>E2052*G2052</f>
        <v>240000</v>
      </c>
      <c r="J2052" s="16">
        <f>I2052-H2052</f>
        <v>120000</v>
      </c>
      <c r="K2052" s="16" t="str">
        <f>VLOOKUP(C2052,[1]master_data!$A$2:$E$495,5,FALSE)</f>
        <v>Ikan</v>
      </c>
      <c r="L2052" s="1"/>
    </row>
    <row r="2053" spans="1:12" ht="12" customHeight="1" x14ac:dyDescent="0.25">
      <c r="A2053" s="15">
        <v>45000</v>
      </c>
      <c r="B2053" s="16">
        <v>22300454</v>
      </c>
      <c r="C2053" s="16" t="s">
        <v>454</v>
      </c>
      <c r="D2053" s="16" t="str">
        <f>VLOOKUP(C2053,[1]master_data!$A$2:$E$495,2,FALSE)</f>
        <v>TOMAN</v>
      </c>
      <c r="E2053" s="16">
        <v>2</v>
      </c>
      <c r="F2053" s="16">
        <f>VLOOKUP(C2053,[1]master_data!$A$2:$E$495,3,FALSE)</f>
        <v>10000</v>
      </c>
      <c r="G2053" s="16">
        <f>VLOOKUP(C2053,[1]master_data!$A$2:$E$495,4,FALSE)</f>
        <v>25000</v>
      </c>
      <c r="H2053" s="16">
        <f>E2053*F2053</f>
        <v>20000</v>
      </c>
      <c r="I2053" s="16">
        <f>E2053*G2053</f>
        <v>50000</v>
      </c>
      <c r="J2053" s="16">
        <f>I2053-H2053</f>
        <v>30000</v>
      </c>
      <c r="K2053" s="16" t="str">
        <f>VLOOKUP(C2053,[1]master_data!$A$2:$E$495,5,FALSE)</f>
        <v>Ikan</v>
      </c>
      <c r="L2053" s="1"/>
    </row>
    <row r="2054" spans="1:12" ht="12" customHeight="1" x14ac:dyDescent="0.25">
      <c r="A2054" s="15">
        <v>45000</v>
      </c>
      <c r="B2054" s="16">
        <v>22300455</v>
      </c>
      <c r="C2054" s="16" t="s">
        <v>461</v>
      </c>
      <c r="D2054" s="16" t="str">
        <f>VLOOKUP(C2054,[1]master_data!$A$2:$E$495,2,FALSE)</f>
        <v>CHANNA STEWARTI</v>
      </c>
      <c r="E2054" s="16">
        <v>2</v>
      </c>
      <c r="F2054" s="16">
        <f>VLOOKUP(C2054,[1]master_data!$A$2:$E$495,3,FALSE)</f>
        <v>15000</v>
      </c>
      <c r="G2054" s="16">
        <f>VLOOKUP(C2054,[1]master_data!$A$2:$E$495,4,FALSE)</f>
        <v>40000</v>
      </c>
      <c r="H2054" s="16">
        <f>E2054*F2054</f>
        <v>30000</v>
      </c>
      <c r="I2054" s="16">
        <f>E2054*G2054</f>
        <v>80000</v>
      </c>
      <c r="J2054" s="16">
        <f>I2054-H2054</f>
        <v>50000</v>
      </c>
      <c r="K2054" s="16" t="str">
        <f>VLOOKUP(C2054,[1]master_data!$A$2:$E$495,5,FALSE)</f>
        <v>Ikan</v>
      </c>
      <c r="L2054" s="1"/>
    </row>
    <row r="2055" spans="1:12" ht="12" customHeight="1" x14ac:dyDescent="0.25">
      <c r="A2055" s="15">
        <v>44999</v>
      </c>
      <c r="B2055" s="16">
        <v>22300442</v>
      </c>
      <c r="C2055" s="16" t="s">
        <v>397</v>
      </c>
      <c r="D2055" s="16" t="str">
        <f>VLOOKUP(C2055,[1]master_data!$A$2:$E$495,2,FALSE)</f>
        <v>BUENOS AIRES TETRA</v>
      </c>
      <c r="E2055" s="16">
        <v>20</v>
      </c>
      <c r="F2055" s="16">
        <f>VLOOKUP(C2055,[1]master_data!$A$2:$E$495,3,FALSE)</f>
        <v>800</v>
      </c>
      <c r="G2055" s="16">
        <f>VLOOKUP(C2055,[1]master_data!$A$2:$E$495,4,FALSE)</f>
        <v>2000</v>
      </c>
      <c r="H2055" s="16">
        <f>E2055*F2055</f>
        <v>16000</v>
      </c>
      <c r="I2055" s="16">
        <f>E2055*G2055</f>
        <v>40000</v>
      </c>
      <c r="J2055" s="16">
        <f>I2055-H2055</f>
        <v>24000</v>
      </c>
      <c r="K2055" s="16" t="str">
        <f>VLOOKUP(C2055,[1]master_data!$A$2:$E$495,5,FALSE)</f>
        <v>Ikan</v>
      </c>
      <c r="L2055" s="1"/>
    </row>
    <row r="2056" spans="1:12" ht="12" customHeight="1" x14ac:dyDescent="0.25">
      <c r="A2056" s="15">
        <v>44999</v>
      </c>
      <c r="B2056" s="16">
        <v>22300443</v>
      </c>
      <c r="C2056" s="16" t="s">
        <v>241</v>
      </c>
      <c r="D2056" s="16" t="str">
        <f>VLOOKUP(C2056,[1]master_data!$A$2:$E$495,2,FALSE)</f>
        <v>PAKAN KEN</v>
      </c>
      <c r="E2056" s="16">
        <v>10</v>
      </c>
      <c r="F2056" s="16">
        <f>VLOOKUP(C2056,[1]master_data!$A$2:$E$495,3,FALSE)</f>
        <v>16000</v>
      </c>
      <c r="G2056" s="16">
        <f>VLOOKUP(C2056,[1]master_data!$A$2:$E$495,4,FALSE)</f>
        <v>25000</v>
      </c>
      <c r="H2056" s="16">
        <f>E2056*F2056</f>
        <v>160000</v>
      </c>
      <c r="I2056" s="16">
        <f>E2056*G2056</f>
        <v>250000</v>
      </c>
      <c r="J2056" s="16">
        <f>I2056-H2056</f>
        <v>90000</v>
      </c>
      <c r="K2056" s="16" t="str">
        <f>VLOOKUP(C2056,[1]master_data!$A$2:$E$495,5,FALSE)</f>
        <v>Aksesoris</v>
      </c>
      <c r="L2056" s="1"/>
    </row>
    <row r="2057" spans="1:12" ht="12" customHeight="1" x14ac:dyDescent="0.25">
      <c r="A2057" s="15">
        <v>44999</v>
      </c>
      <c r="B2057" s="16">
        <v>22300444</v>
      </c>
      <c r="C2057" s="16" t="s">
        <v>392</v>
      </c>
      <c r="D2057" s="16" t="str">
        <f>VLOOKUP(C2057,[1]master_data!$A$2:$E$495,2,FALSE)</f>
        <v>ARWANA SILVER K</v>
      </c>
      <c r="E2057" s="16">
        <v>2</v>
      </c>
      <c r="F2057" s="16">
        <f>VLOOKUP(C2057,[1]master_data!$A$2:$E$495,3,FALSE)</f>
        <v>100000</v>
      </c>
      <c r="G2057" s="16">
        <f>VLOOKUP(C2057,[1]master_data!$A$2:$E$495,4,FALSE)</f>
        <v>200000</v>
      </c>
      <c r="H2057" s="16">
        <f>E2057*F2057</f>
        <v>200000</v>
      </c>
      <c r="I2057" s="16">
        <f>E2057*G2057</f>
        <v>400000</v>
      </c>
      <c r="J2057" s="16">
        <f>I2057-H2057</f>
        <v>200000</v>
      </c>
      <c r="K2057" s="16" t="str">
        <f>VLOOKUP(C2057,[1]master_data!$A$2:$E$495,5,FALSE)</f>
        <v>Ikan</v>
      </c>
      <c r="L2057" s="1"/>
    </row>
    <row r="2058" spans="1:12" ht="12" customHeight="1" x14ac:dyDescent="0.25">
      <c r="A2058" s="15">
        <v>44999</v>
      </c>
      <c r="B2058" s="16">
        <v>22300445</v>
      </c>
      <c r="C2058" s="16" t="s">
        <v>405</v>
      </c>
      <c r="D2058" s="16" t="str">
        <f>VLOOKUP(C2058,[1]master_data!$A$2:$E$495,2,FALSE)</f>
        <v>CUPANG</v>
      </c>
      <c r="E2058" s="16">
        <v>15</v>
      </c>
      <c r="F2058" s="16">
        <f>VLOOKUP(C2058,[1]master_data!$A$2:$E$495,3,FALSE)</f>
        <v>2000</v>
      </c>
      <c r="G2058" s="16">
        <f>VLOOKUP(C2058,[1]master_data!$A$2:$E$495,4,FALSE)</f>
        <v>5000</v>
      </c>
      <c r="H2058" s="16">
        <f>E2058*F2058</f>
        <v>30000</v>
      </c>
      <c r="I2058" s="16">
        <f>E2058*G2058</f>
        <v>75000</v>
      </c>
      <c r="J2058" s="16">
        <f>I2058-H2058</f>
        <v>45000</v>
      </c>
      <c r="K2058" s="16" t="str">
        <f>VLOOKUP(C2058,[1]master_data!$A$2:$E$495,5,FALSE)</f>
        <v>Ikan</v>
      </c>
      <c r="L2058" s="1"/>
    </row>
    <row r="2059" spans="1:12" ht="12" customHeight="1" x14ac:dyDescent="0.25">
      <c r="A2059" s="15">
        <v>44999</v>
      </c>
      <c r="B2059" s="16">
        <v>22300446</v>
      </c>
      <c r="C2059" s="16" t="s">
        <v>455</v>
      </c>
      <c r="D2059" s="16" t="str">
        <f>VLOOKUP(C2059,[1]master_data!$A$2:$E$495,2,FALSE)</f>
        <v>ZEBRA PINK</v>
      </c>
      <c r="E2059" s="16">
        <v>30</v>
      </c>
      <c r="F2059" s="16">
        <f>VLOOKUP(C2059,[1]master_data!$A$2:$E$495,3,FALSE)</f>
        <v>800</v>
      </c>
      <c r="G2059" s="16">
        <f>VLOOKUP(C2059,[1]master_data!$A$2:$E$495,4,FALSE)</f>
        <v>2000</v>
      </c>
      <c r="H2059" s="16">
        <f>E2059*F2059</f>
        <v>24000</v>
      </c>
      <c r="I2059" s="16">
        <f>E2059*G2059</f>
        <v>60000</v>
      </c>
      <c r="J2059" s="16">
        <f>I2059-H2059</f>
        <v>36000</v>
      </c>
      <c r="K2059" s="16" t="str">
        <f>VLOOKUP(C2059,[1]master_data!$A$2:$E$495,5,FALSE)</f>
        <v>Ikan</v>
      </c>
      <c r="L2059" s="1"/>
    </row>
    <row r="2060" spans="1:12" ht="12" customHeight="1" x14ac:dyDescent="0.25">
      <c r="A2060" s="15">
        <v>44999</v>
      </c>
      <c r="B2060" s="16">
        <v>22300447</v>
      </c>
      <c r="C2060" s="16" t="s">
        <v>437</v>
      </c>
      <c r="D2060" s="16" t="str">
        <f>VLOOKUP(C2060,[1]master_data!$A$2:$E$495,2,FALSE)</f>
        <v>NEON</v>
      </c>
      <c r="E2060" s="16">
        <v>5</v>
      </c>
      <c r="F2060" s="16">
        <f>VLOOKUP(C2060,[1]master_data!$A$2:$E$495,3,FALSE)</f>
        <v>1250</v>
      </c>
      <c r="G2060" s="16">
        <f>VLOOKUP(C2060,[1]master_data!$A$2:$E$495,4,FALSE)</f>
        <v>5000</v>
      </c>
      <c r="H2060" s="16">
        <f>E2060*F2060</f>
        <v>6250</v>
      </c>
      <c r="I2060" s="16">
        <f>E2060*G2060</f>
        <v>25000</v>
      </c>
      <c r="J2060" s="16">
        <f>I2060-H2060</f>
        <v>18750</v>
      </c>
      <c r="K2060" s="16" t="str">
        <f>VLOOKUP(C2060,[1]master_data!$A$2:$E$495,5,FALSE)</f>
        <v>Ikan</v>
      </c>
      <c r="L2060" s="1"/>
    </row>
    <row r="2061" spans="1:12" ht="12" customHeight="1" x14ac:dyDescent="0.25">
      <c r="A2061" s="15">
        <v>44999</v>
      </c>
      <c r="B2061" s="16">
        <v>22300448</v>
      </c>
      <c r="C2061" s="16" t="s">
        <v>286</v>
      </c>
      <c r="D2061" s="16" t="str">
        <f>VLOOKUP(C2061,[1]master_data!$A$2:$E$495,2,FALSE)</f>
        <v>KAPAS 1X1</v>
      </c>
      <c r="E2061" s="16">
        <v>1</v>
      </c>
      <c r="F2061" s="16">
        <f>VLOOKUP(C2061,[1]master_data!$A$2:$E$495,3,FALSE)</f>
        <v>15000</v>
      </c>
      <c r="G2061" s="16">
        <f>VLOOKUP(C2061,[1]master_data!$A$2:$E$495,4,FALSE)</f>
        <v>27000</v>
      </c>
      <c r="H2061" s="16">
        <f>E2061*F2061</f>
        <v>15000</v>
      </c>
      <c r="I2061" s="16">
        <f>E2061*G2061</f>
        <v>27000</v>
      </c>
      <c r="J2061" s="16">
        <f>I2061-H2061</f>
        <v>12000</v>
      </c>
      <c r="K2061" s="16" t="str">
        <f>VLOOKUP(C2061,[1]master_data!$A$2:$E$495,5,FALSE)</f>
        <v>Aksesoris</v>
      </c>
      <c r="L2061" s="1"/>
    </row>
    <row r="2062" spans="1:12" ht="12" customHeight="1" x14ac:dyDescent="0.25">
      <c r="A2062" s="15">
        <v>44999</v>
      </c>
      <c r="B2062" s="16">
        <v>22300449</v>
      </c>
      <c r="C2062" s="16" t="s">
        <v>419</v>
      </c>
      <c r="D2062" s="16" t="str">
        <f>VLOOKUP(C2062,[1]master_data!$A$2:$E$495,2,FALSE)</f>
        <v>KOMET PAKAN</v>
      </c>
      <c r="E2062" s="16">
        <v>100</v>
      </c>
      <c r="F2062" s="16">
        <f>VLOOKUP(C2062,[1]master_data!$A$2:$E$495,3,FALSE)</f>
        <v>300</v>
      </c>
      <c r="G2062" s="16">
        <f>VLOOKUP(C2062,[1]master_data!$A$2:$E$495,4,FALSE)</f>
        <v>1000</v>
      </c>
      <c r="H2062" s="16">
        <f>E2062*F2062</f>
        <v>30000</v>
      </c>
      <c r="I2062" s="16">
        <f>E2062*G2062</f>
        <v>100000</v>
      </c>
      <c r="J2062" s="16">
        <f>I2062-H2062</f>
        <v>70000</v>
      </c>
      <c r="K2062" s="16" t="str">
        <f>VLOOKUP(C2062,[1]master_data!$A$2:$E$495,5,FALSE)</f>
        <v>Ikan</v>
      </c>
      <c r="L2062" s="1"/>
    </row>
    <row r="2063" spans="1:12" ht="12" customHeight="1" x14ac:dyDescent="0.25">
      <c r="A2063" s="15">
        <v>44998</v>
      </c>
      <c r="B2063" s="16">
        <v>22300434</v>
      </c>
      <c r="C2063" s="16" t="s">
        <v>442</v>
      </c>
      <c r="D2063" s="16" t="str">
        <f>VLOOKUP(C2063,[1]master_data!$A$2:$E$495,2,FALSE)</f>
        <v>PARROT</v>
      </c>
      <c r="E2063" s="16">
        <v>2</v>
      </c>
      <c r="F2063" s="16">
        <f>VLOOKUP(C2063,[1]master_data!$A$2:$E$495,3,FALSE)</f>
        <v>27000</v>
      </c>
      <c r="G2063" s="16">
        <f>VLOOKUP(C2063,[1]master_data!$A$2:$E$495,4,FALSE)</f>
        <v>60000</v>
      </c>
      <c r="H2063" s="16">
        <f>E2063*F2063</f>
        <v>54000</v>
      </c>
      <c r="I2063" s="16">
        <f>E2063*G2063</f>
        <v>120000</v>
      </c>
      <c r="J2063" s="16">
        <f>I2063-H2063</f>
        <v>66000</v>
      </c>
      <c r="K2063" s="16" t="str">
        <f>VLOOKUP(C2063,[1]master_data!$A$2:$E$495,5,FALSE)</f>
        <v>Ikan</v>
      </c>
      <c r="L2063" s="1"/>
    </row>
    <row r="2064" spans="1:12" ht="12" customHeight="1" x14ac:dyDescent="0.25">
      <c r="A2064" s="15">
        <v>44998</v>
      </c>
      <c r="B2064" s="16">
        <v>22300435</v>
      </c>
      <c r="C2064" s="16" t="s">
        <v>418</v>
      </c>
      <c r="D2064" s="16" t="str">
        <f>VLOOKUP(C2064,[1]master_data!$A$2:$E$495,2,FALSE)</f>
        <v>KAVIAT</v>
      </c>
      <c r="E2064" s="16">
        <v>10</v>
      </c>
      <c r="F2064" s="16">
        <f>VLOOKUP(C2064,[1]master_data!$A$2:$E$495,3,FALSE)</f>
        <v>3500</v>
      </c>
      <c r="G2064" s="16">
        <f>VLOOKUP(C2064,[1]master_data!$A$2:$E$495,4,FALSE)</f>
        <v>8000</v>
      </c>
      <c r="H2064" s="16">
        <f>E2064*F2064</f>
        <v>35000</v>
      </c>
      <c r="I2064" s="16">
        <f>E2064*G2064</f>
        <v>80000</v>
      </c>
      <c r="J2064" s="16">
        <f>I2064-H2064</f>
        <v>45000</v>
      </c>
      <c r="K2064" s="16" t="str">
        <f>VLOOKUP(C2064,[1]master_data!$A$2:$E$495,5,FALSE)</f>
        <v>Ikan</v>
      </c>
      <c r="L2064" s="1"/>
    </row>
    <row r="2065" spans="1:12" ht="12" customHeight="1" x14ac:dyDescent="0.25">
      <c r="A2065" s="15">
        <v>44998</v>
      </c>
      <c r="B2065" s="16">
        <v>22300436</v>
      </c>
      <c r="C2065" s="16" t="s">
        <v>428</v>
      </c>
      <c r="D2065" s="16" t="str">
        <f>VLOOKUP(C2065,[1]master_data!$A$2:$E$495,2,FALSE)</f>
        <v>MANFISH K</v>
      </c>
      <c r="E2065" s="16">
        <v>30</v>
      </c>
      <c r="F2065" s="16">
        <f>VLOOKUP(C2065,[1]master_data!$A$2:$E$495,3,FALSE)</f>
        <v>2000</v>
      </c>
      <c r="G2065" s="16">
        <f>VLOOKUP(C2065,[1]master_data!$A$2:$E$495,4,FALSE)</f>
        <v>5000</v>
      </c>
      <c r="H2065" s="16">
        <f>E2065*F2065</f>
        <v>60000</v>
      </c>
      <c r="I2065" s="16">
        <f>E2065*G2065</f>
        <v>150000</v>
      </c>
      <c r="J2065" s="16">
        <f>I2065-H2065</f>
        <v>90000</v>
      </c>
      <c r="K2065" s="16" t="str">
        <f>VLOOKUP(C2065,[1]master_data!$A$2:$E$495,5,FALSE)</f>
        <v>Ikan</v>
      </c>
      <c r="L2065" s="1"/>
    </row>
    <row r="2066" spans="1:12" ht="12" customHeight="1" x14ac:dyDescent="0.25">
      <c r="A2066" s="15">
        <v>44998</v>
      </c>
      <c r="B2066" s="16">
        <v>22300437</v>
      </c>
      <c r="C2066" s="16" t="s">
        <v>389</v>
      </c>
      <c r="D2066" s="16" t="str">
        <f>VLOOKUP(C2066,[1]master_data!$A$2:$E$495,2,FALSE)</f>
        <v>CHANNA ANDRAO K</v>
      </c>
      <c r="E2066" s="16">
        <v>6</v>
      </c>
      <c r="F2066" s="16">
        <f>VLOOKUP(C2066,[1]master_data!$A$2:$E$495,3,FALSE)</f>
        <v>20000</v>
      </c>
      <c r="G2066" s="16">
        <f>VLOOKUP(C2066,[1]master_data!$A$2:$E$495,4,FALSE)</f>
        <v>50000</v>
      </c>
      <c r="H2066" s="16">
        <f>E2066*F2066</f>
        <v>120000</v>
      </c>
      <c r="I2066" s="16">
        <f>E2066*G2066</f>
        <v>300000</v>
      </c>
      <c r="J2066" s="16">
        <f>I2066-H2066</f>
        <v>180000</v>
      </c>
      <c r="K2066" s="16" t="str">
        <f>VLOOKUP(C2066,[1]master_data!$A$2:$E$495,5,FALSE)</f>
        <v>Ikan</v>
      </c>
      <c r="L2066" s="1"/>
    </row>
    <row r="2067" spans="1:12" ht="12" customHeight="1" x14ac:dyDescent="0.25">
      <c r="A2067" s="15">
        <v>44998</v>
      </c>
      <c r="B2067" s="16">
        <v>22300438</v>
      </c>
      <c r="C2067" s="16" t="s">
        <v>411</v>
      </c>
      <c r="D2067" s="16" t="str">
        <f>VLOOKUP(C2067,[1]master_data!$A$2:$E$495,2,FALSE)</f>
        <v>KOKI K</v>
      </c>
      <c r="E2067" s="16">
        <v>3</v>
      </c>
      <c r="F2067" s="16">
        <f>VLOOKUP(C2067,[1]master_data!$A$2:$E$495,3,FALSE)</f>
        <v>3500</v>
      </c>
      <c r="G2067" s="16">
        <f>VLOOKUP(C2067,[1]master_data!$A$2:$E$495,4,FALSE)</f>
        <v>10000</v>
      </c>
      <c r="H2067" s="16">
        <f>E2067*F2067</f>
        <v>10500</v>
      </c>
      <c r="I2067" s="16">
        <f>E2067*G2067</f>
        <v>30000</v>
      </c>
      <c r="J2067" s="16">
        <f>I2067-H2067</f>
        <v>19500</v>
      </c>
      <c r="K2067" s="16" t="str">
        <f>VLOOKUP(C2067,[1]master_data!$A$2:$E$495,5,FALSE)</f>
        <v>Ikan</v>
      </c>
      <c r="L2067" s="1"/>
    </row>
    <row r="2068" spans="1:12" ht="12" customHeight="1" x14ac:dyDescent="0.25">
      <c r="A2068" s="15">
        <v>44998</v>
      </c>
      <c r="B2068" s="16">
        <v>22300439</v>
      </c>
      <c r="C2068" s="16" t="s">
        <v>428</v>
      </c>
      <c r="D2068" s="16" t="str">
        <f>VLOOKUP(C2068,[1]master_data!$A$2:$E$495,2,FALSE)</f>
        <v>MANFISH K</v>
      </c>
      <c r="E2068" s="16">
        <v>1</v>
      </c>
      <c r="F2068" s="16">
        <f>VLOOKUP(C2068,[1]master_data!$A$2:$E$495,3,FALSE)</f>
        <v>2000</v>
      </c>
      <c r="G2068" s="16">
        <f>VLOOKUP(C2068,[1]master_data!$A$2:$E$495,4,FALSE)</f>
        <v>5000</v>
      </c>
      <c r="H2068" s="16">
        <f>E2068*F2068</f>
        <v>2000</v>
      </c>
      <c r="I2068" s="16">
        <f>E2068*G2068</f>
        <v>5000</v>
      </c>
      <c r="J2068" s="16">
        <f>I2068-H2068</f>
        <v>3000</v>
      </c>
      <c r="K2068" s="16" t="str">
        <f>VLOOKUP(C2068,[1]master_data!$A$2:$E$495,5,FALSE)</f>
        <v>Ikan</v>
      </c>
      <c r="L2068" s="1"/>
    </row>
    <row r="2069" spans="1:12" ht="12" customHeight="1" x14ac:dyDescent="0.25">
      <c r="A2069" s="15">
        <v>44998</v>
      </c>
      <c r="B2069" s="16">
        <v>22300440</v>
      </c>
      <c r="C2069" s="16" t="s">
        <v>450</v>
      </c>
      <c r="D2069" s="16" t="str">
        <f>VLOOKUP(C2069,[1]master_data!$A$2:$E$495,2,FALSE)</f>
        <v>SNOW WHITE</v>
      </c>
      <c r="E2069" s="16">
        <v>1</v>
      </c>
      <c r="F2069" s="16">
        <f>VLOOKUP(C2069,[1]master_data!$A$2:$E$495,3,FALSE)</f>
        <v>1500</v>
      </c>
      <c r="G2069" s="16">
        <f>VLOOKUP(C2069,[1]master_data!$A$2:$E$495,4,FALSE)</f>
        <v>3000</v>
      </c>
      <c r="H2069" s="16">
        <f>E2069*F2069</f>
        <v>1500</v>
      </c>
      <c r="I2069" s="16">
        <f>E2069*G2069</f>
        <v>3000</v>
      </c>
      <c r="J2069" s="16">
        <f>I2069-H2069</f>
        <v>1500</v>
      </c>
      <c r="K2069" s="16" t="str">
        <f>VLOOKUP(C2069,[1]master_data!$A$2:$E$495,5,FALSE)</f>
        <v>Ikan</v>
      </c>
      <c r="L2069" s="1"/>
    </row>
    <row r="2070" spans="1:12" ht="12" customHeight="1" x14ac:dyDescent="0.25">
      <c r="A2070" s="15">
        <v>44998</v>
      </c>
      <c r="B2070" s="16">
        <v>22300441</v>
      </c>
      <c r="C2070" s="16" t="s">
        <v>412</v>
      </c>
      <c r="D2070" s="16" t="str">
        <f>VLOOKUP(C2070,[1]master_data!$A$2:$E$495,2,FALSE)</f>
        <v>KOKI T</v>
      </c>
      <c r="E2070" s="16">
        <v>1</v>
      </c>
      <c r="F2070" s="16">
        <f>VLOOKUP(C2070,[1]master_data!$A$2:$E$495,3,FALSE)</f>
        <v>8000</v>
      </c>
      <c r="G2070" s="16">
        <f>VLOOKUP(C2070,[1]master_data!$A$2:$E$495,4,FALSE)</f>
        <v>15000</v>
      </c>
      <c r="H2070" s="16">
        <f>E2070*F2070</f>
        <v>8000</v>
      </c>
      <c r="I2070" s="16">
        <f>E2070*G2070</f>
        <v>15000</v>
      </c>
      <c r="J2070" s="16">
        <f>I2070-H2070</f>
        <v>7000</v>
      </c>
      <c r="K2070" s="16" t="str">
        <f>VLOOKUP(C2070,[1]master_data!$A$2:$E$495,5,FALSE)</f>
        <v>Ikan</v>
      </c>
      <c r="L2070" s="1"/>
    </row>
    <row r="2071" spans="1:12" ht="12" customHeight="1" x14ac:dyDescent="0.25">
      <c r="A2071" s="15">
        <v>44997</v>
      </c>
      <c r="B2071" s="16">
        <v>22300426</v>
      </c>
      <c r="C2071" s="16" t="s">
        <v>155</v>
      </c>
      <c r="D2071" s="16" t="str">
        <f>VLOOKUP(C2071,[1]master_data!$A$2:$E$495,2,FALSE)</f>
        <v>LED ROSTON 3 MODE 40 CM</v>
      </c>
      <c r="E2071" s="16">
        <v>2</v>
      </c>
      <c r="F2071" s="16">
        <f>VLOOKUP(C2071,[1]master_data!$A$2:$E$495,3,FALSE)</f>
        <v>27000</v>
      </c>
      <c r="G2071" s="16">
        <f>VLOOKUP(C2071,[1]master_data!$A$2:$E$495,4,FALSE)</f>
        <v>50000</v>
      </c>
      <c r="H2071" s="16">
        <f>E2071*F2071</f>
        <v>54000</v>
      </c>
      <c r="I2071" s="16">
        <f>E2071*G2071</f>
        <v>100000</v>
      </c>
      <c r="J2071" s="16">
        <f>I2071-H2071</f>
        <v>46000</v>
      </c>
      <c r="K2071" s="16" t="str">
        <f>VLOOKUP(C2071,[1]master_data!$A$2:$E$495,5,FALSE)</f>
        <v>Aksesoris</v>
      </c>
      <c r="L2071" s="1"/>
    </row>
    <row r="2072" spans="1:12" ht="12" customHeight="1" x14ac:dyDescent="0.25">
      <c r="A2072" s="15">
        <v>44997</v>
      </c>
      <c r="B2072" s="16">
        <v>22300427</v>
      </c>
      <c r="C2072" s="16" t="s">
        <v>422</v>
      </c>
      <c r="D2072" s="16" t="str">
        <f>VLOOKUP(C2072,[1]master_data!$A$2:$E$495,2,FALSE)</f>
        <v>KOI SLAYER B</v>
      </c>
      <c r="E2072" s="16">
        <v>10</v>
      </c>
      <c r="F2072" s="16">
        <f>VLOOKUP(C2072,[1]master_data!$A$2:$E$495,3,FALSE)</f>
        <v>8000</v>
      </c>
      <c r="G2072" s="16">
        <f>VLOOKUP(C2072,[1]master_data!$A$2:$E$495,4,FALSE)</f>
        <v>20000</v>
      </c>
      <c r="H2072" s="16">
        <f>E2072*F2072</f>
        <v>80000</v>
      </c>
      <c r="I2072" s="16">
        <f>E2072*G2072</f>
        <v>200000</v>
      </c>
      <c r="J2072" s="16">
        <f>I2072-H2072</f>
        <v>120000</v>
      </c>
      <c r="K2072" s="16" t="str">
        <f>VLOOKUP(C2072,[1]master_data!$A$2:$E$495,5,FALSE)</f>
        <v>Ikan</v>
      </c>
      <c r="L2072" s="1"/>
    </row>
    <row r="2073" spans="1:12" ht="12" customHeight="1" x14ac:dyDescent="0.25">
      <c r="A2073" s="15">
        <v>44997</v>
      </c>
      <c r="B2073" s="16">
        <v>22300428</v>
      </c>
      <c r="C2073" s="16" t="s">
        <v>410</v>
      </c>
      <c r="D2073" s="16" t="str">
        <f>VLOOKUP(C2073,[1]master_data!$A$2:$E$495,2,FALSE)</f>
        <v>HIU TAWAR</v>
      </c>
      <c r="E2073" s="16">
        <v>25</v>
      </c>
      <c r="F2073" s="16">
        <f>VLOOKUP(C2073,[1]master_data!$A$2:$E$495,3,FALSE)</f>
        <v>600</v>
      </c>
      <c r="G2073" s="16">
        <f>VLOOKUP(C2073,[1]master_data!$A$2:$E$495,4,FALSE)</f>
        <v>2000</v>
      </c>
      <c r="H2073" s="16">
        <f>E2073*F2073</f>
        <v>15000</v>
      </c>
      <c r="I2073" s="16">
        <f>E2073*G2073</f>
        <v>50000</v>
      </c>
      <c r="J2073" s="16">
        <f>I2073-H2073</f>
        <v>35000</v>
      </c>
      <c r="K2073" s="16" t="str">
        <f>VLOOKUP(C2073,[1]master_data!$A$2:$E$495,5,FALSE)</f>
        <v>Ikan</v>
      </c>
      <c r="L2073" s="1"/>
    </row>
    <row r="2074" spans="1:12" ht="12" customHeight="1" x14ac:dyDescent="0.25">
      <c r="A2074" s="15">
        <v>44997</v>
      </c>
      <c r="B2074" s="16">
        <v>22300429</v>
      </c>
      <c r="C2074" s="16" t="s">
        <v>403</v>
      </c>
      <c r="D2074" s="16" t="str">
        <f>VLOOKUP(C2074,[1]master_data!$A$2:$E$495,2,FALSE)</f>
        <v>KOMET BOKIM</v>
      </c>
      <c r="E2074" s="16">
        <v>22</v>
      </c>
      <c r="F2074" s="16">
        <f>VLOOKUP(C2074,[1]master_data!$A$2:$E$495,3,FALSE)</f>
        <v>1500</v>
      </c>
      <c r="G2074" s="16">
        <f>VLOOKUP(C2074,[1]master_data!$A$2:$E$495,4,FALSE)</f>
        <v>5000</v>
      </c>
      <c r="H2074" s="16">
        <f>E2074*F2074</f>
        <v>33000</v>
      </c>
      <c r="I2074" s="16">
        <f>E2074*G2074</f>
        <v>110000</v>
      </c>
      <c r="J2074" s="16">
        <f>I2074-H2074</f>
        <v>77000</v>
      </c>
      <c r="K2074" s="16" t="str">
        <f>VLOOKUP(C2074,[1]master_data!$A$2:$E$495,5,FALSE)</f>
        <v>Ikan</v>
      </c>
      <c r="L2074" s="1"/>
    </row>
    <row r="2075" spans="1:12" ht="12" customHeight="1" x14ac:dyDescent="0.25">
      <c r="A2075" s="15">
        <v>44997</v>
      </c>
      <c r="B2075" s="16">
        <v>22300430</v>
      </c>
      <c r="C2075" s="16" t="s">
        <v>323</v>
      </c>
      <c r="D2075" s="16" t="str">
        <f>VLOOKUP(C2075,[1]master_data!$A$2:$E$495,2,FALSE)</f>
        <v>AIRSTONE PANJANG 6</v>
      </c>
      <c r="E2075" s="16">
        <v>5</v>
      </c>
      <c r="F2075" s="16">
        <f>VLOOKUP(C2075,[1]master_data!$A$2:$E$495,3,FALSE)</f>
        <v>8000</v>
      </c>
      <c r="G2075" s="16">
        <f>VLOOKUP(C2075,[1]master_data!$A$2:$E$495,4,FALSE)</f>
        <v>12000</v>
      </c>
      <c r="H2075" s="16">
        <f>E2075*F2075</f>
        <v>40000</v>
      </c>
      <c r="I2075" s="16">
        <f>E2075*G2075</f>
        <v>60000</v>
      </c>
      <c r="J2075" s="16">
        <f>I2075-H2075</f>
        <v>20000</v>
      </c>
      <c r="K2075" s="16" t="str">
        <f>VLOOKUP(C2075,[1]master_data!$A$2:$E$495,5,FALSE)</f>
        <v>Aksesoris</v>
      </c>
      <c r="L2075" s="1"/>
    </row>
    <row r="2076" spans="1:12" ht="12" customHeight="1" x14ac:dyDescent="0.25">
      <c r="A2076" s="15">
        <v>44997</v>
      </c>
      <c r="B2076" s="16">
        <v>22300431</v>
      </c>
      <c r="C2076" s="16" t="s">
        <v>338</v>
      </c>
      <c r="D2076" s="16" t="str">
        <f>VLOOKUP(C2076,[1]master_data!$A$2:$E$495,2,FALSE)</f>
        <v>JETMET K</v>
      </c>
      <c r="E2076" s="16">
        <v>1</v>
      </c>
      <c r="F2076" s="16">
        <f>VLOOKUP(C2076,[1]master_data!$A$2:$E$495,3,FALSE)</f>
        <v>17500</v>
      </c>
      <c r="G2076" s="16">
        <f>VLOOKUP(C2076,[1]master_data!$A$2:$E$495,4,FALSE)</f>
        <v>25000</v>
      </c>
      <c r="H2076" s="16">
        <f>E2076*F2076</f>
        <v>17500</v>
      </c>
      <c r="I2076" s="16">
        <f>E2076*G2076</f>
        <v>25000</v>
      </c>
      <c r="J2076" s="16">
        <f>I2076-H2076</f>
        <v>7500</v>
      </c>
      <c r="K2076" s="16" t="str">
        <f>VLOOKUP(C2076,[1]master_data!$A$2:$E$495,5,FALSE)</f>
        <v>Aksesoris</v>
      </c>
      <c r="L2076" s="1"/>
    </row>
    <row r="2077" spans="1:12" ht="12" customHeight="1" x14ac:dyDescent="0.25">
      <c r="A2077" s="15">
        <v>44997</v>
      </c>
      <c r="B2077" s="16">
        <v>22300432</v>
      </c>
      <c r="C2077" s="16" t="s">
        <v>383</v>
      </c>
      <c r="D2077" s="16" t="str">
        <f>VLOOKUP(C2077,[1]master_data!$A$2:$E$495,2,FALSE)</f>
        <v>BATU GOMBONG B</v>
      </c>
      <c r="E2077" s="16">
        <v>1</v>
      </c>
      <c r="F2077" s="16">
        <f>VLOOKUP(C2077,[1]master_data!$A$2:$E$495,3,FALSE)</f>
        <v>60000</v>
      </c>
      <c r="G2077" s="16">
        <f>VLOOKUP(C2077,[1]master_data!$A$2:$E$495,4,FALSE)</f>
        <v>100000</v>
      </c>
      <c r="H2077" s="16">
        <f>E2077*F2077</f>
        <v>60000</v>
      </c>
      <c r="I2077" s="16">
        <f>E2077*G2077</f>
        <v>100000</v>
      </c>
      <c r="J2077" s="16">
        <f>I2077-H2077</f>
        <v>40000</v>
      </c>
      <c r="K2077" s="16" t="str">
        <f>VLOOKUP(C2077,[1]master_data!$A$2:$E$495,5,FALSE)</f>
        <v>Aksesoris</v>
      </c>
      <c r="L2077" s="1"/>
    </row>
    <row r="2078" spans="1:12" ht="12" customHeight="1" x14ac:dyDescent="0.25">
      <c r="A2078" s="15">
        <v>44997</v>
      </c>
      <c r="B2078" s="16">
        <v>22300433</v>
      </c>
      <c r="C2078" s="16" t="s">
        <v>437</v>
      </c>
      <c r="D2078" s="16" t="str">
        <f>VLOOKUP(C2078,[1]master_data!$A$2:$E$495,2,FALSE)</f>
        <v>NEON</v>
      </c>
      <c r="E2078" s="16">
        <v>50</v>
      </c>
      <c r="F2078" s="16">
        <f>VLOOKUP(C2078,[1]master_data!$A$2:$E$495,3,FALSE)</f>
        <v>1250</v>
      </c>
      <c r="G2078" s="16">
        <f>VLOOKUP(C2078,[1]master_data!$A$2:$E$495,4,FALSE)</f>
        <v>5000</v>
      </c>
      <c r="H2078" s="16">
        <f>E2078*F2078</f>
        <v>62500</v>
      </c>
      <c r="I2078" s="16">
        <f>E2078*G2078</f>
        <v>250000</v>
      </c>
      <c r="J2078" s="16">
        <f>I2078-H2078</f>
        <v>187500</v>
      </c>
      <c r="K2078" s="16" t="str">
        <f>VLOOKUP(C2078,[1]master_data!$A$2:$E$495,5,FALSE)</f>
        <v>Ikan</v>
      </c>
      <c r="L2078" s="1"/>
    </row>
    <row r="2079" spans="1:12" ht="12" customHeight="1" x14ac:dyDescent="0.25">
      <c r="A2079" s="15">
        <v>44996</v>
      </c>
      <c r="B2079" s="16">
        <v>22300420</v>
      </c>
      <c r="C2079" s="16" t="s">
        <v>397</v>
      </c>
      <c r="D2079" s="16" t="str">
        <f>VLOOKUP(C2079,[1]master_data!$A$2:$E$495,2,FALSE)</f>
        <v>BUENOS AIRES TETRA</v>
      </c>
      <c r="E2079" s="16">
        <v>30</v>
      </c>
      <c r="F2079" s="16">
        <f>VLOOKUP(C2079,[1]master_data!$A$2:$E$495,3,FALSE)</f>
        <v>800</v>
      </c>
      <c r="G2079" s="16">
        <f>VLOOKUP(C2079,[1]master_data!$A$2:$E$495,4,FALSE)</f>
        <v>2000</v>
      </c>
      <c r="H2079" s="16">
        <f>E2079*F2079</f>
        <v>24000</v>
      </c>
      <c r="I2079" s="16">
        <f>E2079*G2079</f>
        <v>60000</v>
      </c>
      <c r="J2079" s="16">
        <f>I2079-H2079</f>
        <v>36000</v>
      </c>
      <c r="K2079" s="16" t="str">
        <f>VLOOKUP(C2079,[1]master_data!$A$2:$E$495,5,FALSE)</f>
        <v>Ikan</v>
      </c>
      <c r="L2079" s="1"/>
    </row>
    <row r="2080" spans="1:12" ht="12" customHeight="1" x14ac:dyDescent="0.25">
      <c r="A2080" s="15">
        <v>44996</v>
      </c>
      <c r="B2080" s="16">
        <v>22300421</v>
      </c>
      <c r="C2080" s="16" t="s">
        <v>418</v>
      </c>
      <c r="D2080" s="16" t="str">
        <f>VLOOKUP(C2080,[1]master_data!$A$2:$E$495,2,FALSE)</f>
        <v>KAVIAT</v>
      </c>
      <c r="E2080" s="16">
        <v>25</v>
      </c>
      <c r="F2080" s="16">
        <f>VLOOKUP(C2080,[1]master_data!$A$2:$E$495,3,FALSE)</f>
        <v>3500</v>
      </c>
      <c r="G2080" s="16">
        <f>VLOOKUP(C2080,[1]master_data!$A$2:$E$495,4,FALSE)</f>
        <v>8000</v>
      </c>
      <c r="H2080" s="16">
        <f>E2080*F2080</f>
        <v>87500</v>
      </c>
      <c r="I2080" s="16">
        <f>E2080*G2080</f>
        <v>200000</v>
      </c>
      <c r="J2080" s="16">
        <f>I2080-H2080</f>
        <v>112500</v>
      </c>
      <c r="K2080" s="16" t="str">
        <f>VLOOKUP(C2080,[1]master_data!$A$2:$E$495,5,FALSE)</f>
        <v>Ikan</v>
      </c>
      <c r="L2080" s="1"/>
    </row>
    <row r="2081" spans="1:12" ht="12" customHeight="1" x14ac:dyDescent="0.25">
      <c r="A2081" s="15">
        <v>44996</v>
      </c>
      <c r="B2081" s="16">
        <v>22300422</v>
      </c>
      <c r="C2081" s="16" t="s">
        <v>415</v>
      </c>
      <c r="D2081" s="16" t="str">
        <f>VLOOKUP(C2081,[1]master_data!$A$2:$E$495,2,FALSE)</f>
        <v>KOI T</v>
      </c>
      <c r="E2081" s="16">
        <v>5</v>
      </c>
      <c r="F2081" s="16">
        <f>VLOOKUP(C2081,[1]master_data!$A$2:$E$495,3,FALSE)</f>
        <v>7000</v>
      </c>
      <c r="G2081" s="16">
        <f>VLOOKUP(C2081,[1]master_data!$A$2:$E$495,4,FALSE)</f>
        <v>20000</v>
      </c>
      <c r="H2081" s="16">
        <f>E2081*F2081</f>
        <v>35000</v>
      </c>
      <c r="I2081" s="16">
        <f>E2081*G2081</f>
        <v>100000</v>
      </c>
      <c r="J2081" s="16">
        <f>I2081-H2081</f>
        <v>65000</v>
      </c>
      <c r="K2081" s="16" t="str">
        <f>VLOOKUP(C2081,[1]master_data!$A$2:$E$495,5,FALSE)</f>
        <v>Ikan</v>
      </c>
      <c r="L2081" s="1"/>
    </row>
    <row r="2082" spans="1:12" ht="12" customHeight="1" x14ac:dyDescent="0.25">
      <c r="A2082" s="15">
        <v>44996</v>
      </c>
      <c r="B2082" s="16">
        <v>22300423</v>
      </c>
      <c r="C2082" s="16" t="s">
        <v>459</v>
      </c>
      <c r="D2082" s="16" t="str">
        <f>VLOOKUP(C2082,[1]master_data!$A$2:$E$495,2,FALSE)</f>
        <v>SEPAT</v>
      </c>
      <c r="E2082" s="16">
        <v>30</v>
      </c>
      <c r="F2082" s="16">
        <f>VLOOKUP(C2082,[1]master_data!$A$2:$E$495,3,FALSE)</f>
        <v>600</v>
      </c>
      <c r="G2082" s="16">
        <f>VLOOKUP(C2082,[1]master_data!$A$2:$E$495,4,FALSE)</f>
        <v>2000</v>
      </c>
      <c r="H2082" s="16">
        <f>E2082*F2082</f>
        <v>18000</v>
      </c>
      <c r="I2082" s="16">
        <f>E2082*G2082</f>
        <v>60000</v>
      </c>
      <c r="J2082" s="16">
        <f>I2082-H2082</f>
        <v>42000</v>
      </c>
      <c r="K2082" s="16" t="str">
        <f>VLOOKUP(C2082,[1]master_data!$A$2:$E$495,5,FALSE)</f>
        <v>Ikan</v>
      </c>
      <c r="L2082" s="1"/>
    </row>
    <row r="2083" spans="1:12" ht="12" customHeight="1" x14ac:dyDescent="0.25">
      <c r="A2083" s="15">
        <v>44996</v>
      </c>
      <c r="B2083" s="16">
        <v>22300424</v>
      </c>
      <c r="C2083" s="16" t="s">
        <v>335</v>
      </c>
      <c r="D2083" s="16" t="str">
        <f>VLOOKUP(C2083,[1]master_data!$A$2:$E$495,2,FALSE)</f>
        <v>MAGNET 09</v>
      </c>
      <c r="E2083" s="16">
        <v>1</v>
      </c>
      <c r="F2083" s="16">
        <f>VLOOKUP(C2083,[1]master_data!$A$2:$E$495,3,FALSE)</f>
        <v>58000</v>
      </c>
      <c r="G2083" s="16">
        <f>VLOOKUP(C2083,[1]master_data!$A$2:$E$495,4,FALSE)</f>
        <v>80000</v>
      </c>
      <c r="H2083" s="16">
        <f>E2083*F2083</f>
        <v>58000</v>
      </c>
      <c r="I2083" s="16">
        <f>E2083*G2083</f>
        <v>80000</v>
      </c>
      <c r="J2083" s="16">
        <f>I2083-H2083</f>
        <v>22000</v>
      </c>
      <c r="K2083" s="16" t="str">
        <f>VLOOKUP(C2083,[1]master_data!$A$2:$E$495,5,FALSE)</f>
        <v>Aksesoris</v>
      </c>
      <c r="L2083" s="1"/>
    </row>
    <row r="2084" spans="1:12" ht="12" customHeight="1" x14ac:dyDescent="0.25">
      <c r="A2084" s="15">
        <v>44996</v>
      </c>
      <c r="B2084" s="16">
        <v>22300425</v>
      </c>
      <c r="C2084" s="16" t="s">
        <v>256</v>
      </c>
      <c r="D2084" s="16" t="str">
        <f>VLOOKUP(C2084,[1]master_data!$A$2:$E$495,2,FALSE)</f>
        <v>BIOBOL</v>
      </c>
      <c r="E2084" s="16">
        <v>17</v>
      </c>
      <c r="F2084" s="16">
        <f>VLOOKUP(C2084,[1]master_data!$A$2:$E$495,3,FALSE)</f>
        <v>4000</v>
      </c>
      <c r="G2084" s="16">
        <f>VLOOKUP(C2084,[1]master_data!$A$2:$E$495,4,FALSE)</f>
        <v>7500</v>
      </c>
      <c r="H2084" s="16">
        <f>E2084*F2084</f>
        <v>68000</v>
      </c>
      <c r="I2084" s="16">
        <f>E2084*G2084</f>
        <v>127500</v>
      </c>
      <c r="J2084" s="16">
        <f>I2084-H2084</f>
        <v>59500</v>
      </c>
      <c r="K2084" s="16" t="str">
        <f>VLOOKUP(C2084,[1]master_data!$A$2:$E$495,5,FALSE)</f>
        <v>Aksesoris</v>
      </c>
      <c r="L2084" s="1"/>
    </row>
    <row r="2085" spans="1:12" ht="12" customHeight="1" x14ac:dyDescent="0.25">
      <c r="A2085" s="15">
        <v>44995</v>
      </c>
      <c r="B2085" s="16">
        <v>22300417</v>
      </c>
      <c r="C2085" s="16" t="s">
        <v>414</v>
      </c>
      <c r="D2085" s="16" t="str">
        <f>VLOOKUP(C2085,[1]master_data!$A$2:$E$495,2,FALSE)</f>
        <v>KOI K</v>
      </c>
      <c r="E2085" s="16">
        <v>10</v>
      </c>
      <c r="F2085" s="16">
        <f>VLOOKUP(C2085,[1]master_data!$A$2:$E$495,3,FALSE)</f>
        <v>2500</v>
      </c>
      <c r="G2085" s="16">
        <f>VLOOKUP(C2085,[1]master_data!$A$2:$E$495,4,FALSE)</f>
        <v>10000</v>
      </c>
      <c r="H2085" s="16">
        <f>E2085*F2085</f>
        <v>25000</v>
      </c>
      <c r="I2085" s="16">
        <f>E2085*G2085</f>
        <v>100000</v>
      </c>
      <c r="J2085" s="16">
        <f>I2085-H2085</f>
        <v>75000</v>
      </c>
      <c r="K2085" s="16" t="str">
        <f>VLOOKUP(C2085,[1]master_data!$A$2:$E$495,5,FALSE)</f>
        <v>Ikan</v>
      </c>
      <c r="L2085" s="1"/>
    </row>
    <row r="2086" spans="1:12" ht="12" customHeight="1" x14ac:dyDescent="0.25">
      <c r="A2086" s="15">
        <v>44995</v>
      </c>
      <c r="B2086" s="16">
        <v>22300418</v>
      </c>
      <c r="C2086" s="16" t="s">
        <v>391</v>
      </c>
      <c r="D2086" s="16" t="str">
        <f>VLOOKUP(C2086,[1]master_data!$A$2:$E$495,2,FALSE)</f>
        <v>CHANNA ANDRAO B</v>
      </c>
      <c r="E2086" s="16">
        <v>2</v>
      </c>
      <c r="F2086" s="16">
        <f>VLOOKUP(C2086,[1]master_data!$A$2:$E$495,3,FALSE)</f>
        <v>100000</v>
      </c>
      <c r="G2086" s="16">
        <f>VLOOKUP(C2086,[1]master_data!$A$2:$E$495,4,FALSE)</f>
        <v>200000</v>
      </c>
      <c r="H2086" s="16">
        <f>E2086*F2086</f>
        <v>200000</v>
      </c>
      <c r="I2086" s="16">
        <f>E2086*G2086</f>
        <v>400000</v>
      </c>
      <c r="J2086" s="16">
        <f>I2086-H2086</f>
        <v>200000</v>
      </c>
      <c r="K2086" s="16" t="str">
        <f>VLOOKUP(C2086,[1]master_data!$A$2:$E$495,5,FALSE)</f>
        <v>Ikan</v>
      </c>
      <c r="L2086" s="1"/>
    </row>
    <row r="2087" spans="1:12" ht="12" customHeight="1" x14ac:dyDescent="0.25">
      <c r="A2087" s="15">
        <v>44995</v>
      </c>
      <c r="B2087" s="16">
        <v>22300419</v>
      </c>
      <c r="C2087" s="16" t="s">
        <v>204</v>
      </c>
      <c r="D2087" s="16" t="str">
        <f>VLOOKUP(C2087,[1]master_data!$A$2:$E$495,2,FALSE)</f>
        <v>HOKKY 3 IN 1</v>
      </c>
      <c r="E2087" s="16">
        <v>2</v>
      </c>
      <c r="F2087" s="16">
        <f>VLOOKUP(C2087,[1]master_data!$A$2:$E$495,3,FALSE)</f>
        <v>20000</v>
      </c>
      <c r="G2087" s="16">
        <f>VLOOKUP(C2087,[1]master_data!$A$2:$E$495,4,FALSE)</f>
        <v>30000</v>
      </c>
      <c r="H2087" s="16">
        <f>E2087*F2087</f>
        <v>40000</v>
      </c>
      <c r="I2087" s="16">
        <f>E2087*G2087</f>
        <v>60000</v>
      </c>
      <c r="J2087" s="16">
        <f>I2087-H2087</f>
        <v>20000</v>
      </c>
      <c r="K2087" s="16" t="str">
        <f>VLOOKUP(C2087,[1]master_data!$A$2:$E$495,5,FALSE)</f>
        <v>Aksesoris</v>
      </c>
      <c r="L2087" s="1"/>
    </row>
    <row r="2088" spans="1:12" ht="12" customHeight="1" x14ac:dyDescent="0.25">
      <c r="A2088" s="15">
        <v>44994</v>
      </c>
      <c r="B2088" s="16">
        <v>22300412</v>
      </c>
      <c r="C2088" s="16" t="s">
        <v>447</v>
      </c>
      <c r="D2088" s="16" t="str">
        <f>VLOOKUP(C2088,[1]master_data!$A$2:$E$495,2,FALSE)</f>
        <v>CHANNA RED BARITO B</v>
      </c>
      <c r="E2088" s="16">
        <v>1</v>
      </c>
      <c r="F2088" s="16">
        <f>VLOOKUP(C2088,[1]master_data!$A$2:$E$495,3,FALSE)</f>
        <v>120000</v>
      </c>
      <c r="G2088" s="16">
        <f>VLOOKUP(C2088,[1]master_data!$A$2:$E$495,4,FALSE)</f>
        <v>200000</v>
      </c>
      <c r="H2088" s="16">
        <f>E2088*F2088</f>
        <v>120000</v>
      </c>
      <c r="I2088" s="16">
        <f>E2088*G2088</f>
        <v>200000</v>
      </c>
      <c r="J2088" s="16">
        <f>I2088-H2088</f>
        <v>80000</v>
      </c>
      <c r="K2088" s="16" t="str">
        <f>VLOOKUP(C2088,[1]master_data!$A$2:$E$495,5,FALSE)</f>
        <v>Ikan</v>
      </c>
      <c r="L2088" s="1"/>
    </row>
    <row r="2089" spans="1:12" ht="12" customHeight="1" x14ac:dyDescent="0.25">
      <c r="A2089" s="15">
        <v>44994</v>
      </c>
      <c r="B2089" s="16">
        <v>22300413</v>
      </c>
      <c r="C2089" s="16" t="s">
        <v>420</v>
      </c>
      <c r="D2089" s="16" t="str">
        <f>VLOOKUP(C2089,[1]master_data!$A$2:$E$495,2,FALSE)</f>
        <v>KOMET SLAYER</v>
      </c>
      <c r="E2089" s="16">
        <v>25</v>
      </c>
      <c r="F2089" s="16">
        <f>VLOOKUP(C2089,[1]master_data!$A$2:$E$495,3,FALSE)</f>
        <v>2000</v>
      </c>
      <c r="G2089" s="16">
        <f>VLOOKUP(C2089,[1]master_data!$A$2:$E$495,4,FALSE)</f>
        <v>5000</v>
      </c>
      <c r="H2089" s="16">
        <f>E2089*F2089</f>
        <v>50000</v>
      </c>
      <c r="I2089" s="16">
        <f>E2089*G2089</f>
        <v>125000</v>
      </c>
      <c r="J2089" s="16">
        <f>I2089-H2089</f>
        <v>75000</v>
      </c>
      <c r="K2089" s="16" t="str">
        <f>VLOOKUP(C2089,[1]master_data!$A$2:$E$495,5,FALSE)</f>
        <v>Ikan</v>
      </c>
      <c r="L2089" s="1"/>
    </row>
    <row r="2090" spans="1:12" ht="12" customHeight="1" x14ac:dyDescent="0.25">
      <c r="A2090" s="15">
        <v>44994</v>
      </c>
      <c r="B2090" s="16">
        <v>22300414</v>
      </c>
      <c r="C2090" s="16" t="s">
        <v>6</v>
      </c>
      <c r="D2090" s="16" t="str">
        <f>VLOOKUP(C2090,[1]master_data!$A$2:$E$495,2,FALSE)</f>
        <v>MESIN YANG 1200</v>
      </c>
      <c r="E2090" s="16">
        <v>1</v>
      </c>
      <c r="F2090" s="16">
        <f>VLOOKUP(C2090,[1]master_data!$A$2:$E$495,3,FALSE)</f>
        <v>25000</v>
      </c>
      <c r="G2090" s="16">
        <f>VLOOKUP(C2090,[1]master_data!$A$2:$E$495,4,FALSE)</f>
        <v>40000</v>
      </c>
      <c r="H2090" s="16">
        <f>E2090*F2090</f>
        <v>25000</v>
      </c>
      <c r="I2090" s="16">
        <f>E2090*G2090</f>
        <v>40000</v>
      </c>
      <c r="J2090" s="16">
        <f>I2090-H2090</f>
        <v>15000</v>
      </c>
      <c r="K2090" s="16" t="str">
        <f>VLOOKUP(C2090,[1]master_data!$A$2:$E$495,5,FALSE)</f>
        <v>Aksesoris</v>
      </c>
      <c r="L2090" s="1"/>
    </row>
    <row r="2091" spans="1:12" ht="12" customHeight="1" x14ac:dyDescent="0.25">
      <c r="A2091" s="15">
        <v>44994</v>
      </c>
      <c r="B2091" s="16">
        <v>22300415</v>
      </c>
      <c r="C2091" s="16" t="s">
        <v>454</v>
      </c>
      <c r="D2091" s="16" t="str">
        <f>VLOOKUP(C2091,[1]master_data!$A$2:$E$495,2,FALSE)</f>
        <v>TOMAN</v>
      </c>
      <c r="E2091" s="16">
        <v>2</v>
      </c>
      <c r="F2091" s="16">
        <f>VLOOKUP(C2091,[1]master_data!$A$2:$E$495,3,FALSE)</f>
        <v>10000</v>
      </c>
      <c r="G2091" s="16">
        <f>VLOOKUP(C2091,[1]master_data!$A$2:$E$495,4,FALSE)</f>
        <v>25000</v>
      </c>
      <c r="H2091" s="16">
        <f>E2091*F2091</f>
        <v>20000</v>
      </c>
      <c r="I2091" s="16">
        <f>E2091*G2091</f>
        <v>50000</v>
      </c>
      <c r="J2091" s="16">
        <f>I2091-H2091</f>
        <v>30000</v>
      </c>
      <c r="K2091" s="16" t="str">
        <f>VLOOKUP(C2091,[1]master_data!$A$2:$E$495,5,FALSE)</f>
        <v>Ikan</v>
      </c>
      <c r="L2091" s="1"/>
    </row>
    <row r="2092" spans="1:12" ht="12" customHeight="1" x14ac:dyDescent="0.25">
      <c r="A2092" s="15">
        <v>44994</v>
      </c>
      <c r="B2092" s="16">
        <v>22300416</v>
      </c>
      <c r="C2092" s="16" t="s">
        <v>403</v>
      </c>
      <c r="D2092" s="16" t="str">
        <f>VLOOKUP(C2092,[1]master_data!$A$2:$E$495,2,FALSE)</f>
        <v>KOMET BOKIM</v>
      </c>
      <c r="E2092" s="16">
        <v>25</v>
      </c>
      <c r="F2092" s="16">
        <f>VLOOKUP(C2092,[1]master_data!$A$2:$E$495,3,FALSE)</f>
        <v>1500</v>
      </c>
      <c r="G2092" s="16">
        <f>VLOOKUP(C2092,[1]master_data!$A$2:$E$495,4,FALSE)</f>
        <v>5000</v>
      </c>
      <c r="H2092" s="16">
        <f>E2092*F2092</f>
        <v>37500</v>
      </c>
      <c r="I2092" s="16">
        <f>E2092*G2092</f>
        <v>125000</v>
      </c>
      <c r="J2092" s="16">
        <f>I2092-H2092</f>
        <v>87500</v>
      </c>
      <c r="K2092" s="16" t="str">
        <f>VLOOKUP(C2092,[1]master_data!$A$2:$E$495,5,FALSE)</f>
        <v>Ikan</v>
      </c>
      <c r="L2092" s="1"/>
    </row>
    <row r="2093" spans="1:12" ht="12" customHeight="1" x14ac:dyDescent="0.25">
      <c r="A2093" s="15">
        <v>44993</v>
      </c>
      <c r="B2093" s="16">
        <v>22300409</v>
      </c>
      <c r="C2093" s="16" t="s">
        <v>391</v>
      </c>
      <c r="D2093" s="16" t="str">
        <f>VLOOKUP(C2093,[1]master_data!$A$2:$E$495,2,FALSE)</f>
        <v>CHANNA ANDRAO B</v>
      </c>
      <c r="E2093" s="16">
        <v>2</v>
      </c>
      <c r="F2093" s="16">
        <f>VLOOKUP(C2093,[1]master_data!$A$2:$E$495,3,FALSE)</f>
        <v>100000</v>
      </c>
      <c r="G2093" s="16">
        <f>VLOOKUP(C2093,[1]master_data!$A$2:$E$495,4,FALSE)</f>
        <v>200000</v>
      </c>
      <c r="H2093" s="16">
        <f>E2093*F2093</f>
        <v>200000</v>
      </c>
      <c r="I2093" s="16">
        <f>E2093*G2093</f>
        <v>400000</v>
      </c>
      <c r="J2093" s="16">
        <f>I2093-H2093</f>
        <v>200000</v>
      </c>
      <c r="K2093" s="16" t="str">
        <f>VLOOKUP(C2093,[1]master_data!$A$2:$E$495,5,FALSE)</f>
        <v>Ikan</v>
      </c>
      <c r="L2093" s="1"/>
    </row>
    <row r="2094" spans="1:12" ht="12" customHeight="1" x14ac:dyDescent="0.25">
      <c r="A2094" s="15">
        <v>44993</v>
      </c>
      <c r="B2094" s="16">
        <v>22300410</v>
      </c>
      <c r="C2094" s="16" t="s">
        <v>228</v>
      </c>
      <c r="D2094" s="16" t="str">
        <f>VLOOKUP(C2094,[1]master_data!$A$2:$E$495,2,FALSE)</f>
        <v>CACING KERING</v>
      </c>
      <c r="E2094" s="16">
        <v>20</v>
      </c>
      <c r="F2094" s="16">
        <f>VLOOKUP(C2094,[1]master_data!$A$2:$E$495,3,FALSE)</f>
        <v>5000</v>
      </c>
      <c r="G2094" s="16">
        <f>VLOOKUP(C2094,[1]master_data!$A$2:$E$495,4,FALSE)</f>
        <v>8000</v>
      </c>
      <c r="H2094" s="16">
        <f>E2094*F2094</f>
        <v>100000</v>
      </c>
      <c r="I2094" s="16">
        <f>E2094*G2094</f>
        <v>160000</v>
      </c>
      <c r="J2094" s="16">
        <f>I2094-H2094</f>
        <v>60000</v>
      </c>
      <c r="K2094" s="16" t="str">
        <f>VLOOKUP(C2094,[1]master_data!$A$2:$E$495,5,FALSE)</f>
        <v>Aksesoris</v>
      </c>
      <c r="L2094" s="1"/>
    </row>
    <row r="2095" spans="1:12" ht="12" customHeight="1" x14ac:dyDescent="0.25">
      <c r="A2095" s="15">
        <v>44993</v>
      </c>
      <c r="B2095" s="16">
        <v>22300411</v>
      </c>
      <c r="C2095" s="16" t="s">
        <v>253</v>
      </c>
      <c r="D2095" s="16" t="str">
        <f>VLOOKUP(C2095,[1]master_data!$A$2:$E$495,2,FALSE)</f>
        <v>ACRIPLAVIN</v>
      </c>
      <c r="E2095" s="16">
        <v>17</v>
      </c>
      <c r="F2095" s="16">
        <f>VLOOKUP(C2095,[1]master_data!$A$2:$E$495,3,FALSE)</f>
        <v>3000</v>
      </c>
      <c r="G2095" s="16">
        <f>VLOOKUP(C2095,[1]master_data!$A$2:$E$495,4,FALSE)</f>
        <v>8000</v>
      </c>
      <c r="H2095" s="16">
        <f>E2095*F2095</f>
        <v>51000</v>
      </c>
      <c r="I2095" s="16">
        <f>E2095*G2095</f>
        <v>136000</v>
      </c>
      <c r="J2095" s="16">
        <f>I2095-H2095</f>
        <v>85000</v>
      </c>
      <c r="K2095" s="16" t="str">
        <f>VLOOKUP(C2095,[1]master_data!$A$2:$E$495,5,FALSE)</f>
        <v>Aksesoris</v>
      </c>
      <c r="L2095" s="1"/>
    </row>
    <row r="2096" spans="1:12" ht="12" customHeight="1" x14ac:dyDescent="0.25">
      <c r="A2096" s="15">
        <v>44992</v>
      </c>
      <c r="B2096" s="16">
        <v>22300400</v>
      </c>
      <c r="C2096" s="16" t="s">
        <v>455</v>
      </c>
      <c r="D2096" s="16" t="str">
        <f>VLOOKUP(C2096,[1]master_data!$A$2:$E$495,2,FALSE)</f>
        <v>ZEBRA PINK</v>
      </c>
      <c r="E2096" s="16">
        <v>50</v>
      </c>
      <c r="F2096" s="16">
        <f>VLOOKUP(C2096,[1]master_data!$A$2:$E$495,3,FALSE)</f>
        <v>800</v>
      </c>
      <c r="G2096" s="16">
        <f>VLOOKUP(C2096,[1]master_data!$A$2:$E$495,4,FALSE)</f>
        <v>2000</v>
      </c>
      <c r="H2096" s="16">
        <f>E2096*F2096</f>
        <v>40000</v>
      </c>
      <c r="I2096" s="16">
        <f>E2096*G2096</f>
        <v>100000</v>
      </c>
      <c r="J2096" s="16">
        <f>I2096-H2096</f>
        <v>60000</v>
      </c>
      <c r="K2096" s="16" t="str">
        <f>VLOOKUP(C2096,[1]master_data!$A$2:$E$495,5,FALSE)</f>
        <v>Ikan</v>
      </c>
      <c r="L2096" s="1"/>
    </row>
    <row r="2097" spans="1:12" ht="12" customHeight="1" x14ac:dyDescent="0.25">
      <c r="A2097" s="15">
        <v>44992</v>
      </c>
      <c r="B2097" s="16">
        <v>22300401</v>
      </c>
      <c r="C2097" s="16" t="s">
        <v>48</v>
      </c>
      <c r="D2097" s="16" t="str">
        <f>VLOOKUP(C2097,[1]master_data!$A$2:$E$495,2,FALSE)</f>
        <v>TOP FILTER NIKITA B</v>
      </c>
      <c r="E2097" s="16">
        <v>5</v>
      </c>
      <c r="F2097" s="16">
        <f>VLOOKUP(C2097,[1]master_data!$A$2:$E$495,3,FALSE)</f>
        <v>45000</v>
      </c>
      <c r="G2097" s="16">
        <f>VLOOKUP(C2097,[1]master_data!$A$2:$E$495,4,FALSE)</f>
        <v>70000</v>
      </c>
      <c r="H2097" s="16">
        <f>E2097*F2097</f>
        <v>225000</v>
      </c>
      <c r="I2097" s="16">
        <f>E2097*G2097</f>
        <v>350000</v>
      </c>
      <c r="J2097" s="16">
        <f>I2097-H2097</f>
        <v>125000</v>
      </c>
      <c r="K2097" s="16" t="str">
        <f>VLOOKUP(C2097,[1]master_data!$A$2:$E$495,5,FALSE)</f>
        <v>Aksesoris</v>
      </c>
      <c r="L2097" s="1"/>
    </row>
    <row r="2098" spans="1:12" ht="12" customHeight="1" x14ac:dyDescent="0.25">
      <c r="A2098" s="15">
        <v>44992</v>
      </c>
      <c r="B2098" s="16">
        <v>22300402</v>
      </c>
      <c r="C2098" s="16" t="s">
        <v>407</v>
      </c>
      <c r="D2098" s="16" t="str">
        <f>VLOOKUP(C2098,[1]master_data!$A$2:$E$495,2,FALSE)</f>
        <v>GOLD FISH</v>
      </c>
      <c r="E2098" s="16">
        <v>20</v>
      </c>
      <c r="F2098" s="16">
        <f>VLOOKUP(C2098,[1]master_data!$A$2:$E$495,3,FALSE)</f>
        <v>800</v>
      </c>
      <c r="G2098" s="16">
        <f>VLOOKUP(C2098,[1]master_data!$A$2:$E$495,4,FALSE)</f>
        <v>2000</v>
      </c>
      <c r="H2098" s="16">
        <f>E2098*F2098</f>
        <v>16000</v>
      </c>
      <c r="I2098" s="16">
        <f>E2098*G2098</f>
        <v>40000</v>
      </c>
      <c r="J2098" s="16">
        <f>I2098-H2098</f>
        <v>24000</v>
      </c>
      <c r="K2098" s="16" t="str">
        <f>VLOOKUP(C2098,[1]master_data!$A$2:$E$495,5,FALSE)</f>
        <v>Ikan</v>
      </c>
      <c r="L2098" s="1"/>
    </row>
    <row r="2099" spans="1:12" ht="12" customHeight="1" x14ac:dyDescent="0.25">
      <c r="A2099" s="15">
        <v>44992</v>
      </c>
      <c r="B2099" s="16">
        <v>22300403</v>
      </c>
      <c r="C2099" s="16" t="s">
        <v>404</v>
      </c>
      <c r="D2099" s="16" t="str">
        <f>VLOOKUP(C2099,[1]master_data!$A$2:$E$495,2,FALSE)</f>
        <v>BARBIR</v>
      </c>
      <c r="E2099" s="16">
        <v>25</v>
      </c>
      <c r="F2099" s="16">
        <f>VLOOKUP(C2099,[1]master_data!$A$2:$E$495,3,FALSE)</f>
        <v>800</v>
      </c>
      <c r="G2099" s="16">
        <f>VLOOKUP(C2099,[1]master_data!$A$2:$E$495,4,FALSE)</f>
        <v>2000</v>
      </c>
      <c r="H2099" s="16">
        <f>E2099*F2099</f>
        <v>20000</v>
      </c>
      <c r="I2099" s="16">
        <f>E2099*G2099</f>
        <v>50000</v>
      </c>
      <c r="J2099" s="16">
        <f>I2099-H2099</f>
        <v>30000</v>
      </c>
      <c r="K2099" s="16" t="str">
        <f>VLOOKUP(C2099,[1]master_data!$A$2:$E$495,5,FALSE)</f>
        <v>Ikan</v>
      </c>
      <c r="L2099" s="1"/>
    </row>
    <row r="2100" spans="1:12" ht="12" customHeight="1" x14ac:dyDescent="0.25">
      <c r="A2100" s="15">
        <v>44992</v>
      </c>
      <c r="B2100" s="16">
        <v>22300404</v>
      </c>
      <c r="C2100" s="16" t="s">
        <v>412</v>
      </c>
      <c r="D2100" s="16" t="str">
        <f>VLOOKUP(C2100,[1]master_data!$A$2:$E$495,2,FALSE)</f>
        <v>KOKI T</v>
      </c>
      <c r="E2100" s="16">
        <v>10</v>
      </c>
      <c r="F2100" s="16">
        <f>VLOOKUP(C2100,[1]master_data!$A$2:$E$495,3,FALSE)</f>
        <v>8000</v>
      </c>
      <c r="G2100" s="16">
        <f>VLOOKUP(C2100,[1]master_data!$A$2:$E$495,4,FALSE)</f>
        <v>15000</v>
      </c>
      <c r="H2100" s="16">
        <f>E2100*F2100</f>
        <v>80000</v>
      </c>
      <c r="I2100" s="16">
        <f>E2100*G2100</f>
        <v>150000</v>
      </c>
      <c r="J2100" s="16">
        <f>I2100-H2100</f>
        <v>70000</v>
      </c>
      <c r="K2100" s="16" t="str">
        <f>VLOOKUP(C2100,[1]master_data!$A$2:$E$495,5,FALSE)</f>
        <v>Ikan</v>
      </c>
      <c r="L2100" s="1"/>
    </row>
    <row r="2101" spans="1:12" ht="12" customHeight="1" x14ac:dyDescent="0.25">
      <c r="A2101" s="15">
        <v>44992</v>
      </c>
      <c r="B2101" s="16">
        <v>22300405</v>
      </c>
      <c r="C2101" s="16" t="s">
        <v>246</v>
      </c>
      <c r="D2101" s="16" t="str">
        <f>VLOOKUP(C2101,[1]master_data!$A$2:$E$495,2,FALSE)</f>
        <v>AIRSTONE 40</v>
      </c>
      <c r="E2101" s="16">
        <v>1</v>
      </c>
      <c r="F2101" s="16">
        <f>VLOOKUP(C2101,[1]master_data!$A$2:$E$495,3,FALSE)</f>
        <v>6000</v>
      </c>
      <c r="G2101" s="16">
        <f>VLOOKUP(C2101,[1]master_data!$A$2:$E$495,4,FALSE)</f>
        <v>12000</v>
      </c>
      <c r="H2101" s="16">
        <f>E2101*F2101</f>
        <v>6000</v>
      </c>
      <c r="I2101" s="16">
        <f>E2101*G2101</f>
        <v>12000</v>
      </c>
      <c r="J2101" s="16">
        <f>I2101-H2101</f>
        <v>6000</v>
      </c>
      <c r="K2101" s="16" t="str">
        <f>VLOOKUP(C2101,[1]master_data!$A$2:$E$495,5,FALSE)</f>
        <v>Aksesoris</v>
      </c>
      <c r="L2101" s="1"/>
    </row>
    <row r="2102" spans="1:12" ht="12" customHeight="1" x14ac:dyDescent="0.25">
      <c r="A2102" s="15">
        <v>44992</v>
      </c>
      <c r="B2102" s="16">
        <v>22300406</v>
      </c>
      <c r="C2102" s="16" t="s">
        <v>74</v>
      </c>
      <c r="D2102" s="16" t="str">
        <f>VLOOKUP(C2102,[1]master_data!$A$2:$E$495,2,FALSE)</f>
        <v>MESIN HAILONG 1600</v>
      </c>
      <c r="E2102" s="16">
        <v>1</v>
      </c>
      <c r="F2102" s="16">
        <f>VLOOKUP(C2102,[1]master_data!$A$2:$E$495,3,FALSE)</f>
        <v>58000</v>
      </c>
      <c r="G2102" s="16">
        <f>VLOOKUP(C2102,[1]master_data!$A$2:$E$495,4,FALSE)</f>
        <v>100000</v>
      </c>
      <c r="H2102" s="16">
        <f>E2102*F2102</f>
        <v>58000</v>
      </c>
      <c r="I2102" s="16">
        <f>E2102*G2102</f>
        <v>100000</v>
      </c>
      <c r="J2102" s="16">
        <f>I2102-H2102</f>
        <v>42000</v>
      </c>
      <c r="K2102" s="16" t="str">
        <f>VLOOKUP(C2102,[1]master_data!$A$2:$E$495,5,FALSE)</f>
        <v>Aksesoris</v>
      </c>
      <c r="L2102" s="1"/>
    </row>
    <row r="2103" spans="1:12" ht="12" customHeight="1" x14ac:dyDescent="0.25">
      <c r="A2103" s="15">
        <v>44992</v>
      </c>
      <c r="B2103" s="16">
        <v>22300407</v>
      </c>
      <c r="C2103" s="16" t="s">
        <v>71</v>
      </c>
      <c r="D2103" s="16" t="str">
        <f>VLOOKUP(C2103,[1]master_data!$A$2:$E$495,2,FALSE)</f>
        <v>BOX KOSONG K</v>
      </c>
      <c r="E2103" s="16">
        <v>1</v>
      </c>
      <c r="F2103" s="16">
        <f>VLOOKUP(C2103,[1]master_data!$A$2:$E$495,3,FALSE)</f>
        <v>10000</v>
      </c>
      <c r="G2103" s="16">
        <f>VLOOKUP(C2103,[1]master_data!$A$2:$E$495,4,FALSE)</f>
        <v>20000</v>
      </c>
      <c r="H2103" s="16">
        <f>E2103*F2103</f>
        <v>10000</v>
      </c>
      <c r="I2103" s="16">
        <f>E2103*G2103</f>
        <v>20000</v>
      </c>
      <c r="J2103" s="16">
        <f>I2103-H2103</f>
        <v>10000</v>
      </c>
      <c r="K2103" s="16" t="str">
        <f>VLOOKUP(C2103,[1]master_data!$A$2:$E$495,5,FALSE)</f>
        <v>Aksesoris</v>
      </c>
      <c r="L2103" s="1"/>
    </row>
    <row r="2104" spans="1:12" ht="12" customHeight="1" x14ac:dyDescent="0.25">
      <c r="A2104" s="15">
        <v>44992</v>
      </c>
      <c r="B2104" s="16">
        <v>22300408</v>
      </c>
      <c r="C2104" s="16" t="s">
        <v>399</v>
      </c>
      <c r="D2104" s="16" t="str">
        <f>VLOOKUP(C2104,[1]master_data!$A$2:$E$495,2,FALSE)</f>
        <v>BALA BALA B</v>
      </c>
      <c r="E2104" s="16">
        <v>1</v>
      </c>
      <c r="F2104" s="16">
        <f>VLOOKUP(C2104,[1]master_data!$A$2:$E$495,3,FALSE)</f>
        <v>7000</v>
      </c>
      <c r="G2104" s="16">
        <f>VLOOKUP(C2104,[1]master_data!$A$2:$E$495,4,FALSE)</f>
        <v>15000</v>
      </c>
      <c r="H2104" s="16">
        <f>E2104*F2104</f>
        <v>7000</v>
      </c>
      <c r="I2104" s="16">
        <f>E2104*G2104</f>
        <v>15000</v>
      </c>
      <c r="J2104" s="16">
        <f>I2104-H2104</f>
        <v>8000</v>
      </c>
      <c r="K2104" s="16" t="str">
        <f>VLOOKUP(C2104,[1]master_data!$A$2:$E$495,5,FALSE)</f>
        <v>Ikan</v>
      </c>
      <c r="L2104" s="1"/>
    </row>
    <row r="2105" spans="1:12" ht="12" customHeight="1" x14ac:dyDescent="0.25">
      <c r="A2105" s="15">
        <v>44991</v>
      </c>
      <c r="B2105" s="16">
        <v>22300399</v>
      </c>
      <c r="C2105" s="16" t="s">
        <v>443</v>
      </c>
      <c r="D2105" s="16" t="str">
        <f>VLOOKUP(C2105,[1]master_data!$A$2:$E$495,2,FALSE)</f>
        <v>PESO</v>
      </c>
      <c r="E2105" s="16">
        <v>10</v>
      </c>
      <c r="F2105" s="16">
        <f>VLOOKUP(C2105,[1]master_data!$A$2:$E$495,3,FALSE)</f>
        <v>19000</v>
      </c>
      <c r="G2105" s="16">
        <f>VLOOKUP(C2105,[1]master_data!$A$2:$E$495,4,FALSE)</f>
        <v>40000</v>
      </c>
      <c r="H2105" s="16">
        <f>E2105*F2105</f>
        <v>190000</v>
      </c>
      <c r="I2105" s="16">
        <f>E2105*G2105</f>
        <v>400000</v>
      </c>
      <c r="J2105" s="16">
        <f>I2105-H2105</f>
        <v>210000</v>
      </c>
      <c r="K2105" s="16" t="str">
        <f>VLOOKUP(C2105,[1]master_data!$A$2:$E$495,5,FALSE)</f>
        <v>Ikan</v>
      </c>
      <c r="L2105" s="1"/>
    </row>
    <row r="2106" spans="1:12" ht="12" customHeight="1" x14ac:dyDescent="0.25">
      <c r="A2106" s="15">
        <v>44990</v>
      </c>
      <c r="B2106" s="16">
        <v>22300395</v>
      </c>
      <c r="C2106" s="16" t="s">
        <v>437</v>
      </c>
      <c r="D2106" s="16" t="str">
        <f>VLOOKUP(C2106,[1]master_data!$A$2:$E$495,2,FALSE)</f>
        <v>NEON</v>
      </c>
      <c r="E2106" s="16">
        <v>20</v>
      </c>
      <c r="F2106" s="16">
        <f>VLOOKUP(C2106,[1]master_data!$A$2:$E$495,3,FALSE)</f>
        <v>1250</v>
      </c>
      <c r="G2106" s="16">
        <f>VLOOKUP(C2106,[1]master_data!$A$2:$E$495,4,FALSE)</f>
        <v>5000</v>
      </c>
      <c r="H2106" s="16">
        <f>E2106*F2106</f>
        <v>25000</v>
      </c>
      <c r="I2106" s="16">
        <f>E2106*G2106</f>
        <v>100000</v>
      </c>
      <c r="J2106" s="16">
        <f>I2106-H2106</f>
        <v>75000</v>
      </c>
      <c r="K2106" s="16" t="str">
        <f>VLOOKUP(C2106,[1]master_data!$A$2:$E$495,5,FALSE)</f>
        <v>Ikan</v>
      </c>
      <c r="L2106" s="1"/>
    </row>
    <row r="2107" spans="1:12" ht="12" customHeight="1" x14ac:dyDescent="0.25">
      <c r="A2107" s="15">
        <v>44990</v>
      </c>
      <c r="B2107" s="16">
        <v>22300396</v>
      </c>
      <c r="C2107" s="16" t="s">
        <v>446</v>
      </c>
      <c r="D2107" s="16" t="str">
        <f>VLOOKUP(C2107,[1]master_data!$A$2:$E$495,2,FALSE)</f>
        <v xml:space="preserve"> CHANNA RED BARITO K</v>
      </c>
      <c r="E2107" s="16">
        <v>4</v>
      </c>
      <c r="F2107" s="16">
        <f>VLOOKUP(C2107,[1]master_data!$A$2:$E$495,3,FALSE)</f>
        <v>45000</v>
      </c>
      <c r="G2107" s="16">
        <f>VLOOKUP(C2107,[1]master_data!$A$2:$E$495,4,FALSE)</f>
        <v>100000</v>
      </c>
      <c r="H2107" s="16">
        <f>E2107*F2107</f>
        <v>180000</v>
      </c>
      <c r="I2107" s="16">
        <f>E2107*G2107</f>
        <v>400000</v>
      </c>
      <c r="J2107" s="16">
        <f>I2107-H2107</f>
        <v>220000</v>
      </c>
      <c r="K2107" s="16" t="str">
        <f>VLOOKUP(C2107,[1]master_data!$A$2:$E$495,5,FALSE)</f>
        <v>Ikan</v>
      </c>
      <c r="L2107" s="1"/>
    </row>
    <row r="2108" spans="1:12" ht="12" customHeight="1" x14ac:dyDescent="0.25">
      <c r="A2108" s="15">
        <v>44990</v>
      </c>
      <c r="B2108" s="16">
        <v>22300397</v>
      </c>
      <c r="C2108" s="16" t="s">
        <v>408</v>
      </c>
      <c r="D2108" s="16" t="str">
        <f>VLOOKUP(C2108,[1]master_data!$A$2:$E$495,2,FALSE)</f>
        <v>GUPY</v>
      </c>
      <c r="E2108" s="16">
        <v>15</v>
      </c>
      <c r="F2108" s="16">
        <f>VLOOKUP(C2108,[1]master_data!$A$2:$E$495,3,FALSE)</f>
        <v>1200</v>
      </c>
      <c r="G2108" s="16">
        <f>VLOOKUP(C2108,[1]master_data!$A$2:$E$495,4,FALSE)</f>
        <v>2500</v>
      </c>
      <c r="H2108" s="16">
        <f>E2108*F2108</f>
        <v>18000</v>
      </c>
      <c r="I2108" s="16">
        <f>E2108*G2108</f>
        <v>37500</v>
      </c>
      <c r="J2108" s="16">
        <f>I2108-H2108</f>
        <v>19500</v>
      </c>
      <c r="K2108" s="16" t="str">
        <f>VLOOKUP(C2108,[1]master_data!$A$2:$E$495,5,FALSE)</f>
        <v>Ikan</v>
      </c>
      <c r="L2108" s="1"/>
    </row>
    <row r="2109" spans="1:12" ht="12" customHeight="1" x14ac:dyDescent="0.25">
      <c r="A2109" s="15">
        <v>44990</v>
      </c>
      <c r="B2109" s="16">
        <v>22300398</v>
      </c>
      <c r="C2109" s="16" t="s">
        <v>443</v>
      </c>
      <c r="D2109" s="16" t="str">
        <f>VLOOKUP(C2109,[1]master_data!$A$2:$E$495,2,FALSE)</f>
        <v>PESO</v>
      </c>
      <c r="E2109" s="16">
        <v>1</v>
      </c>
      <c r="F2109" s="16">
        <f>VLOOKUP(C2109,[1]master_data!$A$2:$E$495,3,FALSE)</f>
        <v>19000</v>
      </c>
      <c r="G2109" s="16">
        <f>VLOOKUP(C2109,[1]master_data!$A$2:$E$495,4,FALSE)</f>
        <v>40000</v>
      </c>
      <c r="H2109" s="16">
        <f>E2109*F2109</f>
        <v>19000</v>
      </c>
      <c r="I2109" s="16">
        <f>E2109*G2109</f>
        <v>40000</v>
      </c>
      <c r="J2109" s="16">
        <f>I2109-H2109</f>
        <v>21000</v>
      </c>
      <c r="K2109" s="16" t="str">
        <f>VLOOKUP(C2109,[1]master_data!$A$2:$E$495,5,FALSE)</f>
        <v>Ikan</v>
      </c>
      <c r="L2109" s="1"/>
    </row>
    <row r="2110" spans="1:12" ht="12" customHeight="1" x14ac:dyDescent="0.25">
      <c r="A2110" s="15">
        <v>44989</v>
      </c>
      <c r="B2110" s="16">
        <v>22300383</v>
      </c>
      <c r="C2110" s="16" t="s">
        <v>141</v>
      </c>
      <c r="D2110" s="16" t="str">
        <f>VLOOKUP(C2110,[1]master_data!$A$2:$E$495,2,FALSE)</f>
        <v>LED YANG HW 30 CM</v>
      </c>
      <c r="E2110" s="16">
        <v>1</v>
      </c>
      <c r="F2110" s="16">
        <f>VLOOKUP(C2110,[1]master_data!$A$2:$E$495,3,FALSE)</f>
        <v>56000</v>
      </c>
      <c r="G2110" s="16">
        <f>VLOOKUP(C2110,[1]master_data!$A$2:$E$495,4,FALSE)</f>
        <v>75000</v>
      </c>
      <c r="H2110" s="16">
        <f>E2110*F2110</f>
        <v>56000</v>
      </c>
      <c r="I2110" s="16">
        <f>E2110*G2110</f>
        <v>75000</v>
      </c>
      <c r="J2110" s="16">
        <f>I2110-H2110</f>
        <v>19000</v>
      </c>
      <c r="K2110" s="16" t="str">
        <f>VLOOKUP(C2110,[1]master_data!$A$2:$E$495,5,FALSE)</f>
        <v>Aksesoris</v>
      </c>
      <c r="L2110" s="1"/>
    </row>
    <row r="2111" spans="1:12" ht="12" customHeight="1" x14ac:dyDescent="0.25">
      <c r="A2111" s="15">
        <v>44989</v>
      </c>
      <c r="B2111" s="16">
        <v>22300384</v>
      </c>
      <c r="C2111" s="16" t="s">
        <v>156</v>
      </c>
      <c r="D2111" s="16" t="str">
        <f>VLOOKUP(C2111,[1]master_data!$A$2:$E$495,2,FALSE)</f>
        <v>LED ROSTON 3 MODE 50 CM</v>
      </c>
      <c r="E2111" s="16">
        <v>1</v>
      </c>
      <c r="F2111" s="16">
        <f>VLOOKUP(C2111,[1]master_data!$A$2:$E$495,3,FALSE)</f>
        <v>30000</v>
      </c>
      <c r="G2111" s="16">
        <f>VLOOKUP(C2111,[1]master_data!$A$2:$E$495,4,FALSE)</f>
        <v>60000</v>
      </c>
      <c r="H2111" s="16">
        <f>E2111*F2111</f>
        <v>30000</v>
      </c>
      <c r="I2111" s="16">
        <f>E2111*G2111</f>
        <v>60000</v>
      </c>
      <c r="J2111" s="16">
        <f>I2111-H2111</f>
        <v>30000</v>
      </c>
      <c r="K2111" s="16" t="str">
        <f>VLOOKUP(C2111,[1]master_data!$A$2:$E$495,5,FALSE)</f>
        <v>Aksesoris</v>
      </c>
      <c r="L2111" s="1"/>
    </row>
    <row r="2112" spans="1:12" ht="12" customHeight="1" x14ac:dyDescent="0.25">
      <c r="A2112" s="15">
        <v>44989</v>
      </c>
      <c r="B2112" s="16">
        <v>22300385</v>
      </c>
      <c r="C2112" s="16" t="s">
        <v>202</v>
      </c>
      <c r="D2112" s="16" t="str">
        <f>VLOOKUP(C2112,[1]master_data!$A$2:$E$495,2,FALSE)</f>
        <v>AGARU</v>
      </c>
      <c r="E2112" s="16">
        <v>1</v>
      </c>
      <c r="F2112" s="16">
        <f>VLOOKUP(C2112,[1]master_data!$A$2:$E$495,3,FALSE)</f>
        <v>6800</v>
      </c>
      <c r="G2112" s="16">
        <f>VLOOKUP(C2112,[1]master_data!$A$2:$E$495,4,FALSE)</f>
        <v>10000</v>
      </c>
      <c r="H2112" s="16">
        <f>E2112*F2112</f>
        <v>6800</v>
      </c>
      <c r="I2112" s="16">
        <f>E2112*G2112</f>
        <v>10000</v>
      </c>
      <c r="J2112" s="16">
        <f>I2112-H2112</f>
        <v>3200</v>
      </c>
      <c r="K2112" s="16" t="str">
        <f>VLOOKUP(C2112,[1]master_data!$A$2:$E$495,5,FALSE)</f>
        <v>Aksesoris</v>
      </c>
      <c r="L2112" s="1"/>
    </row>
    <row r="2113" spans="1:12" ht="12" customHeight="1" x14ac:dyDescent="0.25">
      <c r="A2113" s="15">
        <v>44989</v>
      </c>
      <c r="B2113" s="16">
        <v>22300386</v>
      </c>
      <c r="C2113" s="16" t="s">
        <v>273</v>
      </c>
      <c r="D2113" s="16" t="str">
        <f>VLOOKUP(C2113,[1]master_data!$A$2:$E$495,2,FALSE)</f>
        <v>JARING 12</v>
      </c>
      <c r="E2113" s="16">
        <v>1</v>
      </c>
      <c r="F2113" s="16">
        <f>VLOOKUP(C2113,[1]master_data!$A$2:$E$495,3,FALSE)</f>
        <v>4000</v>
      </c>
      <c r="G2113" s="16">
        <f>VLOOKUP(C2113,[1]master_data!$A$2:$E$495,4,FALSE)</f>
        <v>7000</v>
      </c>
      <c r="H2113" s="16">
        <f>E2113*F2113</f>
        <v>4000</v>
      </c>
      <c r="I2113" s="16">
        <f>E2113*G2113</f>
        <v>7000</v>
      </c>
      <c r="J2113" s="16">
        <f>I2113-H2113</f>
        <v>3000</v>
      </c>
      <c r="K2113" s="16" t="str">
        <f>VLOOKUP(C2113,[1]master_data!$A$2:$E$495,5,FALSE)</f>
        <v>Aksesoris</v>
      </c>
      <c r="L2113" s="1"/>
    </row>
    <row r="2114" spans="1:12" ht="12" customHeight="1" x14ac:dyDescent="0.25">
      <c r="A2114" s="15">
        <v>44989</v>
      </c>
      <c r="B2114" s="16">
        <v>22300387</v>
      </c>
      <c r="C2114" s="16" t="s">
        <v>292</v>
      </c>
      <c r="D2114" s="16" t="str">
        <f>VLOOKUP(C2114,[1]master_data!$A$2:$E$495,2,FALSE)</f>
        <v>MAINAN KERANG</v>
      </c>
      <c r="E2114" s="16">
        <v>1</v>
      </c>
      <c r="F2114" s="16">
        <f>VLOOKUP(C2114,[1]master_data!$A$2:$E$495,3,FALSE)</f>
        <v>15000</v>
      </c>
      <c r="G2114" s="16">
        <f>VLOOKUP(C2114,[1]master_data!$A$2:$E$495,4,FALSE)</f>
        <v>25000</v>
      </c>
      <c r="H2114" s="16">
        <f>E2114*F2114</f>
        <v>15000</v>
      </c>
      <c r="I2114" s="16">
        <f>E2114*G2114</f>
        <v>25000</v>
      </c>
      <c r="J2114" s="16">
        <f>I2114-H2114</f>
        <v>10000</v>
      </c>
      <c r="K2114" s="16" t="str">
        <f>VLOOKUP(C2114,[1]master_data!$A$2:$E$495,5,FALSE)</f>
        <v>Aksesoris</v>
      </c>
      <c r="L2114" s="1"/>
    </row>
    <row r="2115" spans="1:12" ht="12" customHeight="1" x14ac:dyDescent="0.25">
      <c r="A2115" s="15">
        <v>44989</v>
      </c>
      <c r="B2115" s="16">
        <v>22300388</v>
      </c>
      <c r="C2115" s="16" t="s">
        <v>114</v>
      </c>
      <c r="D2115" s="16" t="str">
        <f>VLOOKUP(C2115,[1]master_data!$A$2:$E$495,2,FALSE)</f>
        <v>AIRATOR KANDILA LUB 2</v>
      </c>
      <c r="E2115" s="16">
        <v>1</v>
      </c>
      <c r="F2115" s="16">
        <f>VLOOKUP(C2115,[1]master_data!$A$2:$E$495,3,FALSE)</f>
        <v>26000</v>
      </c>
      <c r="G2115" s="16">
        <f>VLOOKUP(C2115,[1]master_data!$A$2:$E$495,4,FALSE)</f>
        <v>50000</v>
      </c>
      <c r="H2115" s="16">
        <f>E2115*F2115</f>
        <v>26000</v>
      </c>
      <c r="I2115" s="16">
        <f>E2115*G2115</f>
        <v>50000</v>
      </c>
      <c r="J2115" s="16">
        <f>I2115-H2115</f>
        <v>24000</v>
      </c>
      <c r="K2115" s="16" t="str">
        <f>VLOOKUP(C2115,[1]master_data!$A$2:$E$495,5,FALSE)</f>
        <v>Aksesoris</v>
      </c>
      <c r="L2115" s="1"/>
    </row>
    <row r="2116" spans="1:12" ht="12" customHeight="1" x14ac:dyDescent="0.25">
      <c r="A2116" s="15">
        <v>44989</v>
      </c>
      <c r="B2116" s="16">
        <v>22300389</v>
      </c>
      <c r="C2116" s="16" t="s">
        <v>224</v>
      </c>
      <c r="D2116" s="16" t="str">
        <f>VLOOKUP(C2116,[1]master_data!$A$2:$E$495,2,FALSE)</f>
        <v>HOKKY KOI WHITE</v>
      </c>
      <c r="E2116" s="16">
        <v>1</v>
      </c>
      <c r="F2116" s="16">
        <f>VLOOKUP(C2116,[1]master_data!$A$2:$E$495,3,FALSE)</f>
        <v>48000</v>
      </c>
      <c r="G2116" s="16">
        <f>VLOOKUP(C2116,[1]master_data!$A$2:$E$495,4,FALSE)</f>
        <v>60000</v>
      </c>
      <c r="H2116" s="16">
        <f>E2116*F2116</f>
        <v>48000</v>
      </c>
      <c r="I2116" s="16">
        <f>E2116*G2116</f>
        <v>60000</v>
      </c>
      <c r="J2116" s="16">
        <f>I2116-H2116</f>
        <v>12000</v>
      </c>
      <c r="K2116" s="16" t="str">
        <f>VLOOKUP(C2116,[1]master_data!$A$2:$E$495,5,FALSE)</f>
        <v>Aksesoris</v>
      </c>
      <c r="L2116" s="1"/>
    </row>
    <row r="2117" spans="1:12" ht="12" customHeight="1" x14ac:dyDescent="0.25">
      <c r="A2117" s="15">
        <v>44989</v>
      </c>
      <c r="B2117" s="16">
        <v>22300390</v>
      </c>
      <c r="C2117" s="16" t="s">
        <v>277</v>
      </c>
      <c r="D2117" s="16" t="str">
        <f>VLOOKUP(C2117,[1]master_data!$A$2:$E$495,2,FALSE)</f>
        <v>HEATER STENLEES 50 W</v>
      </c>
      <c r="E2117" s="16">
        <v>1</v>
      </c>
      <c r="F2117" s="16">
        <f>VLOOKUP(C2117,[1]master_data!$A$2:$E$495,3,FALSE)</f>
        <v>63000</v>
      </c>
      <c r="G2117" s="16">
        <f>VLOOKUP(C2117,[1]master_data!$A$2:$E$495,4,FALSE)</f>
        <v>85000</v>
      </c>
      <c r="H2117" s="16">
        <f>E2117*F2117</f>
        <v>63000</v>
      </c>
      <c r="I2117" s="16">
        <f>E2117*G2117</f>
        <v>85000</v>
      </c>
      <c r="J2117" s="16">
        <f>I2117-H2117</f>
        <v>22000</v>
      </c>
      <c r="K2117" s="16" t="str">
        <f>VLOOKUP(C2117,[1]master_data!$A$2:$E$495,5,FALSE)</f>
        <v>Aksesoris</v>
      </c>
      <c r="L2117" s="1"/>
    </row>
    <row r="2118" spans="1:12" ht="12" customHeight="1" x14ac:dyDescent="0.25">
      <c r="A2118" s="15">
        <v>44989</v>
      </c>
      <c r="B2118" s="16">
        <v>22300391</v>
      </c>
      <c r="C2118" s="16" t="s">
        <v>379</v>
      </c>
      <c r="D2118" s="16" t="str">
        <f>VLOOKUP(C2118,[1]master_data!$A$2:$E$495,2,FALSE)</f>
        <v>BATU WARNA BIASA</v>
      </c>
      <c r="E2118" s="16">
        <v>1</v>
      </c>
      <c r="F2118" s="16">
        <f>VLOOKUP(C2118,[1]master_data!$A$2:$E$495,3,FALSE)</f>
        <v>3500</v>
      </c>
      <c r="G2118" s="16">
        <f>VLOOKUP(C2118,[1]master_data!$A$2:$E$495,4,FALSE)</f>
        <v>8000</v>
      </c>
      <c r="H2118" s="16">
        <f>E2118*F2118</f>
        <v>3500</v>
      </c>
      <c r="I2118" s="16">
        <f>E2118*G2118</f>
        <v>8000</v>
      </c>
      <c r="J2118" s="16">
        <f>I2118-H2118</f>
        <v>4500</v>
      </c>
      <c r="K2118" s="16" t="str">
        <f>VLOOKUP(C2118,[1]master_data!$A$2:$E$495,5,FALSE)</f>
        <v>Aksesoris</v>
      </c>
      <c r="L2118" s="1"/>
    </row>
    <row r="2119" spans="1:12" ht="12" customHeight="1" x14ac:dyDescent="0.25">
      <c r="A2119" s="15">
        <v>44989</v>
      </c>
      <c r="B2119" s="16">
        <v>22300392</v>
      </c>
      <c r="C2119" s="16" t="s">
        <v>405</v>
      </c>
      <c r="D2119" s="16" t="str">
        <f>VLOOKUP(C2119,[1]master_data!$A$2:$E$495,2,FALSE)</f>
        <v>CUPANG</v>
      </c>
      <c r="E2119" s="16">
        <v>1</v>
      </c>
      <c r="F2119" s="16">
        <f>VLOOKUP(C2119,[1]master_data!$A$2:$E$495,3,FALSE)</f>
        <v>2000</v>
      </c>
      <c r="G2119" s="16">
        <f>VLOOKUP(C2119,[1]master_data!$A$2:$E$495,4,FALSE)</f>
        <v>5000</v>
      </c>
      <c r="H2119" s="16">
        <f>E2119*F2119</f>
        <v>2000</v>
      </c>
      <c r="I2119" s="16">
        <f>E2119*G2119</f>
        <v>5000</v>
      </c>
      <c r="J2119" s="16">
        <f>I2119-H2119</f>
        <v>3000</v>
      </c>
      <c r="K2119" s="16" t="str">
        <f>VLOOKUP(C2119,[1]master_data!$A$2:$E$495,5,FALSE)</f>
        <v>Ikan</v>
      </c>
      <c r="L2119" s="1"/>
    </row>
    <row r="2120" spans="1:12" ht="12" customHeight="1" x14ac:dyDescent="0.25">
      <c r="A2120" s="15">
        <v>44989</v>
      </c>
      <c r="B2120" s="16">
        <v>22300393</v>
      </c>
      <c r="C2120" s="16" t="s">
        <v>210</v>
      </c>
      <c r="D2120" s="16" t="str">
        <f>VLOOKUP(C2120,[1]master_data!$A$2:$E$495,2,FALSE)</f>
        <v>CRISTAL PAKAN CUPANG</v>
      </c>
      <c r="E2120" s="16">
        <v>1</v>
      </c>
      <c r="F2120" s="16">
        <f>VLOOKUP(C2120,[1]master_data!$A$2:$E$495,3,FALSE)</f>
        <v>1500</v>
      </c>
      <c r="G2120" s="16">
        <f>VLOOKUP(C2120,[1]master_data!$A$2:$E$495,4,FALSE)</f>
        <v>3000</v>
      </c>
      <c r="H2120" s="16">
        <f>E2120*F2120</f>
        <v>1500</v>
      </c>
      <c r="I2120" s="16">
        <f>E2120*G2120</f>
        <v>3000</v>
      </c>
      <c r="J2120" s="16">
        <f>I2120-H2120</f>
        <v>1500</v>
      </c>
      <c r="K2120" s="16" t="str">
        <f>VLOOKUP(C2120,[1]master_data!$A$2:$E$495,5,FALSE)</f>
        <v>Aksesoris</v>
      </c>
      <c r="L2120" s="1"/>
    </row>
    <row r="2121" spans="1:12" ht="12" customHeight="1" x14ac:dyDescent="0.25">
      <c r="A2121" s="15">
        <v>44989</v>
      </c>
      <c r="B2121" s="16">
        <v>22300394</v>
      </c>
      <c r="C2121" s="16" t="s">
        <v>362</v>
      </c>
      <c r="D2121" s="16" t="str">
        <f>VLOOKUP(C2121,[1]master_data!$A$2:$E$495,2,FALSE)</f>
        <v>AKUARIUM 60 POLOS</v>
      </c>
      <c r="E2121" s="16">
        <v>1</v>
      </c>
      <c r="F2121" s="16">
        <f>VLOOKUP(C2121,[1]master_data!$A$2:$E$495,3,FALSE)</f>
        <v>120000</v>
      </c>
      <c r="G2121" s="16">
        <f>VLOOKUP(C2121,[1]master_data!$A$2:$E$495,4,FALSE)</f>
        <v>175000</v>
      </c>
      <c r="H2121" s="16">
        <f>E2121*F2121</f>
        <v>120000</v>
      </c>
      <c r="I2121" s="16">
        <f>E2121*G2121</f>
        <v>175000</v>
      </c>
      <c r="J2121" s="16">
        <f>I2121-H2121</f>
        <v>55000</v>
      </c>
      <c r="K2121" s="16" t="str">
        <f>VLOOKUP(C2121,[1]master_data!$A$2:$E$495,5,FALSE)</f>
        <v>Aksesoris</v>
      </c>
      <c r="L2121" s="1"/>
    </row>
    <row r="2122" spans="1:12" ht="12" customHeight="1" x14ac:dyDescent="0.25">
      <c r="A2122" s="15">
        <v>44988</v>
      </c>
      <c r="B2122" s="16">
        <v>22300380</v>
      </c>
      <c r="C2122" s="16" t="s">
        <v>126</v>
      </c>
      <c r="D2122" s="16" t="str">
        <f>VLOOKUP(C2122,[1]master_data!$A$2:$E$495,2,FALSE)</f>
        <v>LAMPU YAMANO UV 9W</v>
      </c>
      <c r="E2122" s="16">
        <v>2</v>
      </c>
      <c r="F2122" s="16">
        <f>VLOOKUP(C2122,[1]master_data!$A$2:$E$495,3,FALSE)</f>
        <v>66000</v>
      </c>
      <c r="G2122" s="16">
        <f>VLOOKUP(C2122,[1]master_data!$A$2:$E$495,4,FALSE)</f>
        <v>85000</v>
      </c>
      <c r="H2122" s="16">
        <f>E2122*F2122</f>
        <v>132000</v>
      </c>
      <c r="I2122" s="16">
        <f>E2122*G2122</f>
        <v>170000</v>
      </c>
      <c r="J2122" s="16">
        <f>I2122-H2122</f>
        <v>38000</v>
      </c>
      <c r="K2122" s="16" t="str">
        <f>VLOOKUP(C2122,[1]master_data!$A$2:$E$495,5,FALSE)</f>
        <v>Aksesoris</v>
      </c>
      <c r="L2122" s="1"/>
    </row>
    <row r="2123" spans="1:12" ht="12" customHeight="1" x14ac:dyDescent="0.25">
      <c r="A2123" s="15">
        <v>44988</v>
      </c>
      <c r="B2123" s="16">
        <v>22300381</v>
      </c>
      <c r="C2123" s="16" t="s">
        <v>386</v>
      </c>
      <c r="D2123" s="16" t="str">
        <f>VLOOKUP(C2123,[1]master_data!$A$2:$E$495,2,FALSE)</f>
        <v>OISTER</v>
      </c>
      <c r="E2123" s="16">
        <v>10</v>
      </c>
      <c r="F2123" s="16">
        <f>VLOOKUP(C2123,[1]master_data!$A$2:$E$495,3,FALSE)</f>
        <v>15000</v>
      </c>
      <c r="G2123" s="16">
        <f>VLOOKUP(C2123,[1]master_data!$A$2:$E$495,4,FALSE)</f>
        <v>25000</v>
      </c>
      <c r="H2123" s="16">
        <f>E2123*F2123</f>
        <v>150000</v>
      </c>
      <c r="I2123" s="16">
        <f>E2123*G2123</f>
        <v>250000</v>
      </c>
      <c r="J2123" s="16">
        <f>I2123-H2123</f>
        <v>100000</v>
      </c>
      <c r="K2123" s="16" t="str">
        <f>VLOOKUP(C2123,[1]master_data!$A$2:$E$495,5,FALSE)</f>
        <v>Aksesoris</v>
      </c>
      <c r="L2123" s="1"/>
    </row>
    <row r="2124" spans="1:12" ht="12" customHeight="1" x14ac:dyDescent="0.25">
      <c r="A2124" s="15">
        <v>44988</v>
      </c>
      <c r="B2124" s="16">
        <v>22300382</v>
      </c>
      <c r="C2124" s="16" t="s">
        <v>393</v>
      </c>
      <c r="D2124" s="16" t="str">
        <f>VLOOKUP(C2124,[1]master_data!$A$2:$E$495,2,FALSE)</f>
        <v>ARWANA SILVER B</v>
      </c>
      <c r="E2124" s="16">
        <v>1</v>
      </c>
      <c r="F2124" s="16">
        <f>VLOOKUP(C2124,[1]master_data!$A$2:$E$495,3,FALSE)</f>
        <v>300000</v>
      </c>
      <c r="G2124" s="16">
        <f>VLOOKUP(C2124,[1]master_data!$A$2:$E$495,4,FALSE)</f>
        <v>500000</v>
      </c>
      <c r="H2124" s="16">
        <f>E2124*F2124</f>
        <v>300000</v>
      </c>
      <c r="I2124" s="16">
        <f>E2124*G2124</f>
        <v>500000</v>
      </c>
      <c r="J2124" s="16">
        <f>I2124-H2124</f>
        <v>200000</v>
      </c>
      <c r="K2124" s="16" t="str">
        <f>VLOOKUP(C2124,[1]master_data!$A$2:$E$495,5,FALSE)</f>
        <v>Ikan</v>
      </c>
      <c r="L2124" s="1"/>
    </row>
    <row r="2125" spans="1:12" ht="12" customHeight="1" x14ac:dyDescent="0.25">
      <c r="A2125" s="15">
        <v>44987</v>
      </c>
      <c r="B2125" s="16">
        <v>22300377</v>
      </c>
      <c r="C2125" s="16" t="s">
        <v>111</v>
      </c>
      <c r="D2125" s="16" t="str">
        <f>VLOOKUP(C2125,[1]master_data!$A$2:$E$495,2,FALSE)</f>
        <v>AIRATOR KIYOSAKI LUB 2</v>
      </c>
      <c r="E2125" s="16">
        <v>10</v>
      </c>
      <c r="F2125" s="16">
        <f>VLOOKUP(C2125,[1]master_data!$A$2:$E$495,3,FALSE)</f>
        <v>29000</v>
      </c>
      <c r="G2125" s="16">
        <f>VLOOKUP(C2125,[1]master_data!$A$2:$E$495,4,FALSE)</f>
        <v>50000</v>
      </c>
      <c r="H2125" s="16">
        <f>E2125*F2125</f>
        <v>290000</v>
      </c>
      <c r="I2125" s="16">
        <f>E2125*G2125</f>
        <v>500000</v>
      </c>
      <c r="J2125" s="16">
        <f>I2125-H2125</f>
        <v>210000</v>
      </c>
      <c r="K2125" s="16" t="str">
        <f>VLOOKUP(C2125,[1]master_data!$A$2:$E$495,5,FALSE)</f>
        <v>Aksesoris</v>
      </c>
      <c r="L2125" s="1"/>
    </row>
    <row r="2126" spans="1:12" ht="12" customHeight="1" x14ac:dyDescent="0.25">
      <c r="A2126" s="15">
        <v>44987</v>
      </c>
      <c r="B2126" s="16">
        <v>22300378</v>
      </c>
      <c r="C2126" s="16" t="s">
        <v>130</v>
      </c>
      <c r="D2126" s="16" t="str">
        <f>VLOOKUP(C2126,[1]master_data!$A$2:$E$495,2,FALSE)</f>
        <v>LED YAMANO S600</v>
      </c>
      <c r="E2126" s="16">
        <v>2</v>
      </c>
      <c r="F2126" s="16">
        <f>VLOOKUP(C2126,[1]master_data!$A$2:$E$495,3,FALSE)</f>
        <v>60000</v>
      </c>
      <c r="G2126" s="16">
        <f>VLOOKUP(C2126,[1]master_data!$A$2:$E$495,4,FALSE)</f>
        <v>85000</v>
      </c>
      <c r="H2126" s="16">
        <f>E2126*F2126</f>
        <v>120000</v>
      </c>
      <c r="I2126" s="16">
        <f>E2126*G2126</f>
        <v>170000</v>
      </c>
      <c r="J2126" s="16">
        <f>I2126-H2126</f>
        <v>50000</v>
      </c>
      <c r="K2126" s="16" t="str">
        <f>VLOOKUP(C2126,[1]master_data!$A$2:$E$495,5,FALSE)</f>
        <v>Aksesoris</v>
      </c>
      <c r="L2126" s="1"/>
    </row>
    <row r="2127" spans="1:12" ht="12" customHeight="1" x14ac:dyDescent="0.25">
      <c r="A2127" s="15">
        <v>44987</v>
      </c>
      <c r="B2127" s="16">
        <v>22300379</v>
      </c>
      <c r="C2127" s="16" t="s">
        <v>422</v>
      </c>
      <c r="D2127" s="16" t="str">
        <f>VLOOKUP(C2127,[1]master_data!$A$2:$E$495,2,FALSE)</f>
        <v>KOI SLAYER B</v>
      </c>
      <c r="E2127" s="16">
        <v>1</v>
      </c>
      <c r="F2127" s="16">
        <f>VLOOKUP(C2127,[1]master_data!$A$2:$E$495,3,FALSE)</f>
        <v>8000</v>
      </c>
      <c r="G2127" s="16">
        <f>VLOOKUP(C2127,[1]master_data!$A$2:$E$495,4,FALSE)</f>
        <v>20000</v>
      </c>
      <c r="H2127" s="16">
        <f>E2127*F2127</f>
        <v>8000</v>
      </c>
      <c r="I2127" s="16">
        <f>E2127*G2127</f>
        <v>20000</v>
      </c>
      <c r="J2127" s="16">
        <f>I2127-H2127</f>
        <v>12000</v>
      </c>
      <c r="K2127" s="16" t="str">
        <f>VLOOKUP(C2127,[1]master_data!$A$2:$E$495,5,FALSE)</f>
        <v>Ikan</v>
      </c>
      <c r="L2127" s="1"/>
    </row>
    <row r="2128" spans="1:12" ht="12" customHeight="1" x14ac:dyDescent="0.25">
      <c r="A2128" s="15">
        <v>44986</v>
      </c>
      <c r="B2128" s="16">
        <v>22300372</v>
      </c>
      <c r="C2128" s="16" t="s">
        <v>45</v>
      </c>
      <c r="D2128" s="16" t="str">
        <f>VLOOKUP(C2128,[1]master_data!$A$2:$E$495,2,FALSE)</f>
        <v>MESIN YAMANO 2600</v>
      </c>
      <c r="E2128" s="16">
        <v>2</v>
      </c>
      <c r="F2128" s="16">
        <f>VLOOKUP(C2128,[1]master_data!$A$2:$E$495,3,FALSE)</f>
        <v>82500</v>
      </c>
      <c r="G2128" s="16">
        <f>VLOOKUP(C2128,[1]master_data!$A$2:$E$495,4,FALSE)</f>
        <v>115000</v>
      </c>
      <c r="H2128" s="16">
        <f>E2128*F2128</f>
        <v>165000</v>
      </c>
      <c r="I2128" s="16">
        <f>E2128*G2128</f>
        <v>230000</v>
      </c>
      <c r="J2128" s="16">
        <f>I2128-H2128</f>
        <v>65000</v>
      </c>
      <c r="K2128" s="16" t="str">
        <f>VLOOKUP(C2128,[1]master_data!$A$2:$E$495,5,FALSE)</f>
        <v>Aksesoris</v>
      </c>
      <c r="L2128" s="1"/>
    </row>
    <row r="2129" spans="1:12" ht="12" customHeight="1" x14ac:dyDescent="0.25">
      <c r="A2129" s="15">
        <v>44986</v>
      </c>
      <c r="B2129" s="16">
        <v>22300373</v>
      </c>
      <c r="C2129" s="16" t="s">
        <v>452</v>
      </c>
      <c r="D2129" s="16" t="str">
        <f>VLOOKUP(C2129,[1]master_data!$A$2:$E$495,2,FALSE)</f>
        <v>SYNODONTI B</v>
      </c>
      <c r="E2129" s="16">
        <v>15</v>
      </c>
      <c r="F2129" s="16">
        <f>VLOOKUP(C2129,[1]master_data!$A$2:$E$495,3,FALSE)</f>
        <v>4000</v>
      </c>
      <c r="G2129" s="16">
        <f>VLOOKUP(C2129,[1]master_data!$A$2:$E$495,4,FALSE)</f>
        <v>10000</v>
      </c>
      <c r="H2129" s="16">
        <f>E2129*F2129</f>
        <v>60000</v>
      </c>
      <c r="I2129" s="16">
        <f>E2129*G2129</f>
        <v>150000</v>
      </c>
      <c r="J2129" s="16">
        <f>I2129-H2129</f>
        <v>90000</v>
      </c>
      <c r="K2129" s="16" t="str">
        <f>VLOOKUP(C2129,[1]master_data!$A$2:$E$495,5,FALSE)</f>
        <v>Ikan</v>
      </c>
      <c r="L2129" s="1"/>
    </row>
    <row r="2130" spans="1:12" ht="12" customHeight="1" x14ac:dyDescent="0.25">
      <c r="A2130" s="15">
        <v>44986</v>
      </c>
      <c r="B2130" s="16">
        <v>22300374</v>
      </c>
      <c r="C2130" s="16" t="s">
        <v>345</v>
      </c>
      <c r="D2130" s="16" t="str">
        <f>VLOOKUP(C2130,[1]master_data!$A$2:$E$495,2,FALSE)</f>
        <v>AKUARIUM NIKITA M</v>
      </c>
      <c r="E2130" s="16">
        <v>1</v>
      </c>
      <c r="F2130" s="16">
        <f>VLOOKUP(C2130,[1]master_data!$A$2:$E$495,3,FALSE)</f>
        <v>60000</v>
      </c>
      <c r="G2130" s="16">
        <f>VLOOKUP(C2130,[1]master_data!$A$2:$E$495,4,FALSE)</f>
        <v>110000</v>
      </c>
      <c r="H2130" s="16">
        <f>E2130*F2130</f>
        <v>60000</v>
      </c>
      <c r="I2130" s="16">
        <f>E2130*G2130</f>
        <v>110000</v>
      </c>
      <c r="J2130" s="16">
        <f>I2130-H2130</f>
        <v>50000</v>
      </c>
      <c r="K2130" s="16" t="str">
        <f>VLOOKUP(C2130,[1]master_data!$A$2:$E$495,5,FALSE)</f>
        <v>Aksesoris</v>
      </c>
      <c r="L2130" s="1"/>
    </row>
    <row r="2131" spans="1:12" ht="12" customHeight="1" x14ac:dyDescent="0.25">
      <c r="A2131" s="15">
        <v>44986</v>
      </c>
      <c r="B2131" s="16">
        <v>22300375</v>
      </c>
      <c r="C2131" s="16" t="s">
        <v>460</v>
      </c>
      <c r="D2131" s="16" t="str">
        <f>VLOOKUP(C2131,[1]master_data!$A$2:$E$495,2,FALSE)</f>
        <v>SEPAT ALBINO</v>
      </c>
      <c r="E2131" s="16">
        <v>15</v>
      </c>
      <c r="F2131" s="16">
        <f>VLOOKUP(C2131,[1]master_data!$A$2:$E$495,3,FALSE)</f>
        <v>2000</v>
      </c>
      <c r="G2131" s="16">
        <f>VLOOKUP(C2131,[1]master_data!$A$2:$E$495,4,FALSE)</f>
        <v>5000</v>
      </c>
      <c r="H2131" s="16">
        <f>E2131*F2131</f>
        <v>30000</v>
      </c>
      <c r="I2131" s="16">
        <f>E2131*G2131</f>
        <v>75000</v>
      </c>
      <c r="J2131" s="16">
        <f>I2131-H2131</f>
        <v>45000</v>
      </c>
      <c r="K2131" s="16" t="str">
        <f>VLOOKUP(C2131,[1]master_data!$A$2:$E$495,5,FALSE)</f>
        <v>Ikan</v>
      </c>
      <c r="L2131" s="1"/>
    </row>
    <row r="2132" spans="1:12" ht="12" customHeight="1" x14ac:dyDescent="0.25">
      <c r="A2132" s="15">
        <v>44986</v>
      </c>
      <c r="B2132" s="16">
        <v>22300376</v>
      </c>
      <c r="C2132" s="16" t="s">
        <v>416</v>
      </c>
      <c r="D2132" s="16" t="str">
        <f>VLOOKUP(C2132,[1]master_data!$A$2:$E$495,2,FALSE)</f>
        <v>KOI B</v>
      </c>
      <c r="E2132" s="16">
        <v>10</v>
      </c>
      <c r="F2132" s="16">
        <f>VLOOKUP(C2132,[1]master_data!$A$2:$E$495,3,FALSE)</f>
        <v>9000</v>
      </c>
      <c r="G2132" s="16">
        <f>VLOOKUP(C2132,[1]master_data!$A$2:$E$495,4,FALSE)</f>
        <v>30000</v>
      </c>
      <c r="H2132" s="16">
        <f>E2132*F2132</f>
        <v>90000</v>
      </c>
      <c r="I2132" s="16">
        <f>E2132*G2132</f>
        <v>300000</v>
      </c>
      <c r="J2132" s="16">
        <f>I2132-H2132</f>
        <v>210000</v>
      </c>
      <c r="K2132" s="16" t="str">
        <f>VLOOKUP(C2132,[1]master_data!$A$2:$E$495,5,FALSE)</f>
        <v>Ikan</v>
      </c>
      <c r="L2132" s="1"/>
    </row>
    <row r="2133" spans="1:12" ht="12" customHeight="1" x14ac:dyDescent="0.25">
      <c r="A2133" s="15">
        <v>44985</v>
      </c>
      <c r="B2133" s="16">
        <v>22300369</v>
      </c>
      <c r="C2133" s="16" t="s">
        <v>430</v>
      </c>
      <c r="D2133" s="16" t="str">
        <f>VLOOKUP(C2133,[1]master_data!$A$2:$E$495,2,FALSE)</f>
        <v>MARU K</v>
      </c>
      <c r="E2133" s="16">
        <v>10</v>
      </c>
      <c r="F2133" s="16">
        <f>VLOOKUP(C2133,[1]master_data!$A$2:$E$495,3,FALSE)</f>
        <v>23000</v>
      </c>
      <c r="G2133" s="16">
        <f>VLOOKUP(C2133,[1]master_data!$A$2:$E$495,4,FALSE)</f>
        <v>50000</v>
      </c>
      <c r="H2133" s="16">
        <f>E2133*F2133</f>
        <v>230000</v>
      </c>
      <c r="I2133" s="16">
        <f>E2133*G2133</f>
        <v>500000</v>
      </c>
      <c r="J2133" s="16">
        <f>I2133-H2133</f>
        <v>270000</v>
      </c>
      <c r="K2133" s="16" t="str">
        <f>VLOOKUP(C2133,[1]master_data!$A$2:$E$495,5,FALSE)</f>
        <v>Ikan</v>
      </c>
      <c r="L2133" s="1"/>
    </row>
    <row r="2134" spans="1:12" ht="12" customHeight="1" x14ac:dyDescent="0.25">
      <c r="A2134" s="15">
        <v>44985</v>
      </c>
      <c r="B2134" s="16">
        <v>22300370</v>
      </c>
      <c r="C2134" s="16" t="s">
        <v>429</v>
      </c>
      <c r="D2134" s="16" t="str">
        <f>VLOOKUP(C2134,[1]master_data!$A$2:$E$495,2,FALSE)</f>
        <v>MANFISH B</v>
      </c>
      <c r="E2134" s="16">
        <v>9</v>
      </c>
      <c r="F2134" s="16">
        <f>VLOOKUP(C2134,[1]master_data!$A$2:$E$495,3,FALSE)</f>
        <v>4000</v>
      </c>
      <c r="G2134" s="16">
        <f>VLOOKUP(C2134,[1]master_data!$A$2:$E$495,4,FALSE)</f>
        <v>10000</v>
      </c>
      <c r="H2134" s="16">
        <f>E2134*F2134</f>
        <v>36000</v>
      </c>
      <c r="I2134" s="16">
        <f>E2134*G2134</f>
        <v>90000</v>
      </c>
      <c r="J2134" s="16">
        <f>I2134-H2134</f>
        <v>54000</v>
      </c>
      <c r="K2134" s="16" t="str">
        <f>VLOOKUP(C2134,[1]master_data!$A$2:$E$495,5,FALSE)</f>
        <v>Ikan</v>
      </c>
      <c r="L2134" s="1"/>
    </row>
    <row r="2135" spans="1:12" ht="12" customHeight="1" x14ac:dyDescent="0.25">
      <c r="A2135" s="15">
        <v>44985</v>
      </c>
      <c r="B2135" s="16">
        <v>22300371</v>
      </c>
      <c r="C2135" s="16" t="s">
        <v>395</v>
      </c>
      <c r="D2135" s="16" t="str">
        <f>VLOOKUP(C2135,[1]master_data!$A$2:$E$495,2,FALSE)</f>
        <v>ALIGATOR</v>
      </c>
      <c r="E2135" s="16">
        <v>1</v>
      </c>
      <c r="F2135" s="16">
        <f>VLOOKUP(C2135,[1]master_data!$A$2:$E$495,3,FALSE)</f>
        <v>17000</v>
      </c>
      <c r="G2135" s="16">
        <f>VLOOKUP(C2135,[1]master_data!$A$2:$E$495,4,FALSE)</f>
        <v>35000</v>
      </c>
      <c r="H2135" s="16">
        <f>E2135*F2135</f>
        <v>17000</v>
      </c>
      <c r="I2135" s="16">
        <f>E2135*G2135</f>
        <v>35000</v>
      </c>
      <c r="J2135" s="16">
        <f>I2135-H2135</f>
        <v>18000</v>
      </c>
      <c r="K2135" s="16" t="str">
        <f>VLOOKUP(C2135,[1]master_data!$A$2:$E$495,5,FALSE)</f>
        <v>Ikan</v>
      </c>
      <c r="L2135" s="1"/>
    </row>
    <row r="2136" spans="1:12" ht="12" customHeight="1" x14ac:dyDescent="0.25">
      <c r="A2136" s="15">
        <v>44984</v>
      </c>
      <c r="B2136" s="16">
        <v>22300363</v>
      </c>
      <c r="C2136" s="16" t="s">
        <v>321</v>
      </c>
      <c r="D2136" s="16" t="str">
        <f>VLOOKUP(C2136,[1]master_data!$A$2:$E$495,2,FALSE)</f>
        <v>AIRSTONE PANJANG 10</v>
      </c>
      <c r="E2136" s="16">
        <v>5</v>
      </c>
      <c r="F2136" s="16">
        <f>VLOOKUP(C2136,[1]master_data!$A$2:$E$495,3,FALSE)</f>
        <v>12000</v>
      </c>
      <c r="G2136" s="16">
        <f>VLOOKUP(C2136,[1]master_data!$A$2:$E$495,4,FALSE)</f>
        <v>20000</v>
      </c>
      <c r="H2136" s="16">
        <f>E2136*F2136</f>
        <v>60000</v>
      </c>
      <c r="I2136" s="16">
        <f>E2136*G2136</f>
        <v>100000</v>
      </c>
      <c r="J2136" s="16">
        <f>I2136-H2136</f>
        <v>40000</v>
      </c>
      <c r="K2136" s="16" t="str">
        <f>VLOOKUP(C2136,[1]master_data!$A$2:$E$495,5,FALSE)</f>
        <v>Aksesoris</v>
      </c>
      <c r="L2136" s="1"/>
    </row>
    <row r="2137" spans="1:12" ht="12" customHeight="1" x14ac:dyDescent="0.25">
      <c r="A2137" s="15">
        <v>44984</v>
      </c>
      <c r="B2137" s="16">
        <v>22300364</v>
      </c>
      <c r="C2137" s="16" t="s">
        <v>422</v>
      </c>
      <c r="D2137" s="16" t="str">
        <f>VLOOKUP(C2137,[1]master_data!$A$2:$E$495,2,FALSE)</f>
        <v>KOI SLAYER B</v>
      </c>
      <c r="E2137" s="16">
        <v>10</v>
      </c>
      <c r="F2137" s="16">
        <f>VLOOKUP(C2137,[1]master_data!$A$2:$E$495,3,FALSE)</f>
        <v>8000</v>
      </c>
      <c r="G2137" s="16">
        <f>VLOOKUP(C2137,[1]master_data!$A$2:$E$495,4,FALSE)</f>
        <v>20000</v>
      </c>
      <c r="H2137" s="16">
        <f>E2137*F2137</f>
        <v>80000</v>
      </c>
      <c r="I2137" s="16">
        <f>E2137*G2137</f>
        <v>200000</v>
      </c>
      <c r="J2137" s="16">
        <f>I2137-H2137</f>
        <v>120000</v>
      </c>
      <c r="K2137" s="16" t="str">
        <f>VLOOKUP(C2137,[1]master_data!$A$2:$E$495,5,FALSE)</f>
        <v>Ikan</v>
      </c>
      <c r="L2137" s="1"/>
    </row>
    <row r="2138" spans="1:12" ht="12" customHeight="1" x14ac:dyDescent="0.25">
      <c r="A2138" s="15">
        <v>44984</v>
      </c>
      <c r="B2138" s="16">
        <v>22300365</v>
      </c>
      <c r="C2138" s="16" t="s">
        <v>401</v>
      </c>
      <c r="D2138" s="16" t="str">
        <f>VLOOKUP(C2138,[1]master_data!$A$2:$E$495,2,FALSE)</f>
        <v>CHANNA BLUE PULCHRA K</v>
      </c>
      <c r="E2138" s="16">
        <v>5</v>
      </c>
      <c r="F2138" s="16">
        <f>VLOOKUP(C2138,[1]master_data!$A$2:$E$495,3,FALSE)</f>
        <v>25000</v>
      </c>
      <c r="G2138" s="16">
        <f>VLOOKUP(C2138,[1]master_data!$A$2:$E$495,4,FALSE)</f>
        <v>50000</v>
      </c>
      <c r="H2138" s="16">
        <f>E2138*F2138</f>
        <v>125000</v>
      </c>
      <c r="I2138" s="16">
        <f>E2138*G2138</f>
        <v>250000</v>
      </c>
      <c r="J2138" s="16">
        <f>I2138-H2138</f>
        <v>125000</v>
      </c>
      <c r="K2138" s="16" t="str">
        <f>VLOOKUP(C2138,[1]master_data!$A$2:$E$495,5,FALSE)</f>
        <v>Ikan</v>
      </c>
      <c r="L2138" s="1"/>
    </row>
    <row r="2139" spans="1:12" ht="12" customHeight="1" x14ac:dyDescent="0.25">
      <c r="A2139" s="15">
        <v>44984</v>
      </c>
      <c r="B2139" s="16">
        <v>22300366</v>
      </c>
      <c r="C2139" s="16" t="s">
        <v>437</v>
      </c>
      <c r="D2139" s="16" t="str">
        <f>VLOOKUP(C2139,[1]master_data!$A$2:$E$495,2,FALSE)</f>
        <v>NEON</v>
      </c>
      <c r="E2139" s="16">
        <v>5</v>
      </c>
      <c r="F2139" s="16">
        <f>VLOOKUP(C2139,[1]master_data!$A$2:$E$495,3,FALSE)</f>
        <v>1250</v>
      </c>
      <c r="G2139" s="16">
        <f>VLOOKUP(C2139,[1]master_data!$A$2:$E$495,4,FALSE)</f>
        <v>5000</v>
      </c>
      <c r="H2139" s="16">
        <f>E2139*F2139</f>
        <v>6250</v>
      </c>
      <c r="I2139" s="16">
        <f>E2139*G2139</f>
        <v>25000</v>
      </c>
      <c r="J2139" s="16">
        <f>I2139-H2139</f>
        <v>18750</v>
      </c>
      <c r="K2139" s="16" t="str">
        <f>VLOOKUP(C2139,[1]master_data!$A$2:$E$495,5,FALSE)</f>
        <v>Ikan</v>
      </c>
      <c r="L2139" s="1"/>
    </row>
    <row r="2140" spans="1:12" ht="12" customHeight="1" x14ac:dyDescent="0.25">
      <c r="A2140" s="15">
        <v>44984</v>
      </c>
      <c r="B2140" s="16">
        <v>22300367</v>
      </c>
      <c r="C2140" s="16" t="s">
        <v>409</v>
      </c>
      <c r="D2140" s="16" t="str">
        <f>VLOOKUP(C2140,[1]master_data!$A$2:$E$495,2,FALSE)</f>
        <v>GOLDEN BLACK</v>
      </c>
      <c r="E2140" s="16">
        <v>2</v>
      </c>
      <c r="F2140" s="16">
        <f>VLOOKUP(C2140,[1]master_data!$A$2:$E$495,3,FALSE)</f>
        <v>800</v>
      </c>
      <c r="G2140" s="16">
        <f>VLOOKUP(C2140,[1]master_data!$A$2:$E$495,4,FALSE)</f>
        <v>2000</v>
      </c>
      <c r="H2140" s="16">
        <f>E2140*F2140</f>
        <v>1600</v>
      </c>
      <c r="I2140" s="16">
        <f>E2140*G2140</f>
        <v>4000</v>
      </c>
      <c r="J2140" s="16">
        <f>I2140-H2140</f>
        <v>2400</v>
      </c>
      <c r="K2140" s="16" t="str">
        <f>VLOOKUP(C2140,[1]master_data!$A$2:$E$495,5,FALSE)</f>
        <v>Ikan</v>
      </c>
      <c r="L2140" s="1"/>
    </row>
    <row r="2141" spans="1:12" ht="12" customHeight="1" x14ac:dyDescent="0.25">
      <c r="A2141" s="15">
        <v>44984</v>
      </c>
      <c r="B2141" s="16">
        <v>22300368</v>
      </c>
      <c r="C2141" s="16" t="s">
        <v>440</v>
      </c>
      <c r="D2141" s="16" t="str">
        <f>VLOOKUP(C2141,[1]master_data!$A$2:$E$495,2,FALSE)</f>
        <v>PEMBERSIH KACA ALBINO</v>
      </c>
      <c r="E2141" s="16">
        <v>2</v>
      </c>
      <c r="F2141" s="16">
        <f>VLOOKUP(C2141,[1]master_data!$A$2:$E$495,3,FALSE)</f>
        <v>2500</v>
      </c>
      <c r="G2141" s="16">
        <f>VLOOKUP(C2141,[1]master_data!$A$2:$E$495,4,FALSE)</f>
        <v>5000</v>
      </c>
      <c r="H2141" s="16">
        <f>E2141*F2141</f>
        <v>5000</v>
      </c>
      <c r="I2141" s="16">
        <f>E2141*G2141</f>
        <v>10000</v>
      </c>
      <c r="J2141" s="16">
        <f>I2141-H2141</f>
        <v>5000</v>
      </c>
      <c r="K2141" s="16" t="str">
        <f>VLOOKUP(C2141,[1]master_data!$A$2:$E$495,5,FALSE)</f>
        <v>Ikan</v>
      </c>
      <c r="L2141" s="1"/>
    </row>
    <row r="2142" spans="1:12" ht="12" customHeight="1" x14ac:dyDescent="0.25">
      <c r="A2142" s="15">
        <v>44983</v>
      </c>
      <c r="B2142" s="16">
        <v>22300358</v>
      </c>
      <c r="C2142" s="16" t="s">
        <v>404</v>
      </c>
      <c r="D2142" s="16" t="str">
        <f>VLOOKUP(C2142,[1]master_data!$A$2:$E$495,2,FALSE)</f>
        <v>BARBIR</v>
      </c>
      <c r="E2142" s="16">
        <v>30</v>
      </c>
      <c r="F2142" s="16">
        <f>VLOOKUP(C2142,[1]master_data!$A$2:$E$495,3,FALSE)</f>
        <v>800</v>
      </c>
      <c r="G2142" s="16">
        <f>VLOOKUP(C2142,[1]master_data!$A$2:$E$495,4,FALSE)</f>
        <v>2000</v>
      </c>
      <c r="H2142" s="16">
        <f>E2142*F2142</f>
        <v>24000</v>
      </c>
      <c r="I2142" s="16">
        <f>E2142*G2142</f>
        <v>60000</v>
      </c>
      <c r="J2142" s="16">
        <f>I2142-H2142</f>
        <v>36000</v>
      </c>
      <c r="K2142" s="16" t="str">
        <f>VLOOKUP(C2142,[1]master_data!$A$2:$E$495,5,FALSE)</f>
        <v>Ikan</v>
      </c>
      <c r="L2142" s="1"/>
    </row>
    <row r="2143" spans="1:12" ht="12" customHeight="1" x14ac:dyDescent="0.25">
      <c r="A2143" s="15">
        <v>44983</v>
      </c>
      <c r="B2143" s="16">
        <v>22300359</v>
      </c>
      <c r="C2143" s="16" t="s">
        <v>326</v>
      </c>
      <c r="D2143" s="16" t="str">
        <f>VLOOKUP(C2143,[1]master_data!$A$2:$E$495,2,FALSE)</f>
        <v>BLITS B</v>
      </c>
      <c r="E2143" s="16">
        <v>20</v>
      </c>
      <c r="F2143" s="16">
        <f>VLOOKUP(C2143,[1]master_data!$A$2:$E$495,3,FALSE)</f>
        <v>6500</v>
      </c>
      <c r="G2143" s="16">
        <f>VLOOKUP(C2143,[1]master_data!$A$2:$E$495,4,FALSE)</f>
        <v>10000</v>
      </c>
      <c r="H2143" s="16">
        <f>E2143*F2143</f>
        <v>130000</v>
      </c>
      <c r="I2143" s="16">
        <f>E2143*G2143</f>
        <v>200000</v>
      </c>
      <c r="J2143" s="16">
        <f>I2143-H2143</f>
        <v>70000</v>
      </c>
      <c r="K2143" s="16" t="str">
        <f>VLOOKUP(C2143,[1]master_data!$A$2:$E$495,5,FALSE)</f>
        <v>Aksesoris</v>
      </c>
      <c r="L2143" s="1"/>
    </row>
    <row r="2144" spans="1:12" ht="12" customHeight="1" x14ac:dyDescent="0.25">
      <c r="A2144" s="15">
        <v>44983</v>
      </c>
      <c r="B2144" s="16">
        <v>22300360</v>
      </c>
      <c r="C2144" s="16" t="s">
        <v>394</v>
      </c>
      <c r="D2144" s="16" t="str">
        <f>VLOOKUP(C2144,[1]master_data!$A$2:$E$495,2,FALSE)</f>
        <v>ALGA EATER</v>
      </c>
      <c r="E2144" s="16">
        <v>20</v>
      </c>
      <c r="F2144" s="16">
        <f>VLOOKUP(C2144,[1]master_data!$A$2:$E$495,3,FALSE)</f>
        <v>1750</v>
      </c>
      <c r="G2144" s="16">
        <f>VLOOKUP(C2144,[1]master_data!$A$2:$E$495,4,FALSE)</f>
        <v>5000</v>
      </c>
      <c r="H2144" s="16">
        <f>E2144*F2144</f>
        <v>35000</v>
      </c>
      <c r="I2144" s="16">
        <f>E2144*G2144</f>
        <v>100000</v>
      </c>
      <c r="J2144" s="16">
        <f>I2144-H2144</f>
        <v>65000</v>
      </c>
      <c r="K2144" s="16" t="str">
        <f>VLOOKUP(C2144,[1]master_data!$A$2:$E$495,5,FALSE)</f>
        <v>Ikan</v>
      </c>
      <c r="L2144" s="1"/>
    </row>
    <row r="2145" spans="1:12" ht="12" customHeight="1" x14ac:dyDescent="0.25">
      <c r="A2145" s="15">
        <v>44983</v>
      </c>
      <c r="B2145" s="16">
        <v>22300361</v>
      </c>
      <c r="C2145" s="16" t="s">
        <v>172</v>
      </c>
      <c r="D2145" s="16" t="str">
        <f>VLOOKUP(C2145,[1]master_data!$A$2:$E$495,2,FALSE)</f>
        <v>LED KANDILA DnN 40 CM</v>
      </c>
      <c r="E2145" s="16">
        <v>6</v>
      </c>
      <c r="F2145" s="16">
        <f>VLOOKUP(C2145,[1]master_data!$A$2:$E$495,3,FALSE)</f>
        <v>30000</v>
      </c>
      <c r="G2145" s="16">
        <f>VLOOKUP(C2145,[1]master_data!$A$2:$E$495,4,FALSE)</f>
        <v>50000</v>
      </c>
      <c r="H2145" s="16">
        <f>E2145*F2145</f>
        <v>180000</v>
      </c>
      <c r="I2145" s="16">
        <f>E2145*G2145</f>
        <v>300000</v>
      </c>
      <c r="J2145" s="16">
        <f>I2145-H2145</f>
        <v>120000</v>
      </c>
      <c r="K2145" s="16" t="str">
        <f>VLOOKUP(C2145,[1]master_data!$A$2:$E$495,5,FALSE)</f>
        <v>Aksesoris</v>
      </c>
      <c r="L2145" s="1"/>
    </row>
    <row r="2146" spans="1:12" ht="12" customHeight="1" x14ac:dyDescent="0.25">
      <c r="A2146" s="15">
        <v>44983</v>
      </c>
      <c r="B2146" s="16">
        <v>22300362</v>
      </c>
      <c r="C2146" s="16" t="s">
        <v>424</v>
      </c>
      <c r="D2146" s="16" t="str">
        <f>VLOOKUP(C2146,[1]master_data!$A$2:$E$495,2,FALSE)</f>
        <v>DISCUS</v>
      </c>
      <c r="E2146" s="16">
        <v>2</v>
      </c>
      <c r="F2146" s="16">
        <f>VLOOKUP(C2146,[1]master_data!$A$2:$E$495,3,FALSE)</f>
        <v>50000</v>
      </c>
      <c r="G2146" s="16">
        <f>VLOOKUP(C2146,[1]master_data!$A$2:$E$495,4,FALSE)</f>
        <v>150000</v>
      </c>
      <c r="H2146" s="16">
        <f>E2146*F2146</f>
        <v>100000</v>
      </c>
      <c r="I2146" s="16">
        <f>E2146*G2146</f>
        <v>300000</v>
      </c>
      <c r="J2146" s="16">
        <f>I2146-H2146</f>
        <v>200000</v>
      </c>
      <c r="K2146" s="16" t="str">
        <f>VLOOKUP(C2146,[1]master_data!$A$2:$E$495,5,FALSE)</f>
        <v>Ikan</v>
      </c>
      <c r="L2146" s="1"/>
    </row>
    <row r="2147" spans="1:12" ht="12" customHeight="1" x14ac:dyDescent="0.25">
      <c r="A2147" s="15">
        <v>44982</v>
      </c>
      <c r="B2147" s="16">
        <v>22300357</v>
      </c>
      <c r="C2147" s="16" t="s">
        <v>390</v>
      </c>
      <c r="D2147" s="16" t="str">
        <f>VLOOKUP(C2147,[1]master_data!$A$2:$E$495,2,FALSE)</f>
        <v>CHANNA ASIATICA B</v>
      </c>
      <c r="E2147" s="16">
        <v>5</v>
      </c>
      <c r="F2147" s="16">
        <f>VLOOKUP(C2147,[1]master_data!$A$2:$E$495,3,FALSE)</f>
        <v>40000</v>
      </c>
      <c r="G2147" s="16">
        <f>VLOOKUP(C2147,[1]master_data!$A$2:$E$495,4,FALSE)</f>
        <v>100000</v>
      </c>
      <c r="H2147" s="16">
        <f>E2147*F2147</f>
        <v>200000</v>
      </c>
      <c r="I2147" s="16">
        <f>E2147*G2147</f>
        <v>500000</v>
      </c>
      <c r="J2147" s="16">
        <f>I2147-H2147</f>
        <v>300000</v>
      </c>
      <c r="K2147" s="16" t="str">
        <f>VLOOKUP(C2147,[1]master_data!$A$2:$E$495,5,FALSE)</f>
        <v>Ikan</v>
      </c>
      <c r="L2147" s="1"/>
    </row>
    <row r="2148" spans="1:12" ht="12" customHeight="1" x14ac:dyDescent="0.25">
      <c r="A2148" s="15">
        <v>44981</v>
      </c>
      <c r="B2148" s="16">
        <v>22300353</v>
      </c>
      <c r="C2148" s="16" t="s">
        <v>438</v>
      </c>
      <c r="D2148" s="16" t="str">
        <f>VLOOKUP(C2148,[1]master_data!$A$2:$E$495,2,FALSE)</f>
        <v>OSCAR</v>
      </c>
      <c r="E2148" s="16">
        <v>2</v>
      </c>
      <c r="F2148" s="16">
        <f>VLOOKUP(C2148,[1]master_data!$A$2:$E$495,3,FALSE)</f>
        <v>25000</v>
      </c>
      <c r="G2148" s="16">
        <f>VLOOKUP(C2148,[1]master_data!$A$2:$E$495,4,FALSE)</f>
        <v>50000</v>
      </c>
      <c r="H2148" s="16">
        <f>E2148*F2148</f>
        <v>50000</v>
      </c>
      <c r="I2148" s="16">
        <f>E2148*G2148</f>
        <v>100000</v>
      </c>
      <c r="J2148" s="16">
        <f>I2148-H2148</f>
        <v>50000</v>
      </c>
      <c r="K2148" s="16" t="str">
        <f>VLOOKUP(C2148,[1]master_data!$A$2:$E$495,5,FALSE)</f>
        <v>Ikan</v>
      </c>
      <c r="L2148" s="1"/>
    </row>
    <row r="2149" spans="1:12" ht="12" customHeight="1" x14ac:dyDescent="0.25">
      <c r="A2149" s="15">
        <v>44981</v>
      </c>
      <c r="B2149" s="16">
        <v>22300354</v>
      </c>
      <c r="C2149" s="16" t="s">
        <v>424</v>
      </c>
      <c r="D2149" s="16" t="str">
        <f>VLOOKUP(C2149,[1]master_data!$A$2:$E$495,2,FALSE)</f>
        <v>DISCUS</v>
      </c>
      <c r="E2149" s="16">
        <v>4</v>
      </c>
      <c r="F2149" s="16">
        <f>VLOOKUP(C2149,[1]master_data!$A$2:$E$495,3,FALSE)</f>
        <v>50000</v>
      </c>
      <c r="G2149" s="16">
        <f>VLOOKUP(C2149,[1]master_data!$A$2:$E$495,4,FALSE)</f>
        <v>150000</v>
      </c>
      <c r="H2149" s="16">
        <f>E2149*F2149</f>
        <v>200000</v>
      </c>
      <c r="I2149" s="16">
        <f>E2149*G2149</f>
        <v>600000</v>
      </c>
      <c r="J2149" s="16">
        <f>I2149-H2149</f>
        <v>400000</v>
      </c>
      <c r="K2149" s="16" t="str">
        <f>VLOOKUP(C2149,[1]master_data!$A$2:$E$495,5,FALSE)</f>
        <v>Ikan</v>
      </c>
      <c r="L2149" s="1"/>
    </row>
    <row r="2150" spans="1:12" ht="12" customHeight="1" x14ac:dyDescent="0.25">
      <c r="A2150" s="15">
        <v>44981</v>
      </c>
      <c r="B2150" s="16">
        <v>22300355</v>
      </c>
      <c r="C2150" s="16" t="s">
        <v>208</v>
      </c>
      <c r="D2150" s="16" t="str">
        <f>VLOOKUP(C2150,[1]master_data!$A$2:$E$495,2,FALSE)</f>
        <v>TOP VIT</v>
      </c>
      <c r="E2150" s="16">
        <v>15</v>
      </c>
      <c r="F2150" s="16">
        <f>VLOOKUP(C2150,[1]master_data!$A$2:$E$495,3,FALSE)</f>
        <v>4000</v>
      </c>
      <c r="G2150" s="16">
        <f>VLOOKUP(C2150,[1]master_data!$A$2:$E$495,4,FALSE)</f>
        <v>7000</v>
      </c>
      <c r="H2150" s="16">
        <f>E2150*F2150</f>
        <v>60000</v>
      </c>
      <c r="I2150" s="16">
        <f>E2150*G2150</f>
        <v>105000</v>
      </c>
      <c r="J2150" s="16">
        <f>I2150-H2150</f>
        <v>45000</v>
      </c>
      <c r="K2150" s="16" t="str">
        <f>VLOOKUP(C2150,[1]master_data!$A$2:$E$495,5,FALSE)</f>
        <v>Aksesoris</v>
      </c>
      <c r="L2150" s="1"/>
    </row>
    <row r="2151" spans="1:12" ht="12" customHeight="1" x14ac:dyDescent="0.25">
      <c r="A2151" s="15">
        <v>44981</v>
      </c>
      <c r="B2151" s="16">
        <v>22300356</v>
      </c>
      <c r="C2151" s="16" t="s">
        <v>123</v>
      </c>
      <c r="D2151" s="16" t="str">
        <f>VLOOKUP(C2151,[1]master_data!$A$2:$E$495,2,FALSE)</f>
        <v>LED KIYOSAKI 3 MODE 50 CM</v>
      </c>
      <c r="E2151" s="16">
        <v>1</v>
      </c>
      <c r="F2151" s="16">
        <f>VLOOKUP(C2151,[1]master_data!$A$2:$E$495,3,FALSE)</f>
        <v>37000</v>
      </c>
      <c r="G2151" s="16">
        <f>VLOOKUP(C2151,[1]master_data!$A$2:$E$495,4,FALSE)</f>
        <v>60000</v>
      </c>
      <c r="H2151" s="16">
        <f>E2151*F2151</f>
        <v>37000</v>
      </c>
      <c r="I2151" s="16">
        <f>E2151*G2151</f>
        <v>60000</v>
      </c>
      <c r="J2151" s="16">
        <f>I2151-H2151</f>
        <v>23000</v>
      </c>
      <c r="K2151" s="16" t="str">
        <f>VLOOKUP(C2151,[1]master_data!$A$2:$E$495,5,FALSE)</f>
        <v>Aksesoris</v>
      </c>
      <c r="L2151" s="1"/>
    </row>
    <row r="2152" spans="1:12" ht="12" customHeight="1" x14ac:dyDescent="0.25">
      <c r="A2152" s="15">
        <v>44980</v>
      </c>
      <c r="B2152" s="16">
        <v>22300346</v>
      </c>
      <c r="C2152" s="16" t="s">
        <v>394</v>
      </c>
      <c r="D2152" s="16" t="str">
        <f>VLOOKUP(C2152,[1]master_data!$A$2:$E$495,2,FALSE)</f>
        <v>ALGA EATER</v>
      </c>
      <c r="E2152" s="16">
        <v>15</v>
      </c>
      <c r="F2152" s="16">
        <f>VLOOKUP(C2152,[1]master_data!$A$2:$E$495,3,FALSE)</f>
        <v>1750</v>
      </c>
      <c r="G2152" s="16">
        <f>VLOOKUP(C2152,[1]master_data!$A$2:$E$495,4,FALSE)</f>
        <v>5000</v>
      </c>
      <c r="H2152" s="16">
        <f>E2152*F2152</f>
        <v>26250</v>
      </c>
      <c r="I2152" s="16">
        <f>E2152*G2152</f>
        <v>75000</v>
      </c>
      <c r="J2152" s="16">
        <f>I2152-H2152</f>
        <v>48750</v>
      </c>
      <c r="K2152" s="16" t="str">
        <f>VLOOKUP(C2152,[1]master_data!$A$2:$E$495,5,FALSE)</f>
        <v>Ikan</v>
      </c>
      <c r="L2152" s="1"/>
    </row>
    <row r="2153" spans="1:12" ht="12" customHeight="1" x14ac:dyDescent="0.25">
      <c r="A2153" s="15">
        <v>44980</v>
      </c>
      <c r="B2153" s="16">
        <v>22300347</v>
      </c>
      <c r="C2153" s="16" t="s">
        <v>323</v>
      </c>
      <c r="D2153" s="16" t="str">
        <f>VLOOKUP(C2153,[1]master_data!$A$2:$E$495,2,FALSE)</f>
        <v>AIRSTONE PANJANG 6</v>
      </c>
      <c r="E2153" s="16">
        <v>1</v>
      </c>
      <c r="F2153" s="16">
        <f>VLOOKUP(C2153,[1]master_data!$A$2:$E$495,3,FALSE)</f>
        <v>8000</v>
      </c>
      <c r="G2153" s="16">
        <f>VLOOKUP(C2153,[1]master_data!$A$2:$E$495,4,FALSE)</f>
        <v>12000</v>
      </c>
      <c r="H2153" s="16">
        <f>E2153*F2153</f>
        <v>8000</v>
      </c>
      <c r="I2153" s="16">
        <f>E2153*G2153</f>
        <v>12000</v>
      </c>
      <c r="J2153" s="16">
        <f>I2153-H2153</f>
        <v>4000</v>
      </c>
      <c r="K2153" s="16" t="str">
        <f>VLOOKUP(C2153,[1]master_data!$A$2:$E$495,5,FALSE)</f>
        <v>Aksesoris</v>
      </c>
      <c r="L2153" s="1"/>
    </row>
    <row r="2154" spans="1:12" ht="12" customHeight="1" x14ac:dyDescent="0.25">
      <c r="A2154" s="15">
        <v>44980</v>
      </c>
      <c r="B2154" s="16">
        <v>22300348</v>
      </c>
      <c r="C2154" s="16" t="s">
        <v>436</v>
      </c>
      <c r="D2154" s="16" t="str">
        <f>VLOOKUP(C2154,[1]master_data!$A$2:$E$495,2,FALSE)</f>
        <v>NENTINEN</v>
      </c>
      <c r="E2154" s="16">
        <v>15</v>
      </c>
      <c r="F2154" s="16">
        <f>VLOOKUP(C2154,[1]master_data!$A$2:$E$495,3,FALSE)</f>
        <v>1000</v>
      </c>
      <c r="G2154" s="16">
        <f>VLOOKUP(C2154,[1]master_data!$A$2:$E$495,4,FALSE)</f>
        <v>2500</v>
      </c>
      <c r="H2154" s="16">
        <f>E2154*F2154</f>
        <v>15000</v>
      </c>
      <c r="I2154" s="16">
        <f>E2154*G2154</f>
        <v>37500</v>
      </c>
      <c r="J2154" s="16">
        <f>I2154-H2154</f>
        <v>22500</v>
      </c>
      <c r="K2154" s="16" t="str">
        <f>VLOOKUP(C2154,[1]master_data!$A$2:$E$495,5,FALSE)</f>
        <v>Ikan</v>
      </c>
      <c r="L2154" s="1"/>
    </row>
    <row r="2155" spans="1:12" ht="12" customHeight="1" x14ac:dyDescent="0.25">
      <c r="A2155" s="15">
        <v>44980</v>
      </c>
      <c r="B2155" s="16">
        <v>22300349</v>
      </c>
      <c r="C2155" s="16" t="s">
        <v>253</v>
      </c>
      <c r="D2155" s="16" t="str">
        <f>VLOOKUP(C2155,[1]master_data!$A$2:$E$495,2,FALSE)</f>
        <v>ACRIPLAVIN</v>
      </c>
      <c r="E2155" s="16">
        <v>30</v>
      </c>
      <c r="F2155" s="16">
        <f>VLOOKUP(C2155,[1]master_data!$A$2:$E$495,3,FALSE)</f>
        <v>3000</v>
      </c>
      <c r="G2155" s="16">
        <f>VLOOKUP(C2155,[1]master_data!$A$2:$E$495,4,FALSE)</f>
        <v>8000</v>
      </c>
      <c r="H2155" s="16">
        <f>E2155*F2155</f>
        <v>90000</v>
      </c>
      <c r="I2155" s="16">
        <f>E2155*G2155</f>
        <v>240000</v>
      </c>
      <c r="J2155" s="16">
        <f>I2155-H2155</f>
        <v>150000</v>
      </c>
      <c r="K2155" s="16" t="str">
        <f>VLOOKUP(C2155,[1]master_data!$A$2:$E$495,5,FALSE)</f>
        <v>Aksesoris</v>
      </c>
      <c r="L2155" s="1"/>
    </row>
    <row r="2156" spans="1:12" ht="12" customHeight="1" x14ac:dyDescent="0.25">
      <c r="A2156" s="15">
        <v>44980</v>
      </c>
      <c r="B2156" s="16">
        <v>22300350</v>
      </c>
      <c r="C2156" s="16" t="s">
        <v>437</v>
      </c>
      <c r="D2156" s="16" t="str">
        <f>VLOOKUP(C2156,[1]master_data!$A$2:$E$495,2,FALSE)</f>
        <v>NEON</v>
      </c>
      <c r="E2156" s="16">
        <v>19</v>
      </c>
      <c r="F2156" s="16">
        <f>VLOOKUP(C2156,[1]master_data!$A$2:$E$495,3,FALSE)</f>
        <v>1250</v>
      </c>
      <c r="G2156" s="16">
        <f>VLOOKUP(C2156,[1]master_data!$A$2:$E$495,4,FALSE)</f>
        <v>5000</v>
      </c>
      <c r="H2156" s="16">
        <f>E2156*F2156</f>
        <v>23750</v>
      </c>
      <c r="I2156" s="16">
        <f>E2156*G2156</f>
        <v>95000</v>
      </c>
      <c r="J2156" s="16">
        <f>I2156-H2156</f>
        <v>71250</v>
      </c>
      <c r="K2156" s="16" t="str">
        <f>VLOOKUP(C2156,[1]master_data!$A$2:$E$495,5,FALSE)</f>
        <v>Ikan</v>
      </c>
      <c r="L2156" s="1"/>
    </row>
    <row r="2157" spans="1:12" ht="12" customHeight="1" x14ac:dyDescent="0.25">
      <c r="A2157" s="15">
        <v>44980</v>
      </c>
      <c r="B2157" s="16">
        <v>22300351</v>
      </c>
      <c r="C2157" s="16" t="s">
        <v>459</v>
      </c>
      <c r="D2157" s="16" t="str">
        <f>VLOOKUP(C2157,[1]master_data!$A$2:$E$495,2,FALSE)</f>
        <v>SEPAT</v>
      </c>
      <c r="E2157" s="16">
        <v>2</v>
      </c>
      <c r="F2157" s="16">
        <f>VLOOKUP(C2157,[1]master_data!$A$2:$E$495,3,FALSE)</f>
        <v>600</v>
      </c>
      <c r="G2157" s="16">
        <f>VLOOKUP(C2157,[1]master_data!$A$2:$E$495,4,FALSE)</f>
        <v>2000</v>
      </c>
      <c r="H2157" s="16">
        <f>E2157*F2157</f>
        <v>1200</v>
      </c>
      <c r="I2157" s="16">
        <f>E2157*G2157</f>
        <v>4000</v>
      </c>
      <c r="J2157" s="16">
        <f>I2157-H2157</f>
        <v>2800</v>
      </c>
      <c r="K2157" s="16" t="str">
        <f>VLOOKUP(C2157,[1]master_data!$A$2:$E$495,5,FALSE)</f>
        <v>Ikan</v>
      </c>
      <c r="L2157" s="1"/>
    </row>
    <row r="2158" spans="1:12" ht="12" customHeight="1" x14ac:dyDescent="0.25">
      <c r="A2158" s="15">
        <v>44980</v>
      </c>
      <c r="B2158" s="16">
        <v>22300352</v>
      </c>
      <c r="C2158" s="16" t="s">
        <v>422</v>
      </c>
      <c r="D2158" s="16" t="str">
        <f>VLOOKUP(C2158,[1]master_data!$A$2:$E$495,2,FALSE)</f>
        <v>KOI SLAYER B</v>
      </c>
      <c r="E2158" s="16">
        <v>1</v>
      </c>
      <c r="F2158" s="16">
        <f>VLOOKUP(C2158,[1]master_data!$A$2:$E$495,3,FALSE)</f>
        <v>8000</v>
      </c>
      <c r="G2158" s="16">
        <f>VLOOKUP(C2158,[1]master_data!$A$2:$E$495,4,FALSE)</f>
        <v>20000</v>
      </c>
      <c r="H2158" s="16">
        <f>E2158*F2158</f>
        <v>8000</v>
      </c>
      <c r="I2158" s="16">
        <f>E2158*G2158</f>
        <v>20000</v>
      </c>
      <c r="J2158" s="16">
        <f>I2158-H2158</f>
        <v>12000</v>
      </c>
      <c r="K2158" s="16" t="str">
        <f>VLOOKUP(C2158,[1]master_data!$A$2:$E$495,5,FALSE)</f>
        <v>Ikan</v>
      </c>
      <c r="L2158" s="1"/>
    </row>
    <row r="2159" spans="1:12" ht="12" customHeight="1" x14ac:dyDescent="0.25">
      <c r="A2159" s="15">
        <v>44979</v>
      </c>
      <c r="B2159" s="16">
        <v>22300339</v>
      </c>
      <c r="C2159" s="16" t="s">
        <v>72</v>
      </c>
      <c r="D2159" s="16" t="str">
        <f>VLOOKUP(C2159,[1]master_data!$A$2:$E$495,2,FALSE)</f>
        <v>MESIN RESUN 1200</v>
      </c>
      <c r="E2159" s="16">
        <v>5</v>
      </c>
      <c r="F2159" s="16">
        <f>VLOOKUP(C2159,[1]master_data!$A$2:$E$495,3,FALSE)</f>
        <v>55000</v>
      </c>
      <c r="G2159" s="16">
        <f>VLOOKUP(C2159,[1]master_data!$A$2:$E$495,4,FALSE)</f>
        <v>75000</v>
      </c>
      <c r="H2159" s="16">
        <f>E2159*F2159</f>
        <v>275000</v>
      </c>
      <c r="I2159" s="16">
        <f>E2159*G2159</f>
        <v>375000</v>
      </c>
      <c r="J2159" s="16">
        <f>I2159-H2159</f>
        <v>100000</v>
      </c>
      <c r="K2159" s="16" t="str">
        <f>VLOOKUP(C2159,[1]master_data!$A$2:$E$495,5,FALSE)</f>
        <v>Aksesoris</v>
      </c>
      <c r="L2159" s="1"/>
    </row>
    <row r="2160" spans="1:12" ht="12" customHeight="1" x14ac:dyDescent="0.25">
      <c r="A2160" s="15">
        <v>44979</v>
      </c>
      <c r="B2160" s="16">
        <v>22300340</v>
      </c>
      <c r="C2160" s="16" t="s">
        <v>296</v>
      </c>
      <c r="D2160" s="16" t="str">
        <f>VLOOKUP(C2160,[1]master_data!$A$2:$E$495,2,FALSE)</f>
        <v>MAGNET M</v>
      </c>
      <c r="E2160" s="16">
        <v>1</v>
      </c>
      <c r="F2160" s="16">
        <f>VLOOKUP(C2160,[1]master_data!$A$2:$E$495,3,FALSE)</f>
        <v>36000</v>
      </c>
      <c r="G2160" s="16">
        <f>VLOOKUP(C2160,[1]master_data!$A$2:$E$495,4,FALSE)</f>
        <v>50000</v>
      </c>
      <c r="H2160" s="16">
        <f>E2160*F2160</f>
        <v>36000</v>
      </c>
      <c r="I2160" s="16">
        <f>E2160*G2160</f>
        <v>50000</v>
      </c>
      <c r="J2160" s="16">
        <f>I2160-H2160</f>
        <v>14000</v>
      </c>
      <c r="K2160" s="16" t="str">
        <f>VLOOKUP(C2160,[1]master_data!$A$2:$E$495,5,FALSE)</f>
        <v>Aksesoris</v>
      </c>
      <c r="L2160" s="1"/>
    </row>
    <row r="2161" spans="1:12" ht="12" customHeight="1" x14ac:dyDescent="0.25">
      <c r="A2161" s="15">
        <v>44979</v>
      </c>
      <c r="B2161" s="16">
        <v>22300341</v>
      </c>
      <c r="C2161" s="16" t="s">
        <v>441</v>
      </c>
      <c r="D2161" s="16" t="str">
        <f>VLOOKUP(C2161,[1]master_data!$A$2:$E$495,2,FALSE)</f>
        <v>PALMAS</v>
      </c>
      <c r="E2161" s="16">
        <v>10</v>
      </c>
      <c r="F2161" s="16">
        <f>VLOOKUP(C2161,[1]master_data!$A$2:$E$495,3,FALSE)</f>
        <v>10000</v>
      </c>
      <c r="G2161" s="16">
        <f>VLOOKUP(C2161,[1]master_data!$A$2:$E$495,4,FALSE)</f>
        <v>25000</v>
      </c>
      <c r="H2161" s="16">
        <f>E2161*F2161</f>
        <v>100000</v>
      </c>
      <c r="I2161" s="16">
        <f>E2161*G2161</f>
        <v>250000</v>
      </c>
      <c r="J2161" s="16">
        <f>I2161-H2161</f>
        <v>150000</v>
      </c>
      <c r="K2161" s="16" t="str">
        <f>VLOOKUP(C2161,[1]master_data!$A$2:$E$495,5,FALSE)</f>
        <v>Ikan</v>
      </c>
      <c r="L2161" s="1"/>
    </row>
    <row r="2162" spans="1:12" ht="12" customHeight="1" x14ac:dyDescent="0.25">
      <c r="A2162" s="15">
        <v>44979</v>
      </c>
      <c r="B2162" s="16">
        <v>22300342</v>
      </c>
      <c r="C2162" s="16" t="s">
        <v>449</v>
      </c>
      <c r="D2162" s="16" t="str">
        <f>VLOOKUP(C2162,[1]master_data!$A$2:$E$495,2,FALSE)</f>
        <v>SUMATRA GOLD FISH</v>
      </c>
      <c r="E2162" s="16">
        <v>40</v>
      </c>
      <c r="F2162" s="16">
        <f>VLOOKUP(C2162,[1]master_data!$A$2:$E$495,3,FALSE)</f>
        <v>2500</v>
      </c>
      <c r="G2162" s="16">
        <f>VLOOKUP(C2162,[1]master_data!$A$2:$E$495,4,FALSE)</f>
        <v>4000</v>
      </c>
      <c r="H2162" s="16">
        <f>E2162*F2162</f>
        <v>100000</v>
      </c>
      <c r="I2162" s="16">
        <f>E2162*G2162</f>
        <v>160000</v>
      </c>
      <c r="J2162" s="16">
        <f>I2162-H2162</f>
        <v>60000</v>
      </c>
      <c r="K2162" s="16" t="str">
        <f>VLOOKUP(C2162,[1]master_data!$A$2:$E$495,5,FALSE)</f>
        <v>Ikan</v>
      </c>
      <c r="L2162" s="1"/>
    </row>
    <row r="2163" spans="1:12" ht="12" customHeight="1" x14ac:dyDescent="0.25">
      <c r="A2163" s="15">
        <v>44979</v>
      </c>
      <c r="B2163" s="16">
        <v>22300343</v>
      </c>
      <c r="C2163" s="16" t="s">
        <v>412</v>
      </c>
      <c r="D2163" s="16" t="str">
        <f>VLOOKUP(C2163,[1]master_data!$A$2:$E$495,2,FALSE)</f>
        <v>KOKI T</v>
      </c>
      <c r="E2163" s="16">
        <v>1</v>
      </c>
      <c r="F2163" s="16">
        <f>VLOOKUP(C2163,[1]master_data!$A$2:$E$495,3,FALSE)</f>
        <v>8000</v>
      </c>
      <c r="G2163" s="16">
        <f>VLOOKUP(C2163,[1]master_data!$A$2:$E$495,4,FALSE)</f>
        <v>15000</v>
      </c>
      <c r="H2163" s="16">
        <f>E2163*F2163</f>
        <v>8000</v>
      </c>
      <c r="I2163" s="16">
        <f>E2163*G2163</f>
        <v>15000</v>
      </c>
      <c r="J2163" s="16">
        <f>I2163-H2163</f>
        <v>7000</v>
      </c>
      <c r="K2163" s="16" t="str">
        <f>VLOOKUP(C2163,[1]master_data!$A$2:$E$495,5,FALSE)</f>
        <v>Ikan</v>
      </c>
      <c r="L2163" s="1"/>
    </row>
    <row r="2164" spans="1:12" ht="12" customHeight="1" x14ac:dyDescent="0.25">
      <c r="A2164" s="15">
        <v>44979</v>
      </c>
      <c r="B2164" s="16">
        <v>22300344</v>
      </c>
      <c r="C2164" s="16" t="s">
        <v>406</v>
      </c>
      <c r="D2164" s="16" t="str">
        <f>VLOOKUP(C2164,[1]master_data!$A$2:$E$495,2,FALSE)</f>
        <v>CATFISH</v>
      </c>
      <c r="E2164" s="16">
        <v>1</v>
      </c>
      <c r="F2164" s="16">
        <f>VLOOKUP(C2164,[1]master_data!$A$2:$E$495,3,FALSE)</f>
        <v>20000</v>
      </c>
      <c r="G2164" s="16">
        <f>VLOOKUP(C2164,[1]master_data!$A$2:$E$495,4,FALSE)</f>
        <v>50000</v>
      </c>
      <c r="H2164" s="16">
        <f>E2164*F2164</f>
        <v>20000</v>
      </c>
      <c r="I2164" s="16">
        <f>E2164*G2164</f>
        <v>50000</v>
      </c>
      <c r="J2164" s="16">
        <f>I2164-H2164</f>
        <v>30000</v>
      </c>
      <c r="K2164" s="16" t="str">
        <f>VLOOKUP(C2164,[1]master_data!$A$2:$E$495,5,FALSE)</f>
        <v>Ikan</v>
      </c>
      <c r="L2164" s="1"/>
    </row>
    <row r="2165" spans="1:12" ht="12" customHeight="1" x14ac:dyDescent="0.25">
      <c r="A2165" s="15">
        <v>44979</v>
      </c>
      <c r="B2165" s="16">
        <v>22300345</v>
      </c>
      <c r="C2165" s="16" t="s">
        <v>441</v>
      </c>
      <c r="D2165" s="16" t="str">
        <f>VLOOKUP(C2165,[1]master_data!$A$2:$E$495,2,FALSE)</f>
        <v>PALMAS</v>
      </c>
      <c r="E2165" s="16">
        <v>10</v>
      </c>
      <c r="F2165" s="16">
        <f>VLOOKUP(C2165,[1]master_data!$A$2:$E$495,3,FALSE)</f>
        <v>10000</v>
      </c>
      <c r="G2165" s="16">
        <f>VLOOKUP(C2165,[1]master_data!$A$2:$E$495,4,FALSE)</f>
        <v>25000</v>
      </c>
      <c r="H2165" s="16">
        <f>E2165*F2165</f>
        <v>100000</v>
      </c>
      <c r="I2165" s="16">
        <f>E2165*G2165</f>
        <v>250000</v>
      </c>
      <c r="J2165" s="16">
        <f>I2165-H2165</f>
        <v>150000</v>
      </c>
      <c r="K2165" s="16" t="str">
        <f>VLOOKUP(C2165,[1]master_data!$A$2:$E$495,5,FALSE)</f>
        <v>Ikan</v>
      </c>
      <c r="L2165" s="1"/>
    </row>
    <row r="2166" spans="1:12" ht="12" customHeight="1" x14ac:dyDescent="0.25">
      <c r="A2166" s="15">
        <v>44978</v>
      </c>
      <c r="B2166" s="16">
        <v>22300334</v>
      </c>
      <c r="C2166" s="16" t="s">
        <v>387</v>
      </c>
      <c r="D2166" s="16" t="str">
        <f>VLOOKUP(C2166,[1]master_data!$A$2:$E$495,2,FALSE)</f>
        <v>BATU ALAM K</v>
      </c>
      <c r="E2166" s="16">
        <v>25</v>
      </c>
      <c r="F2166" s="16">
        <f>VLOOKUP(C2166,[1]master_data!$A$2:$E$495,3,FALSE)</f>
        <v>5000</v>
      </c>
      <c r="G2166" s="16">
        <f>VLOOKUP(C2166,[1]master_data!$A$2:$E$495,4,FALSE)</f>
        <v>10000</v>
      </c>
      <c r="H2166" s="16">
        <f>E2166*F2166</f>
        <v>125000</v>
      </c>
      <c r="I2166" s="16">
        <f>E2166*G2166</f>
        <v>250000</v>
      </c>
      <c r="J2166" s="16">
        <f>I2166-H2166</f>
        <v>125000</v>
      </c>
      <c r="K2166" s="16" t="str">
        <f>VLOOKUP(C2166,[1]master_data!$A$2:$E$495,5,FALSE)</f>
        <v>Aksesoris</v>
      </c>
      <c r="L2166" s="1"/>
    </row>
    <row r="2167" spans="1:12" ht="12" customHeight="1" x14ac:dyDescent="0.25">
      <c r="A2167" s="15">
        <v>44978</v>
      </c>
      <c r="B2167" s="16">
        <v>22300335</v>
      </c>
      <c r="C2167" s="16" t="s">
        <v>294</v>
      </c>
      <c r="D2167" s="16" t="str">
        <f>VLOOKUP(C2167,[1]master_data!$A$2:$E$495,2,FALSE)</f>
        <v>LEM SEALANT</v>
      </c>
      <c r="E2167" s="16">
        <v>15</v>
      </c>
      <c r="F2167" s="16">
        <f>VLOOKUP(C2167,[1]master_data!$A$2:$E$495,3,FALSE)</f>
        <v>7000</v>
      </c>
      <c r="G2167" s="16">
        <f>VLOOKUP(C2167,[1]master_data!$A$2:$E$495,4,FALSE)</f>
        <v>10000</v>
      </c>
      <c r="H2167" s="16">
        <f>E2167*F2167</f>
        <v>105000</v>
      </c>
      <c r="I2167" s="16">
        <f>E2167*G2167</f>
        <v>150000</v>
      </c>
      <c r="J2167" s="16">
        <f>I2167-H2167</f>
        <v>45000</v>
      </c>
      <c r="K2167" s="16" t="str">
        <f>VLOOKUP(C2167,[1]master_data!$A$2:$E$495,5,FALSE)</f>
        <v>Aksesoris</v>
      </c>
      <c r="L2167" s="1"/>
    </row>
    <row r="2168" spans="1:12" ht="12" customHeight="1" x14ac:dyDescent="0.25">
      <c r="A2168" s="15">
        <v>44978</v>
      </c>
      <c r="B2168" s="16">
        <v>22300336</v>
      </c>
      <c r="C2168" s="16" t="s">
        <v>291</v>
      </c>
      <c r="D2168" s="16" t="str">
        <f>VLOOKUP(C2168,[1]master_data!$A$2:$E$495,2,FALSE)</f>
        <v>MAINAN KODOK</v>
      </c>
      <c r="E2168" s="16">
        <v>10</v>
      </c>
      <c r="F2168" s="16">
        <f>VLOOKUP(C2168,[1]master_data!$A$2:$E$495,3,FALSE)</f>
        <v>11000</v>
      </c>
      <c r="G2168" s="16">
        <f>VLOOKUP(C2168,[1]master_data!$A$2:$E$495,4,FALSE)</f>
        <v>20000</v>
      </c>
      <c r="H2168" s="16">
        <f>E2168*F2168</f>
        <v>110000</v>
      </c>
      <c r="I2168" s="16">
        <f>E2168*G2168</f>
        <v>200000</v>
      </c>
      <c r="J2168" s="16">
        <f>I2168-H2168</f>
        <v>90000</v>
      </c>
      <c r="K2168" s="16" t="str">
        <f>VLOOKUP(C2168,[1]master_data!$A$2:$E$495,5,FALSE)</f>
        <v>Aksesoris</v>
      </c>
      <c r="L2168" s="1"/>
    </row>
    <row r="2169" spans="1:12" ht="12" customHeight="1" x14ac:dyDescent="0.25">
      <c r="A2169" s="15">
        <v>44978</v>
      </c>
      <c r="B2169" s="16">
        <v>22300337</v>
      </c>
      <c r="C2169" s="16" t="s">
        <v>442</v>
      </c>
      <c r="D2169" s="16" t="str">
        <f>VLOOKUP(C2169,[1]master_data!$A$2:$E$495,2,FALSE)</f>
        <v>PARROT</v>
      </c>
      <c r="E2169" s="16">
        <v>1</v>
      </c>
      <c r="F2169" s="16">
        <f>VLOOKUP(C2169,[1]master_data!$A$2:$E$495,3,FALSE)</f>
        <v>27000</v>
      </c>
      <c r="G2169" s="16">
        <f>VLOOKUP(C2169,[1]master_data!$A$2:$E$495,4,FALSE)</f>
        <v>60000</v>
      </c>
      <c r="H2169" s="16">
        <f>E2169*F2169</f>
        <v>27000</v>
      </c>
      <c r="I2169" s="16">
        <f>E2169*G2169</f>
        <v>60000</v>
      </c>
      <c r="J2169" s="16">
        <f>I2169-H2169</f>
        <v>33000</v>
      </c>
      <c r="K2169" s="16" t="str">
        <f>VLOOKUP(C2169,[1]master_data!$A$2:$E$495,5,FALSE)</f>
        <v>Ikan</v>
      </c>
      <c r="L2169" s="1"/>
    </row>
    <row r="2170" spans="1:12" ht="12" customHeight="1" x14ac:dyDescent="0.25">
      <c r="A2170" s="15">
        <v>44978</v>
      </c>
      <c r="B2170" s="16">
        <v>22300338</v>
      </c>
      <c r="C2170" s="16" t="s">
        <v>431</v>
      </c>
      <c r="D2170" s="16" t="str">
        <f>VLOOKUP(C2170,[1]master_data!$A$2:$E$495,2,FALSE)</f>
        <v>MARU B</v>
      </c>
      <c r="E2170" s="16">
        <v>2</v>
      </c>
      <c r="F2170" s="16">
        <f>VLOOKUP(C2170,[1]master_data!$A$2:$E$495,3,FALSE)</f>
        <v>90000</v>
      </c>
      <c r="G2170" s="16">
        <f>VLOOKUP(C2170,[1]master_data!$A$2:$E$495,4,FALSE)</f>
        <v>150000</v>
      </c>
      <c r="H2170" s="16">
        <f>E2170*F2170</f>
        <v>180000</v>
      </c>
      <c r="I2170" s="16">
        <f>E2170*G2170</f>
        <v>300000</v>
      </c>
      <c r="J2170" s="16">
        <f>I2170-H2170</f>
        <v>120000</v>
      </c>
      <c r="K2170" s="16" t="str">
        <f>VLOOKUP(C2170,[1]master_data!$A$2:$E$495,5,FALSE)</f>
        <v>Ikan</v>
      </c>
      <c r="L2170" s="1"/>
    </row>
    <row r="2171" spans="1:12" ht="12" customHeight="1" x14ac:dyDescent="0.25">
      <c r="A2171" s="15">
        <v>44977</v>
      </c>
      <c r="B2171" s="16">
        <v>22300326</v>
      </c>
      <c r="C2171" s="16" t="s">
        <v>416</v>
      </c>
      <c r="D2171" s="16" t="str">
        <f>VLOOKUP(C2171,[1]master_data!$A$2:$E$495,2,FALSE)</f>
        <v>KOI B</v>
      </c>
      <c r="E2171" s="16">
        <v>2</v>
      </c>
      <c r="F2171" s="16">
        <f>VLOOKUP(C2171,[1]master_data!$A$2:$E$495,3,FALSE)</f>
        <v>9000</v>
      </c>
      <c r="G2171" s="16">
        <f>VLOOKUP(C2171,[1]master_data!$A$2:$E$495,4,FALSE)</f>
        <v>30000</v>
      </c>
      <c r="H2171" s="16">
        <f>E2171*F2171</f>
        <v>18000</v>
      </c>
      <c r="I2171" s="16">
        <f>E2171*G2171</f>
        <v>60000</v>
      </c>
      <c r="J2171" s="16">
        <f>I2171-H2171</f>
        <v>42000</v>
      </c>
      <c r="K2171" s="16" t="str">
        <f>VLOOKUP(C2171,[1]master_data!$A$2:$E$495,5,FALSE)</f>
        <v>Ikan</v>
      </c>
      <c r="L2171" s="1"/>
    </row>
    <row r="2172" spans="1:12" ht="12" customHeight="1" x14ac:dyDescent="0.25">
      <c r="A2172" s="15">
        <v>44977</v>
      </c>
      <c r="B2172" s="16">
        <v>22300327</v>
      </c>
      <c r="C2172" s="16" t="s">
        <v>339</v>
      </c>
      <c r="D2172" s="16" t="str">
        <f>VLOOKUP(C2172,[1]master_data!$A$2:$E$495,2,FALSE)</f>
        <v>FOOD TIMER AMARA 8431</v>
      </c>
      <c r="E2172" s="16">
        <v>1</v>
      </c>
      <c r="F2172" s="16">
        <f>VLOOKUP(C2172,[1]master_data!$A$2:$E$495,3,FALSE)</f>
        <v>45000</v>
      </c>
      <c r="G2172" s="16">
        <f>VLOOKUP(C2172,[1]master_data!$A$2:$E$495,4,FALSE)</f>
        <v>115000</v>
      </c>
      <c r="H2172" s="16">
        <f>E2172*F2172</f>
        <v>45000</v>
      </c>
      <c r="I2172" s="16">
        <f>E2172*G2172</f>
        <v>115000</v>
      </c>
      <c r="J2172" s="16">
        <f>I2172-H2172</f>
        <v>70000</v>
      </c>
      <c r="K2172" s="16" t="str">
        <f>VLOOKUP(C2172,[1]master_data!$A$2:$E$495,5,FALSE)</f>
        <v>Aksesoris</v>
      </c>
      <c r="L2172" s="1"/>
    </row>
    <row r="2173" spans="1:12" ht="12" customHeight="1" x14ac:dyDescent="0.25">
      <c r="A2173" s="15">
        <v>44977</v>
      </c>
      <c r="B2173" s="16">
        <v>22300328</v>
      </c>
      <c r="C2173" s="16" t="s">
        <v>132</v>
      </c>
      <c r="D2173" s="16" t="str">
        <f>VLOOKUP(C2173,[1]master_data!$A$2:$E$495,2,FALSE)</f>
        <v>LED YAMANO S1000</v>
      </c>
      <c r="E2173" s="16">
        <v>2</v>
      </c>
      <c r="F2173" s="16">
        <f>VLOOKUP(C2173,[1]master_data!$A$2:$E$495,3,FALSE)</f>
        <v>100000</v>
      </c>
      <c r="G2173" s="16">
        <f>VLOOKUP(C2173,[1]master_data!$A$2:$E$495,4,FALSE)</f>
        <v>140000</v>
      </c>
      <c r="H2173" s="16">
        <f>E2173*F2173</f>
        <v>200000</v>
      </c>
      <c r="I2173" s="16">
        <f>E2173*G2173</f>
        <v>280000</v>
      </c>
      <c r="J2173" s="16">
        <f>I2173-H2173</f>
        <v>80000</v>
      </c>
      <c r="K2173" s="16" t="str">
        <f>VLOOKUP(C2173,[1]master_data!$A$2:$E$495,5,FALSE)</f>
        <v>Aksesoris</v>
      </c>
      <c r="L2173" s="1"/>
    </row>
    <row r="2174" spans="1:12" ht="12" customHeight="1" x14ac:dyDescent="0.25">
      <c r="A2174" s="15">
        <v>44977</v>
      </c>
      <c r="B2174" s="16">
        <v>22300329</v>
      </c>
      <c r="C2174" s="16" t="s">
        <v>441</v>
      </c>
      <c r="D2174" s="16" t="str">
        <f>VLOOKUP(C2174,[1]master_data!$A$2:$E$495,2,FALSE)</f>
        <v>PALMAS</v>
      </c>
      <c r="E2174" s="16">
        <v>1</v>
      </c>
      <c r="F2174" s="16">
        <f>VLOOKUP(C2174,[1]master_data!$A$2:$E$495,3,FALSE)</f>
        <v>10000</v>
      </c>
      <c r="G2174" s="16">
        <f>VLOOKUP(C2174,[1]master_data!$A$2:$E$495,4,FALSE)</f>
        <v>25000</v>
      </c>
      <c r="H2174" s="16">
        <f>E2174*F2174</f>
        <v>10000</v>
      </c>
      <c r="I2174" s="16">
        <f>E2174*G2174</f>
        <v>25000</v>
      </c>
      <c r="J2174" s="16">
        <f>I2174-H2174</f>
        <v>15000</v>
      </c>
      <c r="K2174" s="16" t="str">
        <f>VLOOKUP(C2174,[1]master_data!$A$2:$E$495,5,FALSE)</f>
        <v>Ikan</v>
      </c>
      <c r="L2174" s="1"/>
    </row>
    <row r="2175" spans="1:12" ht="12" customHeight="1" x14ac:dyDescent="0.25">
      <c r="A2175" s="15">
        <v>44977</v>
      </c>
      <c r="B2175" s="16">
        <v>22300330</v>
      </c>
      <c r="C2175" s="16" t="s">
        <v>415</v>
      </c>
      <c r="D2175" s="16" t="str">
        <f>VLOOKUP(C2175,[1]master_data!$A$2:$E$495,2,FALSE)</f>
        <v>KOI T</v>
      </c>
      <c r="E2175" s="16">
        <v>5</v>
      </c>
      <c r="F2175" s="16">
        <f>VLOOKUP(C2175,[1]master_data!$A$2:$E$495,3,FALSE)</f>
        <v>7000</v>
      </c>
      <c r="G2175" s="16">
        <f>VLOOKUP(C2175,[1]master_data!$A$2:$E$495,4,FALSE)</f>
        <v>20000</v>
      </c>
      <c r="H2175" s="16">
        <f>E2175*F2175</f>
        <v>35000</v>
      </c>
      <c r="I2175" s="16">
        <f>E2175*G2175</f>
        <v>100000</v>
      </c>
      <c r="J2175" s="16">
        <f>I2175-H2175</f>
        <v>65000</v>
      </c>
      <c r="K2175" s="16" t="str">
        <f>VLOOKUP(C2175,[1]master_data!$A$2:$E$495,5,FALSE)</f>
        <v>Ikan</v>
      </c>
      <c r="L2175" s="1"/>
    </row>
    <row r="2176" spans="1:12" ht="12" customHeight="1" x14ac:dyDescent="0.25">
      <c r="A2176" s="15">
        <v>44977</v>
      </c>
      <c r="B2176" s="16">
        <v>22300331</v>
      </c>
      <c r="C2176" s="16" t="s">
        <v>423</v>
      </c>
      <c r="D2176" s="16" t="str">
        <f>VLOOKUP(C2176,[1]master_data!$A$2:$E$495,2,FALSE)</f>
        <v>CAROLINE</v>
      </c>
      <c r="E2176" s="16">
        <v>20</v>
      </c>
      <c r="F2176" s="16">
        <f>VLOOKUP(C2176,[1]master_data!$A$2:$E$495,3,FALSE)</f>
        <v>900</v>
      </c>
      <c r="G2176" s="16">
        <f>VLOOKUP(C2176,[1]master_data!$A$2:$E$495,4,FALSE)</f>
        <v>2000</v>
      </c>
      <c r="H2176" s="16">
        <f>E2176*F2176</f>
        <v>18000</v>
      </c>
      <c r="I2176" s="16">
        <f>E2176*G2176</f>
        <v>40000</v>
      </c>
      <c r="J2176" s="16">
        <f>I2176-H2176</f>
        <v>22000</v>
      </c>
      <c r="K2176" s="16" t="str">
        <f>VLOOKUP(C2176,[1]master_data!$A$2:$E$495,5,FALSE)</f>
        <v>Ikan</v>
      </c>
      <c r="L2176" s="1"/>
    </row>
    <row r="2177" spans="1:12" ht="12" customHeight="1" x14ac:dyDescent="0.25">
      <c r="A2177" s="15">
        <v>44977</v>
      </c>
      <c r="B2177" s="16">
        <v>22300332</v>
      </c>
      <c r="C2177" s="16" t="s">
        <v>397</v>
      </c>
      <c r="D2177" s="16" t="str">
        <f>VLOOKUP(C2177,[1]master_data!$A$2:$E$495,2,FALSE)</f>
        <v>BUENOS AIRES TETRA</v>
      </c>
      <c r="E2177" s="16">
        <v>5</v>
      </c>
      <c r="F2177" s="16">
        <f>VLOOKUP(C2177,[1]master_data!$A$2:$E$495,3,FALSE)</f>
        <v>800</v>
      </c>
      <c r="G2177" s="16">
        <f>VLOOKUP(C2177,[1]master_data!$A$2:$E$495,4,FALSE)</f>
        <v>2000</v>
      </c>
      <c r="H2177" s="16">
        <f>E2177*F2177</f>
        <v>4000</v>
      </c>
      <c r="I2177" s="16">
        <f>E2177*G2177</f>
        <v>10000</v>
      </c>
      <c r="J2177" s="16">
        <f>I2177-H2177</f>
        <v>6000</v>
      </c>
      <c r="K2177" s="16" t="str">
        <f>VLOOKUP(C2177,[1]master_data!$A$2:$E$495,5,FALSE)</f>
        <v>Ikan</v>
      </c>
      <c r="L2177" s="1"/>
    </row>
    <row r="2178" spans="1:12" ht="12" customHeight="1" x14ac:dyDescent="0.25">
      <c r="A2178" s="15">
        <v>44977</v>
      </c>
      <c r="B2178" s="16">
        <v>22300333</v>
      </c>
      <c r="C2178" s="16" t="s">
        <v>441</v>
      </c>
      <c r="D2178" s="16" t="str">
        <f>VLOOKUP(C2178,[1]master_data!$A$2:$E$495,2,FALSE)</f>
        <v>PALMAS</v>
      </c>
      <c r="E2178" s="16">
        <v>10</v>
      </c>
      <c r="F2178" s="16">
        <f>VLOOKUP(C2178,[1]master_data!$A$2:$E$495,3,FALSE)</f>
        <v>10000</v>
      </c>
      <c r="G2178" s="16">
        <f>VLOOKUP(C2178,[1]master_data!$A$2:$E$495,4,FALSE)</f>
        <v>25000</v>
      </c>
      <c r="H2178" s="16">
        <f>E2178*F2178</f>
        <v>100000</v>
      </c>
      <c r="I2178" s="16">
        <f>E2178*G2178</f>
        <v>250000</v>
      </c>
      <c r="J2178" s="16">
        <f>I2178-H2178</f>
        <v>150000</v>
      </c>
      <c r="K2178" s="16" t="str">
        <f>VLOOKUP(C2178,[1]master_data!$A$2:$E$495,5,FALSE)</f>
        <v>Ikan</v>
      </c>
      <c r="L2178" s="1"/>
    </row>
    <row r="2179" spans="1:12" ht="12" customHeight="1" x14ac:dyDescent="0.25">
      <c r="A2179" s="15">
        <v>44976</v>
      </c>
      <c r="B2179" s="16">
        <v>22300320</v>
      </c>
      <c r="C2179" s="16" t="s">
        <v>448</v>
      </c>
      <c r="D2179" s="16" t="str">
        <f>VLOOKUP(C2179,[1]master_data!$A$2:$E$495,2,FALSE)</f>
        <v>SUMATRA BIASA</v>
      </c>
      <c r="E2179" s="16">
        <v>30</v>
      </c>
      <c r="F2179" s="16">
        <f>VLOOKUP(C2179,[1]master_data!$A$2:$E$495,3,FALSE)</f>
        <v>800</v>
      </c>
      <c r="G2179" s="16">
        <f>VLOOKUP(C2179,[1]master_data!$A$2:$E$495,4,FALSE)</f>
        <v>2000</v>
      </c>
      <c r="H2179" s="16">
        <f>E2179*F2179</f>
        <v>24000</v>
      </c>
      <c r="I2179" s="16">
        <f>E2179*G2179</f>
        <v>60000</v>
      </c>
      <c r="J2179" s="16">
        <f>I2179-H2179</f>
        <v>36000</v>
      </c>
      <c r="K2179" s="16" t="str">
        <f>VLOOKUP(C2179,[1]master_data!$A$2:$E$495,5,FALSE)</f>
        <v>Ikan</v>
      </c>
      <c r="L2179" s="1"/>
    </row>
    <row r="2180" spans="1:12" ht="12" customHeight="1" x14ac:dyDescent="0.25">
      <c r="A2180" s="15">
        <v>44976</v>
      </c>
      <c r="B2180" s="16">
        <v>22300321</v>
      </c>
      <c r="C2180" s="16" t="s">
        <v>99</v>
      </c>
      <c r="D2180" s="16" t="str">
        <f>VLOOKUP(C2180,[1]master_data!$A$2:$E$495,2,FALSE)</f>
        <v>MESIN AMARA 105</v>
      </c>
      <c r="E2180" s="16">
        <v>2</v>
      </c>
      <c r="F2180" s="16">
        <f>VLOOKUP(C2180,[1]master_data!$A$2:$E$495,3,FALSE)</f>
        <v>155000</v>
      </c>
      <c r="G2180" s="16">
        <f>VLOOKUP(C2180,[1]master_data!$A$2:$E$495,4,FALSE)</f>
        <v>200000</v>
      </c>
      <c r="H2180" s="16">
        <f>E2180*F2180</f>
        <v>310000</v>
      </c>
      <c r="I2180" s="16">
        <f>E2180*G2180</f>
        <v>400000</v>
      </c>
      <c r="J2180" s="16">
        <f>I2180-H2180</f>
        <v>90000</v>
      </c>
      <c r="K2180" s="16" t="str">
        <f>VLOOKUP(C2180,[1]master_data!$A$2:$E$495,5,FALSE)</f>
        <v>Aksesoris</v>
      </c>
      <c r="L2180" s="1"/>
    </row>
    <row r="2181" spans="1:12" ht="12" customHeight="1" x14ac:dyDescent="0.25">
      <c r="A2181" s="15">
        <v>44976</v>
      </c>
      <c r="B2181" s="16">
        <v>22300322</v>
      </c>
      <c r="C2181" s="16" t="s">
        <v>460</v>
      </c>
      <c r="D2181" s="16" t="str">
        <f>VLOOKUP(C2181,[1]master_data!$A$2:$E$495,2,FALSE)</f>
        <v>SEPAT ALBINO</v>
      </c>
      <c r="E2181" s="16">
        <v>10</v>
      </c>
      <c r="F2181" s="16">
        <f>VLOOKUP(C2181,[1]master_data!$A$2:$E$495,3,FALSE)</f>
        <v>2000</v>
      </c>
      <c r="G2181" s="16">
        <f>VLOOKUP(C2181,[1]master_data!$A$2:$E$495,4,FALSE)</f>
        <v>5000</v>
      </c>
      <c r="H2181" s="16">
        <f>E2181*F2181</f>
        <v>20000</v>
      </c>
      <c r="I2181" s="16">
        <f>E2181*G2181</f>
        <v>50000</v>
      </c>
      <c r="J2181" s="16">
        <f>I2181-H2181</f>
        <v>30000</v>
      </c>
      <c r="K2181" s="16" t="str">
        <f>VLOOKUP(C2181,[1]master_data!$A$2:$E$495,5,FALSE)</f>
        <v>Ikan</v>
      </c>
      <c r="L2181" s="1"/>
    </row>
    <row r="2182" spans="1:12" ht="12" customHeight="1" x14ac:dyDescent="0.25">
      <c r="A2182" s="15">
        <v>44976</v>
      </c>
      <c r="B2182" s="16">
        <v>22300323</v>
      </c>
      <c r="C2182" s="16" t="s">
        <v>401</v>
      </c>
      <c r="D2182" s="16" t="str">
        <f>VLOOKUP(C2182,[1]master_data!$A$2:$E$495,2,FALSE)</f>
        <v>CHANNA BLUE PULCHRA K</v>
      </c>
      <c r="E2182" s="16">
        <v>5</v>
      </c>
      <c r="F2182" s="16">
        <f>VLOOKUP(C2182,[1]master_data!$A$2:$E$495,3,FALSE)</f>
        <v>25000</v>
      </c>
      <c r="G2182" s="16">
        <f>VLOOKUP(C2182,[1]master_data!$A$2:$E$495,4,FALSE)</f>
        <v>50000</v>
      </c>
      <c r="H2182" s="16">
        <f>E2182*F2182</f>
        <v>125000</v>
      </c>
      <c r="I2182" s="16">
        <f>E2182*G2182</f>
        <v>250000</v>
      </c>
      <c r="J2182" s="16">
        <f>I2182-H2182</f>
        <v>125000</v>
      </c>
      <c r="K2182" s="16" t="str">
        <f>VLOOKUP(C2182,[1]master_data!$A$2:$E$495,5,FALSE)</f>
        <v>Ikan</v>
      </c>
      <c r="L2182" s="1"/>
    </row>
    <row r="2183" spans="1:12" ht="12" customHeight="1" x14ac:dyDescent="0.25">
      <c r="A2183" s="15">
        <v>44976</v>
      </c>
      <c r="B2183" s="16">
        <v>22300324</v>
      </c>
      <c r="C2183" s="16" t="s">
        <v>452</v>
      </c>
      <c r="D2183" s="16" t="str">
        <f>VLOOKUP(C2183,[1]master_data!$A$2:$E$495,2,FALSE)</f>
        <v>SYNODONTI B</v>
      </c>
      <c r="E2183" s="16">
        <v>3</v>
      </c>
      <c r="F2183" s="16">
        <f>VLOOKUP(C2183,[1]master_data!$A$2:$E$495,3,FALSE)</f>
        <v>4000</v>
      </c>
      <c r="G2183" s="16">
        <f>VLOOKUP(C2183,[1]master_data!$A$2:$E$495,4,FALSE)</f>
        <v>10000</v>
      </c>
      <c r="H2183" s="16">
        <f>E2183*F2183</f>
        <v>12000</v>
      </c>
      <c r="I2183" s="16">
        <f>E2183*G2183</f>
        <v>30000</v>
      </c>
      <c r="J2183" s="16">
        <f>I2183-H2183</f>
        <v>18000</v>
      </c>
      <c r="K2183" s="16" t="str">
        <f>VLOOKUP(C2183,[1]master_data!$A$2:$E$495,5,FALSE)</f>
        <v>Ikan</v>
      </c>
      <c r="L2183" s="1"/>
    </row>
    <row r="2184" spans="1:12" ht="12" customHeight="1" x14ac:dyDescent="0.25">
      <c r="A2184" s="15">
        <v>44976</v>
      </c>
      <c r="B2184" s="16">
        <v>22300325</v>
      </c>
      <c r="C2184" s="16" t="s">
        <v>457</v>
      </c>
      <c r="D2184" s="16" t="str">
        <f>VLOOKUP(C2184,[1]master_data!$A$2:$E$495,2,FALSE)</f>
        <v>ZEBRA UNGU</v>
      </c>
      <c r="E2184" s="16">
        <v>1</v>
      </c>
      <c r="F2184" s="16">
        <f>VLOOKUP(C2184,[1]master_data!$A$2:$E$495,3,FALSE)</f>
        <v>800</v>
      </c>
      <c r="G2184" s="16">
        <f>VLOOKUP(C2184,[1]master_data!$A$2:$E$495,4,FALSE)</f>
        <v>2000</v>
      </c>
      <c r="H2184" s="16">
        <f>E2184*F2184</f>
        <v>800</v>
      </c>
      <c r="I2184" s="16">
        <f>E2184*G2184</f>
        <v>2000</v>
      </c>
      <c r="J2184" s="16">
        <f>I2184-H2184</f>
        <v>1200</v>
      </c>
      <c r="K2184" s="16" t="str">
        <f>VLOOKUP(C2184,[1]master_data!$A$2:$E$495,5,FALSE)</f>
        <v>Ikan</v>
      </c>
      <c r="L2184" s="1"/>
    </row>
    <row r="2185" spans="1:12" ht="12" customHeight="1" x14ac:dyDescent="0.25">
      <c r="A2185" s="15">
        <v>44975</v>
      </c>
      <c r="B2185" s="16">
        <v>22300314</v>
      </c>
      <c r="C2185" s="16" t="s">
        <v>149</v>
      </c>
      <c r="D2185" s="16" t="str">
        <f>VLOOKUP(C2185,[1]master_data!$A$2:$E$495,2,FALSE)</f>
        <v>LED HIKARI 3 MODE 80 CM</v>
      </c>
      <c r="E2185" s="16">
        <v>1</v>
      </c>
      <c r="F2185" s="16">
        <f>VLOOKUP(C2185,[1]master_data!$A$2:$E$495,3,FALSE)</f>
        <v>89000</v>
      </c>
      <c r="G2185" s="16">
        <f>VLOOKUP(C2185,[1]master_data!$A$2:$E$495,4,FALSE)</f>
        <v>140000</v>
      </c>
      <c r="H2185" s="16">
        <f>E2185*F2185</f>
        <v>89000</v>
      </c>
      <c r="I2185" s="16">
        <f>E2185*G2185</f>
        <v>140000</v>
      </c>
      <c r="J2185" s="16">
        <f>I2185-H2185</f>
        <v>51000</v>
      </c>
      <c r="K2185" s="16" t="str">
        <f>VLOOKUP(C2185,[1]master_data!$A$2:$E$495,5,FALSE)</f>
        <v>Aksesoris</v>
      </c>
      <c r="L2185" s="1"/>
    </row>
    <row r="2186" spans="1:12" ht="12" customHeight="1" x14ac:dyDescent="0.25">
      <c r="A2186" s="15">
        <v>44975</v>
      </c>
      <c r="B2186" s="16">
        <v>22300315</v>
      </c>
      <c r="C2186" s="16" t="s">
        <v>99</v>
      </c>
      <c r="D2186" s="16" t="str">
        <f>VLOOKUP(C2186,[1]master_data!$A$2:$E$495,2,FALSE)</f>
        <v>MESIN AMARA 105</v>
      </c>
      <c r="E2186" s="16">
        <v>1</v>
      </c>
      <c r="F2186" s="16">
        <f>VLOOKUP(C2186,[1]master_data!$A$2:$E$495,3,FALSE)</f>
        <v>155000</v>
      </c>
      <c r="G2186" s="16">
        <f>VLOOKUP(C2186,[1]master_data!$A$2:$E$495,4,FALSE)</f>
        <v>200000</v>
      </c>
      <c r="H2186" s="16">
        <f>E2186*F2186</f>
        <v>155000</v>
      </c>
      <c r="I2186" s="16">
        <f>E2186*G2186</f>
        <v>200000</v>
      </c>
      <c r="J2186" s="16">
        <f>I2186-H2186</f>
        <v>45000</v>
      </c>
      <c r="K2186" s="16" t="str">
        <f>VLOOKUP(C2186,[1]master_data!$A$2:$E$495,5,FALSE)</f>
        <v>Aksesoris</v>
      </c>
      <c r="L2186" s="1"/>
    </row>
    <row r="2187" spans="1:12" ht="12" customHeight="1" x14ac:dyDescent="0.25">
      <c r="A2187" s="15">
        <v>44975</v>
      </c>
      <c r="B2187" s="16">
        <v>22300316</v>
      </c>
      <c r="C2187" s="16" t="s">
        <v>411</v>
      </c>
      <c r="D2187" s="16" t="str">
        <f>VLOOKUP(C2187,[1]master_data!$A$2:$E$495,2,FALSE)</f>
        <v>KOKI K</v>
      </c>
      <c r="E2187" s="16">
        <v>10</v>
      </c>
      <c r="F2187" s="16">
        <f>VLOOKUP(C2187,[1]master_data!$A$2:$E$495,3,FALSE)</f>
        <v>3500</v>
      </c>
      <c r="G2187" s="16">
        <f>VLOOKUP(C2187,[1]master_data!$A$2:$E$495,4,FALSE)</f>
        <v>10000</v>
      </c>
      <c r="H2187" s="16">
        <f>E2187*F2187</f>
        <v>35000</v>
      </c>
      <c r="I2187" s="16">
        <f>E2187*G2187</f>
        <v>100000</v>
      </c>
      <c r="J2187" s="16">
        <f>I2187-H2187</f>
        <v>65000</v>
      </c>
      <c r="K2187" s="16" t="str">
        <f>VLOOKUP(C2187,[1]master_data!$A$2:$E$495,5,FALSE)</f>
        <v>Ikan</v>
      </c>
      <c r="L2187" s="1"/>
    </row>
    <row r="2188" spans="1:12" ht="12" customHeight="1" x14ac:dyDescent="0.25">
      <c r="A2188" s="15">
        <v>44975</v>
      </c>
      <c r="B2188" s="16">
        <v>22300317</v>
      </c>
      <c r="C2188" s="16" t="s">
        <v>63</v>
      </c>
      <c r="D2188" s="16" t="str">
        <f>VLOOKUP(C2188,[1]master_data!$A$2:$E$495,2,FALSE)</f>
        <v>MESIN SUSUN 3800</v>
      </c>
      <c r="E2188" s="16">
        <v>1</v>
      </c>
      <c r="F2188" s="16">
        <f>VLOOKUP(C2188,[1]master_data!$A$2:$E$495,3,FALSE)</f>
        <v>523000</v>
      </c>
      <c r="G2188" s="16">
        <f>VLOOKUP(C2188,[1]master_data!$A$2:$E$495,4,FALSE)</f>
        <v>600000</v>
      </c>
      <c r="H2188" s="16">
        <f>E2188*F2188</f>
        <v>523000</v>
      </c>
      <c r="I2188" s="16">
        <f>E2188*G2188</f>
        <v>600000</v>
      </c>
      <c r="J2188" s="16">
        <f>I2188-H2188</f>
        <v>77000</v>
      </c>
      <c r="K2188" s="16" t="str">
        <f>VLOOKUP(C2188,[1]master_data!$A$2:$E$495,5,FALSE)</f>
        <v>Aksesoris</v>
      </c>
      <c r="L2188" s="1"/>
    </row>
    <row r="2189" spans="1:12" ht="12" customHeight="1" x14ac:dyDescent="0.25">
      <c r="A2189" s="15">
        <v>44975</v>
      </c>
      <c r="B2189" s="16">
        <v>22300318</v>
      </c>
      <c r="C2189" s="16" t="s">
        <v>67</v>
      </c>
      <c r="D2189" s="16" t="str">
        <f>VLOOKUP(C2189,[1]master_data!$A$2:$E$495,2,FALSE)</f>
        <v>BIO FOAM A833-933</v>
      </c>
      <c r="E2189" s="16">
        <v>1</v>
      </c>
      <c r="F2189" s="16">
        <f>VLOOKUP(C2189,[1]master_data!$A$2:$E$495,3,FALSE)</f>
        <v>12000</v>
      </c>
      <c r="G2189" s="16">
        <f>VLOOKUP(C2189,[1]master_data!$A$2:$E$495,4,FALSE)</f>
        <v>20000</v>
      </c>
      <c r="H2189" s="16">
        <f>E2189*F2189</f>
        <v>12000</v>
      </c>
      <c r="I2189" s="16">
        <f>E2189*G2189</f>
        <v>20000</v>
      </c>
      <c r="J2189" s="16">
        <f>I2189-H2189</f>
        <v>8000</v>
      </c>
      <c r="K2189" s="16" t="str">
        <f>VLOOKUP(C2189,[1]master_data!$A$2:$E$495,5,FALSE)</f>
        <v>Aksesoris</v>
      </c>
      <c r="L2189" s="1"/>
    </row>
    <row r="2190" spans="1:12" ht="12" customHeight="1" x14ac:dyDescent="0.25">
      <c r="A2190" s="15">
        <v>44975</v>
      </c>
      <c r="B2190" s="16">
        <v>22300319</v>
      </c>
      <c r="C2190" s="16" t="s">
        <v>447</v>
      </c>
      <c r="D2190" s="16" t="str">
        <f>VLOOKUP(C2190,[1]master_data!$A$2:$E$495,2,FALSE)</f>
        <v>CHANNA RED BARITO B</v>
      </c>
      <c r="E2190" s="16">
        <v>1</v>
      </c>
      <c r="F2190" s="16">
        <f>VLOOKUP(C2190,[1]master_data!$A$2:$E$495,3,FALSE)</f>
        <v>120000</v>
      </c>
      <c r="G2190" s="16">
        <f>VLOOKUP(C2190,[1]master_data!$A$2:$E$495,4,FALSE)</f>
        <v>200000</v>
      </c>
      <c r="H2190" s="16">
        <f>E2190*F2190</f>
        <v>120000</v>
      </c>
      <c r="I2190" s="16">
        <f>E2190*G2190</f>
        <v>200000</v>
      </c>
      <c r="J2190" s="16">
        <f>I2190-H2190</f>
        <v>80000</v>
      </c>
      <c r="K2190" s="16" t="str">
        <f>VLOOKUP(C2190,[1]master_data!$A$2:$E$495,5,FALSE)</f>
        <v>Ikan</v>
      </c>
      <c r="L2190" s="1"/>
    </row>
    <row r="2191" spans="1:12" ht="12" customHeight="1" x14ac:dyDescent="0.25">
      <c r="A2191" s="15">
        <v>44974</v>
      </c>
      <c r="B2191" s="16">
        <v>22300307</v>
      </c>
      <c r="C2191" s="16" t="s">
        <v>272</v>
      </c>
      <c r="D2191" s="16" t="str">
        <f>VLOOKUP(C2191,[1]master_data!$A$2:$E$495,2,FALSE)</f>
        <v>JARING 10</v>
      </c>
      <c r="E2191" s="16">
        <v>10</v>
      </c>
      <c r="F2191" s="16">
        <f>VLOOKUP(C2191,[1]master_data!$A$2:$E$495,3,FALSE)</f>
        <v>2900</v>
      </c>
      <c r="G2191" s="16">
        <f>VLOOKUP(C2191,[1]master_data!$A$2:$E$495,4,FALSE)</f>
        <v>6000</v>
      </c>
      <c r="H2191" s="16">
        <f>E2191*F2191</f>
        <v>29000</v>
      </c>
      <c r="I2191" s="16">
        <f>E2191*G2191</f>
        <v>60000</v>
      </c>
      <c r="J2191" s="16">
        <f>I2191-H2191</f>
        <v>31000</v>
      </c>
      <c r="K2191" s="16" t="str">
        <f>VLOOKUP(C2191,[1]master_data!$A$2:$E$495,5,FALSE)</f>
        <v>Aksesoris</v>
      </c>
      <c r="L2191" s="1"/>
    </row>
    <row r="2192" spans="1:12" ht="12" customHeight="1" x14ac:dyDescent="0.25">
      <c r="A2192" s="15">
        <v>44974</v>
      </c>
      <c r="B2192" s="16">
        <v>22300308</v>
      </c>
      <c r="C2192" s="16" t="s">
        <v>419</v>
      </c>
      <c r="D2192" s="16" t="str">
        <f>VLOOKUP(C2192,[1]master_data!$A$2:$E$495,2,FALSE)</f>
        <v>KOMET PAKAN</v>
      </c>
      <c r="E2192" s="16">
        <v>60</v>
      </c>
      <c r="F2192" s="16">
        <f>VLOOKUP(C2192,[1]master_data!$A$2:$E$495,3,FALSE)</f>
        <v>300</v>
      </c>
      <c r="G2192" s="16">
        <f>VLOOKUP(C2192,[1]master_data!$A$2:$E$495,4,FALSE)</f>
        <v>1000</v>
      </c>
      <c r="H2192" s="16">
        <f>E2192*F2192</f>
        <v>18000</v>
      </c>
      <c r="I2192" s="16">
        <f>E2192*G2192</f>
        <v>60000</v>
      </c>
      <c r="J2192" s="16">
        <f>I2192-H2192</f>
        <v>42000</v>
      </c>
      <c r="K2192" s="16" t="str">
        <f>VLOOKUP(C2192,[1]master_data!$A$2:$E$495,5,FALSE)</f>
        <v>Ikan</v>
      </c>
      <c r="L2192" s="1"/>
    </row>
    <row r="2193" spans="1:12" ht="12" customHeight="1" x14ac:dyDescent="0.25">
      <c r="A2193" s="15">
        <v>44974</v>
      </c>
      <c r="B2193" s="16">
        <v>22300309</v>
      </c>
      <c r="C2193" s="16" t="s">
        <v>443</v>
      </c>
      <c r="D2193" s="16" t="str">
        <f>VLOOKUP(C2193,[1]master_data!$A$2:$E$495,2,FALSE)</f>
        <v>PESO</v>
      </c>
      <c r="E2193" s="16">
        <v>1</v>
      </c>
      <c r="F2193" s="16">
        <f>VLOOKUP(C2193,[1]master_data!$A$2:$E$495,3,FALSE)</f>
        <v>19000</v>
      </c>
      <c r="G2193" s="16">
        <f>VLOOKUP(C2193,[1]master_data!$A$2:$E$495,4,FALSE)</f>
        <v>40000</v>
      </c>
      <c r="H2193" s="16">
        <f>E2193*F2193</f>
        <v>19000</v>
      </c>
      <c r="I2193" s="16">
        <f>E2193*G2193</f>
        <v>40000</v>
      </c>
      <c r="J2193" s="16">
        <f>I2193-H2193</f>
        <v>21000</v>
      </c>
      <c r="K2193" s="16" t="str">
        <f>VLOOKUP(C2193,[1]master_data!$A$2:$E$495,5,FALSE)</f>
        <v>Ikan</v>
      </c>
      <c r="L2193" s="1"/>
    </row>
    <row r="2194" spans="1:12" ht="12" customHeight="1" x14ac:dyDescent="0.25">
      <c r="A2194" s="15">
        <v>44974</v>
      </c>
      <c r="B2194" s="16">
        <v>22300310</v>
      </c>
      <c r="C2194" s="16" t="s">
        <v>439</v>
      </c>
      <c r="D2194" s="16" t="str">
        <f>VLOOKUP(C2194,[1]master_data!$A$2:$E$495,2,FALSE)</f>
        <v>PEMBERSIH KACA BIASA</v>
      </c>
      <c r="E2194" s="16">
        <v>20</v>
      </c>
      <c r="F2194" s="16">
        <f>VLOOKUP(C2194,[1]master_data!$A$2:$E$495,3,FALSE)</f>
        <v>2000</v>
      </c>
      <c r="G2194" s="16">
        <f>VLOOKUP(C2194,[1]master_data!$A$2:$E$495,4,FALSE)</f>
        <v>5000</v>
      </c>
      <c r="H2194" s="16">
        <f>E2194*F2194</f>
        <v>40000</v>
      </c>
      <c r="I2194" s="16">
        <f>E2194*G2194</f>
        <v>100000</v>
      </c>
      <c r="J2194" s="16">
        <f>I2194-H2194</f>
        <v>60000</v>
      </c>
      <c r="K2194" s="16" t="str">
        <f>VLOOKUP(C2194,[1]master_data!$A$2:$E$495,5,FALSE)</f>
        <v>Ikan</v>
      </c>
      <c r="L2194" s="1"/>
    </row>
    <row r="2195" spans="1:12" ht="12" customHeight="1" x14ac:dyDescent="0.25">
      <c r="A2195" s="15">
        <v>44974</v>
      </c>
      <c r="B2195" s="16">
        <v>22300311</v>
      </c>
      <c r="C2195" s="16" t="s">
        <v>452</v>
      </c>
      <c r="D2195" s="16" t="str">
        <f>VLOOKUP(C2195,[1]master_data!$A$2:$E$495,2,FALSE)</f>
        <v>SYNODONTI B</v>
      </c>
      <c r="E2195" s="16">
        <v>10</v>
      </c>
      <c r="F2195" s="16">
        <f>VLOOKUP(C2195,[1]master_data!$A$2:$E$495,3,FALSE)</f>
        <v>4000</v>
      </c>
      <c r="G2195" s="16">
        <f>VLOOKUP(C2195,[1]master_data!$A$2:$E$495,4,FALSE)</f>
        <v>10000</v>
      </c>
      <c r="H2195" s="16">
        <f>E2195*F2195</f>
        <v>40000</v>
      </c>
      <c r="I2195" s="16">
        <f>E2195*G2195</f>
        <v>100000</v>
      </c>
      <c r="J2195" s="16">
        <f>I2195-H2195</f>
        <v>60000</v>
      </c>
      <c r="K2195" s="16" t="str">
        <f>VLOOKUP(C2195,[1]master_data!$A$2:$E$495,5,FALSE)</f>
        <v>Ikan</v>
      </c>
      <c r="L2195" s="1"/>
    </row>
    <row r="2196" spans="1:12" ht="12" customHeight="1" x14ac:dyDescent="0.25">
      <c r="A2196" s="15">
        <v>44974</v>
      </c>
      <c r="B2196" s="16">
        <v>22300312</v>
      </c>
      <c r="C2196" s="16" t="s">
        <v>23</v>
      </c>
      <c r="D2196" s="16" t="str">
        <f>VLOOKUP(C2196,[1]master_data!$A$2:$E$495,2,FALSE)</f>
        <v>MESIN ROSTON 3900</v>
      </c>
      <c r="E2196" s="16">
        <v>2</v>
      </c>
      <c r="F2196" s="16">
        <f>VLOOKUP(C2196,[1]master_data!$A$2:$E$495,3,FALSE)</f>
        <v>90000</v>
      </c>
      <c r="G2196" s="16">
        <f>VLOOKUP(C2196,[1]master_data!$A$2:$E$495,4,FALSE)</f>
        <v>150000</v>
      </c>
      <c r="H2196" s="16">
        <f>E2196*F2196</f>
        <v>180000</v>
      </c>
      <c r="I2196" s="16">
        <f>E2196*G2196</f>
        <v>300000</v>
      </c>
      <c r="J2196" s="16">
        <f>I2196-H2196</f>
        <v>120000</v>
      </c>
      <c r="K2196" s="16" t="str">
        <f>VLOOKUP(C2196,[1]master_data!$A$2:$E$495,5,FALSE)</f>
        <v>Aksesoris</v>
      </c>
      <c r="L2196" s="1"/>
    </row>
    <row r="2197" spans="1:12" ht="12" customHeight="1" x14ac:dyDescent="0.25">
      <c r="A2197" s="15">
        <v>44974</v>
      </c>
      <c r="B2197" s="16">
        <v>22300313</v>
      </c>
      <c r="C2197" s="16" t="s">
        <v>422</v>
      </c>
      <c r="D2197" s="16" t="str">
        <f>VLOOKUP(C2197,[1]master_data!$A$2:$E$495,2,FALSE)</f>
        <v>KOI SLAYER B</v>
      </c>
      <c r="E2197" s="16">
        <v>1</v>
      </c>
      <c r="F2197" s="16">
        <f>VLOOKUP(C2197,[1]master_data!$A$2:$E$495,3,FALSE)</f>
        <v>8000</v>
      </c>
      <c r="G2197" s="16">
        <f>VLOOKUP(C2197,[1]master_data!$A$2:$E$495,4,FALSE)</f>
        <v>20000</v>
      </c>
      <c r="H2197" s="16">
        <f>E2197*F2197</f>
        <v>8000</v>
      </c>
      <c r="I2197" s="16">
        <f>E2197*G2197</f>
        <v>20000</v>
      </c>
      <c r="J2197" s="16">
        <f>I2197-H2197</f>
        <v>12000</v>
      </c>
      <c r="K2197" s="16" t="str">
        <f>VLOOKUP(C2197,[1]master_data!$A$2:$E$495,5,FALSE)</f>
        <v>Ikan</v>
      </c>
      <c r="L2197" s="1"/>
    </row>
    <row r="2198" spans="1:12" ht="12" customHeight="1" x14ac:dyDescent="0.25">
      <c r="A2198" s="15">
        <v>44973</v>
      </c>
      <c r="B2198" s="16">
        <v>22300303</v>
      </c>
      <c r="C2198" s="16" t="s">
        <v>424</v>
      </c>
      <c r="D2198" s="16" t="str">
        <f>VLOOKUP(C2198,[1]master_data!$A$2:$E$495,2,FALSE)</f>
        <v>DISCUS</v>
      </c>
      <c r="E2198" s="16">
        <v>4</v>
      </c>
      <c r="F2198" s="16">
        <f>VLOOKUP(C2198,[1]master_data!$A$2:$E$495,3,FALSE)</f>
        <v>50000</v>
      </c>
      <c r="G2198" s="16">
        <f>VLOOKUP(C2198,[1]master_data!$A$2:$E$495,4,FALSE)</f>
        <v>150000</v>
      </c>
      <c r="H2198" s="16">
        <f>E2198*F2198</f>
        <v>200000</v>
      </c>
      <c r="I2198" s="16">
        <f>E2198*G2198</f>
        <v>600000</v>
      </c>
      <c r="J2198" s="16">
        <f>I2198-H2198</f>
        <v>400000</v>
      </c>
      <c r="K2198" s="16" t="str">
        <f>VLOOKUP(C2198,[1]master_data!$A$2:$E$495,5,FALSE)</f>
        <v>Ikan</v>
      </c>
      <c r="L2198" s="1"/>
    </row>
    <row r="2199" spans="1:12" ht="12" customHeight="1" x14ac:dyDescent="0.25">
      <c r="A2199" s="15">
        <v>44973</v>
      </c>
      <c r="B2199" s="16">
        <v>22300304</v>
      </c>
      <c r="C2199" s="16" t="s">
        <v>154</v>
      </c>
      <c r="D2199" s="16" t="str">
        <f>VLOOKUP(C2199,[1]master_data!$A$2:$E$495,2,FALSE)</f>
        <v>LED KANDILA 2 BRS 40 CM</v>
      </c>
      <c r="E2199" s="16">
        <v>1</v>
      </c>
      <c r="F2199" s="16">
        <f>VLOOKUP(C2199,[1]master_data!$A$2:$E$495,3,FALSE)</f>
        <v>25000</v>
      </c>
      <c r="G2199" s="16">
        <f>VLOOKUP(C2199,[1]master_data!$A$2:$E$495,4,FALSE)</f>
        <v>45000</v>
      </c>
      <c r="H2199" s="16">
        <f>E2199*F2199</f>
        <v>25000</v>
      </c>
      <c r="I2199" s="16">
        <f>E2199*G2199</f>
        <v>45000</v>
      </c>
      <c r="J2199" s="16">
        <f>I2199-H2199</f>
        <v>20000</v>
      </c>
      <c r="K2199" s="16" t="str">
        <f>VLOOKUP(C2199,[1]master_data!$A$2:$E$495,5,FALSE)</f>
        <v>Aksesoris</v>
      </c>
      <c r="L2199" s="1"/>
    </row>
    <row r="2200" spans="1:12" ht="12" customHeight="1" x14ac:dyDescent="0.25">
      <c r="A2200" s="15">
        <v>44973</v>
      </c>
      <c r="B2200" s="16">
        <v>22300305</v>
      </c>
      <c r="C2200" s="16" t="s">
        <v>438</v>
      </c>
      <c r="D2200" s="16" t="str">
        <f>VLOOKUP(C2200,[1]master_data!$A$2:$E$495,2,FALSE)</f>
        <v>OSCAR</v>
      </c>
      <c r="E2200" s="16">
        <v>4</v>
      </c>
      <c r="F2200" s="16">
        <f>VLOOKUP(C2200,[1]master_data!$A$2:$E$495,3,FALSE)</f>
        <v>25000</v>
      </c>
      <c r="G2200" s="16">
        <f>VLOOKUP(C2200,[1]master_data!$A$2:$E$495,4,FALSE)</f>
        <v>50000</v>
      </c>
      <c r="H2200" s="16">
        <f>E2200*F2200</f>
        <v>100000</v>
      </c>
      <c r="I2200" s="16">
        <f>E2200*G2200</f>
        <v>200000</v>
      </c>
      <c r="J2200" s="16">
        <f>I2200-H2200</f>
        <v>100000</v>
      </c>
      <c r="K2200" s="16" t="str">
        <f>VLOOKUP(C2200,[1]master_data!$A$2:$E$495,5,FALSE)</f>
        <v>Ikan</v>
      </c>
      <c r="L2200" s="1"/>
    </row>
    <row r="2201" spans="1:12" ht="12" customHeight="1" x14ac:dyDescent="0.25">
      <c r="A2201" s="15">
        <v>44973</v>
      </c>
      <c r="B2201" s="16">
        <v>22300306</v>
      </c>
      <c r="C2201" s="16" t="s">
        <v>415</v>
      </c>
      <c r="D2201" s="16" t="str">
        <f>VLOOKUP(C2201,[1]master_data!$A$2:$E$495,2,FALSE)</f>
        <v>KOI T</v>
      </c>
      <c r="E2201" s="16">
        <v>1</v>
      </c>
      <c r="F2201" s="16">
        <f>VLOOKUP(C2201,[1]master_data!$A$2:$E$495,3,FALSE)</f>
        <v>7000</v>
      </c>
      <c r="G2201" s="16">
        <f>VLOOKUP(C2201,[1]master_data!$A$2:$E$495,4,FALSE)</f>
        <v>20000</v>
      </c>
      <c r="H2201" s="16">
        <f>E2201*F2201</f>
        <v>7000</v>
      </c>
      <c r="I2201" s="16">
        <f>E2201*G2201</f>
        <v>20000</v>
      </c>
      <c r="J2201" s="16">
        <f>I2201-H2201</f>
        <v>13000</v>
      </c>
      <c r="K2201" s="16" t="str">
        <f>VLOOKUP(C2201,[1]master_data!$A$2:$E$495,5,FALSE)</f>
        <v>Ikan</v>
      </c>
      <c r="L2201" s="1"/>
    </row>
    <row r="2202" spans="1:12" ht="12" customHeight="1" x14ac:dyDescent="0.25">
      <c r="A2202" s="15">
        <v>44972</v>
      </c>
      <c r="B2202" s="16">
        <v>22300296</v>
      </c>
      <c r="C2202" s="16" t="s">
        <v>451</v>
      </c>
      <c r="D2202" s="16" t="str">
        <f>VLOOKUP(C2202,[1]master_data!$A$2:$E$495,2,FALSE)</f>
        <v>SYNODONTIS K</v>
      </c>
      <c r="E2202" s="16">
        <v>20</v>
      </c>
      <c r="F2202" s="16">
        <f>VLOOKUP(C2202,[1]master_data!$A$2:$E$495,3,FALSE)</f>
        <v>1500</v>
      </c>
      <c r="G2202" s="16">
        <f>VLOOKUP(C2202,[1]master_data!$A$2:$E$495,4,FALSE)</f>
        <v>5000</v>
      </c>
      <c r="H2202" s="16">
        <f>E2202*F2202</f>
        <v>30000</v>
      </c>
      <c r="I2202" s="16">
        <f>E2202*G2202</f>
        <v>100000</v>
      </c>
      <c r="J2202" s="16">
        <f>I2202-H2202</f>
        <v>70000</v>
      </c>
      <c r="K2202" s="16" t="str">
        <f>VLOOKUP(C2202,[1]master_data!$A$2:$E$495,5,FALSE)</f>
        <v>Ikan</v>
      </c>
      <c r="L2202" s="1"/>
    </row>
    <row r="2203" spans="1:12" ht="12" customHeight="1" x14ac:dyDescent="0.25">
      <c r="A2203" s="15">
        <v>44972</v>
      </c>
      <c r="B2203" s="16">
        <v>22300297</v>
      </c>
      <c r="C2203" s="16" t="s">
        <v>269</v>
      </c>
      <c r="D2203" s="16" t="str">
        <f>VLOOKUP(C2203,[1]master_data!$A$2:$E$495,2,FALSE)</f>
        <v>HEATER KACA 50 W</v>
      </c>
      <c r="E2203" s="16">
        <v>10</v>
      </c>
      <c r="F2203" s="16">
        <f>VLOOKUP(C2203,[1]master_data!$A$2:$E$495,3,FALSE)</f>
        <v>33000</v>
      </c>
      <c r="G2203" s="16">
        <f>VLOOKUP(C2203,[1]master_data!$A$2:$E$495,4,FALSE)</f>
        <v>50000</v>
      </c>
      <c r="H2203" s="16">
        <f>E2203*F2203</f>
        <v>330000</v>
      </c>
      <c r="I2203" s="16">
        <f>E2203*G2203</f>
        <v>500000</v>
      </c>
      <c r="J2203" s="16">
        <f>I2203-H2203</f>
        <v>170000</v>
      </c>
      <c r="K2203" s="16" t="str">
        <f>VLOOKUP(C2203,[1]master_data!$A$2:$E$495,5,FALSE)</f>
        <v>Aksesoris</v>
      </c>
      <c r="L2203" s="1"/>
    </row>
    <row r="2204" spans="1:12" ht="12" customHeight="1" x14ac:dyDescent="0.25">
      <c r="A2204" s="15">
        <v>44972</v>
      </c>
      <c r="B2204" s="16">
        <v>22300298</v>
      </c>
      <c r="C2204" s="16" t="s">
        <v>423</v>
      </c>
      <c r="D2204" s="16" t="str">
        <f>VLOOKUP(C2204,[1]master_data!$A$2:$E$495,2,FALSE)</f>
        <v>CAROLINE</v>
      </c>
      <c r="E2204" s="16">
        <v>15</v>
      </c>
      <c r="F2204" s="16">
        <f>VLOOKUP(C2204,[1]master_data!$A$2:$E$495,3,FALSE)</f>
        <v>900</v>
      </c>
      <c r="G2204" s="16">
        <f>VLOOKUP(C2204,[1]master_data!$A$2:$E$495,4,FALSE)</f>
        <v>2000</v>
      </c>
      <c r="H2204" s="16">
        <f>E2204*F2204</f>
        <v>13500</v>
      </c>
      <c r="I2204" s="16">
        <f>E2204*G2204</f>
        <v>30000</v>
      </c>
      <c r="J2204" s="16">
        <f>I2204-H2204</f>
        <v>16500</v>
      </c>
      <c r="K2204" s="16" t="str">
        <f>VLOOKUP(C2204,[1]master_data!$A$2:$E$495,5,FALSE)</f>
        <v>Ikan</v>
      </c>
      <c r="L2204" s="1"/>
    </row>
    <row r="2205" spans="1:12" ht="12" customHeight="1" x14ac:dyDescent="0.25">
      <c r="A2205" s="15">
        <v>44972</v>
      </c>
      <c r="B2205" s="16">
        <v>22300299</v>
      </c>
      <c r="C2205" s="16" t="s">
        <v>38</v>
      </c>
      <c r="D2205" s="16" t="str">
        <f>VLOOKUP(C2205,[1]master_data!$A$2:$E$495,2,FALSE)</f>
        <v>MESIN YAMANO 104</v>
      </c>
      <c r="E2205" s="16">
        <v>1</v>
      </c>
      <c r="F2205" s="16">
        <f>VLOOKUP(C2205,[1]master_data!$A$2:$E$495,3,FALSE)</f>
        <v>98000</v>
      </c>
      <c r="G2205" s="16">
        <f>VLOOKUP(C2205,[1]master_data!$A$2:$E$495,4,FALSE)</f>
        <v>135000</v>
      </c>
      <c r="H2205" s="16">
        <f>E2205*F2205</f>
        <v>98000</v>
      </c>
      <c r="I2205" s="16">
        <f>E2205*G2205</f>
        <v>135000</v>
      </c>
      <c r="J2205" s="16">
        <f>I2205-H2205</f>
        <v>37000</v>
      </c>
      <c r="K2205" s="16" t="str">
        <f>VLOOKUP(C2205,[1]master_data!$A$2:$E$495,5,FALSE)</f>
        <v>Aksesoris</v>
      </c>
      <c r="L2205" s="1"/>
    </row>
    <row r="2206" spans="1:12" ht="12" customHeight="1" x14ac:dyDescent="0.25">
      <c r="A2206" s="15">
        <v>44972</v>
      </c>
      <c r="B2206" s="16">
        <v>22300300</v>
      </c>
      <c r="C2206" s="16" t="s">
        <v>436</v>
      </c>
      <c r="D2206" s="16" t="str">
        <f>VLOOKUP(C2206,[1]master_data!$A$2:$E$495,2,FALSE)</f>
        <v>NENTINEN</v>
      </c>
      <c r="E2206" s="16">
        <v>20</v>
      </c>
      <c r="F2206" s="16">
        <f>VLOOKUP(C2206,[1]master_data!$A$2:$E$495,3,FALSE)</f>
        <v>1000</v>
      </c>
      <c r="G2206" s="16">
        <f>VLOOKUP(C2206,[1]master_data!$A$2:$E$495,4,FALSE)</f>
        <v>2500</v>
      </c>
      <c r="H2206" s="16">
        <f>E2206*F2206</f>
        <v>20000</v>
      </c>
      <c r="I2206" s="16">
        <f>E2206*G2206</f>
        <v>50000</v>
      </c>
      <c r="J2206" s="16">
        <f>I2206-H2206</f>
        <v>30000</v>
      </c>
      <c r="K2206" s="16" t="str">
        <f>VLOOKUP(C2206,[1]master_data!$A$2:$E$495,5,FALSE)</f>
        <v>Ikan</v>
      </c>
      <c r="L2206" s="1"/>
    </row>
    <row r="2207" spans="1:12" ht="12" customHeight="1" x14ac:dyDescent="0.25">
      <c r="A2207" s="15">
        <v>44972</v>
      </c>
      <c r="B2207" s="16">
        <v>22300301</v>
      </c>
      <c r="C2207" s="16" t="s">
        <v>414</v>
      </c>
      <c r="D2207" s="16" t="str">
        <f>VLOOKUP(C2207,[1]master_data!$A$2:$E$495,2,FALSE)</f>
        <v>KOI K</v>
      </c>
      <c r="E2207" s="16">
        <v>3</v>
      </c>
      <c r="F2207" s="16">
        <f>VLOOKUP(C2207,[1]master_data!$A$2:$E$495,3,FALSE)</f>
        <v>2500</v>
      </c>
      <c r="G2207" s="16">
        <f>VLOOKUP(C2207,[1]master_data!$A$2:$E$495,4,FALSE)</f>
        <v>10000</v>
      </c>
      <c r="H2207" s="16">
        <f>E2207*F2207</f>
        <v>7500</v>
      </c>
      <c r="I2207" s="16">
        <f>E2207*G2207</f>
        <v>30000</v>
      </c>
      <c r="J2207" s="16">
        <f>I2207-H2207</f>
        <v>22500</v>
      </c>
      <c r="K2207" s="16" t="str">
        <f>VLOOKUP(C2207,[1]master_data!$A$2:$E$495,5,FALSE)</f>
        <v>Ikan</v>
      </c>
      <c r="L2207" s="1"/>
    </row>
    <row r="2208" spans="1:12" ht="12" customHeight="1" x14ac:dyDescent="0.25">
      <c r="A2208" s="15">
        <v>44972</v>
      </c>
      <c r="B2208" s="16">
        <v>22300302</v>
      </c>
      <c r="C2208" s="16" t="s">
        <v>54</v>
      </c>
      <c r="D2208" s="16" t="str">
        <f>VLOOKUP(C2208,[1]master_data!$A$2:$E$495,2,FALSE)</f>
        <v>TOP FILTER LENGKAP B</v>
      </c>
      <c r="E2208" s="16">
        <v>1</v>
      </c>
      <c r="F2208" s="16">
        <f>VLOOKUP(C2208,[1]master_data!$A$2:$E$495,3,FALSE)</f>
        <v>37500</v>
      </c>
      <c r="G2208" s="16">
        <f>VLOOKUP(C2208,[1]master_data!$A$2:$E$495,4,FALSE)</f>
        <v>65000</v>
      </c>
      <c r="H2208" s="16">
        <f>E2208*F2208</f>
        <v>37500</v>
      </c>
      <c r="I2208" s="16">
        <f>E2208*G2208</f>
        <v>65000</v>
      </c>
      <c r="J2208" s="16">
        <f>I2208-H2208</f>
        <v>27500</v>
      </c>
      <c r="K2208" s="16" t="str">
        <f>VLOOKUP(C2208,[1]master_data!$A$2:$E$495,5,FALSE)</f>
        <v>Aksesoris</v>
      </c>
      <c r="L2208" s="1"/>
    </row>
    <row r="2209" spans="1:12" ht="12" customHeight="1" x14ac:dyDescent="0.25">
      <c r="A2209" s="15">
        <v>44971</v>
      </c>
      <c r="B2209" s="16">
        <v>22300291</v>
      </c>
      <c r="C2209" s="16" t="s">
        <v>461</v>
      </c>
      <c r="D2209" s="16" t="str">
        <f>VLOOKUP(C2209,[1]master_data!$A$2:$E$495,2,FALSE)</f>
        <v>CHANNA STEWARTI</v>
      </c>
      <c r="E2209" s="16">
        <v>5</v>
      </c>
      <c r="F2209" s="16">
        <f>VLOOKUP(C2209,[1]master_data!$A$2:$E$495,3,FALSE)</f>
        <v>15000</v>
      </c>
      <c r="G2209" s="16">
        <f>VLOOKUP(C2209,[1]master_data!$A$2:$E$495,4,FALSE)</f>
        <v>40000</v>
      </c>
      <c r="H2209" s="16">
        <f>E2209*F2209</f>
        <v>75000</v>
      </c>
      <c r="I2209" s="16">
        <f>E2209*G2209</f>
        <v>200000</v>
      </c>
      <c r="J2209" s="16">
        <f>I2209-H2209</f>
        <v>125000</v>
      </c>
      <c r="K2209" s="16" t="str">
        <f>VLOOKUP(C2209,[1]master_data!$A$2:$E$495,5,FALSE)</f>
        <v>Ikan</v>
      </c>
      <c r="L2209" s="1"/>
    </row>
    <row r="2210" spans="1:12" ht="12" customHeight="1" x14ac:dyDescent="0.25">
      <c r="A2210" s="15">
        <v>44971</v>
      </c>
      <c r="B2210" s="16">
        <v>22300292</v>
      </c>
      <c r="C2210" s="16" t="s">
        <v>392</v>
      </c>
      <c r="D2210" s="16" t="str">
        <f>VLOOKUP(C2210,[1]master_data!$A$2:$E$495,2,FALSE)</f>
        <v>ARWANA SILVER K</v>
      </c>
      <c r="E2210" s="16">
        <v>2</v>
      </c>
      <c r="F2210" s="16">
        <f>VLOOKUP(C2210,[1]master_data!$A$2:$E$495,3,FALSE)</f>
        <v>100000</v>
      </c>
      <c r="G2210" s="16">
        <f>VLOOKUP(C2210,[1]master_data!$A$2:$E$495,4,FALSE)</f>
        <v>200000</v>
      </c>
      <c r="H2210" s="16">
        <f>E2210*F2210</f>
        <v>200000</v>
      </c>
      <c r="I2210" s="16">
        <f>E2210*G2210</f>
        <v>400000</v>
      </c>
      <c r="J2210" s="16">
        <f>I2210-H2210</f>
        <v>200000</v>
      </c>
      <c r="K2210" s="16" t="str">
        <f>VLOOKUP(C2210,[1]master_data!$A$2:$E$495,5,FALSE)</f>
        <v>Ikan</v>
      </c>
      <c r="L2210" s="1"/>
    </row>
    <row r="2211" spans="1:12" ht="12" customHeight="1" x14ac:dyDescent="0.25">
      <c r="A2211" s="15">
        <v>44971</v>
      </c>
      <c r="B2211" s="16">
        <v>22300293</v>
      </c>
      <c r="C2211" s="16" t="s">
        <v>435</v>
      </c>
      <c r="D2211" s="16" t="str">
        <f>VLOOKUP(C2211,[1]master_data!$A$2:$E$495,2,FALSE)</f>
        <v>RED EYE TETRA</v>
      </c>
      <c r="E2211" s="16">
        <v>20</v>
      </c>
      <c r="F2211" s="16">
        <f>VLOOKUP(C2211,[1]master_data!$A$2:$E$495,3,FALSE)</f>
        <v>900</v>
      </c>
      <c r="G2211" s="16">
        <f>VLOOKUP(C2211,[1]master_data!$A$2:$E$495,4,FALSE)</f>
        <v>2000</v>
      </c>
      <c r="H2211" s="16">
        <f>E2211*F2211</f>
        <v>18000</v>
      </c>
      <c r="I2211" s="16">
        <f>E2211*G2211</f>
        <v>40000</v>
      </c>
      <c r="J2211" s="16">
        <f>I2211-H2211</f>
        <v>22000</v>
      </c>
      <c r="K2211" s="16" t="str">
        <f>VLOOKUP(C2211,[1]master_data!$A$2:$E$495,5,FALSE)</f>
        <v>Ikan</v>
      </c>
      <c r="L2211" s="1"/>
    </row>
    <row r="2212" spans="1:12" ht="12" customHeight="1" x14ac:dyDescent="0.25">
      <c r="A2212" s="15">
        <v>44971</v>
      </c>
      <c r="B2212" s="16">
        <v>22300294</v>
      </c>
      <c r="C2212" s="16" t="s">
        <v>438</v>
      </c>
      <c r="D2212" s="16" t="str">
        <f>VLOOKUP(C2212,[1]master_data!$A$2:$E$495,2,FALSE)</f>
        <v>OSCAR</v>
      </c>
      <c r="E2212" s="16">
        <v>1</v>
      </c>
      <c r="F2212" s="16">
        <f>VLOOKUP(C2212,[1]master_data!$A$2:$E$495,3,FALSE)</f>
        <v>25000</v>
      </c>
      <c r="G2212" s="16">
        <f>VLOOKUP(C2212,[1]master_data!$A$2:$E$495,4,FALSE)</f>
        <v>50000</v>
      </c>
      <c r="H2212" s="16">
        <f>E2212*F2212</f>
        <v>25000</v>
      </c>
      <c r="I2212" s="16">
        <f>E2212*G2212</f>
        <v>50000</v>
      </c>
      <c r="J2212" s="16">
        <f>I2212-H2212</f>
        <v>25000</v>
      </c>
      <c r="K2212" s="16" t="str">
        <f>VLOOKUP(C2212,[1]master_data!$A$2:$E$495,5,FALSE)</f>
        <v>Ikan</v>
      </c>
      <c r="L2212" s="1"/>
    </row>
    <row r="2213" spans="1:12" ht="12" customHeight="1" x14ac:dyDescent="0.25">
      <c r="A2213" s="15">
        <v>44971</v>
      </c>
      <c r="B2213" s="16">
        <v>22300295</v>
      </c>
      <c r="C2213" s="16" t="s">
        <v>398</v>
      </c>
      <c r="D2213" s="16" t="str">
        <f>VLOOKUP(C2213,[1]master_data!$A$2:$E$495,2,FALSE)</f>
        <v>BALA BALA K</v>
      </c>
      <c r="E2213" s="16">
        <v>1</v>
      </c>
      <c r="F2213" s="16">
        <f>VLOOKUP(C2213,[1]master_data!$A$2:$E$495,3,FALSE)</f>
        <v>4000</v>
      </c>
      <c r="G2213" s="16">
        <f>VLOOKUP(C2213,[1]master_data!$A$2:$E$495,4,FALSE)</f>
        <v>8000</v>
      </c>
      <c r="H2213" s="16">
        <f>E2213*F2213</f>
        <v>4000</v>
      </c>
      <c r="I2213" s="16">
        <f>E2213*G2213</f>
        <v>8000</v>
      </c>
      <c r="J2213" s="16">
        <f>I2213-H2213</f>
        <v>4000</v>
      </c>
      <c r="K2213" s="16" t="str">
        <f>VLOOKUP(C2213,[1]master_data!$A$2:$E$495,5,FALSE)</f>
        <v>Ikan</v>
      </c>
      <c r="L2213" s="1"/>
    </row>
    <row r="2214" spans="1:12" ht="12" customHeight="1" x14ac:dyDescent="0.25">
      <c r="A2214" s="15">
        <v>44970</v>
      </c>
      <c r="B2214" s="16">
        <v>22300285</v>
      </c>
      <c r="C2214" s="16" t="s">
        <v>427</v>
      </c>
      <c r="D2214" s="16" t="str">
        <f>VLOOKUP(C2214,[1]master_data!$A$2:$E$495,2,FALSE)</f>
        <v>LOUHAN SUPER</v>
      </c>
      <c r="E2214" s="16">
        <v>1</v>
      </c>
      <c r="F2214" s="16">
        <f>VLOOKUP(C2214,[1]master_data!$A$2:$E$495,3,FALSE)</f>
        <v>300000</v>
      </c>
      <c r="G2214" s="16">
        <f>VLOOKUP(C2214,[1]master_data!$A$2:$E$495,4,FALSE)</f>
        <v>500000</v>
      </c>
      <c r="H2214" s="16">
        <f>E2214*F2214</f>
        <v>300000</v>
      </c>
      <c r="I2214" s="16">
        <f>E2214*G2214</f>
        <v>500000</v>
      </c>
      <c r="J2214" s="16">
        <f>I2214-H2214</f>
        <v>200000</v>
      </c>
      <c r="K2214" s="16" t="str">
        <f>VLOOKUP(C2214,[1]master_data!$A$2:$E$495,5,FALSE)</f>
        <v>Ikan</v>
      </c>
      <c r="L2214" s="1"/>
    </row>
    <row r="2215" spans="1:12" ht="12" customHeight="1" x14ac:dyDescent="0.25">
      <c r="A2215" s="15">
        <v>44970</v>
      </c>
      <c r="B2215" s="16">
        <v>22300286</v>
      </c>
      <c r="C2215" s="16" t="s">
        <v>452</v>
      </c>
      <c r="D2215" s="16" t="str">
        <f>VLOOKUP(C2215,[1]master_data!$A$2:$E$495,2,FALSE)</f>
        <v>SYNODONTI B</v>
      </c>
      <c r="E2215" s="16">
        <v>15</v>
      </c>
      <c r="F2215" s="16">
        <f>VLOOKUP(C2215,[1]master_data!$A$2:$E$495,3,FALSE)</f>
        <v>4000</v>
      </c>
      <c r="G2215" s="16">
        <f>VLOOKUP(C2215,[1]master_data!$A$2:$E$495,4,FALSE)</f>
        <v>10000</v>
      </c>
      <c r="H2215" s="16">
        <f>E2215*F2215</f>
        <v>60000</v>
      </c>
      <c r="I2215" s="16">
        <f>E2215*G2215</f>
        <v>150000</v>
      </c>
      <c r="J2215" s="16">
        <f>I2215-H2215</f>
        <v>90000</v>
      </c>
      <c r="K2215" s="16" t="str">
        <f>VLOOKUP(C2215,[1]master_data!$A$2:$E$495,5,FALSE)</f>
        <v>Ikan</v>
      </c>
      <c r="L2215" s="1"/>
    </row>
    <row r="2216" spans="1:12" ht="12" customHeight="1" x14ac:dyDescent="0.25">
      <c r="A2216" s="15">
        <v>44970</v>
      </c>
      <c r="B2216" s="16">
        <v>22300287</v>
      </c>
      <c r="C2216" s="16" t="s">
        <v>428</v>
      </c>
      <c r="D2216" s="16" t="str">
        <f>VLOOKUP(C2216,[1]master_data!$A$2:$E$495,2,FALSE)</f>
        <v>MANFISH K</v>
      </c>
      <c r="E2216" s="16">
        <v>10</v>
      </c>
      <c r="F2216" s="16">
        <f>VLOOKUP(C2216,[1]master_data!$A$2:$E$495,3,FALSE)</f>
        <v>2000</v>
      </c>
      <c r="G2216" s="16">
        <f>VLOOKUP(C2216,[1]master_data!$A$2:$E$495,4,FALSE)</f>
        <v>5000</v>
      </c>
      <c r="H2216" s="16">
        <f>E2216*F2216</f>
        <v>20000</v>
      </c>
      <c r="I2216" s="16">
        <f>E2216*G2216</f>
        <v>50000</v>
      </c>
      <c r="J2216" s="16">
        <f>I2216-H2216</f>
        <v>30000</v>
      </c>
      <c r="K2216" s="16" t="str">
        <f>VLOOKUP(C2216,[1]master_data!$A$2:$E$495,5,FALSE)</f>
        <v>Ikan</v>
      </c>
      <c r="L2216" s="1"/>
    </row>
    <row r="2217" spans="1:12" ht="12" customHeight="1" x14ac:dyDescent="0.25">
      <c r="A2217" s="15">
        <v>44970</v>
      </c>
      <c r="B2217" s="16">
        <v>22300288</v>
      </c>
      <c r="C2217" s="16" t="s">
        <v>460</v>
      </c>
      <c r="D2217" s="16" t="str">
        <f>VLOOKUP(C2217,[1]master_data!$A$2:$E$495,2,FALSE)</f>
        <v>SEPAT ALBINO</v>
      </c>
      <c r="E2217" s="16">
        <v>20</v>
      </c>
      <c r="F2217" s="16">
        <f>VLOOKUP(C2217,[1]master_data!$A$2:$E$495,3,FALSE)</f>
        <v>2000</v>
      </c>
      <c r="G2217" s="16">
        <f>VLOOKUP(C2217,[1]master_data!$A$2:$E$495,4,FALSE)</f>
        <v>5000</v>
      </c>
      <c r="H2217" s="16">
        <f>E2217*F2217</f>
        <v>40000</v>
      </c>
      <c r="I2217" s="16">
        <f>E2217*G2217</f>
        <v>100000</v>
      </c>
      <c r="J2217" s="16">
        <f>I2217-H2217</f>
        <v>60000</v>
      </c>
      <c r="K2217" s="16" t="str">
        <f>VLOOKUP(C2217,[1]master_data!$A$2:$E$495,5,FALSE)</f>
        <v>Ikan</v>
      </c>
      <c r="L2217" s="1"/>
    </row>
    <row r="2218" spans="1:12" ht="12" customHeight="1" x14ac:dyDescent="0.25">
      <c r="A2218" s="15">
        <v>44970</v>
      </c>
      <c r="B2218" s="16">
        <v>22300289</v>
      </c>
      <c r="C2218" s="16" t="s">
        <v>437</v>
      </c>
      <c r="D2218" s="16" t="str">
        <f>VLOOKUP(C2218,[1]master_data!$A$2:$E$495,2,FALSE)</f>
        <v>NEON</v>
      </c>
      <c r="E2218" s="16">
        <v>3</v>
      </c>
      <c r="F2218" s="16">
        <f>VLOOKUP(C2218,[1]master_data!$A$2:$E$495,3,FALSE)</f>
        <v>1250</v>
      </c>
      <c r="G2218" s="16">
        <f>VLOOKUP(C2218,[1]master_data!$A$2:$E$495,4,FALSE)</f>
        <v>5000</v>
      </c>
      <c r="H2218" s="16">
        <f>E2218*F2218</f>
        <v>3750</v>
      </c>
      <c r="I2218" s="16">
        <f>E2218*G2218</f>
        <v>15000</v>
      </c>
      <c r="J2218" s="16">
        <f>I2218-H2218</f>
        <v>11250</v>
      </c>
      <c r="K2218" s="16" t="str">
        <f>VLOOKUP(C2218,[1]master_data!$A$2:$E$495,5,FALSE)</f>
        <v>Ikan</v>
      </c>
      <c r="L2218" s="1"/>
    </row>
    <row r="2219" spans="1:12" ht="12" customHeight="1" x14ac:dyDescent="0.25">
      <c r="A2219" s="15">
        <v>44970</v>
      </c>
      <c r="B2219" s="16">
        <v>22300290</v>
      </c>
      <c r="C2219" s="16" t="s">
        <v>378</v>
      </c>
      <c r="D2219" s="16" t="str">
        <f>VLOOKUP(C2219,[1]master_data!$A$2:$E$495,2,FALSE)</f>
        <v>PASIR SILICA</v>
      </c>
      <c r="E2219" s="16">
        <v>1</v>
      </c>
      <c r="F2219" s="16">
        <f>VLOOKUP(C2219,[1]master_data!$A$2:$E$495,3,FALSE)</f>
        <v>5000</v>
      </c>
      <c r="G2219" s="16">
        <f>VLOOKUP(C2219,[1]master_data!$A$2:$E$495,4,FALSE)</f>
        <v>10000</v>
      </c>
      <c r="H2219" s="16">
        <f>E2219*F2219</f>
        <v>5000</v>
      </c>
      <c r="I2219" s="16">
        <f>E2219*G2219</f>
        <v>10000</v>
      </c>
      <c r="J2219" s="16">
        <f>I2219-H2219</f>
        <v>5000</v>
      </c>
      <c r="K2219" s="16" t="str">
        <f>VLOOKUP(C2219,[1]master_data!$A$2:$E$495,5,FALSE)</f>
        <v>Aksesoris</v>
      </c>
      <c r="L2219" s="1"/>
    </row>
    <row r="2220" spans="1:12" ht="12" customHeight="1" x14ac:dyDescent="0.25">
      <c r="A2220" s="15">
        <v>44969</v>
      </c>
      <c r="B2220" s="16">
        <v>22300277</v>
      </c>
      <c r="C2220" s="16" t="s">
        <v>268</v>
      </c>
      <c r="D2220" s="16" t="str">
        <f>VLOOKUP(C2220,[1]master_data!$A$2:$E$495,2,FALSE)</f>
        <v>HEATER KACA 25 W</v>
      </c>
      <c r="E2220" s="16">
        <v>1</v>
      </c>
      <c r="F2220" s="16">
        <f>VLOOKUP(C2220,[1]master_data!$A$2:$E$495,3,FALSE)</f>
        <v>33000</v>
      </c>
      <c r="G2220" s="16">
        <f>VLOOKUP(C2220,[1]master_data!$A$2:$E$495,4,FALSE)</f>
        <v>50000</v>
      </c>
      <c r="H2220" s="16">
        <f>E2220*F2220</f>
        <v>33000</v>
      </c>
      <c r="I2220" s="16">
        <f>E2220*G2220</f>
        <v>50000</v>
      </c>
      <c r="J2220" s="16">
        <f>I2220-H2220</f>
        <v>17000</v>
      </c>
      <c r="K2220" s="16" t="str">
        <f>VLOOKUP(C2220,[1]master_data!$A$2:$E$495,5,FALSE)</f>
        <v>Aksesoris</v>
      </c>
      <c r="L2220" s="1"/>
    </row>
    <row r="2221" spans="1:12" ht="12" customHeight="1" x14ac:dyDescent="0.25">
      <c r="A2221" s="15">
        <v>44969</v>
      </c>
      <c r="B2221" s="16">
        <v>22300278</v>
      </c>
      <c r="C2221" s="16" t="s">
        <v>16</v>
      </c>
      <c r="D2221" s="16" t="str">
        <f>VLOOKUP(C2221,[1]master_data!$A$2:$E$495,2,FALSE)</f>
        <v>HANG ON YANG 502</v>
      </c>
      <c r="E2221" s="16">
        <v>5</v>
      </c>
      <c r="F2221" s="16">
        <f>VLOOKUP(C2221,[1]master_data!$A$2:$E$495,3,FALSE)</f>
        <v>71000</v>
      </c>
      <c r="G2221" s="16">
        <f>VLOOKUP(C2221,[1]master_data!$A$2:$E$495,4,FALSE)</f>
        <v>95000</v>
      </c>
      <c r="H2221" s="16">
        <f>E2221*F2221</f>
        <v>355000</v>
      </c>
      <c r="I2221" s="16">
        <f>E2221*G2221</f>
        <v>475000</v>
      </c>
      <c r="J2221" s="16">
        <f>I2221-H2221</f>
        <v>120000</v>
      </c>
      <c r="K2221" s="16" t="str">
        <f>VLOOKUP(C2221,[1]master_data!$A$2:$E$495,5,FALSE)</f>
        <v>Aksesoris</v>
      </c>
      <c r="L2221" s="1"/>
    </row>
    <row r="2222" spans="1:12" ht="12" customHeight="1" x14ac:dyDescent="0.25">
      <c r="A2222" s="15">
        <v>44969</v>
      </c>
      <c r="B2222" s="16">
        <v>22300279</v>
      </c>
      <c r="C2222" s="16" t="s">
        <v>388</v>
      </c>
      <c r="D2222" s="16" t="str">
        <f>VLOOKUP(C2222,[1]master_data!$A$2:$E$495,2,FALSE)</f>
        <v>CHANNA ASIATICA K</v>
      </c>
      <c r="E2222" s="16">
        <v>2</v>
      </c>
      <c r="F2222" s="16">
        <f>VLOOKUP(C2222,[1]master_data!$A$2:$E$495,3,FALSE)</f>
        <v>10000</v>
      </c>
      <c r="G2222" s="16">
        <f>VLOOKUP(C2222,[1]master_data!$A$2:$E$495,4,FALSE)</f>
        <v>40000</v>
      </c>
      <c r="H2222" s="16">
        <f>E2222*F2222</f>
        <v>20000</v>
      </c>
      <c r="I2222" s="16">
        <f>E2222*G2222</f>
        <v>80000</v>
      </c>
      <c r="J2222" s="16">
        <f>I2222-H2222</f>
        <v>60000</v>
      </c>
      <c r="K2222" s="16" t="str">
        <f>VLOOKUP(C2222,[1]master_data!$A$2:$E$495,5,FALSE)</f>
        <v>Ikan</v>
      </c>
      <c r="L2222" s="1"/>
    </row>
    <row r="2223" spans="1:12" ht="12" customHeight="1" x14ac:dyDescent="0.25">
      <c r="A2223" s="15">
        <v>44969</v>
      </c>
      <c r="B2223" s="16">
        <v>22300280</v>
      </c>
      <c r="C2223" s="16" t="s">
        <v>313</v>
      </c>
      <c r="D2223" s="16" t="str">
        <f>VLOOKUP(C2223,[1]master_data!$A$2:$E$495,2,FALSE)</f>
        <v>L SELANG</v>
      </c>
      <c r="E2223" s="16">
        <v>25</v>
      </c>
      <c r="F2223" s="16">
        <f>VLOOKUP(C2223,[1]master_data!$A$2:$E$495,3,FALSE)</f>
        <v>750</v>
      </c>
      <c r="G2223" s="16">
        <f>VLOOKUP(C2223,[1]master_data!$A$2:$E$495,4,FALSE)</f>
        <v>1500</v>
      </c>
      <c r="H2223" s="16">
        <f>E2223*F2223</f>
        <v>18750</v>
      </c>
      <c r="I2223" s="16">
        <f>E2223*G2223</f>
        <v>37500</v>
      </c>
      <c r="J2223" s="16">
        <f>I2223-H2223</f>
        <v>18750</v>
      </c>
      <c r="K2223" s="16" t="str">
        <f>VLOOKUP(C2223,[1]master_data!$A$2:$E$495,5,FALSE)</f>
        <v>Aksesoris</v>
      </c>
      <c r="L2223" s="1"/>
    </row>
    <row r="2224" spans="1:12" ht="12" customHeight="1" x14ac:dyDescent="0.25">
      <c r="A2224" s="15">
        <v>44969</v>
      </c>
      <c r="B2224" s="16">
        <v>22300281</v>
      </c>
      <c r="C2224" s="16" t="s">
        <v>456</v>
      </c>
      <c r="D2224" s="16" t="str">
        <f>VLOOKUP(C2224,[1]master_data!$A$2:$E$495,2,FALSE)</f>
        <v>ZEBRA HIJAU</v>
      </c>
      <c r="E2224" s="16">
        <v>30</v>
      </c>
      <c r="F2224" s="16">
        <f>VLOOKUP(C2224,[1]master_data!$A$2:$E$495,3,FALSE)</f>
        <v>800</v>
      </c>
      <c r="G2224" s="16">
        <f>VLOOKUP(C2224,[1]master_data!$A$2:$E$495,4,FALSE)</f>
        <v>2000</v>
      </c>
      <c r="H2224" s="16">
        <f>E2224*F2224</f>
        <v>24000</v>
      </c>
      <c r="I2224" s="16">
        <f>E2224*G2224</f>
        <v>60000</v>
      </c>
      <c r="J2224" s="16">
        <f>I2224-H2224</f>
        <v>36000</v>
      </c>
      <c r="K2224" s="16" t="str">
        <f>VLOOKUP(C2224,[1]master_data!$A$2:$E$495,5,FALSE)</f>
        <v>Ikan</v>
      </c>
      <c r="L2224" s="1"/>
    </row>
    <row r="2225" spans="1:12" ht="12" customHeight="1" x14ac:dyDescent="0.25">
      <c r="A2225" s="15">
        <v>44969</v>
      </c>
      <c r="B2225" s="16">
        <v>22300282</v>
      </c>
      <c r="C2225" s="16" t="s">
        <v>447</v>
      </c>
      <c r="D2225" s="16" t="str">
        <f>VLOOKUP(C2225,[1]master_data!$A$2:$E$495,2,FALSE)</f>
        <v>CHANNA RED BARITO B</v>
      </c>
      <c r="E2225" s="16">
        <v>1</v>
      </c>
      <c r="F2225" s="16">
        <f>VLOOKUP(C2225,[1]master_data!$A$2:$E$495,3,FALSE)</f>
        <v>120000</v>
      </c>
      <c r="G2225" s="16">
        <f>VLOOKUP(C2225,[1]master_data!$A$2:$E$495,4,FALSE)</f>
        <v>200000</v>
      </c>
      <c r="H2225" s="16">
        <f>E2225*F2225</f>
        <v>120000</v>
      </c>
      <c r="I2225" s="16">
        <f>E2225*G2225</f>
        <v>200000</v>
      </c>
      <c r="J2225" s="16">
        <f>I2225-H2225</f>
        <v>80000</v>
      </c>
      <c r="K2225" s="16" t="str">
        <f>VLOOKUP(C2225,[1]master_data!$A$2:$E$495,5,FALSE)</f>
        <v>Ikan</v>
      </c>
      <c r="L2225" s="1"/>
    </row>
    <row r="2226" spans="1:12" ht="12" customHeight="1" x14ac:dyDescent="0.25">
      <c r="A2226" s="15">
        <v>44969</v>
      </c>
      <c r="B2226" s="16">
        <v>22300283</v>
      </c>
      <c r="C2226" s="16" t="s">
        <v>416</v>
      </c>
      <c r="D2226" s="16" t="str">
        <f>VLOOKUP(C2226,[1]master_data!$A$2:$E$495,2,FALSE)</f>
        <v>KOI B</v>
      </c>
      <c r="E2226" s="16">
        <v>3</v>
      </c>
      <c r="F2226" s="16">
        <f>VLOOKUP(C2226,[1]master_data!$A$2:$E$495,3,FALSE)</f>
        <v>9000</v>
      </c>
      <c r="G2226" s="16">
        <f>VLOOKUP(C2226,[1]master_data!$A$2:$E$495,4,FALSE)</f>
        <v>30000</v>
      </c>
      <c r="H2226" s="16">
        <f>E2226*F2226</f>
        <v>27000</v>
      </c>
      <c r="I2226" s="16">
        <f>E2226*G2226</f>
        <v>90000</v>
      </c>
      <c r="J2226" s="16">
        <f>I2226-H2226</f>
        <v>63000</v>
      </c>
      <c r="K2226" s="16" t="str">
        <f>VLOOKUP(C2226,[1]master_data!$A$2:$E$495,5,FALSE)</f>
        <v>Ikan</v>
      </c>
      <c r="L2226" s="1"/>
    </row>
    <row r="2227" spans="1:12" ht="12" customHeight="1" x14ac:dyDescent="0.25">
      <c r="A2227" s="15">
        <v>44969</v>
      </c>
      <c r="B2227" s="16">
        <v>22300284</v>
      </c>
      <c r="C2227" s="16" t="s">
        <v>449</v>
      </c>
      <c r="D2227" s="16" t="str">
        <f>VLOOKUP(C2227,[1]master_data!$A$2:$E$495,2,FALSE)</f>
        <v>SUMATRA GOLD FISH</v>
      </c>
      <c r="E2227" s="16">
        <v>3</v>
      </c>
      <c r="F2227" s="16">
        <f>VLOOKUP(C2227,[1]master_data!$A$2:$E$495,3,FALSE)</f>
        <v>2500</v>
      </c>
      <c r="G2227" s="16">
        <f>VLOOKUP(C2227,[1]master_data!$A$2:$E$495,4,FALSE)</f>
        <v>4000</v>
      </c>
      <c r="H2227" s="16">
        <f>E2227*F2227</f>
        <v>7500</v>
      </c>
      <c r="I2227" s="16">
        <f>E2227*G2227</f>
        <v>12000</v>
      </c>
      <c r="J2227" s="16">
        <f>I2227-H2227</f>
        <v>4500</v>
      </c>
      <c r="K2227" s="16" t="str">
        <f>VLOOKUP(C2227,[1]master_data!$A$2:$E$495,5,FALSE)</f>
        <v>Ikan</v>
      </c>
      <c r="L2227" s="1"/>
    </row>
    <row r="2228" spans="1:12" ht="12" customHeight="1" x14ac:dyDescent="0.25">
      <c r="A2228" s="15">
        <v>44968</v>
      </c>
      <c r="B2228" s="16">
        <v>22300273</v>
      </c>
      <c r="C2228" s="16" t="s">
        <v>418</v>
      </c>
      <c r="D2228" s="16" t="str">
        <f>VLOOKUP(C2228,[1]master_data!$A$2:$E$495,2,FALSE)</f>
        <v>KAVIAT</v>
      </c>
      <c r="E2228" s="16">
        <v>20</v>
      </c>
      <c r="F2228" s="16">
        <f>VLOOKUP(C2228,[1]master_data!$A$2:$E$495,3,FALSE)</f>
        <v>3500</v>
      </c>
      <c r="G2228" s="16">
        <f>VLOOKUP(C2228,[1]master_data!$A$2:$E$495,4,FALSE)</f>
        <v>8000</v>
      </c>
      <c r="H2228" s="16">
        <f>E2228*F2228</f>
        <v>70000</v>
      </c>
      <c r="I2228" s="16">
        <f>E2228*G2228</f>
        <v>160000</v>
      </c>
      <c r="J2228" s="16">
        <f>I2228-H2228</f>
        <v>90000</v>
      </c>
      <c r="K2228" s="16" t="str">
        <f>VLOOKUP(C2228,[1]master_data!$A$2:$E$495,5,FALSE)</f>
        <v>Ikan</v>
      </c>
      <c r="L2228" s="1"/>
    </row>
    <row r="2229" spans="1:12" ht="12" customHeight="1" x14ac:dyDescent="0.25">
      <c r="A2229" s="15">
        <v>44968</v>
      </c>
      <c r="B2229" s="16">
        <v>22300274</v>
      </c>
      <c r="C2229" s="16" t="s">
        <v>440</v>
      </c>
      <c r="D2229" s="16" t="str">
        <f>VLOOKUP(C2229,[1]master_data!$A$2:$E$495,2,FALSE)</f>
        <v>PEMBERSIH KACA ALBINO</v>
      </c>
      <c r="E2229" s="16">
        <v>20</v>
      </c>
      <c r="F2229" s="16">
        <f>VLOOKUP(C2229,[1]master_data!$A$2:$E$495,3,FALSE)</f>
        <v>2500</v>
      </c>
      <c r="G2229" s="16">
        <f>VLOOKUP(C2229,[1]master_data!$A$2:$E$495,4,FALSE)</f>
        <v>5000</v>
      </c>
      <c r="H2229" s="16">
        <f>E2229*F2229</f>
        <v>50000</v>
      </c>
      <c r="I2229" s="16">
        <f>E2229*G2229</f>
        <v>100000</v>
      </c>
      <c r="J2229" s="16">
        <f>I2229-H2229</f>
        <v>50000</v>
      </c>
      <c r="K2229" s="16" t="str">
        <f>VLOOKUP(C2229,[1]master_data!$A$2:$E$495,5,FALSE)</f>
        <v>Ikan</v>
      </c>
      <c r="L2229" s="1"/>
    </row>
    <row r="2230" spans="1:12" ht="12" customHeight="1" x14ac:dyDescent="0.25">
      <c r="A2230" s="15">
        <v>44968</v>
      </c>
      <c r="B2230" s="16">
        <v>22300275</v>
      </c>
      <c r="C2230" s="16" t="s">
        <v>356</v>
      </c>
      <c r="D2230" s="16" t="str">
        <f>VLOOKUP(C2230,[1]master_data!$A$2:$E$495,2,FALSE)</f>
        <v>TOPLES 3,3 L</v>
      </c>
      <c r="E2230" s="16">
        <v>5</v>
      </c>
      <c r="F2230" s="16">
        <f>VLOOKUP(C2230,[1]master_data!$A$2:$E$495,3,FALSE)</f>
        <v>50000</v>
      </c>
      <c r="G2230" s="16">
        <f>VLOOKUP(C2230,[1]master_data!$A$2:$E$495,4,FALSE)</f>
        <v>75000</v>
      </c>
      <c r="H2230" s="16">
        <f>E2230*F2230</f>
        <v>250000</v>
      </c>
      <c r="I2230" s="16">
        <f>E2230*G2230</f>
        <v>375000</v>
      </c>
      <c r="J2230" s="16">
        <f>I2230-H2230</f>
        <v>125000</v>
      </c>
      <c r="K2230" s="16" t="str">
        <f>VLOOKUP(C2230,[1]master_data!$A$2:$E$495,5,FALSE)</f>
        <v>Aksesoris</v>
      </c>
      <c r="L2230" s="1"/>
    </row>
    <row r="2231" spans="1:12" ht="12" customHeight="1" x14ac:dyDescent="0.25">
      <c r="A2231" s="15">
        <v>44968</v>
      </c>
      <c r="B2231" s="16">
        <v>22300276</v>
      </c>
      <c r="C2231" s="16" t="s">
        <v>275</v>
      </c>
      <c r="D2231" s="16" t="str">
        <f>VLOOKUP(C2231,[1]master_data!$A$2:$E$495,2,FALSE)</f>
        <v>JARING 20</v>
      </c>
      <c r="E2231" s="16">
        <v>30</v>
      </c>
      <c r="F2231" s="16">
        <f>VLOOKUP(C2231,[1]master_data!$A$2:$E$495,3,FALSE)</f>
        <v>5600</v>
      </c>
      <c r="G2231" s="16">
        <f>VLOOKUP(C2231,[1]master_data!$A$2:$E$495,4,FALSE)</f>
        <v>10000</v>
      </c>
      <c r="H2231" s="16">
        <f>E2231*F2231</f>
        <v>168000</v>
      </c>
      <c r="I2231" s="16">
        <f>E2231*G2231</f>
        <v>300000</v>
      </c>
      <c r="J2231" s="16">
        <f>I2231-H2231</f>
        <v>132000</v>
      </c>
      <c r="K2231" s="16" t="str">
        <f>VLOOKUP(C2231,[1]master_data!$A$2:$E$495,5,FALSE)</f>
        <v>Aksesoris</v>
      </c>
      <c r="L2231" s="1"/>
    </row>
    <row r="2232" spans="1:12" ht="12" customHeight="1" x14ac:dyDescent="0.25">
      <c r="A2232" s="15">
        <v>44967</v>
      </c>
      <c r="B2232" s="16">
        <v>22300264</v>
      </c>
      <c r="C2232" s="16" t="s">
        <v>278</v>
      </c>
      <c r="D2232" s="16" t="str">
        <f>VLOOKUP(C2232,[1]master_data!$A$2:$E$495,2,FALSE)</f>
        <v>HEATER STENLEES 100 W</v>
      </c>
      <c r="E2232" s="16">
        <v>1</v>
      </c>
      <c r="F2232" s="16">
        <f>VLOOKUP(C2232,[1]master_data!$A$2:$E$495,3,FALSE)</f>
        <v>56000</v>
      </c>
      <c r="G2232" s="16">
        <f>VLOOKUP(C2232,[1]master_data!$A$2:$E$495,4,FALSE)</f>
        <v>85000</v>
      </c>
      <c r="H2232" s="16">
        <f>E2232*F2232</f>
        <v>56000</v>
      </c>
      <c r="I2232" s="16">
        <f>E2232*G2232</f>
        <v>85000</v>
      </c>
      <c r="J2232" s="16">
        <f>I2232-H2232</f>
        <v>29000</v>
      </c>
      <c r="K2232" s="16" t="str">
        <f>VLOOKUP(C2232,[1]master_data!$A$2:$E$495,5,FALSE)</f>
        <v>Aksesoris</v>
      </c>
      <c r="L2232" s="1"/>
    </row>
    <row r="2233" spans="1:12" ht="12" customHeight="1" x14ac:dyDescent="0.25">
      <c r="A2233" s="15">
        <v>44967</v>
      </c>
      <c r="B2233" s="16">
        <v>22300265</v>
      </c>
      <c r="C2233" s="16" t="s">
        <v>209</v>
      </c>
      <c r="D2233" s="16" t="str">
        <f>VLOOKUP(C2233,[1]master_data!$A$2:$E$495,2,FALSE)</f>
        <v>TETRA BITS 50 GR</v>
      </c>
      <c r="E2233" s="16">
        <v>1</v>
      </c>
      <c r="F2233" s="16">
        <f>VLOOKUP(C2233,[1]master_data!$A$2:$E$495,3,FALSE)</f>
        <v>45000</v>
      </c>
      <c r="G2233" s="16">
        <f>VLOOKUP(C2233,[1]master_data!$A$2:$E$495,4,FALSE)</f>
        <v>55000</v>
      </c>
      <c r="H2233" s="16">
        <f>E2233*F2233</f>
        <v>45000</v>
      </c>
      <c r="I2233" s="16">
        <f>E2233*G2233</f>
        <v>55000</v>
      </c>
      <c r="J2233" s="16">
        <f>I2233-H2233</f>
        <v>10000</v>
      </c>
      <c r="K2233" s="16" t="str">
        <f>VLOOKUP(C2233,[1]master_data!$A$2:$E$495,5,FALSE)</f>
        <v>Aksesoris</v>
      </c>
      <c r="L2233" s="1"/>
    </row>
    <row r="2234" spans="1:12" ht="12" customHeight="1" x14ac:dyDescent="0.25">
      <c r="A2234" s="15">
        <v>44967</v>
      </c>
      <c r="B2234" s="16">
        <v>22300266</v>
      </c>
      <c r="C2234" s="16" t="s">
        <v>219</v>
      </c>
      <c r="D2234" s="16" t="str">
        <f>VLOOKUP(C2234,[1]master_data!$A$2:$E$495,2,FALSE)</f>
        <v>CP KOI GROWTH</v>
      </c>
      <c r="E2234" s="16">
        <v>2</v>
      </c>
      <c r="F2234" s="16">
        <f>VLOOKUP(C2234,[1]master_data!$A$2:$E$495,3,FALSE)</f>
        <v>38000</v>
      </c>
      <c r="G2234" s="16">
        <f>VLOOKUP(C2234,[1]master_data!$A$2:$E$495,4,FALSE)</f>
        <v>50000</v>
      </c>
      <c r="H2234" s="16">
        <f>E2234*F2234</f>
        <v>76000</v>
      </c>
      <c r="I2234" s="16">
        <f>E2234*G2234</f>
        <v>100000</v>
      </c>
      <c r="J2234" s="16">
        <f>I2234-H2234</f>
        <v>24000</v>
      </c>
      <c r="K2234" s="16" t="str">
        <f>VLOOKUP(C2234,[1]master_data!$A$2:$E$495,5,FALSE)</f>
        <v>Aksesoris</v>
      </c>
      <c r="L2234" s="1"/>
    </row>
    <row r="2235" spans="1:12" ht="12" customHeight="1" x14ac:dyDescent="0.25">
      <c r="A2235" s="15">
        <v>44967</v>
      </c>
      <c r="B2235" s="16">
        <v>22300267</v>
      </c>
      <c r="C2235" s="16" t="s">
        <v>422</v>
      </c>
      <c r="D2235" s="16" t="str">
        <f>VLOOKUP(C2235,[1]master_data!$A$2:$E$495,2,FALSE)</f>
        <v>KOI SLAYER B</v>
      </c>
      <c r="E2235" s="16">
        <v>2</v>
      </c>
      <c r="F2235" s="16">
        <f>VLOOKUP(C2235,[1]master_data!$A$2:$E$495,3,FALSE)</f>
        <v>8000</v>
      </c>
      <c r="G2235" s="16">
        <f>VLOOKUP(C2235,[1]master_data!$A$2:$E$495,4,FALSE)</f>
        <v>20000</v>
      </c>
      <c r="H2235" s="16">
        <f>E2235*F2235</f>
        <v>16000</v>
      </c>
      <c r="I2235" s="16">
        <f>E2235*G2235</f>
        <v>40000</v>
      </c>
      <c r="J2235" s="16">
        <f>I2235-H2235</f>
        <v>24000</v>
      </c>
      <c r="K2235" s="16" t="str">
        <f>VLOOKUP(C2235,[1]master_data!$A$2:$E$495,5,FALSE)</f>
        <v>Ikan</v>
      </c>
      <c r="L2235" s="1"/>
    </row>
    <row r="2236" spans="1:12" ht="12" customHeight="1" x14ac:dyDescent="0.25">
      <c r="A2236" s="15">
        <v>44967</v>
      </c>
      <c r="B2236" s="16">
        <v>22300268</v>
      </c>
      <c r="C2236" s="16" t="s">
        <v>356</v>
      </c>
      <c r="D2236" s="16" t="str">
        <f>VLOOKUP(C2236,[1]master_data!$A$2:$E$495,2,FALSE)</f>
        <v>TOPLES 3,3 L</v>
      </c>
      <c r="E2236" s="16">
        <v>5</v>
      </c>
      <c r="F2236" s="16">
        <f>VLOOKUP(C2236,[1]master_data!$A$2:$E$495,3,FALSE)</f>
        <v>50000</v>
      </c>
      <c r="G2236" s="16">
        <f>VLOOKUP(C2236,[1]master_data!$A$2:$E$495,4,FALSE)</f>
        <v>75000</v>
      </c>
      <c r="H2236" s="16">
        <f>E2236*F2236</f>
        <v>250000</v>
      </c>
      <c r="I2236" s="16">
        <f>E2236*G2236</f>
        <v>375000</v>
      </c>
      <c r="J2236" s="16">
        <f>I2236-H2236</f>
        <v>125000</v>
      </c>
      <c r="K2236" s="16" t="str">
        <f>VLOOKUP(C2236,[1]master_data!$A$2:$E$495,5,FALSE)</f>
        <v>Aksesoris</v>
      </c>
      <c r="L2236" s="1"/>
    </row>
    <row r="2237" spans="1:12" ht="12" customHeight="1" x14ac:dyDescent="0.25">
      <c r="A2237" s="15">
        <v>44967</v>
      </c>
      <c r="B2237" s="16">
        <v>22300269</v>
      </c>
      <c r="C2237" s="16" t="s">
        <v>424</v>
      </c>
      <c r="D2237" s="16" t="str">
        <f>VLOOKUP(C2237,[1]master_data!$A$2:$E$495,2,FALSE)</f>
        <v>DISCUS</v>
      </c>
      <c r="E2237" s="16">
        <v>2</v>
      </c>
      <c r="F2237" s="16">
        <f>VLOOKUP(C2237,[1]master_data!$A$2:$E$495,3,FALSE)</f>
        <v>50000</v>
      </c>
      <c r="G2237" s="16">
        <f>VLOOKUP(C2237,[1]master_data!$A$2:$E$495,4,FALSE)</f>
        <v>150000</v>
      </c>
      <c r="H2237" s="16">
        <f>E2237*F2237</f>
        <v>100000</v>
      </c>
      <c r="I2237" s="16">
        <f>E2237*G2237</f>
        <v>300000</v>
      </c>
      <c r="J2237" s="16">
        <f>I2237-H2237</f>
        <v>200000</v>
      </c>
      <c r="K2237" s="16" t="str">
        <f>VLOOKUP(C2237,[1]master_data!$A$2:$E$495,5,FALSE)</f>
        <v>Ikan</v>
      </c>
      <c r="L2237" s="1"/>
    </row>
    <row r="2238" spans="1:12" ht="12" customHeight="1" x14ac:dyDescent="0.25">
      <c r="A2238" s="15">
        <v>44967</v>
      </c>
      <c r="B2238" s="16">
        <v>22300270</v>
      </c>
      <c r="C2238" s="16" t="s">
        <v>341</v>
      </c>
      <c r="D2238" s="16" t="str">
        <f>VLOOKUP(C2238,[1]master_data!$A$2:$E$495,2,FALSE)</f>
        <v>FISH ALL ANTI ALGAE</v>
      </c>
      <c r="E2238" s="16">
        <v>1</v>
      </c>
      <c r="F2238" s="16">
        <f>VLOOKUP(C2238,[1]master_data!$A$2:$E$495,3,FALSE)</f>
        <v>6000</v>
      </c>
      <c r="G2238" s="16">
        <f>VLOOKUP(C2238,[1]master_data!$A$2:$E$495,4,FALSE)</f>
        <v>12000</v>
      </c>
      <c r="H2238" s="16">
        <f>E2238*F2238</f>
        <v>6000</v>
      </c>
      <c r="I2238" s="16">
        <f>E2238*G2238</f>
        <v>12000</v>
      </c>
      <c r="J2238" s="16">
        <f>I2238-H2238</f>
        <v>6000</v>
      </c>
      <c r="K2238" s="16" t="str">
        <f>VLOOKUP(C2238,[1]master_data!$A$2:$E$495,5,FALSE)</f>
        <v>Aksesoris</v>
      </c>
      <c r="L2238" s="1"/>
    </row>
    <row r="2239" spans="1:12" ht="12" customHeight="1" x14ac:dyDescent="0.25">
      <c r="A2239" s="15">
        <v>44967</v>
      </c>
      <c r="B2239" s="16">
        <v>22300271</v>
      </c>
      <c r="C2239" s="16" t="s">
        <v>416</v>
      </c>
      <c r="D2239" s="16" t="str">
        <f>VLOOKUP(C2239,[1]master_data!$A$2:$E$495,2,FALSE)</f>
        <v>KOI B</v>
      </c>
      <c r="E2239" s="16">
        <v>1</v>
      </c>
      <c r="F2239" s="16">
        <f>VLOOKUP(C2239,[1]master_data!$A$2:$E$495,3,FALSE)</f>
        <v>9000</v>
      </c>
      <c r="G2239" s="16">
        <f>VLOOKUP(C2239,[1]master_data!$A$2:$E$495,4,FALSE)</f>
        <v>30000</v>
      </c>
      <c r="H2239" s="16">
        <f>E2239*F2239</f>
        <v>9000</v>
      </c>
      <c r="I2239" s="16">
        <f>E2239*G2239</f>
        <v>30000</v>
      </c>
      <c r="J2239" s="16">
        <f>I2239-H2239</f>
        <v>21000</v>
      </c>
      <c r="K2239" s="16" t="str">
        <f>VLOOKUP(C2239,[1]master_data!$A$2:$E$495,5,FALSE)</f>
        <v>Ikan</v>
      </c>
      <c r="L2239" s="1"/>
    </row>
    <row r="2240" spans="1:12" ht="12" customHeight="1" x14ac:dyDescent="0.25">
      <c r="A2240" s="15">
        <v>44967</v>
      </c>
      <c r="B2240" s="16">
        <v>22300272</v>
      </c>
      <c r="C2240" s="16" t="s">
        <v>428</v>
      </c>
      <c r="D2240" s="16" t="str">
        <f>VLOOKUP(C2240,[1]master_data!$A$2:$E$495,2,FALSE)</f>
        <v>MANFISH K</v>
      </c>
      <c r="E2240" s="16">
        <v>100</v>
      </c>
      <c r="F2240" s="16">
        <f>VLOOKUP(C2240,[1]master_data!$A$2:$E$495,3,FALSE)</f>
        <v>2000</v>
      </c>
      <c r="G2240" s="16">
        <f>VLOOKUP(C2240,[1]master_data!$A$2:$E$495,4,FALSE)</f>
        <v>5000</v>
      </c>
      <c r="H2240" s="16">
        <f>E2240*F2240</f>
        <v>200000</v>
      </c>
      <c r="I2240" s="16">
        <f>E2240*G2240</f>
        <v>500000</v>
      </c>
      <c r="J2240" s="16">
        <f>I2240-H2240</f>
        <v>300000</v>
      </c>
      <c r="K2240" s="16" t="str">
        <f>VLOOKUP(C2240,[1]master_data!$A$2:$E$495,5,FALSE)</f>
        <v>Ikan</v>
      </c>
      <c r="L2240" s="1"/>
    </row>
    <row r="2241" spans="1:12" ht="12" customHeight="1" x14ac:dyDescent="0.25">
      <c r="A2241" s="15">
        <v>44966</v>
      </c>
      <c r="B2241" s="16">
        <v>22300255</v>
      </c>
      <c r="C2241" s="16" t="s">
        <v>440</v>
      </c>
      <c r="D2241" s="16" t="str">
        <f>VLOOKUP(C2241,[1]master_data!$A$2:$E$495,2,FALSE)</f>
        <v>PEMBERSIH KACA ALBINO</v>
      </c>
      <c r="E2241" s="16">
        <v>15</v>
      </c>
      <c r="F2241" s="16">
        <f>VLOOKUP(C2241,[1]master_data!$A$2:$E$495,3,FALSE)</f>
        <v>2500</v>
      </c>
      <c r="G2241" s="16">
        <f>VLOOKUP(C2241,[1]master_data!$A$2:$E$495,4,FALSE)</f>
        <v>5000</v>
      </c>
      <c r="H2241" s="16">
        <f>E2241*F2241</f>
        <v>37500</v>
      </c>
      <c r="I2241" s="16">
        <f>E2241*G2241</f>
        <v>75000</v>
      </c>
      <c r="J2241" s="16">
        <f>I2241-H2241</f>
        <v>37500</v>
      </c>
      <c r="K2241" s="16" t="str">
        <f>VLOOKUP(C2241,[1]master_data!$A$2:$E$495,5,FALSE)</f>
        <v>Ikan</v>
      </c>
      <c r="L2241" s="1"/>
    </row>
    <row r="2242" spans="1:12" ht="12" customHeight="1" x14ac:dyDescent="0.25">
      <c r="A2242" s="15">
        <v>44966</v>
      </c>
      <c r="B2242" s="16">
        <v>22300256</v>
      </c>
      <c r="C2242" s="16" t="s">
        <v>461</v>
      </c>
      <c r="D2242" s="16" t="str">
        <f>VLOOKUP(C2242,[1]master_data!$A$2:$E$495,2,FALSE)</f>
        <v>CHANNA STEWARTI</v>
      </c>
      <c r="E2242" s="16">
        <v>2</v>
      </c>
      <c r="F2242" s="16">
        <f>VLOOKUP(C2242,[1]master_data!$A$2:$E$495,3,FALSE)</f>
        <v>15000</v>
      </c>
      <c r="G2242" s="16">
        <f>VLOOKUP(C2242,[1]master_data!$A$2:$E$495,4,FALSE)</f>
        <v>40000</v>
      </c>
      <c r="H2242" s="16">
        <f>E2242*F2242</f>
        <v>30000</v>
      </c>
      <c r="I2242" s="16">
        <f>E2242*G2242</f>
        <v>80000</v>
      </c>
      <c r="J2242" s="16">
        <f>I2242-H2242</f>
        <v>50000</v>
      </c>
      <c r="K2242" s="16" t="str">
        <f>VLOOKUP(C2242,[1]master_data!$A$2:$E$495,5,FALSE)</f>
        <v>Ikan</v>
      </c>
      <c r="L2242" s="1"/>
    </row>
    <row r="2243" spans="1:12" ht="12" customHeight="1" x14ac:dyDescent="0.25">
      <c r="A2243" s="15">
        <v>44966</v>
      </c>
      <c r="B2243" s="16">
        <v>22300257</v>
      </c>
      <c r="C2243" s="16" t="s">
        <v>437</v>
      </c>
      <c r="D2243" s="16" t="str">
        <f>VLOOKUP(C2243,[1]master_data!$A$2:$E$495,2,FALSE)</f>
        <v>NEON</v>
      </c>
      <c r="E2243" s="16">
        <v>25</v>
      </c>
      <c r="F2243" s="16">
        <f>VLOOKUP(C2243,[1]master_data!$A$2:$E$495,3,FALSE)</f>
        <v>1250</v>
      </c>
      <c r="G2243" s="16">
        <f>VLOOKUP(C2243,[1]master_data!$A$2:$E$495,4,FALSE)</f>
        <v>5000</v>
      </c>
      <c r="H2243" s="16">
        <f>E2243*F2243</f>
        <v>31250</v>
      </c>
      <c r="I2243" s="16">
        <f>E2243*G2243</f>
        <v>125000</v>
      </c>
      <c r="J2243" s="16">
        <f>I2243-H2243</f>
        <v>93750</v>
      </c>
      <c r="K2243" s="16" t="str">
        <f>VLOOKUP(C2243,[1]master_data!$A$2:$E$495,5,FALSE)</f>
        <v>Ikan</v>
      </c>
      <c r="L2243" s="1"/>
    </row>
    <row r="2244" spans="1:12" ht="12" customHeight="1" x14ac:dyDescent="0.25">
      <c r="A2244" s="15">
        <v>44966</v>
      </c>
      <c r="B2244" s="16">
        <v>22300258</v>
      </c>
      <c r="C2244" s="16" t="s">
        <v>119</v>
      </c>
      <c r="D2244" s="16" t="str">
        <f>VLOOKUP(C2244,[1]master_data!$A$2:$E$495,2,FALSE)</f>
        <v>LED ROSTON 30 CM</v>
      </c>
      <c r="E2244" s="16">
        <v>5</v>
      </c>
      <c r="F2244" s="16">
        <f>VLOOKUP(C2244,[1]master_data!$A$2:$E$495,3,FALSE)</f>
        <v>21000</v>
      </c>
      <c r="G2244" s="16">
        <f>VLOOKUP(C2244,[1]master_data!$A$2:$E$495,4,FALSE)</f>
        <v>35000</v>
      </c>
      <c r="H2244" s="16">
        <f>E2244*F2244</f>
        <v>105000</v>
      </c>
      <c r="I2244" s="16">
        <f>E2244*G2244</f>
        <v>175000</v>
      </c>
      <c r="J2244" s="16">
        <f>I2244-H2244</f>
        <v>70000</v>
      </c>
      <c r="K2244" s="16" t="str">
        <f>VLOOKUP(C2244,[1]master_data!$A$2:$E$495,5,FALSE)</f>
        <v>Aksesoris</v>
      </c>
      <c r="L2244" s="1"/>
    </row>
    <row r="2245" spans="1:12" ht="12" customHeight="1" x14ac:dyDescent="0.25">
      <c r="A2245" s="15">
        <v>44966</v>
      </c>
      <c r="B2245" s="16">
        <v>22300259</v>
      </c>
      <c r="C2245" s="16" t="s">
        <v>370</v>
      </c>
      <c r="D2245" s="16" t="str">
        <f>VLOOKUP(C2245,[1]master_data!$A$2:$E$495,2,FALSE)</f>
        <v>SOLITER B1</v>
      </c>
      <c r="E2245" s="16">
        <v>5</v>
      </c>
      <c r="F2245" s="16">
        <f>VLOOKUP(C2245,[1]master_data!$A$2:$E$495,3,FALSE)</f>
        <v>45000</v>
      </c>
      <c r="G2245" s="16">
        <f>VLOOKUP(C2245,[1]master_data!$A$2:$E$495,4,FALSE)</f>
        <v>60000</v>
      </c>
      <c r="H2245" s="16">
        <f>E2245*F2245</f>
        <v>225000</v>
      </c>
      <c r="I2245" s="16">
        <f>E2245*G2245</f>
        <v>300000</v>
      </c>
      <c r="J2245" s="16">
        <f>I2245-H2245</f>
        <v>75000</v>
      </c>
      <c r="K2245" s="16" t="str">
        <f>VLOOKUP(C2245,[1]master_data!$A$2:$E$495,5,FALSE)</f>
        <v>Aksesoris</v>
      </c>
      <c r="L2245" s="1"/>
    </row>
    <row r="2246" spans="1:12" ht="12" customHeight="1" x14ac:dyDescent="0.25">
      <c r="A2246" s="15">
        <v>44966</v>
      </c>
      <c r="B2246" s="16">
        <v>22300260</v>
      </c>
      <c r="C2246" s="16" t="s">
        <v>456</v>
      </c>
      <c r="D2246" s="16" t="str">
        <f>VLOOKUP(C2246,[1]master_data!$A$2:$E$495,2,FALSE)</f>
        <v>ZEBRA HIJAU</v>
      </c>
      <c r="E2246" s="16">
        <v>25</v>
      </c>
      <c r="F2246" s="16">
        <f>VLOOKUP(C2246,[1]master_data!$A$2:$E$495,3,FALSE)</f>
        <v>800</v>
      </c>
      <c r="G2246" s="16">
        <f>VLOOKUP(C2246,[1]master_data!$A$2:$E$495,4,FALSE)</f>
        <v>2000</v>
      </c>
      <c r="H2246" s="16">
        <f>E2246*F2246</f>
        <v>20000</v>
      </c>
      <c r="I2246" s="16">
        <f>E2246*G2246</f>
        <v>50000</v>
      </c>
      <c r="J2246" s="16">
        <f>I2246-H2246</f>
        <v>30000</v>
      </c>
      <c r="K2246" s="16" t="str">
        <f>VLOOKUP(C2246,[1]master_data!$A$2:$E$495,5,FALSE)</f>
        <v>Ikan</v>
      </c>
      <c r="L2246" s="1"/>
    </row>
    <row r="2247" spans="1:12" ht="12" customHeight="1" x14ac:dyDescent="0.25">
      <c r="A2247" s="15">
        <v>44966</v>
      </c>
      <c r="B2247" s="16">
        <v>22300261</v>
      </c>
      <c r="C2247" s="16" t="s">
        <v>223</v>
      </c>
      <c r="D2247" s="16" t="str">
        <f>VLOOKUP(C2247,[1]master_data!$A$2:$E$495,2,FALSE)</f>
        <v>SAN KOI 5MM</v>
      </c>
      <c r="E2247" s="16">
        <v>1</v>
      </c>
      <c r="F2247" s="16">
        <f>VLOOKUP(C2247,[1]master_data!$A$2:$E$495,3,FALSE)</f>
        <v>61750</v>
      </c>
      <c r="G2247" s="16">
        <f>VLOOKUP(C2247,[1]master_data!$A$2:$E$495,4,FALSE)</f>
        <v>75000</v>
      </c>
      <c r="H2247" s="16">
        <f>E2247*F2247</f>
        <v>61750</v>
      </c>
      <c r="I2247" s="16">
        <f>E2247*G2247</f>
        <v>75000</v>
      </c>
      <c r="J2247" s="16">
        <f>I2247-H2247</f>
        <v>13250</v>
      </c>
      <c r="K2247" s="16" t="str">
        <f>VLOOKUP(C2247,[1]master_data!$A$2:$E$495,5,FALSE)</f>
        <v>Aksesoris</v>
      </c>
      <c r="L2247" s="1"/>
    </row>
    <row r="2248" spans="1:12" ht="12" customHeight="1" x14ac:dyDescent="0.25">
      <c r="A2248" s="15">
        <v>44966</v>
      </c>
      <c r="B2248" s="16">
        <v>22300262</v>
      </c>
      <c r="C2248" s="16" t="s">
        <v>253</v>
      </c>
      <c r="D2248" s="16" t="str">
        <f>VLOOKUP(C2248,[1]master_data!$A$2:$E$495,2,FALSE)</f>
        <v>ACRIPLAVIN</v>
      </c>
      <c r="E2248" s="16">
        <v>4</v>
      </c>
      <c r="F2248" s="16">
        <f>VLOOKUP(C2248,[1]master_data!$A$2:$E$495,3,FALSE)</f>
        <v>3000</v>
      </c>
      <c r="G2248" s="16">
        <f>VLOOKUP(C2248,[1]master_data!$A$2:$E$495,4,FALSE)</f>
        <v>8000</v>
      </c>
      <c r="H2248" s="16">
        <f>E2248*F2248</f>
        <v>12000</v>
      </c>
      <c r="I2248" s="16">
        <f>E2248*G2248</f>
        <v>32000</v>
      </c>
      <c r="J2248" s="16">
        <f>I2248-H2248</f>
        <v>20000</v>
      </c>
      <c r="K2248" s="16" t="str">
        <f>VLOOKUP(C2248,[1]master_data!$A$2:$E$495,5,FALSE)</f>
        <v>Aksesoris</v>
      </c>
      <c r="L2248" s="1"/>
    </row>
    <row r="2249" spans="1:12" ht="12" customHeight="1" x14ac:dyDescent="0.25">
      <c r="A2249" s="15">
        <v>44966</v>
      </c>
      <c r="B2249" s="16">
        <v>22300263</v>
      </c>
      <c r="C2249" s="16" t="s">
        <v>428</v>
      </c>
      <c r="D2249" s="16" t="str">
        <f>VLOOKUP(C2249,[1]master_data!$A$2:$E$495,2,FALSE)</f>
        <v>MANFISH K</v>
      </c>
      <c r="E2249" s="16">
        <v>100</v>
      </c>
      <c r="F2249" s="16">
        <f>VLOOKUP(C2249,[1]master_data!$A$2:$E$495,3,FALSE)</f>
        <v>2000</v>
      </c>
      <c r="G2249" s="16">
        <f>VLOOKUP(C2249,[1]master_data!$A$2:$E$495,4,FALSE)</f>
        <v>5000</v>
      </c>
      <c r="H2249" s="16">
        <f>E2249*F2249</f>
        <v>200000</v>
      </c>
      <c r="I2249" s="16">
        <f>E2249*G2249</f>
        <v>500000</v>
      </c>
      <c r="J2249" s="16">
        <f>I2249-H2249</f>
        <v>300000</v>
      </c>
      <c r="K2249" s="16" t="str">
        <f>VLOOKUP(C2249,[1]master_data!$A$2:$E$495,5,FALSE)</f>
        <v>Ikan</v>
      </c>
      <c r="L2249" s="1"/>
    </row>
    <row r="2250" spans="1:12" ht="12" customHeight="1" x14ac:dyDescent="0.25">
      <c r="A2250" s="15">
        <v>44965</v>
      </c>
      <c r="B2250" s="16">
        <v>22300250</v>
      </c>
      <c r="C2250" s="16" t="s">
        <v>421</v>
      </c>
      <c r="D2250" s="16" t="str">
        <f>VLOOKUP(C2250,[1]master_data!$A$2:$E$495,2,FALSE)</f>
        <v>KOI SLAYER K</v>
      </c>
      <c r="E2250" s="16">
        <v>25</v>
      </c>
      <c r="F2250" s="16">
        <f>VLOOKUP(C2250,[1]master_data!$A$2:$E$495,3,FALSE)</f>
        <v>3500</v>
      </c>
      <c r="G2250" s="16">
        <f>VLOOKUP(C2250,[1]master_data!$A$2:$E$495,4,FALSE)</f>
        <v>10000</v>
      </c>
      <c r="H2250" s="16">
        <f>E2250*F2250</f>
        <v>87500</v>
      </c>
      <c r="I2250" s="16">
        <f>E2250*G2250</f>
        <v>250000</v>
      </c>
      <c r="J2250" s="16">
        <f>I2250-H2250</f>
        <v>162500</v>
      </c>
      <c r="K2250" s="16" t="str">
        <f>VLOOKUP(C2250,[1]master_data!$A$2:$E$495,5,FALSE)</f>
        <v>Ikan</v>
      </c>
      <c r="L2250" s="1"/>
    </row>
    <row r="2251" spans="1:12" ht="12" customHeight="1" x14ac:dyDescent="0.25">
      <c r="A2251" s="15">
        <v>44965</v>
      </c>
      <c r="B2251" s="16">
        <v>22300251</v>
      </c>
      <c r="C2251" s="16" t="s">
        <v>388</v>
      </c>
      <c r="D2251" s="16" t="str">
        <f>VLOOKUP(C2251,[1]master_data!$A$2:$E$495,2,FALSE)</f>
        <v>CHANNA ASIATICA K</v>
      </c>
      <c r="E2251" s="16">
        <v>2</v>
      </c>
      <c r="F2251" s="16">
        <f>VLOOKUP(C2251,[1]master_data!$A$2:$E$495,3,FALSE)</f>
        <v>10000</v>
      </c>
      <c r="G2251" s="16">
        <f>VLOOKUP(C2251,[1]master_data!$A$2:$E$495,4,FALSE)</f>
        <v>40000</v>
      </c>
      <c r="H2251" s="16">
        <f>E2251*F2251</f>
        <v>20000</v>
      </c>
      <c r="I2251" s="16">
        <f>E2251*G2251</f>
        <v>80000</v>
      </c>
      <c r="J2251" s="16">
        <f>I2251-H2251</f>
        <v>60000</v>
      </c>
      <c r="K2251" s="16" t="str">
        <f>VLOOKUP(C2251,[1]master_data!$A$2:$E$495,5,FALSE)</f>
        <v>Ikan</v>
      </c>
      <c r="L2251" s="1"/>
    </row>
    <row r="2252" spans="1:12" ht="12" customHeight="1" x14ac:dyDescent="0.25">
      <c r="A2252" s="15">
        <v>44965</v>
      </c>
      <c r="B2252" s="16">
        <v>22300252</v>
      </c>
      <c r="C2252" s="16" t="s">
        <v>454</v>
      </c>
      <c r="D2252" s="16" t="str">
        <f>VLOOKUP(C2252,[1]master_data!$A$2:$E$495,2,FALSE)</f>
        <v>TOMAN</v>
      </c>
      <c r="E2252" s="16">
        <v>1</v>
      </c>
      <c r="F2252" s="16">
        <f>VLOOKUP(C2252,[1]master_data!$A$2:$E$495,3,FALSE)</f>
        <v>10000</v>
      </c>
      <c r="G2252" s="16">
        <f>VLOOKUP(C2252,[1]master_data!$A$2:$E$495,4,FALSE)</f>
        <v>25000</v>
      </c>
      <c r="H2252" s="16">
        <f>E2252*F2252</f>
        <v>10000</v>
      </c>
      <c r="I2252" s="16">
        <f>E2252*G2252</f>
        <v>25000</v>
      </c>
      <c r="J2252" s="16">
        <f>I2252-H2252</f>
        <v>15000</v>
      </c>
      <c r="K2252" s="16" t="str">
        <f>VLOOKUP(C2252,[1]master_data!$A$2:$E$495,5,FALSE)</f>
        <v>Ikan</v>
      </c>
      <c r="L2252" s="1"/>
    </row>
    <row r="2253" spans="1:12" ht="12" customHeight="1" x14ac:dyDescent="0.25">
      <c r="A2253" s="15">
        <v>44965</v>
      </c>
      <c r="B2253" s="16">
        <v>22300253</v>
      </c>
      <c r="C2253" s="16" t="s">
        <v>106</v>
      </c>
      <c r="D2253" s="16" t="str">
        <f>VLOOKUP(C2253,[1]master_data!$A$2:$E$495,2,FALSE)</f>
        <v>AIRATOR AMARA LUB 1</v>
      </c>
      <c r="E2253" s="16">
        <v>5</v>
      </c>
      <c r="F2253" s="16">
        <f>VLOOKUP(C2253,[1]master_data!$A$2:$E$495,3,FALSE)</f>
        <v>17500</v>
      </c>
      <c r="G2253" s="16">
        <f>VLOOKUP(C2253,[1]master_data!$A$2:$E$495,4,FALSE)</f>
        <v>30000</v>
      </c>
      <c r="H2253" s="16">
        <f>E2253*F2253</f>
        <v>87500</v>
      </c>
      <c r="I2253" s="16">
        <f>E2253*G2253</f>
        <v>150000</v>
      </c>
      <c r="J2253" s="16">
        <f>I2253-H2253</f>
        <v>62500</v>
      </c>
      <c r="K2253" s="16" t="str">
        <f>VLOOKUP(C2253,[1]master_data!$A$2:$E$495,5,FALSE)</f>
        <v>Aksesoris</v>
      </c>
      <c r="L2253" s="1"/>
    </row>
    <row r="2254" spans="1:12" ht="12" customHeight="1" x14ac:dyDescent="0.25">
      <c r="A2254" s="15">
        <v>44965</v>
      </c>
      <c r="B2254" s="16">
        <v>22300254</v>
      </c>
      <c r="C2254" s="16" t="s">
        <v>7</v>
      </c>
      <c r="D2254" s="16" t="str">
        <f>VLOOKUP(C2254,[1]master_data!$A$2:$E$495,2,FALSE)</f>
        <v>MESIN YANG 1600</v>
      </c>
      <c r="E2254" s="16">
        <v>1</v>
      </c>
      <c r="F2254" s="16">
        <f>VLOOKUP(C2254,[1]master_data!$A$2:$E$495,3,FALSE)</f>
        <v>64000</v>
      </c>
      <c r="G2254" s="16">
        <f>VLOOKUP(C2254,[1]master_data!$A$2:$E$495,4,FALSE)</f>
        <v>90000</v>
      </c>
      <c r="H2254" s="16">
        <f>E2254*F2254</f>
        <v>64000</v>
      </c>
      <c r="I2254" s="16">
        <f>E2254*G2254</f>
        <v>90000</v>
      </c>
      <c r="J2254" s="16">
        <f>I2254-H2254</f>
        <v>26000</v>
      </c>
      <c r="K2254" s="16" t="str">
        <f>VLOOKUP(C2254,[1]master_data!$A$2:$E$495,5,FALSE)</f>
        <v>Aksesoris</v>
      </c>
      <c r="L2254" s="1"/>
    </row>
    <row r="2255" spans="1:12" ht="12" customHeight="1" x14ac:dyDescent="0.25">
      <c r="A2255" s="15">
        <v>44964</v>
      </c>
      <c r="B2255" s="16">
        <v>22300244</v>
      </c>
      <c r="C2255" s="16" t="s">
        <v>204</v>
      </c>
      <c r="D2255" s="16" t="str">
        <f>VLOOKUP(C2255,[1]master_data!$A$2:$E$495,2,FALSE)</f>
        <v>HOKKY 3 IN 1</v>
      </c>
      <c r="E2255" s="16">
        <v>2</v>
      </c>
      <c r="F2255" s="16">
        <f>VLOOKUP(C2255,[1]master_data!$A$2:$E$495,3,FALSE)</f>
        <v>20000</v>
      </c>
      <c r="G2255" s="16">
        <f>VLOOKUP(C2255,[1]master_data!$A$2:$E$495,4,FALSE)</f>
        <v>30000</v>
      </c>
      <c r="H2255" s="16">
        <f>E2255*F2255</f>
        <v>40000</v>
      </c>
      <c r="I2255" s="16">
        <f>E2255*G2255</f>
        <v>60000</v>
      </c>
      <c r="J2255" s="16">
        <f>I2255-H2255</f>
        <v>20000</v>
      </c>
      <c r="K2255" s="16" t="str">
        <f>VLOOKUP(C2255,[1]master_data!$A$2:$E$495,5,FALSE)</f>
        <v>Aksesoris</v>
      </c>
      <c r="L2255" s="1"/>
    </row>
    <row r="2256" spans="1:12" ht="12" customHeight="1" x14ac:dyDescent="0.25">
      <c r="A2256" s="15">
        <v>44964</v>
      </c>
      <c r="B2256" s="16">
        <v>22300245</v>
      </c>
      <c r="C2256" s="16" t="s">
        <v>38</v>
      </c>
      <c r="D2256" s="16" t="str">
        <f>VLOOKUP(C2256,[1]master_data!$A$2:$E$495,2,FALSE)</f>
        <v>MESIN YAMANO 104</v>
      </c>
      <c r="E2256" s="16">
        <v>1</v>
      </c>
      <c r="F2256" s="16">
        <f>VLOOKUP(C2256,[1]master_data!$A$2:$E$495,3,FALSE)</f>
        <v>98000</v>
      </c>
      <c r="G2256" s="16">
        <f>VLOOKUP(C2256,[1]master_data!$A$2:$E$495,4,FALSE)</f>
        <v>135000</v>
      </c>
      <c r="H2256" s="16">
        <f>E2256*F2256</f>
        <v>98000</v>
      </c>
      <c r="I2256" s="16">
        <f>E2256*G2256</f>
        <v>135000</v>
      </c>
      <c r="J2256" s="16">
        <f>I2256-H2256</f>
        <v>37000</v>
      </c>
      <c r="K2256" s="16" t="str">
        <f>VLOOKUP(C2256,[1]master_data!$A$2:$E$495,5,FALSE)</f>
        <v>Aksesoris</v>
      </c>
      <c r="L2256" s="1"/>
    </row>
    <row r="2257" spans="1:12" ht="12" customHeight="1" x14ac:dyDescent="0.25">
      <c r="A2257" s="15">
        <v>44964</v>
      </c>
      <c r="B2257" s="16">
        <v>22300246</v>
      </c>
      <c r="C2257" s="16" t="s">
        <v>402</v>
      </c>
      <c r="D2257" s="16" t="str">
        <f>VLOOKUP(C2257,[1]master_data!$A$2:$E$495,2,FALSE)</f>
        <v>CHANNA BLUE PULCHRA B</v>
      </c>
      <c r="E2257" s="16">
        <v>2</v>
      </c>
      <c r="F2257" s="16">
        <f>VLOOKUP(C2257,[1]master_data!$A$2:$E$495,3,FALSE)</f>
        <v>125000</v>
      </c>
      <c r="G2257" s="16">
        <f>VLOOKUP(C2257,[1]master_data!$A$2:$E$495,4,FALSE)</f>
        <v>200000</v>
      </c>
      <c r="H2257" s="16">
        <f>E2257*F2257</f>
        <v>250000</v>
      </c>
      <c r="I2257" s="16">
        <f>E2257*G2257</f>
        <v>400000</v>
      </c>
      <c r="J2257" s="16">
        <f>I2257-H2257</f>
        <v>150000</v>
      </c>
      <c r="K2257" s="16" t="str">
        <f>VLOOKUP(C2257,[1]master_data!$A$2:$E$495,5,FALSE)</f>
        <v>Ikan</v>
      </c>
      <c r="L2257" s="1"/>
    </row>
    <row r="2258" spans="1:12" ht="12" customHeight="1" x14ac:dyDescent="0.25">
      <c r="A2258" s="15">
        <v>44964</v>
      </c>
      <c r="B2258" s="16">
        <v>22300247</v>
      </c>
      <c r="C2258" s="16" t="s">
        <v>91</v>
      </c>
      <c r="D2258" s="16" t="str">
        <f>VLOOKUP(C2258,[1]master_data!$A$2:$E$495,2,FALSE)</f>
        <v>MESIN REENT WV 8000</v>
      </c>
      <c r="E2258" s="16">
        <v>5</v>
      </c>
      <c r="F2258" s="16">
        <f>VLOOKUP(C2258,[1]master_data!$A$2:$E$495,3,FALSE)</f>
        <v>79000</v>
      </c>
      <c r="G2258" s="16">
        <f>VLOOKUP(C2258,[1]master_data!$A$2:$E$495,4,FALSE)</f>
        <v>100000</v>
      </c>
      <c r="H2258" s="16">
        <f>E2258*F2258</f>
        <v>395000</v>
      </c>
      <c r="I2258" s="16">
        <f>E2258*G2258</f>
        <v>500000</v>
      </c>
      <c r="J2258" s="16">
        <f>I2258-H2258</f>
        <v>105000</v>
      </c>
      <c r="K2258" s="16" t="str">
        <f>VLOOKUP(C2258,[1]master_data!$A$2:$E$495,5,FALSE)</f>
        <v>Aksesoris</v>
      </c>
      <c r="L2258" s="1"/>
    </row>
    <row r="2259" spans="1:12" ht="12" customHeight="1" x14ac:dyDescent="0.25">
      <c r="A2259" s="15">
        <v>44964</v>
      </c>
      <c r="B2259" s="16">
        <v>22300248</v>
      </c>
      <c r="C2259" s="16" t="s">
        <v>400</v>
      </c>
      <c r="D2259" s="16" t="str">
        <f>VLOOKUP(C2259,[1]master_data!$A$2:$E$495,2,FALSE)</f>
        <v>BLACK GHOST</v>
      </c>
      <c r="E2259" s="16">
        <v>27</v>
      </c>
      <c r="F2259" s="16">
        <f>VLOOKUP(C2259,[1]master_data!$A$2:$E$495,3,FALSE)</f>
        <v>4000</v>
      </c>
      <c r="G2259" s="16">
        <f>VLOOKUP(C2259,[1]master_data!$A$2:$E$495,4,FALSE)</f>
        <v>10000</v>
      </c>
      <c r="H2259" s="16">
        <f>E2259*F2259</f>
        <v>108000</v>
      </c>
      <c r="I2259" s="16">
        <f>E2259*G2259</f>
        <v>270000</v>
      </c>
      <c r="J2259" s="16">
        <f>I2259-H2259</f>
        <v>162000</v>
      </c>
      <c r="K2259" s="16" t="str">
        <f>VLOOKUP(C2259,[1]master_data!$A$2:$E$495,5,FALSE)</f>
        <v>Ikan</v>
      </c>
      <c r="L2259" s="1"/>
    </row>
    <row r="2260" spans="1:12" ht="12" customHeight="1" x14ac:dyDescent="0.25">
      <c r="A2260" s="15">
        <v>44964</v>
      </c>
      <c r="B2260" s="16">
        <v>22300249</v>
      </c>
      <c r="C2260" s="16" t="s">
        <v>416</v>
      </c>
      <c r="D2260" s="16" t="str">
        <f>VLOOKUP(C2260,[1]master_data!$A$2:$E$495,2,FALSE)</f>
        <v>KOI B</v>
      </c>
      <c r="E2260" s="16">
        <v>10</v>
      </c>
      <c r="F2260" s="16">
        <f>VLOOKUP(C2260,[1]master_data!$A$2:$E$495,3,FALSE)</f>
        <v>9000</v>
      </c>
      <c r="G2260" s="16">
        <f>VLOOKUP(C2260,[1]master_data!$A$2:$E$495,4,FALSE)</f>
        <v>30000</v>
      </c>
      <c r="H2260" s="16">
        <f>E2260*F2260</f>
        <v>90000</v>
      </c>
      <c r="I2260" s="16">
        <f>E2260*G2260</f>
        <v>300000</v>
      </c>
      <c r="J2260" s="16">
        <f>I2260-H2260</f>
        <v>210000</v>
      </c>
      <c r="K2260" s="16" t="str">
        <f>VLOOKUP(C2260,[1]master_data!$A$2:$E$495,5,FALSE)</f>
        <v>Ikan</v>
      </c>
      <c r="L2260" s="1"/>
    </row>
    <row r="2261" spans="1:12" ht="12" customHeight="1" x14ac:dyDescent="0.25">
      <c r="A2261" s="15">
        <v>44963</v>
      </c>
      <c r="B2261" s="16">
        <v>22300238</v>
      </c>
      <c r="C2261" s="16" t="s">
        <v>439</v>
      </c>
      <c r="D2261" s="16" t="str">
        <f>VLOOKUP(C2261,[1]master_data!$A$2:$E$495,2,FALSE)</f>
        <v>PEMBERSIH KACA BIASA</v>
      </c>
      <c r="E2261" s="16">
        <v>30</v>
      </c>
      <c r="F2261" s="16">
        <f>VLOOKUP(C2261,[1]master_data!$A$2:$E$495,3,FALSE)</f>
        <v>2000</v>
      </c>
      <c r="G2261" s="16">
        <f>VLOOKUP(C2261,[1]master_data!$A$2:$E$495,4,FALSE)</f>
        <v>5000</v>
      </c>
      <c r="H2261" s="16">
        <f>E2261*F2261</f>
        <v>60000</v>
      </c>
      <c r="I2261" s="16">
        <f>E2261*G2261</f>
        <v>150000</v>
      </c>
      <c r="J2261" s="16">
        <f>I2261-H2261</f>
        <v>90000</v>
      </c>
      <c r="K2261" s="16" t="str">
        <f>VLOOKUP(C2261,[1]master_data!$A$2:$E$495,5,FALSE)</f>
        <v>Ikan</v>
      </c>
      <c r="L2261" s="1"/>
    </row>
    <row r="2262" spans="1:12" ht="12" customHeight="1" x14ac:dyDescent="0.25">
      <c r="A2262" s="15">
        <v>44963</v>
      </c>
      <c r="B2262" s="16">
        <v>22300239</v>
      </c>
      <c r="C2262" s="16" t="s">
        <v>159</v>
      </c>
      <c r="D2262" s="16" t="str">
        <f>VLOOKUP(C2262,[1]master_data!$A$2:$E$495,2,FALSE)</f>
        <v>LED KANDILA PRO RED 60 CM</v>
      </c>
      <c r="E2262" s="16">
        <v>2</v>
      </c>
      <c r="F2262" s="16">
        <f>VLOOKUP(C2262,[1]master_data!$A$2:$E$495,3,FALSE)</f>
        <v>170000</v>
      </c>
      <c r="G2262" s="16">
        <f>VLOOKUP(C2262,[1]master_data!$A$2:$E$495,4,FALSE)</f>
        <v>215000</v>
      </c>
      <c r="H2262" s="16">
        <f>E2262*F2262</f>
        <v>340000</v>
      </c>
      <c r="I2262" s="16">
        <f>E2262*G2262</f>
        <v>430000</v>
      </c>
      <c r="J2262" s="16">
        <f>I2262-H2262</f>
        <v>90000</v>
      </c>
      <c r="K2262" s="16" t="str">
        <f>VLOOKUP(C2262,[1]master_data!$A$2:$E$495,5,FALSE)</f>
        <v>Aksesoris</v>
      </c>
      <c r="L2262" s="1"/>
    </row>
    <row r="2263" spans="1:12" ht="12" customHeight="1" x14ac:dyDescent="0.25">
      <c r="A2263" s="15">
        <v>44963</v>
      </c>
      <c r="B2263" s="16">
        <v>22300240</v>
      </c>
      <c r="C2263" s="16" t="s">
        <v>280</v>
      </c>
      <c r="D2263" s="16" t="str">
        <f>VLOOKUP(C2263,[1]master_data!$A$2:$E$495,2,FALSE)</f>
        <v>KRAN 2 W</v>
      </c>
      <c r="E2263" s="16">
        <v>20</v>
      </c>
      <c r="F2263" s="16">
        <f>VLOOKUP(C2263,[1]master_data!$A$2:$E$495,3,FALSE)</f>
        <v>4000</v>
      </c>
      <c r="G2263" s="16">
        <f>VLOOKUP(C2263,[1]master_data!$A$2:$E$495,4,FALSE)</f>
        <v>6000</v>
      </c>
      <c r="H2263" s="16">
        <f>E2263*F2263</f>
        <v>80000</v>
      </c>
      <c r="I2263" s="16">
        <f>E2263*G2263</f>
        <v>120000</v>
      </c>
      <c r="J2263" s="16">
        <f>I2263-H2263</f>
        <v>40000</v>
      </c>
      <c r="K2263" s="16" t="str">
        <f>VLOOKUP(C2263,[1]master_data!$A$2:$E$495,5,FALSE)</f>
        <v>Aksesoris</v>
      </c>
      <c r="L2263" s="1"/>
    </row>
    <row r="2264" spans="1:12" ht="12" customHeight="1" x14ac:dyDescent="0.25">
      <c r="A2264" s="15">
        <v>44963</v>
      </c>
      <c r="B2264" s="16">
        <v>22300241</v>
      </c>
      <c r="C2264" s="16" t="s">
        <v>435</v>
      </c>
      <c r="D2264" s="16" t="str">
        <f>VLOOKUP(C2264,[1]master_data!$A$2:$E$495,2,FALSE)</f>
        <v>RED EYE TETRA</v>
      </c>
      <c r="E2264" s="16">
        <v>10</v>
      </c>
      <c r="F2264" s="16">
        <f>VLOOKUP(C2264,[1]master_data!$A$2:$E$495,3,FALSE)</f>
        <v>900</v>
      </c>
      <c r="G2264" s="16">
        <f>VLOOKUP(C2264,[1]master_data!$A$2:$E$495,4,FALSE)</f>
        <v>2000</v>
      </c>
      <c r="H2264" s="16">
        <f>E2264*F2264</f>
        <v>9000</v>
      </c>
      <c r="I2264" s="16">
        <f>E2264*G2264</f>
        <v>20000</v>
      </c>
      <c r="J2264" s="16">
        <f>I2264-H2264</f>
        <v>11000</v>
      </c>
      <c r="K2264" s="16" t="str">
        <f>VLOOKUP(C2264,[1]master_data!$A$2:$E$495,5,FALSE)</f>
        <v>Ikan</v>
      </c>
      <c r="L2264" s="1"/>
    </row>
    <row r="2265" spans="1:12" ht="12" customHeight="1" x14ac:dyDescent="0.25">
      <c r="A2265" s="15">
        <v>44963</v>
      </c>
      <c r="B2265" s="16">
        <v>22300242</v>
      </c>
      <c r="C2265" s="16" t="s">
        <v>447</v>
      </c>
      <c r="D2265" s="16" t="str">
        <f>VLOOKUP(C2265,[1]master_data!$A$2:$E$495,2,FALSE)</f>
        <v>CHANNA RED BARITO B</v>
      </c>
      <c r="E2265" s="16">
        <v>1</v>
      </c>
      <c r="F2265" s="16">
        <f>VLOOKUP(C2265,[1]master_data!$A$2:$E$495,3,FALSE)</f>
        <v>120000</v>
      </c>
      <c r="G2265" s="16">
        <f>VLOOKUP(C2265,[1]master_data!$A$2:$E$495,4,FALSE)</f>
        <v>200000</v>
      </c>
      <c r="H2265" s="16">
        <f>E2265*F2265</f>
        <v>120000</v>
      </c>
      <c r="I2265" s="16">
        <f>E2265*G2265</f>
        <v>200000</v>
      </c>
      <c r="J2265" s="16">
        <f>I2265-H2265</f>
        <v>80000</v>
      </c>
      <c r="K2265" s="16" t="str">
        <f>VLOOKUP(C2265,[1]master_data!$A$2:$E$495,5,FALSE)</f>
        <v>Ikan</v>
      </c>
      <c r="L2265" s="1"/>
    </row>
    <row r="2266" spans="1:12" ht="12" customHeight="1" x14ac:dyDescent="0.25">
      <c r="A2266" s="15">
        <v>44963</v>
      </c>
      <c r="B2266" s="16">
        <v>22300243</v>
      </c>
      <c r="C2266" s="16" t="s">
        <v>422</v>
      </c>
      <c r="D2266" s="16" t="str">
        <f>VLOOKUP(C2266,[1]master_data!$A$2:$E$495,2,FALSE)</f>
        <v>KOI SLAYER B</v>
      </c>
      <c r="E2266" s="16">
        <v>10</v>
      </c>
      <c r="F2266" s="16">
        <f>VLOOKUP(C2266,[1]master_data!$A$2:$E$495,3,FALSE)</f>
        <v>8000</v>
      </c>
      <c r="G2266" s="16">
        <f>VLOOKUP(C2266,[1]master_data!$A$2:$E$495,4,FALSE)</f>
        <v>20000</v>
      </c>
      <c r="H2266" s="16">
        <f>E2266*F2266</f>
        <v>80000</v>
      </c>
      <c r="I2266" s="16">
        <f>E2266*G2266</f>
        <v>200000</v>
      </c>
      <c r="J2266" s="16">
        <f>I2266-H2266</f>
        <v>120000</v>
      </c>
      <c r="K2266" s="16" t="str">
        <f>VLOOKUP(C2266,[1]master_data!$A$2:$E$495,5,FALSE)</f>
        <v>Ikan</v>
      </c>
      <c r="L2266" s="1"/>
    </row>
    <row r="2267" spans="1:12" ht="12" customHeight="1" x14ac:dyDescent="0.25">
      <c r="A2267" s="15">
        <v>44962</v>
      </c>
      <c r="B2267" s="16">
        <v>22300229</v>
      </c>
      <c r="C2267" s="16" t="s">
        <v>399</v>
      </c>
      <c r="D2267" s="16" t="str">
        <f>VLOOKUP(C2267,[1]master_data!$A$2:$E$495,2,FALSE)</f>
        <v>BALA BALA B</v>
      </c>
      <c r="E2267" s="16">
        <v>2</v>
      </c>
      <c r="F2267" s="16">
        <f>VLOOKUP(C2267,[1]master_data!$A$2:$E$495,3,FALSE)</f>
        <v>7000</v>
      </c>
      <c r="G2267" s="16">
        <f>VLOOKUP(C2267,[1]master_data!$A$2:$E$495,4,FALSE)</f>
        <v>15000</v>
      </c>
      <c r="H2267" s="16">
        <f>E2267*F2267</f>
        <v>14000</v>
      </c>
      <c r="I2267" s="16">
        <f>E2267*G2267</f>
        <v>30000</v>
      </c>
      <c r="J2267" s="16">
        <f>I2267-H2267</f>
        <v>16000</v>
      </c>
      <c r="K2267" s="16" t="str">
        <f>VLOOKUP(C2267,[1]master_data!$A$2:$E$495,5,FALSE)</f>
        <v>Ikan</v>
      </c>
      <c r="L2267" s="1"/>
    </row>
    <row r="2268" spans="1:12" ht="12" customHeight="1" x14ac:dyDescent="0.25">
      <c r="A2268" s="15">
        <v>44962</v>
      </c>
      <c r="B2268" s="16">
        <v>22300230</v>
      </c>
      <c r="C2268" s="16" t="s">
        <v>394</v>
      </c>
      <c r="D2268" s="16" t="str">
        <f>VLOOKUP(C2268,[1]master_data!$A$2:$E$495,2,FALSE)</f>
        <v>ALGA EATER</v>
      </c>
      <c r="E2268" s="16">
        <v>15</v>
      </c>
      <c r="F2268" s="16">
        <f>VLOOKUP(C2268,[1]master_data!$A$2:$E$495,3,FALSE)</f>
        <v>1750</v>
      </c>
      <c r="G2268" s="16">
        <f>VLOOKUP(C2268,[1]master_data!$A$2:$E$495,4,FALSE)</f>
        <v>5000</v>
      </c>
      <c r="H2268" s="16">
        <f>E2268*F2268</f>
        <v>26250</v>
      </c>
      <c r="I2268" s="16">
        <f>E2268*G2268</f>
        <v>75000</v>
      </c>
      <c r="J2268" s="16">
        <f>I2268-H2268</f>
        <v>48750</v>
      </c>
      <c r="K2268" s="16" t="str">
        <f>VLOOKUP(C2268,[1]master_data!$A$2:$E$495,5,FALSE)</f>
        <v>Ikan</v>
      </c>
      <c r="L2268" s="1"/>
    </row>
    <row r="2269" spans="1:12" ht="12" customHeight="1" x14ac:dyDescent="0.25">
      <c r="A2269" s="15">
        <v>44962</v>
      </c>
      <c r="B2269" s="16">
        <v>22300231</v>
      </c>
      <c r="C2269" s="16" t="s">
        <v>456</v>
      </c>
      <c r="D2269" s="16" t="str">
        <f>VLOOKUP(C2269,[1]master_data!$A$2:$E$495,2,FALSE)</f>
        <v>ZEBRA HIJAU</v>
      </c>
      <c r="E2269" s="16">
        <v>20</v>
      </c>
      <c r="F2269" s="16">
        <f>VLOOKUP(C2269,[1]master_data!$A$2:$E$495,3,FALSE)</f>
        <v>800</v>
      </c>
      <c r="G2269" s="16">
        <f>VLOOKUP(C2269,[1]master_data!$A$2:$E$495,4,FALSE)</f>
        <v>2000</v>
      </c>
      <c r="H2269" s="16">
        <f>E2269*F2269</f>
        <v>16000</v>
      </c>
      <c r="I2269" s="16">
        <f>E2269*G2269</f>
        <v>40000</v>
      </c>
      <c r="J2269" s="16">
        <f>I2269-H2269</f>
        <v>24000</v>
      </c>
      <c r="K2269" s="16" t="str">
        <f>VLOOKUP(C2269,[1]master_data!$A$2:$E$495,5,FALSE)</f>
        <v>Ikan</v>
      </c>
      <c r="L2269" s="1"/>
    </row>
    <row r="2270" spans="1:12" ht="12" customHeight="1" x14ac:dyDescent="0.25">
      <c r="A2270" s="15">
        <v>44962</v>
      </c>
      <c r="B2270" s="16">
        <v>22300232</v>
      </c>
      <c r="C2270" s="16" t="s">
        <v>440</v>
      </c>
      <c r="D2270" s="16" t="str">
        <f>VLOOKUP(C2270,[1]master_data!$A$2:$E$495,2,FALSE)</f>
        <v>PEMBERSIH KACA ALBINO</v>
      </c>
      <c r="E2270" s="16">
        <v>40</v>
      </c>
      <c r="F2270" s="16">
        <f>VLOOKUP(C2270,[1]master_data!$A$2:$E$495,3,FALSE)</f>
        <v>2500</v>
      </c>
      <c r="G2270" s="16">
        <f>VLOOKUP(C2270,[1]master_data!$A$2:$E$495,4,FALSE)</f>
        <v>5000</v>
      </c>
      <c r="H2270" s="16">
        <f>E2270*F2270</f>
        <v>100000</v>
      </c>
      <c r="I2270" s="16">
        <f>E2270*G2270</f>
        <v>200000</v>
      </c>
      <c r="J2270" s="16">
        <f>I2270-H2270</f>
        <v>100000</v>
      </c>
      <c r="K2270" s="16" t="str">
        <f>VLOOKUP(C2270,[1]master_data!$A$2:$E$495,5,FALSE)</f>
        <v>Ikan</v>
      </c>
      <c r="L2270" s="1"/>
    </row>
    <row r="2271" spans="1:12" ht="12" customHeight="1" x14ac:dyDescent="0.25">
      <c r="A2271" s="15">
        <v>44962</v>
      </c>
      <c r="B2271" s="16">
        <v>22300233</v>
      </c>
      <c r="C2271" s="16" t="s">
        <v>461</v>
      </c>
      <c r="D2271" s="16" t="str">
        <f>VLOOKUP(C2271,[1]master_data!$A$2:$E$495,2,FALSE)</f>
        <v>CHANNA STEWARTI</v>
      </c>
      <c r="E2271" s="16">
        <v>1</v>
      </c>
      <c r="F2271" s="16">
        <f>VLOOKUP(C2271,[1]master_data!$A$2:$E$495,3,FALSE)</f>
        <v>15000</v>
      </c>
      <c r="G2271" s="16">
        <f>VLOOKUP(C2271,[1]master_data!$A$2:$E$495,4,FALSE)</f>
        <v>40000</v>
      </c>
      <c r="H2271" s="16">
        <f>E2271*F2271</f>
        <v>15000</v>
      </c>
      <c r="I2271" s="16">
        <f>E2271*G2271</f>
        <v>40000</v>
      </c>
      <c r="J2271" s="16">
        <f>I2271-H2271</f>
        <v>25000</v>
      </c>
      <c r="K2271" s="16" t="str">
        <f>VLOOKUP(C2271,[1]master_data!$A$2:$E$495,5,FALSE)</f>
        <v>Ikan</v>
      </c>
      <c r="L2271" s="1"/>
    </row>
    <row r="2272" spans="1:12" ht="12" customHeight="1" x14ac:dyDescent="0.25">
      <c r="A2272" s="15">
        <v>44962</v>
      </c>
      <c r="B2272" s="16">
        <v>22300234</v>
      </c>
      <c r="C2272" s="16" t="s">
        <v>263</v>
      </c>
      <c r="D2272" s="16" t="str">
        <f>VLOOKUP(C2272,[1]master_data!$A$2:$E$495,2,FALSE)</f>
        <v>CORNER FLTER TOP OF MEDIUM</v>
      </c>
      <c r="E2272" s="16">
        <v>10</v>
      </c>
      <c r="F2272" s="16">
        <f>VLOOKUP(C2272,[1]master_data!$A$2:$E$495,3,FALSE)</f>
        <v>14000</v>
      </c>
      <c r="G2272" s="16">
        <f>VLOOKUP(C2272,[1]master_data!$A$2:$E$495,4,FALSE)</f>
        <v>25000</v>
      </c>
      <c r="H2272" s="16">
        <f>E2272*F2272</f>
        <v>140000</v>
      </c>
      <c r="I2272" s="16">
        <f>E2272*G2272</f>
        <v>250000</v>
      </c>
      <c r="J2272" s="16">
        <f>I2272-H2272</f>
        <v>110000</v>
      </c>
      <c r="K2272" s="16" t="str">
        <f>VLOOKUP(C2272,[1]master_data!$A$2:$E$495,5,FALSE)</f>
        <v>Aksesoris</v>
      </c>
      <c r="L2272" s="1"/>
    </row>
    <row r="2273" spans="1:12" ht="12" customHeight="1" x14ac:dyDescent="0.25">
      <c r="A2273" s="15">
        <v>44962</v>
      </c>
      <c r="B2273" s="16">
        <v>22300235</v>
      </c>
      <c r="C2273" s="16" t="s">
        <v>284</v>
      </c>
      <c r="D2273" s="16" t="str">
        <f>VLOOKUP(C2273,[1]master_data!$A$2:$E$495,2,FALSE)</f>
        <v>KAPAS 3 LAPIS</v>
      </c>
      <c r="E2273" s="16">
        <v>25</v>
      </c>
      <c r="F2273" s="16">
        <f>VLOOKUP(C2273,[1]master_data!$A$2:$E$495,3,FALSE)</f>
        <v>3200</v>
      </c>
      <c r="G2273" s="16">
        <f>VLOOKUP(C2273,[1]master_data!$A$2:$E$495,4,FALSE)</f>
        <v>5000</v>
      </c>
      <c r="H2273" s="16">
        <f>E2273*F2273</f>
        <v>80000</v>
      </c>
      <c r="I2273" s="16">
        <f>E2273*G2273</f>
        <v>125000</v>
      </c>
      <c r="J2273" s="16">
        <f>I2273-H2273</f>
        <v>45000</v>
      </c>
      <c r="K2273" s="16" t="str">
        <f>VLOOKUP(C2273,[1]master_data!$A$2:$E$495,5,FALSE)</f>
        <v>Aksesoris</v>
      </c>
      <c r="L2273" s="1"/>
    </row>
    <row r="2274" spans="1:12" ht="12" customHeight="1" x14ac:dyDescent="0.25">
      <c r="A2274" s="15">
        <v>44962</v>
      </c>
      <c r="B2274" s="16">
        <v>22300236</v>
      </c>
      <c r="C2274" s="16" t="s">
        <v>149</v>
      </c>
      <c r="D2274" s="16" t="str">
        <f>VLOOKUP(C2274,[1]master_data!$A$2:$E$495,2,FALSE)</f>
        <v>LED HIKARI 3 MODE 80 CM</v>
      </c>
      <c r="E2274" s="16">
        <v>1</v>
      </c>
      <c r="F2274" s="16">
        <f>VLOOKUP(C2274,[1]master_data!$A$2:$E$495,3,FALSE)</f>
        <v>89000</v>
      </c>
      <c r="G2274" s="16">
        <f>VLOOKUP(C2274,[1]master_data!$A$2:$E$495,4,FALSE)</f>
        <v>140000</v>
      </c>
      <c r="H2274" s="16">
        <f>E2274*F2274</f>
        <v>89000</v>
      </c>
      <c r="I2274" s="16">
        <f>E2274*G2274</f>
        <v>140000</v>
      </c>
      <c r="J2274" s="16">
        <f>I2274-H2274</f>
        <v>51000</v>
      </c>
      <c r="K2274" s="16" t="str">
        <f>VLOOKUP(C2274,[1]master_data!$A$2:$E$495,5,FALSE)</f>
        <v>Aksesoris</v>
      </c>
      <c r="L2274" s="1"/>
    </row>
    <row r="2275" spans="1:12" ht="12" customHeight="1" x14ac:dyDescent="0.25">
      <c r="A2275" s="15">
        <v>44962</v>
      </c>
      <c r="B2275" s="16">
        <v>22300237</v>
      </c>
      <c r="C2275" s="16" t="s">
        <v>414</v>
      </c>
      <c r="D2275" s="16" t="str">
        <f>VLOOKUP(C2275,[1]master_data!$A$2:$E$495,2,FALSE)</f>
        <v>KOI K</v>
      </c>
      <c r="E2275" s="16">
        <v>4</v>
      </c>
      <c r="F2275" s="16">
        <f>VLOOKUP(C2275,[1]master_data!$A$2:$E$495,3,FALSE)</f>
        <v>2500</v>
      </c>
      <c r="G2275" s="16">
        <f>VLOOKUP(C2275,[1]master_data!$A$2:$E$495,4,FALSE)</f>
        <v>10000</v>
      </c>
      <c r="H2275" s="16">
        <f>E2275*F2275</f>
        <v>10000</v>
      </c>
      <c r="I2275" s="16">
        <f>E2275*G2275</f>
        <v>40000</v>
      </c>
      <c r="J2275" s="16">
        <f>I2275-H2275</f>
        <v>30000</v>
      </c>
      <c r="K2275" s="16" t="str">
        <f>VLOOKUP(C2275,[1]master_data!$A$2:$E$495,5,FALSE)</f>
        <v>Ikan</v>
      </c>
      <c r="L2275" s="1"/>
    </row>
    <row r="2276" spans="1:12" ht="12" customHeight="1" x14ac:dyDescent="0.25">
      <c r="A2276" s="15">
        <v>44961</v>
      </c>
      <c r="B2276" s="16">
        <v>22300223</v>
      </c>
      <c r="C2276" s="16" t="s">
        <v>399</v>
      </c>
      <c r="D2276" s="16" t="str">
        <f>VLOOKUP(C2276,[1]master_data!$A$2:$E$495,2,FALSE)</f>
        <v>BALA BALA B</v>
      </c>
      <c r="E2276" s="16">
        <v>10</v>
      </c>
      <c r="F2276" s="16">
        <f>VLOOKUP(C2276,[1]master_data!$A$2:$E$495,3,FALSE)</f>
        <v>7000</v>
      </c>
      <c r="G2276" s="16">
        <f>VLOOKUP(C2276,[1]master_data!$A$2:$E$495,4,FALSE)</f>
        <v>15000</v>
      </c>
      <c r="H2276" s="16">
        <f>E2276*F2276</f>
        <v>70000</v>
      </c>
      <c r="I2276" s="16">
        <f>E2276*G2276</f>
        <v>150000</v>
      </c>
      <c r="J2276" s="16">
        <f>I2276-H2276</f>
        <v>80000</v>
      </c>
      <c r="K2276" s="16" t="str">
        <f>VLOOKUP(C2276,[1]master_data!$A$2:$E$495,5,FALSE)</f>
        <v>Ikan</v>
      </c>
      <c r="L2276" s="1"/>
    </row>
    <row r="2277" spans="1:12" ht="12" customHeight="1" x14ac:dyDescent="0.25">
      <c r="A2277" s="15">
        <v>44961</v>
      </c>
      <c r="B2277" s="16">
        <v>22300224</v>
      </c>
      <c r="C2277" s="16" t="s">
        <v>431</v>
      </c>
      <c r="D2277" s="16" t="str">
        <f>VLOOKUP(C2277,[1]master_data!$A$2:$E$495,2,FALSE)</f>
        <v>MARU B</v>
      </c>
      <c r="E2277" s="16">
        <v>2</v>
      </c>
      <c r="F2277" s="16">
        <f>VLOOKUP(C2277,[1]master_data!$A$2:$E$495,3,FALSE)</f>
        <v>90000</v>
      </c>
      <c r="G2277" s="16">
        <f>VLOOKUP(C2277,[1]master_data!$A$2:$E$495,4,FALSE)</f>
        <v>150000</v>
      </c>
      <c r="H2277" s="16">
        <f>E2277*F2277</f>
        <v>180000</v>
      </c>
      <c r="I2277" s="16">
        <f>E2277*G2277</f>
        <v>300000</v>
      </c>
      <c r="J2277" s="16">
        <f>I2277-H2277</f>
        <v>120000</v>
      </c>
      <c r="K2277" s="16" t="str">
        <f>VLOOKUP(C2277,[1]master_data!$A$2:$E$495,5,FALSE)</f>
        <v>Ikan</v>
      </c>
      <c r="L2277" s="1"/>
    </row>
    <row r="2278" spans="1:12" ht="12" customHeight="1" x14ac:dyDescent="0.25">
      <c r="A2278" s="15">
        <v>44961</v>
      </c>
      <c r="B2278" s="16">
        <v>22300225</v>
      </c>
      <c r="C2278" s="16" t="s">
        <v>437</v>
      </c>
      <c r="D2278" s="16" t="str">
        <f>VLOOKUP(C2278,[1]master_data!$A$2:$E$495,2,FALSE)</f>
        <v>NEON</v>
      </c>
      <c r="E2278" s="16">
        <v>20</v>
      </c>
      <c r="F2278" s="16">
        <f>VLOOKUP(C2278,[1]master_data!$A$2:$E$495,3,FALSE)</f>
        <v>1250</v>
      </c>
      <c r="G2278" s="16">
        <f>VLOOKUP(C2278,[1]master_data!$A$2:$E$495,4,FALSE)</f>
        <v>5000</v>
      </c>
      <c r="H2278" s="16">
        <f>E2278*F2278</f>
        <v>25000</v>
      </c>
      <c r="I2278" s="16">
        <f>E2278*G2278</f>
        <v>100000</v>
      </c>
      <c r="J2278" s="16">
        <f>I2278-H2278</f>
        <v>75000</v>
      </c>
      <c r="K2278" s="16" t="str">
        <f>VLOOKUP(C2278,[1]master_data!$A$2:$E$495,5,FALSE)</f>
        <v>Ikan</v>
      </c>
      <c r="L2278" s="1"/>
    </row>
    <row r="2279" spans="1:12" ht="12" customHeight="1" x14ac:dyDescent="0.25">
      <c r="A2279" s="15">
        <v>44961</v>
      </c>
      <c r="B2279" s="16">
        <v>22300226</v>
      </c>
      <c r="C2279" s="16" t="s">
        <v>447</v>
      </c>
      <c r="D2279" s="16" t="str">
        <f>VLOOKUP(C2279,[1]master_data!$A$2:$E$495,2,FALSE)</f>
        <v>CHANNA RED BARITO B</v>
      </c>
      <c r="E2279" s="16">
        <v>1</v>
      </c>
      <c r="F2279" s="16">
        <f>VLOOKUP(C2279,[1]master_data!$A$2:$E$495,3,FALSE)</f>
        <v>120000</v>
      </c>
      <c r="G2279" s="16">
        <f>VLOOKUP(C2279,[1]master_data!$A$2:$E$495,4,FALSE)</f>
        <v>200000</v>
      </c>
      <c r="H2279" s="16">
        <f>E2279*F2279</f>
        <v>120000</v>
      </c>
      <c r="I2279" s="16">
        <f>E2279*G2279</f>
        <v>200000</v>
      </c>
      <c r="J2279" s="16">
        <f>I2279-H2279</f>
        <v>80000</v>
      </c>
      <c r="K2279" s="16" t="str">
        <f>VLOOKUP(C2279,[1]master_data!$A$2:$E$495,5,FALSE)</f>
        <v>Ikan</v>
      </c>
      <c r="L2279" s="1"/>
    </row>
    <row r="2280" spans="1:12" ht="12" customHeight="1" x14ac:dyDescent="0.25">
      <c r="A2280" s="15">
        <v>44961</v>
      </c>
      <c r="B2280" s="16">
        <v>22300227</v>
      </c>
      <c r="C2280" s="16" t="s">
        <v>423</v>
      </c>
      <c r="D2280" s="16" t="str">
        <f>VLOOKUP(C2280,[1]master_data!$A$2:$E$495,2,FALSE)</f>
        <v>CAROLINE</v>
      </c>
      <c r="E2280" s="16">
        <v>15</v>
      </c>
      <c r="F2280" s="16">
        <f>VLOOKUP(C2280,[1]master_data!$A$2:$E$495,3,FALSE)</f>
        <v>900</v>
      </c>
      <c r="G2280" s="16">
        <f>VLOOKUP(C2280,[1]master_data!$A$2:$E$495,4,FALSE)</f>
        <v>2000</v>
      </c>
      <c r="H2280" s="16">
        <f>E2280*F2280</f>
        <v>13500</v>
      </c>
      <c r="I2280" s="16">
        <f>E2280*G2280</f>
        <v>30000</v>
      </c>
      <c r="J2280" s="16">
        <f>I2280-H2280</f>
        <v>16500</v>
      </c>
      <c r="K2280" s="16" t="str">
        <f>VLOOKUP(C2280,[1]master_data!$A$2:$E$495,5,FALSE)</f>
        <v>Ikan</v>
      </c>
      <c r="L2280" s="1"/>
    </row>
    <row r="2281" spans="1:12" ht="12" customHeight="1" x14ac:dyDescent="0.25">
      <c r="A2281" s="15">
        <v>44961</v>
      </c>
      <c r="B2281" s="16">
        <v>22300228</v>
      </c>
      <c r="C2281" s="16" t="s">
        <v>458</v>
      </c>
      <c r="D2281" s="16" t="str">
        <f>VLOOKUP(C2281,[1]master_data!$A$2:$E$495,2,FALSE)</f>
        <v>ZEBRA KUNING</v>
      </c>
      <c r="E2281" s="16">
        <v>10</v>
      </c>
      <c r="F2281" s="16">
        <f>VLOOKUP(C2281,[1]master_data!$A$2:$E$495,3,FALSE)</f>
        <v>800</v>
      </c>
      <c r="G2281" s="16">
        <f>VLOOKUP(C2281,[1]master_data!$A$2:$E$495,4,FALSE)</f>
        <v>2000</v>
      </c>
      <c r="H2281" s="16">
        <f>E2281*F2281</f>
        <v>8000</v>
      </c>
      <c r="I2281" s="16">
        <f>E2281*G2281</f>
        <v>20000</v>
      </c>
      <c r="J2281" s="16">
        <f>I2281-H2281</f>
        <v>12000</v>
      </c>
      <c r="K2281" s="16" t="str">
        <f>VLOOKUP(C2281,[1]master_data!$A$2:$E$495,5,FALSE)</f>
        <v>Ikan</v>
      </c>
      <c r="L2281" s="1"/>
    </row>
    <row r="2282" spans="1:12" ht="12" customHeight="1" x14ac:dyDescent="0.25">
      <c r="A2282" s="15">
        <v>44960</v>
      </c>
      <c r="B2282" s="16">
        <v>22300217</v>
      </c>
      <c r="C2282" s="16" t="s">
        <v>448</v>
      </c>
      <c r="D2282" s="16" t="str">
        <f>VLOOKUP(C2282,[1]master_data!$A$2:$E$495,2,FALSE)</f>
        <v>SUMATRA BIASA</v>
      </c>
      <c r="E2282" s="16">
        <v>20</v>
      </c>
      <c r="F2282" s="16">
        <f>VLOOKUP(C2282,[1]master_data!$A$2:$E$495,3,FALSE)</f>
        <v>800</v>
      </c>
      <c r="G2282" s="16">
        <f>VLOOKUP(C2282,[1]master_data!$A$2:$E$495,4,FALSE)</f>
        <v>2000</v>
      </c>
      <c r="H2282" s="16">
        <f>E2282*F2282</f>
        <v>16000</v>
      </c>
      <c r="I2282" s="16">
        <f>E2282*G2282</f>
        <v>40000</v>
      </c>
      <c r="J2282" s="16">
        <f>I2282-H2282</f>
        <v>24000</v>
      </c>
      <c r="K2282" s="16" t="str">
        <f>VLOOKUP(C2282,[1]master_data!$A$2:$E$495,5,FALSE)</f>
        <v>Ikan</v>
      </c>
      <c r="L2282" s="1"/>
    </row>
    <row r="2283" spans="1:12" ht="12" customHeight="1" x14ac:dyDescent="0.25">
      <c r="A2283" s="15">
        <v>44960</v>
      </c>
      <c r="B2283" s="16">
        <v>22300218</v>
      </c>
      <c r="C2283" s="16" t="s">
        <v>456</v>
      </c>
      <c r="D2283" s="16" t="str">
        <f>VLOOKUP(C2283,[1]master_data!$A$2:$E$495,2,FALSE)</f>
        <v>ZEBRA HIJAU</v>
      </c>
      <c r="E2283" s="16">
        <v>15</v>
      </c>
      <c r="F2283" s="16">
        <f>VLOOKUP(C2283,[1]master_data!$A$2:$E$495,3,FALSE)</f>
        <v>800</v>
      </c>
      <c r="G2283" s="16">
        <f>VLOOKUP(C2283,[1]master_data!$A$2:$E$495,4,FALSE)</f>
        <v>2000</v>
      </c>
      <c r="H2283" s="16">
        <f>E2283*F2283</f>
        <v>12000</v>
      </c>
      <c r="I2283" s="16">
        <f>E2283*G2283</f>
        <v>30000</v>
      </c>
      <c r="J2283" s="16">
        <f>I2283-H2283</f>
        <v>18000</v>
      </c>
      <c r="K2283" s="16" t="str">
        <f>VLOOKUP(C2283,[1]master_data!$A$2:$E$495,5,FALSE)</f>
        <v>Ikan</v>
      </c>
      <c r="L2283" s="1"/>
    </row>
    <row r="2284" spans="1:12" ht="12" customHeight="1" x14ac:dyDescent="0.25">
      <c r="A2284" s="15">
        <v>44960</v>
      </c>
      <c r="B2284" s="16">
        <v>22300219</v>
      </c>
      <c r="C2284" s="16" t="s">
        <v>156</v>
      </c>
      <c r="D2284" s="16" t="str">
        <f>VLOOKUP(C2284,[1]master_data!$A$2:$E$495,2,FALSE)</f>
        <v>LED ROSTON 3 MODE 50 CM</v>
      </c>
      <c r="E2284" s="16">
        <v>10</v>
      </c>
      <c r="F2284" s="16">
        <f>VLOOKUP(C2284,[1]master_data!$A$2:$E$495,3,FALSE)</f>
        <v>30000</v>
      </c>
      <c r="G2284" s="16">
        <f>VLOOKUP(C2284,[1]master_data!$A$2:$E$495,4,FALSE)</f>
        <v>60000</v>
      </c>
      <c r="H2284" s="16">
        <f>E2284*F2284</f>
        <v>300000</v>
      </c>
      <c r="I2284" s="16">
        <f>E2284*G2284</f>
        <v>600000</v>
      </c>
      <c r="J2284" s="16">
        <f>I2284-H2284</f>
        <v>300000</v>
      </c>
      <c r="K2284" s="16" t="str">
        <f>VLOOKUP(C2284,[1]master_data!$A$2:$E$495,5,FALSE)</f>
        <v>Aksesoris</v>
      </c>
      <c r="L2284" s="1"/>
    </row>
    <row r="2285" spans="1:12" ht="12" customHeight="1" x14ac:dyDescent="0.25">
      <c r="A2285" s="15">
        <v>44960</v>
      </c>
      <c r="B2285" s="16">
        <v>22300220</v>
      </c>
      <c r="C2285" s="16" t="s">
        <v>425</v>
      </c>
      <c r="D2285" s="16" t="str">
        <f>VLOOKUP(C2285,[1]master_data!$A$2:$E$495,2,FALSE)</f>
        <v>LEMON</v>
      </c>
      <c r="E2285" s="16">
        <v>15</v>
      </c>
      <c r="F2285" s="16">
        <f>VLOOKUP(C2285,[1]master_data!$A$2:$E$495,3,FALSE)</f>
        <v>1000</v>
      </c>
      <c r="G2285" s="16">
        <f>VLOOKUP(C2285,[1]master_data!$A$2:$E$495,4,FALSE)</f>
        <v>2000</v>
      </c>
      <c r="H2285" s="16">
        <f>E2285*F2285</f>
        <v>15000</v>
      </c>
      <c r="I2285" s="16">
        <f>E2285*G2285</f>
        <v>30000</v>
      </c>
      <c r="J2285" s="16">
        <f>I2285-H2285</f>
        <v>15000</v>
      </c>
      <c r="K2285" s="16" t="str">
        <f>VLOOKUP(C2285,[1]master_data!$A$2:$E$495,5,FALSE)</f>
        <v>Ikan</v>
      </c>
      <c r="L2285" s="1"/>
    </row>
    <row r="2286" spans="1:12" ht="12" customHeight="1" x14ac:dyDescent="0.25">
      <c r="A2286" s="15">
        <v>44960</v>
      </c>
      <c r="B2286" s="16">
        <v>22300221</v>
      </c>
      <c r="C2286" s="16" t="s">
        <v>419</v>
      </c>
      <c r="D2286" s="16" t="str">
        <f>VLOOKUP(C2286,[1]master_data!$A$2:$E$495,2,FALSE)</f>
        <v>KOMET PAKAN</v>
      </c>
      <c r="E2286" s="16">
        <v>75</v>
      </c>
      <c r="F2286" s="16">
        <f>VLOOKUP(C2286,[1]master_data!$A$2:$E$495,3,FALSE)</f>
        <v>300</v>
      </c>
      <c r="G2286" s="16">
        <f>VLOOKUP(C2286,[1]master_data!$A$2:$E$495,4,FALSE)</f>
        <v>1000</v>
      </c>
      <c r="H2286" s="16">
        <f>E2286*F2286</f>
        <v>22500</v>
      </c>
      <c r="I2286" s="16">
        <f>E2286*G2286</f>
        <v>75000</v>
      </c>
      <c r="J2286" s="16">
        <f>I2286-H2286</f>
        <v>52500</v>
      </c>
      <c r="K2286" s="16" t="str">
        <f>VLOOKUP(C2286,[1]master_data!$A$2:$E$495,5,FALSE)</f>
        <v>Ikan</v>
      </c>
      <c r="L2286" s="1"/>
    </row>
    <row r="2287" spans="1:12" ht="12" customHeight="1" x14ac:dyDescent="0.25">
      <c r="A2287" s="15">
        <v>44960</v>
      </c>
      <c r="B2287" s="16">
        <v>22300222</v>
      </c>
      <c r="C2287" s="16" t="s">
        <v>458</v>
      </c>
      <c r="D2287" s="16" t="str">
        <f>VLOOKUP(C2287,[1]master_data!$A$2:$E$495,2,FALSE)</f>
        <v>ZEBRA KUNING</v>
      </c>
      <c r="E2287" s="16">
        <v>15</v>
      </c>
      <c r="F2287" s="16">
        <f>VLOOKUP(C2287,[1]master_data!$A$2:$E$495,3,FALSE)</f>
        <v>800</v>
      </c>
      <c r="G2287" s="16">
        <f>VLOOKUP(C2287,[1]master_data!$A$2:$E$495,4,FALSE)</f>
        <v>2000</v>
      </c>
      <c r="H2287" s="16">
        <f>E2287*F2287</f>
        <v>12000</v>
      </c>
      <c r="I2287" s="16">
        <f>E2287*G2287</f>
        <v>30000</v>
      </c>
      <c r="J2287" s="16">
        <f>I2287-H2287</f>
        <v>18000</v>
      </c>
      <c r="K2287" s="16" t="str">
        <f>VLOOKUP(C2287,[1]master_data!$A$2:$E$495,5,FALSE)</f>
        <v>Ikan</v>
      </c>
      <c r="L2287" s="1"/>
    </row>
    <row r="2288" spans="1:12" ht="12" customHeight="1" x14ac:dyDescent="0.25">
      <c r="A2288" s="15">
        <v>44959</v>
      </c>
      <c r="B2288" s="16">
        <v>22300208</v>
      </c>
      <c r="C2288" s="16" t="s">
        <v>401</v>
      </c>
      <c r="D2288" s="16" t="str">
        <f>VLOOKUP(C2288,[1]master_data!$A$2:$E$495,2,FALSE)</f>
        <v>CHANNA BLUE PULCHRA K</v>
      </c>
      <c r="E2288" s="16">
        <v>2</v>
      </c>
      <c r="F2288" s="16">
        <f>VLOOKUP(C2288,[1]master_data!$A$2:$E$495,3,FALSE)</f>
        <v>25000</v>
      </c>
      <c r="G2288" s="16">
        <f>VLOOKUP(C2288,[1]master_data!$A$2:$E$495,4,FALSE)</f>
        <v>50000</v>
      </c>
      <c r="H2288" s="16">
        <f>E2288*F2288</f>
        <v>50000</v>
      </c>
      <c r="I2288" s="16">
        <f>E2288*G2288</f>
        <v>100000</v>
      </c>
      <c r="J2288" s="16">
        <f>I2288-H2288</f>
        <v>50000</v>
      </c>
      <c r="K2288" s="16" t="str">
        <f>VLOOKUP(C2288,[1]master_data!$A$2:$E$495,5,FALSE)</f>
        <v>Ikan</v>
      </c>
      <c r="L2288" s="1"/>
    </row>
    <row r="2289" spans="1:12" ht="12" customHeight="1" x14ac:dyDescent="0.25">
      <c r="A2289" s="15">
        <v>44959</v>
      </c>
      <c r="B2289" s="16">
        <v>22300209</v>
      </c>
      <c r="C2289" s="16" t="s">
        <v>426</v>
      </c>
      <c r="D2289" s="16" t="str">
        <f>VLOOKUP(C2289,[1]master_data!$A$2:$E$495,2,FALSE)</f>
        <v>LOUHAN</v>
      </c>
      <c r="E2289" s="16">
        <v>2</v>
      </c>
      <c r="F2289" s="16">
        <f>VLOOKUP(C2289,[1]master_data!$A$2:$E$495,3,FALSE)</f>
        <v>85000</v>
      </c>
      <c r="G2289" s="16">
        <f>VLOOKUP(C2289,[1]master_data!$A$2:$E$495,4,FALSE)</f>
        <v>200000</v>
      </c>
      <c r="H2289" s="16">
        <f>E2289*F2289</f>
        <v>170000</v>
      </c>
      <c r="I2289" s="16">
        <f>E2289*G2289</f>
        <v>400000</v>
      </c>
      <c r="J2289" s="16">
        <f>I2289-H2289</f>
        <v>230000</v>
      </c>
      <c r="K2289" s="16" t="str">
        <f>VLOOKUP(C2289,[1]master_data!$A$2:$E$495,5,FALSE)</f>
        <v>Ikan</v>
      </c>
      <c r="L2289" s="1"/>
    </row>
    <row r="2290" spans="1:12" ht="12" customHeight="1" x14ac:dyDescent="0.25">
      <c r="A2290" s="15">
        <v>44959</v>
      </c>
      <c r="B2290" s="16">
        <v>22300210</v>
      </c>
      <c r="C2290" s="16" t="s">
        <v>56</v>
      </c>
      <c r="D2290" s="16" t="str">
        <f>VLOOKUP(C2290,[1]master_data!$A$2:$E$495,2,FALSE)</f>
        <v>MESIN HIKARI 1200</v>
      </c>
      <c r="E2290" s="16">
        <v>1</v>
      </c>
      <c r="F2290" s="16">
        <f>VLOOKUP(C2290,[1]master_data!$A$2:$E$495,3,FALSE)</f>
        <v>27000</v>
      </c>
      <c r="G2290" s="16">
        <f>VLOOKUP(C2290,[1]master_data!$A$2:$E$495,4,FALSE)</f>
        <v>35000</v>
      </c>
      <c r="H2290" s="16">
        <f>E2290*F2290</f>
        <v>27000</v>
      </c>
      <c r="I2290" s="16">
        <f>E2290*G2290</f>
        <v>35000</v>
      </c>
      <c r="J2290" s="16">
        <f>I2290-H2290</f>
        <v>8000</v>
      </c>
      <c r="K2290" s="16" t="str">
        <f>VLOOKUP(C2290,[1]master_data!$A$2:$E$495,5,FALSE)</f>
        <v>Aksesoris</v>
      </c>
      <c r="L2290" s="1"/>
    </row>
    <row r="2291" spans="1:12" ht="12" customHeight="1" x14ac:dyDescent="0.25">
      <c r="A2291" s="15">
        <v>44959</v>
      </c>
      <c r="B2291" s="16">
        <v>22300211</v>
      </c>
      <c r="C2291" s="16" t="s">
        <v>405</v>
      </c>
      <c r="D2291" s="16" t="str">
        <f>VLOOKUP(C2291,[1]master_data!$A$2:$E$495,2,FALSE)</f>
        <v>CUPANG</v>
      </c>
      <c r="E2291" s="16">
        <v>15</v>
      </c>
      <c r="F2291" s="16">
        <f>VLOOKUP(C2291,[1]master_data!$A$2:$E$495,3,FALSE)</f>
        <v>2000</v>
      </c>
      <c r="G2291" s="16">
        <f>VLOOKUP(C2291,[1]master_data!$A$2:$E$495,4,FALSE)</f>
        <v>5000</v>
      </c>
      <c r="H2291" s="16">
        <f>E2291*F2291</f>
        <v>30000</v>
      </c>
      <c r="I2291" s="16">
        <f>E2291*G2291</f>
        <v>75000</v>
      </c>
      <c r="J2291" s="16">
        <f>I2291-H2291</f>
        <v>45000</v>
      </c>
      <c r="K2291" s="16" t="str">
        <f>VLOOKUP(C2291,[1]master_data!$A$2:$E$495,5,FALSE)</f>
        <v>Ikan</v>
      </c>
      <c r="L2291" s="1"/>
    </row>
    <row r="2292" spans="1:12" ht="12" customHeight="1" x14ac:dyDescent="0.25">
      <c r="A2292" s="15">
        <v>44959</v>
      </c>
      <c r="B2292" s="16">
        <v>22300212</v>
      </c>
      <c r="C2292" s="16" t="s">
        <v>183</v>
      </c>
      <c r="D2292" s="16" t="str">
        <f>VLOOKUP(C2292,[1]master_data!$A$2:$E$495,2,FALSE)</f>
        <v>LED HIRO 20 CM</v>
      </c>
      <c r="E2292" s="16">
        <v>10</v>
      </c>
      <c r="F2292" s="16">
        <f>VLOOKUP(C2292,[1]master_data!$A$2:$E$495,3,FALSE)</f>
        <v>17000</v>
      </c>
      <c r="G2292" s="16">
        <f>VLOOKUP(C2292,[1]master_data!$A$2:$E$495,4,FALSE)</f>
        <v>25000</v>
      </c>
      <c r="H2292" s="16">
        <f>E2292*F2292</f>
        <v>170000</v>
      </c>
      <c r="I2292" s="16">
        <f>E2292*G2292</f>
        <v>250000</v>
      </c>
      <c r="J2292" s="16">
        <f>I2292-H2292</f>
        <v>80000</v>
      </c>
      <c r="K2292" s="16" t="str">
        <f>VLOOKUP(C2292,[1]master_data!$A$2:$E$495,5,FALSE)</f>
        <v>Aksesoris</v>
      </c>
      <c r="L2292" s="1"/>
    </row>
    <row r="2293" spans="1:12" ht="12" customHeight="1" x14ac:dyDescent="0.25">
      <c r="A2293" s="15">
        <v>44959</v>
      </c>
      <c r="B2293" s="16">
        <v>22300213</v>
      </c>
      <c r="C2293" s="16" t="s">
        <v>295</v>
      </c>
      <c r="D2293" s="16" t="str">
        <f>VLOOKUP(C2293,[1]master_data!$A$2:$E$495,2,FALSE)</f>
        <v>MAGNET S</v>
      </c>
      <c r="E2293" s="16">
        <v>2</v>
      </c>
      <c r="F2293" s="16">
        <f>VLOOKUP(C2293,[1]master_data!$A$2:$E$495,3,FALSE)</f>
        <v>20000</v>
      </c>
      <c r="G2293" s="16">
        <f>VLOOKUP(C2293,[1]master_data!$A$2:$E$495,4,FALSE)</f>
        <v>30000</v>
      </c>
      <c r="H2293" s="16">
        <f>E2293*F2293</f>
        <v>40000</v>
      </c>
      <c r="I2293" s="16">
        <f>E2293*G2293</f>
        <v>60000</v>
      </c>
      <c r="J2293" s="16">
        <f>I2293-H2293</f>
        <v>20000</v>
      </c>
      <c r="K2293" s="16" t="str">
        <f>VLOOKUP(C2293,[1]master_data!$A$2:$E$495,5,FALSE)</f>
        <v>Aksesoris</v>
      </c>
      <c r="L2293" s="1"/>
    </row>
    <row r="2294" spans="1:12" ht="12" customHeight="1" x14ac:dyDescent="0.25">
      <c r="A2294" s="15">
        <v>44959</v>
      </c>
      <c r="B2294" s="16">
        <v>22300214</v>
      </c>
      <c r="C2294" s="16" t="s">
        <v>433</v>
      </c>
      <c r="D2294" s="16" t="str">
        <f>VLOOKUP(C2294,[1]master_data!$A$2:$E$495,2,FALSE)</f>
        <v>MOLI BALON</v>
      </c>
      <c r="E2294" s="16">
        <v>15</v>
      </c>
      <c r="F2294" s="16">
        <f>VLOOKUP(C2294,[1]master_data!$A$2:$E$495,3,FALSE)</f>
        <v>800</v>
      </c>
      <c r="G2294" s="16">
        <f>VLOOKUP(C2294,[1]master_data!$A$2:$E$495,4,FALSE)</f>
        <v>2000</v>
      </c>
      <c r="H2294" s="16">
        <f>E2294*F2294</f>
        <v>12000</v>
      </c>
      <c r="I2294" s="16">
        <f>E2294*G2294</f>
        <v>30000</v>
      </c>
      <c r="J2294" s="16">
        <f>I2294-H2294</f>
        <v>18000</v>
      </c>
      <c r="K2294" s="16" t="str">
        <f>VLOOKUP(C2294,[1]master_data!$A$2:$E$495,5,FALSE)</f>
        <v>Ikan</v>
      </c>
      <c r="L2294" s="1"/>
    </row>
    <row r="2295" spans="1:12" ht="12" customHeight="1" x14ac:dyDescent="0.25">
      <c r="A2295" s="15">
        <v>44959</v>
      </c>
      <c r="B2295" s="16">
        <v>22300215</v>
      </c>
      <c r="C2295" s="16" t="s">
        <v>445</v>
      </c>
      <c r="D2295" s="16" t="str">
        <f>VLOOKUP(C2295,[1]master_data!$A$2:$E$495,2,FALSE)</f>
        <v>REDFIN ALBINO</v>
      </c>
      <c r="E2295" s="16">
        <v>14</v>
      </c>
      <c r="F2295" s="16">
        <f>VLOOKUP(C2295,[1]master_data!$A$2:$E$495,3,FALSE)</f>
        <v>1500</v>
      </c>
      <c r="G2295" s="16">
        <f>VLOOKUP(C2295,[1]master_data!$A$2:$E$495,4,FALSE)</f>
        <v>4000</v>
      </c>
      <c r="H2295" s="16">
        <f>E2295*F2295</f>
        <v>21000</v>
      </c>
      <c r="I2295" s="16">
        <f>E2295*G2295</f>
        <v>56000</v>
      </c>
      <c r="J2295" s="16">
        <f>I2295-H2295</f>
        <v>35000</v>
      </c>
      <c r="K2295" s="16" t="str">
        <f>VLOOKUP(C2295,[1]master_data!$A$2:$E$495,5,FALSE)</f>
        <v>Ikan</v>
      </c>
      <c r="L2295" s="1"/>
    </row>
    <row r="2296" spans="1:12" ht="12" customHeight="1" x14ac:dyDescent="0.25">
      <c r="A2296" s="15">
        <v>44959</v>
      </c>
      <c r="B2296" s="16">
        <v>22300216</v>
      </c>
      <c r="C2296" s="16" t="s">
        <v>403</v>
      </c>
      <c r="D2296" s="16" t="str">
        <f>VLOOKUP(C2296,[1]master_data!$A$2:$E$495,2,FALSE)</f>
        <v>KOMET BOKIM</v>
      </c>
      <c r="E2296" s="16">
        <v>2</v>
      </c>
      <c r="F2296" s="16">
        <f>VLOOKUP(C2296,[1]master_data!$A$2:$E$495,3,FALSE)</f>
        <v>1500</v>
      </c>
      <c r="G2296" s="16">
        <f>VLOOKUP(C2296,[1]master_data!$A$2:$E$495,4,FALSE)</f>
        <v>5000</v>
      </c>
      <c r="H2296" s="16">
        <f>E2296*F2296</f>
        <v>3000</v>
      </c>
      <c r="I2296" s="16">
        <f>E2296*G2296</f>
        <v>10000</v>
      </c>
      <c r="J2296" s="16">
        <f>I2296-H2296</f>
        <v>7000</v>
      </c>
      <c r="K2296" s="16" t="str">
        <f>VLOOKUP(C2296,[1]master_data!$A$2:$E$495,5,FALSE)</f>
        <v>Ikan</v>
      </c>
      <c r="L2296" s="1"/>
    </row>
    <row r="2297" spans="1:12" ht="12" customHeight="1" x14ac:dyDescent="0.25">
      <c r="A2297" s="15">
        <v>44958</v>
      </c>
      <c r="B2297" s="16">
        <v>22300202</v>
      </c>
      <c r="C2297" s="16" t="s">
        <v>391</v>
      </c>
      <c r="D2297" s="16" t="str">
        <f>VLOOKUP(C2297,[1]master_data!$A$2:$E$495,2,FALSE)</f>
        <v>CHANNA ANDRAO B</v>
      </c>
      <c r="E2297" s="16">
        <v>2</v>
      </c>
      <c r="F2297" s="16">
        <f>VLOOKUP(C2297,[1]master_data!$A$2:$E$495,3,FALSE)</f>
        <v>100000</v>
      </c>
      <c r="G2297" s="16">
        <f>VLOOKUP(C2297,[1]master_data!$A$2:$E$495,4,FALSE)</f>
        <v>200000</v>
      </c>
      <c r="H2297" s="16">
        <f>E2297*F2297</f>
        <v>200000</v>
      </c>
      <c r="I2297" s="16">
        <f>E2297*G2297</f>
        <v>400000</v>
      </c>
      <c r="J2297" s="16">
        <f>I2297-H2297</f>
        <v>200000</v>
      </c>
      <c r="K2297" s="16" t="str">
        <f>VLOOKUP(C2297,[1]master_data!$A$2:$E$495,5,FALSE)</f>
        <v>Ikan</v>
      </c>
      <c r="L2297" s="1"/>
    </row>
    <row r="2298" spans="1:12" ht="12" customHeight="1" x14ac:dyDescent="0.25">
      <c r="A2298" s="15">
        <v>44958</v>
      </c>
      <c r="B2298" s="16">
        <v>22300203</v>
      </c>
      <c r="C2298" s="16" t="s">
        <v>447</v>
      </c>
      <c r="D2298" s="16" t="str">
        <f>VLOOKUP(C2298,[1]master_data!$A$2:$E$495,2,FALSE)</f>
        <v>CHANNA RED BARITO B</v>
      </c>
      <c r="E2298" s="16">
        <v>1</v>
      </c>
      <c r="F2298" s="16">
        <f>VLOOKUP(C2298,[1]master_data!$A$2:$E$495,3,FALSE)</f>
        <v>120000</v>
      </c>
      <c r="G2298" s="16">
        <f>VLOOKUP(C2298,[1]master_data!$A$2:$E$495,4,FALSE)</f>
        <v>200000</v>
      </c>
      <c r="H2298" s="16">
        <f>E2298*F2298</f>
        <v>120000</v>
      </c>
      <c r="I2298" s="16">
        <f>E2298*G2298</f>
        <v>200000</v>
      </c>
      <c r="J2298" s="16">
        <f>I2298-H2298</f>
        <v>80000</v>
      </c>
      <c r="K2298" s="16" t="str">
        <f>VLOOKUP(C2298,[1]master_data!$A$2:$E$495,5,FALSE)</f>
        <v>Ikan</v>
      </c>
      <c r="L2298" s="1"/>
    </row>
    <row r="2299" spans="1:12" ht="12" customHeight="1" x14ac:dyDescent="0.25">
      <c r="A2299" s="15">
        <v>44958</v>
      </c>
      <c r="B2299" s="16">
        <v>22300204</v>
      </c>
      <c r="C2299" s="16" t="s">
        <v>405</v>
      </c>
      <c r="D2299" s="16" t="str">
        <f>VLOOKUP(C2299,[1]master_data!$A$2:$E$495,2,FALSE)</f>
        <v>CUPANG</v>
      </c>
      <c r="E2299" s="16">
        <v>20</v>
      </c>
      <c r="F2299" s="16">
        <f>VLOOKUP(C2299,[1]master_data!$A$2:$E$495,3,FALSE)</f>
        <v>2000</v>
      </c>
      <c r="G2299" s="16">
        <f>VLOOKUP(C2299,[1]master_data!$A$2:$E$495,4,FALSE)</f>
        <v>5000</v>
      </c>
      <c r="H2299" s="16">
        <f>E2299*F2299</f>
        <v>40000</v>
      </c>
      <c r="I2299" s="16">
        <f>E2299*G2299</f>
        <v>100000</v>
      </c>
      <c r="J2299" s="16">
        <f>I2299-H2299</f>
        <v>60000</v>
      </c>
      <c r="K2299" s="16" t="str">
        <f>VLOOKUP(C2299,[1]master_data!$A$2:$E$495,5,FALSE)</f>
        <v>Ikan</v>
      </c>
      <c r="L2299" s="1"/>
    </row>
    <row r="2300" spans="1:12" ht="12" customHeight="1" x14ac:dyDescent="0.25">
      <c r="A2300" s="15">
        <v>44958</v>
      </c>
      <c r="B2300" s="16">
        <v>22300205</v>
      </c>
      <c r="C2300" s="16" t="s">
        <v>419</v>
      </c>
      <c r="D2300" s="16" t="str">
        <f>VLOOKUP(C2300,[1]master_data!$A$2:$E$495,2,FALSE)</f>
        <v>KOMET PAKAN</v>
      </c>
      <c r="E2300" s="16">
        <v>60</v>
      </c>
      <c r="F2300" s="16">
        <f>VLOOKUP(C2300,[1]master_data!$A$2:$E$495,3,FALSE)</f>
        <v>300</v>
      </c>
      <c r="G2300" s="16">
        <f>VLOOKUP(C2300,[1]master_data!$A$2:$E$495,4,FALSE)</f>
        <v>1000</v>
      </c>
      <c r="H2300" s="16">
        <f>E2300*F2300</f>
        <v>18000</v>
      </c>
      <c r="I2300" s="16">
        <f>E2300*G2300</f>
        <v>60000</v>
      </c>
      <c r="J2300" s="16">
        <f>I2300-H2300</f>
        <v>42000</v>
      </c>
      <c r="K2300" s="16" t="str">
        <f>VLOOKUP(C2300,[1]master_data!$A$2:$E$495,5,FALSE)</f>
        <v>Ikan</v>
      </c>
      <c r="L2300" s="1"/>
    </row>
    <row r="2301" spans="1:12" ht="12" customHeight="1" x14ac:dyDescent="0.25">
      <c r="A2301" s="15">
        <v>44958</v>
      </c>
      <c r="B2301" s="16">
        <v>22300206</v>
      </c>
      <c r="C2301" s="16" t="s">
        <v>446</v>
      </c>
      <c r="D2301" s="16" t="str">
        <f>VLOOKUP(C2301,[1]master_data!$A$2:$E$495,2,FALSE)</f>
        <v xml:space="preserve"> CHANNA RED BARITO K</v>
      </c>
      <c r="E2301" s="16">
        <v>1</v>
      </c>
      <c r="F2301" s="16">
        <f>VLOOKUP(C2301,[1]master_data!$A$2:$E$495,3,FALSE)</f>
        <v>45000</v>
      </c>
      <c r="G2301" s="16">
        <f>VLOOKUP(C2301,[1]master_data!$A$2:$E$495,4,FALSE)</f>
        <v>100000</v>
      </c>
      <c r="H2301" s="16">
        <f>E2301*F2301</f>
        <v>45000</v>
      </c>
      <c r="I2301" s="16">
        <f>E2301*G2301</f>
        <v>100000</v>
      </c>
      <c r="J2301" s="16">
        <f>I2301-H2301</f>
        <v>55000</v>
      </c>
      <c r="K2301" s="16" t="str">
        <f>VLOOKUP(C2301,[1]master_data!$A$2:$E$495,5,FALSE)</f>
        <v>Ikan</v>
      </c>
      <c r="L2301" s="1"/>
    </row>
    <row r="2302" spans="1:12" ht="12" customHeight="1" x14ac:dyDescent="0.25">
      <c r="A2302" s="15">
        <v>44958</v>
      </c>
      <c r="B2302" s="16">
        <v>22300207</v>
      </c>
      <c r="C2302" s="16" t="s">
        <v>422</v>
      </c>
      <c r="D2302" s="16" t="str">
        <f>VLOOKUP(C2302,[1]master_data!$A$2:$E$495,2,FALSE)</f>
        <v>KOI SLAYER B</v>
      </c>
      <c r="E2302" s="16">
        <v>3</v>
      </c>
      <c r="F2302" s="16">
        <f>VLOOKUP(C2302,[1]master_data!$A$2:$E$495,3,FALSE)</f>
        <v>8000</v>
      </c>
      <c r="G2302" s="16">
        <f>VLOOKUP(C2302,[1]master_data!$A$2:$E$495,4,FALSE)</f>
        <v>20000</v>
      </c>
      <c r="H2302" s="16">
        <f>E2302*F2302</f>
        <v>24000</v>
      </c>
      <c r="I2302" s="16">
        <f>E2302*G2302</f>
        <v>60000</v>
      </c>
      <c r="J2302" s="16">
        <f>I2302-H2302</f>
        <v>36000</v>
      </c>
      <c r="K2302" s="16" t="str">
        <f>VLOOKUP(C2302,[1]master_data!$A$2:$E$495,5,FALSE)</f>
        <v>Ikan</v>
      </c>
      <c r="L2302" s="1"/>
    </row>
    <row r="2303" spans="1:12" ht="12" customHeight="1" x14ac:dyDescent="0.25">
      <c r="A2303" s="15">
        <v>44957</v>
      </c>
      <c r="B2303" s="16">
        <v>22300194</v>
      </c>
      <c r="C2303" s="16" t="s">
        <v>107</v>
      </c>
      <c r="D2303" s="16" t="str">
        <f>VLOOKUP(C2303,[1]master_data!$A$2:$E$495,2,FALSE)</f>
        <v>AIRATOR NIKITA LUB 1</v>
      </c>
      <c r="E2303" s="16">
        <v>1</v>
      </c>
      <c r="F2303" s="16">
        <f>VLOOKUP(C2303,[1]master_data!$A$2:$E$495,3,FALSE)</f>
        <v>20500</v>
      </c>
      <c r="G2303" s="16">
        <f>VLOOKUP(C2303,[1]master_data!$A$2:$E$495,4,FALSE)</f>
        <v>30000</v>
      </c>
      <c r="H2303" s="16">
        <f>E2303*F2303</f>
        <v>20500</v>
      </c>
      <c r="I2303" s="16">
        <f>E2303*G2303</f>
        <v>30000</v>
      </c>
      <c r="J2303" s="16">
        <f>I2303-H2303</f>
        <v>9500</v>
      </c>
      <c r="K2303" s="16" t="str">
        <f>VLOOKUP(C2303,[1]master_data!$A$2:$E$495,5,FALSE)</f>
        <v>Aksesoris</v>
      </c>
      <c r="L2303" s="1"/>
    </row>
    <row r="2304" spans="1:12" ht="12" customHeight="1" x14ac:dyDescent="0.25">
      <c r="A2304" s="15">
        <v>44957</v>
      </c>
      <c r="B2304" s="16">
        <v>22300195</v>
      </c>
      <c r="C2304" s="16" t="s">
        <v>427</v>
      </c>
      <c r="D2304" s="16" t="str">
        <f>VLOOKUP(C2304,[1]master_data!$A$2:$E$495,2,FALSE)</f>
        <v>LOUHAN SUPER</v>
      </c>
      <c r="E2304" s="16">
        <v>1</v>
      </c>
      <c r="F2304" s="16">
        <f>VLOOKUP(C2304,[1]master_data!$A$2:$E$495,3,FALSE)</f>
        <v>300000</v>
      </c>
      <c r="G2304" s="16">
        <f>VLOOKUP(C2304,[1]master_data!$A$2:$E$495,4,FALSE)</f>
        <v>500000</v>
      </c>
      <c r="H2304" s="16">
        <f>E2304*F2304</f>
        <v>300000</v>
      </c>
      <c r="I2304" s="16">
        <f>E2304*G2304</f>
        <v>500000</v>
      </c>
      <c r="J2304" s="16">
        <f>I2304-H2304</f>
        <v>200000</v>
      </c>
      <c r="K2304" s="16" t="str">
        <f>VLOOKUP(C2304,[1]master_data!$A$2:$E$495,5,FALSE)</f>
        <v>Ikan</v>
      </c>
      <c r="L2304" s="1"/>
    </row>
    <row r="2305" spans="1:12" ht="12" customHeight="1" x14ac:dyDescent="0.25">
      <c r="A2305" s="15">
        <v>44957</v>
      </c>
      <c r="B2305" s="16">
        <v>22300196</v>
      </c>
      <c r="C2305" s="16" t="s">
        <v>57</v>
      </c>
      <c r="D2305" s="16" t="str">
        <f>VLOOKUP(C2305,[1]master_data!$A$2:$E$495,2,FALSE)</f>
        <v>MESIN  ARMDA 1200</v>
      </c>
      <c r="E2305" s="16">
        <v>5</v>
      </c>
      <c r="F2305" s="16">
        <f>VLOOKUP(C2305,[1]master_data!$A$2:$E$495,3,FALSE)</f>
        <v>20000</v>
      </c>
      <c r="G2305" s="16">
        <f>VLOOKUP(C2305,[1]master_data!$A$2:$E$495,4,FALSE)</f>
        <v>30000</v>
      </c>
      <c r="H2305" s="16">
        <f>E2305*F2305</f>
        <v>100000</v>
      </c>
      <c r="I2305" s="16">
        <f>E2305*G2305</f>
        <v>150000</v>
      </c>
      <c r="J2305" s="16">
        <f>I2305-H2305</f>
        <v>50000</v>
      </c>
      <c r="K2305" s="16" t="str">
        <f>VLOOKUP(C2305,[1]master_data!$A$2:$E$495,5,FALSE)</f>
        <v>Aksesoris</v>
      </c>
      <c r="L2305" s="1"/>
    </row>
    <row r="2306" spans="1:12" ht="12" customHeight="1" x14ac:dyDescent="0.25">
      <c r="A2306" s="15">
        <v>44957</v>
      </c>
      <c r="B2306" s="16">
        <v>22300197</v>
      </c>
      <c r="C2306" s="16" t="s">
        <v>456</v>
      </c>
      <c r="D2306" s="16" t="str">
        <f>VLOOKUP(C2306,[1]master_data!$A$2:$E$495,2,FALSE)</f>
        <v>ZEBRA HIJAU</v>
      </c>
      <c r="E2306" s="16">
        <v>15</v>
      </c>
      <c r="F2306" s="16">
        <f>VLOOKUP(C2306,[1]master_data!$A$2:$E$495,3,FALSE)</f>
        <v>800</v>
      </c>
      <c r="G2306" s="16">
        <f>VLOOKUP(C2306,[1]master_data!$A$2:$E$495,4,FALSE)</f>
        <v>2000</v>
      </c>
      <c r="H2306" s="16">
        <f>E2306*F2306</f>
        <v>12000</v>
      </c>
      <c r="I2306" s="16">
        <f>E2306*G2306</f>
        <v>30000</v>
      </c>
      <c r="J2306" s="16">
        <f>I2306-H2306</f>
        <v>18000</v>
      </c>
      <c r="K2306" s="16" t="str">
        <f>VLOOKUP(C2306,[1]master_data!$A$2:$E$495,5,FALSE)</f>
        <v>Ikan</v>
      </c>
      <c r="L2306" s="1"/>
    </row>
    <row r="2307" spans="1:12" ht="12" customHeight="1" x14ac:dyDescent="0.25">
      <c r="A2307" s="15">
        <v>44957</v>
      </c>
      <c r="B2307" s="16">
        <v>22300198</v>
      </c>
      <c r="C2307" s="16" t="s">
        <v>460</v>
      </c>
      <c r="D2307" s="16" t="str">
        <f>VLOOKUP(C2307,[1]master_data!$A$2:$E$495,2,FALSE)</f>
        <v>SEPAT ALBINO</v>
      </c>
      <c r="E2307" s="16">
        <v>15</v>
      </c>
      <c r="F2307" s="16">
        <f>VLOOKUP(C2307,[1]master_data!$A$2:$E$495,3,FALSE)</f>
        <v>2000</v>
      </c>
      <c r="G2307" s="16">
        <f>VLOOKUP(C2307,[1]master_data!$A$2:$E$495,4,FALSE)</f>
        <v>5000</v>
      </c>
      <c r="H2307" s="16">
        <f>E2307*F2307</f>
        <v>30000</v>
      </c>
      <c r="I2307" s="16">
        <f>E2307*G2307</f>
        <v>75000</v>
      </c>
      <c r="J2307" s="16">
        <f>I2307-H2307</f>
        <v>45000</v>
      </c>
      <c r="K2307" s="16" t="str">
        <f>VLOOKUP(C2307,[1]master_data!$A$2:$E$495,5,FALSE)</f>
        <v>Ikan</v>
      </c>
      <c r="L2307" s="1"/>
    </row>
    <row r="2308" spans="1:12" ht="12" customHeight="1" x14ac:dyDescent="0.25">
      <c r="A2308" s="15">
        <v>44957</v>
      </c>
      <c r="B2308" s="16">
        <v>22300199</v>
      </c>
      <c r="C2308" s="16" t="s">
        <v>397</v>
      </c>
      <c r="D2308" s="16" t="str">
        <f>VLOOKUP(C2308,[1]master_data!$A$2:$E$495,2,FALSE)</f>
        <v>BUENOS AIRES TETRA</v>
      </c>
      <c r="E2308" s="16">
        <v>15</v>
      </c>
      <c r="F2308" s="16">
        <f>VLOOKUP(C2308,[1]master_data!$A$2:$E$495,3,FALSE)</f>
        <v>800</v>
      </c>
      <c r="G2308" s="16">
        <f>VLOOKUP(C2308,[1]master_data!$A$2:$E$495,4,FALSE)</f>
        <v>2000</v>
      </c>
      <c r="H2308" s="16">
        <f>E2308*F2308</f>
        <v>12000</v>
      </c>
      <c r="I2308" s="16">
        <f>E2308*G2308</f>
        <v>30000</v>
      </c>
      <c r="J2308" s="16">
        <f>I2308-H2308</f>
        <v>18000</v>
      </c>
      <c r="K2308" s="16" t="str">
        <f>VLOOKUP(C2308,[1]master_data!$A$2:$E$495,5,FALSE)</f>
        <v>Ikan</v>
      </c>
      <c r="L2308" s="1"/>
    </row>
    <row r="2309" spans="1:12" ht="12" customHeight="1" x14ac:dyDescent="0.25">
      <c r="A2309" s="15">
        <v>44957</v>
      </c>
      <c r="B2309" s="16">
        <v>22300200</v>
      </c>
      <c r="C2309" s="16" t="s">
        <v>396</v>
      </c>
      <c r="D2309" s="16" t="str">
        <f>VLOOKUP(C2309,[1]master_data!$A$2:$E$495,2,FALSE)</f>
        <v>BIPOLAR</v>
      </c>
      <c r="E2309" s="16">
        <v>28</v>
      </c>
      <c r="F2309" s="16">
        <f>VLOOKUP(C2309,[1]master_data!$A$2:$E$495,3,FALSE)</f>
        <v>1000</v>
      </c>
      <c r="G2309" s="16">
        <f>VLOOKUP(C2309,[1]master_data!$A$2:$E$495,4,FALSE)</f>
        <v>2500</v>
      </c>
      <c r="H2309" s="16">
        <f>E2309*F2309</f>
        <v>28000</v>
      </c>
      <c r="I2309" s="16">
        <f>E2309*G2309</f>
        <v>70000</v>
      </c>
      <c r="J2309" s="16">
        <f>I2309-H2309</f>
        <v>42000</v>
      </c>
      <c r="K2309" s="16" t="str">
        <f>VLOOKUP(C2309,[1]master_data!$A$2:$E$495,5,FALSE)</f>
        <v>Ikan</v>
      </c>
      <c r="L2309" s="1"/>
    </row>
    <row r="2310" spans="1:12" ht="12" customHeight="1" x14ac:dyDescent="0.25">
      <c r="A2310" s="15">
        <v>44957</v>
      </c>
      <c r="B2310" s="16">
        <v>22300201</v>
      </c>
      <c r="C2310" s="16" t="s">
        <v>407</v>
      </c>
      <c r="D2310" s="16" t="str">
        <f>VLOOKUP(C2310,[1]master_data!$A$2:$E$495,2,FALSE)</f>
        <v>GOLD FISH</v>
      </c>
      <c r="E2310" s="16">
        <v>1</v>
      </c>
      <c r="F2310" s="16">
        <f>VLOOKUP(C2310,[1]master_data!$A$2:$E$495,3,FALSE)</f>
        <v>800</v>
      </c>
      <c r="G2310" s="16">
        <f>VLOOKUP(C2310,[1]master_data!$A$2:$E$495,4,FALSE)</f>
        <v>2000</v>
      </c>
      <c r="H2310" s="16">
        <f>E2310*F2310</f>
        <v>800</v>
      </c>
      <c r="I2310" s="16">
        <f>E2310*G2310</f>
        <v>2000</v>
      </c>
      <c r="J2310" s="16">
        <f>I2310-H2310</f>
        <v>1200</v>
      </c>
      <c r="K2310" s="16" t="str">
        <f>VLOOKUP(C2310,[1]master_data!$A$2:$E$495,5,FALSE)</f>
        <v>Ikan</v>
      </c>
      <c r="L2310" s="1"/>
    </row>
    <row r="2311" spans="1:12" ht="12" customHeight="1" x14ac:dyDescent="0.25">
      <c r="A2311" s="15">
        <v>44956</v>
      </c>
      <c r="B2311" s="16">
        <v>22300190</v>
      </c>
      <c r="C2311" s="16" t="s">
        <v>139</v>
      </c>
      <c r="D2311" s="16" t="str">
        <f>VLOOKUP(C2311,[1]master_data!$A$2:$E$495,2,FALSE)</f>
        <v>LED NIKITA NS 800</v>
      </c>
      <c r="E2311" s="16">
        <v>10</v>
      </c>
      <c r="F2311" s="16">
        <f>VLOOKUP(C2311,[1]master_data!$A$2:$E$495,3,FALSE)</f>
        <v>74000</v>
      </c>
      <c r="G2311" s="16">
        <f>VLOOKUP(C2311,[1]master_data!$A$2:$E$495,4,FALSE)</f>
        <v>100000</v>
      </c>
      <c r="H2311" s="16">
        <f>E2311*F2311</f>
        <v>740000</v>
      </c>
      <c r="I2311" s="16">
        <f>E2311*G2311</f>
        <v>1000000</v>
      </c>
      <c r="J2311" s="16">
        <f>I2311-H2311</f>
        <v>260000</v>
      </c>
      <c r="K2311" s="16" t="str">
        <f>VLOOKUP(C2311,[1]master_data!$A$2:$E$495,5,FALSE)</f>
        <v>Aksesoris</v>
      </c>
      <c r="L2311" s="1"/>
    </row>
    <row r="2312" spans="1:12" ht="12" customHeight="1" x14ac:dyDescent="0.25">
      <c r="A2312" s="15">
        <v>44956</v>
      </c>
      <c r="B2312" s="16">
        <v>22300191</v>
      </c>
      <c r="C2312" s="16" t="s">
        <v>227</v>
      </c>
      <c r="D2312" s="16" t="str">
        <f>VLOOKUP(C2312,[1]master_data!$A$2:$E$495,2,FALSE)</f>
        <v>OK IKO LOUHAN HITAM</v>
      </c>
      <c r="E2312" s="16">
        <v>5</v>
      </c>
      <c r="F2312" s="16">
        <f>VLOOKUP(C2312,[1]master_data!$A$2:$E$495,3,FALSE)</f>
        <v>31500</v>
      </c>
      <c r="G2312" s="16">
        <f>VLOOKUP(C2312,[1]master_data!$A$2:$E$495,4,FALSE)</f>
        <v>50000</v>
      </c>
      <c r="H2312" s="16">
        <f>E2312*F2312</f>
        <v>157500</v>
      </c>
      <c r="I2312" s="16">
        <f>E2312*G2312</f>
        <v>250000</v>
      </c>
      <c r="J2312" s="16">
        <f>I2312-H2312</f>
        <v>92500</v>
      </c>
      <c r="K2312" s="16" t="str">
        <f>VLOOKUP(C2312,[1]master_data!$A$2:$E$495,5,FALSE)</f>
        <v>Aksesoris</v>
      </c>
      <c r="L2312" s="1"/>
    </row>
    <row r="2313" spans="1:12" ht="12" customHeight="1" x14ac:dyDescent="0.25">
      <c r="A2313" s="15">
        <v>44956</v>
      </c>
      <c r="B2313" s="16">
        <v>22300192</v>
      </c>
      <c r="C2313" s="16" t="s">
        <v>451</v>
      </c>
      <c r="D2313" s="16" t="str">
        <f>VLOOKUP(C2313,[1]master_data!$A$2:$E$495,2,FALSE)</f>
        <v>SYNODONTIS K</v>
      </c>
      <c r="E2313" s="16">
        <v>4</v>
      </c>
      <c r="F2313" s="16">
        <f>VLOOKUP(C2313,[1]master_data!$A$2:$E$495,3,FALSE)</f>
        <v>1500</v>
      </c>
      <c r="G2313" s="16">
        <f>VLOOKUP(C2313,[1]master_data!$A$2:$E$495,4,FALSE)</f>
        <v>5000</v>
      </c>
      <c r="H2313" s="16">
        <f>E2313*F2313</f>
        <v>6000</v>
      </c>
      <c r="I2313" s="16">
        <f>E2313*G2313</f>
        <v>20000</v>
      </c>
      <c r="J2313" s="16">
        <f>I2313-H2313</f>
        <v>14000</v>
      </c>
      <c r="K2313" s="16" t="str">
        <f>VLOOKUP(C2313,[1]master_data!$A$2:$E$495,5,FALSE)</f>
        <v>Ikan</v>
      </c>
      <c r="L2313" s="1"/>
    </row>
    <row r="2314" spans="1:12" ht="12" customHeight="1" x14ac:dyDescent="0.25">
      <c r="A2314" s="15">
        <v>44956</v>
      </c>
      <c r="B2314" s="16">
        <v>22300193</v>
      </c>
      <c r="C2314" s="16" t="s">
        <v>405</v>
      </c>
      <c r="D2314" s="16" t="str">
        <f>VLOOKUP(C2314,[1]master_data!$A$2:$E$495,2,FALSE)</f>
        <v>CUPANG</v>
      </c>
      <c r="E2314" s="16">
        <v>1</v>
      </c>
      <c r="F2314" s="16">
        <f>VLOOKUP(C2314,[1]master_data!$A$2:$E$495,3,FALSE)</f>
        <v>2000</v>
      </c>
      <c r="G2314" s="16">
        <f>VLOOKUP(C2314,[1]master_data!$A$2:$E$495,4,FALSE)</f>
        <v>5000</v>
      </c>
      <c r="H2314" s="16">
        <f>E2314*F2314</f>
        <v>2000</v>
      </c>
      <c r="I2314" s="16">
        <f>E2314*G2314</f>
        <v>5000</v>
      </c>
      <c r="J2314" s="16">
        <f>I2314-H2314</f>
        <v>3000</v>
      </c>
      <c r="K2314" s="16" t="str">
        <f>VLOOKUP(C2314,[1]master_data!$A$2:$E$495,5,FALSE)</f>
        <v>Ikan</v>
      </c>
      <c r="L2314" s="1"/>
    </row>
    <row r="2315" spans="1:12" ht="12" customHeight="1" x14ac:dyDescent="0.25">
      <c r="A2315" s="15">
        <v>44955</v>
      </c>
      <c r="B2315" s="16">
        <v>22300183</v>
      </c>
      <c r="C2315" s="16" t="s">
        <v>431</v>
      </c>
      <c r="D2315" s="16" t="str">
        <f>VLOOKUP(C2315,[1]master_data!$A$2:$E$495,2,FALSE)</f>
        <v>MARU B</v>
      </c>
      <c r="E2315" s="16">
        <v>2</v>
      </c>
      <c r="F2315" s="16">
        <f>VLOOKUP(C2315,[1]master_data!$A$2:$E$495,3,FALSE)</f>
        <v>90000</v>
      </c>
      <c r="G2315" s="16">
        <f>VLOOKUP(C2315,[1]master_data!$A$2:$E$495,4,FALSE)</f>
        <v>150000</v>
      </c>
      <c r="H2315" s="16">
        <f>E2315*F2315</f>
        <v>180000</v>
      </c>
      <c r="I2315" s="16">
        <f>E2315*G2315</f>
        <v>300000</v>
      </c>
      <c r="J2315" s="16">
        <f>I2315-H2315</f>
        <v>120000</v>
      </c>
      <c r="K2315" s="16" t="str">
        <f>VLOOKUP(C2315,[1]master_data!$A$2:$E$495,5,FALSE)</f>
        <v>Ikan</v>
      </c>
      <c r="L2315" s="1"/>
    </row>
    <row r="2316" spans="1:12" ht="12" customHeight="1" x14ac:dyDescent="0.25">
      <c r="A2316" s="15">
        <v>44955</v>
      </c>
      <c r="B2316" s="16">
        <v>22300184</v>
      </c>
      <c r="C2316" s="16" t="s">
        <v>376</v>
      </c>
      <c r="D2316" s="16" t="str">
        <f>VLOOKUP(C2316,[1]master_data!$A$2:$E$495,2,FALSE)</f>
        <v>PASIR BALI</v>
      </c>
      <c r="E2316" s="16">
        <v>15</v>
      </c>
      <c r="F2316" s="16">
        <f>VLOOKUP(C2316,[1]master_data!$A$2:$E$495,3,FALSE)</f>
        <v>5000</v>
      </c>
      <c r="G2316" s="16">
        <f>VLOOKUP(C2316,[1]master_data!$A$2:$E$495,4,FALSE)</f>
        <v>10000</v>
      </c>
      <c r="H2316" s="16">
        <f>E2316*F2316</f>
        <v>75000</v>
      </c>
      <c r="I2316" s="16">
        <f>E2316*G2316</f>
        <v>150000</v>
      </c>
      <c r="J2316" s="16">
        <f>I2316-H2316</f>
        <v>75000</v>
      </c>
      <c r="K2316" s="16" t="str">
        <f>VLOOKUP(C2316,[1]master_data!$A$2:$E$495,5,FALSE)</f>
        <v>Aksesoris</v>
      </c>
      <c r="L2316" s="1"/>
    </row>
    <row r="2317" spans="1:12" ht="12" customHeight="1" x14ac:dyDescent="0.25">
      <c r="A2317" s="15">
        <v>44955</v>
      </c>
      <c r="B2317" s="16">
        <v>22300185</v>
      </c>
      <c r="C2317" s="16" t="s">
        <v>461</v>
      </c>
      <c r="D2317" s="16" t="str">
        <f>VLOOKUP(C2317,[1]master_data!$A$2:$E$495,2,FALSE)</f>
        <v>CHANNA STEWARTI</v>
      </c>
      <c r="E2317" s="16">
        <v>5</v>
      </c>
      <c r="F2317" s="16">
        <f>VLOOKUP(C2317,[1]master_data!$A$2:$E$495,3,FALSE)</f>
        <v>15000</v>
      </c>
      <c r="G2317" s="16">
        <f>VLOOKUP(C2317,[1]master_data!$A$2:$E$495,4,FALSE)</f>
        <v>40000</v>
      </c>
      <c r="H2317" s="16">
        <f>E2317*F2317</f>
        <v>75000</v>
      </c>
      <c r="I2317" s="16">
        <f>E2317*G2317</f>
        <v>200000</v>
      </c>
      <c r="J2317" s="16">
        <f>I2317-H2317</f>
        <v>125000</v>
      </c>
      <c r="K2317" s="16" t="str">
        <f>VLOOKUP(C2317,[1]master_data!$A$2:$E$495,5,FALSE)</f>
        <v>Ikan</v>
      </c>
      <c r="L2317" s="1"/>
    </row>
    <row r="2318" spans="1:12" ht="12" customHeight="1" x14ac:dyDescent="0.25">
      <c r="A2318" s="15">
        <v>44955</v>
      </c>
      <c r="B2318" s="16">
        <v>22300186</v>
      </c>
      <c r="C2318" s="16" t="s">
        <v>271</v>
      </c>
      <c r="D2318" s="16" t="str">
        <f>VLOOKUP(C2318,[1]master_data!$A$2:$E$495,2,FALSE)</f>
        <v>HEATER KACA 100 W</v>
      </c>
      <c r="E2318" s="16">
        <v>1</v>
      </c>
      <c r="F2318" s="16">
        <f>VLOOKUP(C2318,[1]master_data!$A$2:$E$495,3,FALSE)</f>
        <v>33000</v>
      </c>
      <c r="G2318" s="16">
        <f>VLOOKUP(C2318,[1]master_data!$A$2:$E$495,4,FALSE)</f>
        <v>50000</v>
      </c>
      <c r="H2318" s="16">
        <f>E2318*F2318</f>
        <v>33000</v>
      </c>
      <c r="I2318" s="16">
        <f>E2318*G2318</f>
        <v>50000</v>
      </c>
      <c r="J2318" s="16">
        <f>I2318-H2318</f>
        <v>17000</v>
      </c>
      <c r="K2318" s="16" t="str">
        <f>VLOOKUP(C2318,[1]master_data!$A$2:$E$495,5,FALSE)</f>
        <v>Aksesoris</v>
      </c>
      <c r="L2318" s="1"/>
    </row>
    <row r="2319" spans="1:12" ht="12" customHeight="1" x14ac:dyDescent="0.25">
      <c r="A2319" s="15">
        <v>44955</v>
      </c>
      <c r="B2319" s="16">
        <v>22300187</v>
      </c>
      <c r="C2319" s="16" t="s">
        <v>429</v>
      </c>
      <c r="D2319" s="16" t="str">
        <f>VLOOKUP(C2319,[1]master_data!$A$2:$E$495,2,FALSE)</f>
        <v>MANFISH B</v>
      </c>
      <c r="E2319" s="16">
        <v>2</v>
      </c>
      <c r="F2319" s="16">
        <f>VLOOKUP(C2319,[1]master_data!$A$2:$E$495,3,FALSE)</f>
        <v>4000</v>
      </c>
      <c r="G2319" s="16">
        <f>VLOOKUP(C2319,[1]master_data!$A$2:$E$495,4,FALSE)</f>
        <v>10000</v>
      </c>
      <c r="H2319" s="16">
        <f>E2319*F2319</f>
        <v>8000</v>
      </c>
      <c r="I2319" s="16">
        <f>E2319*G2319</f>
        <v>20000</v>
      </c>
      <c r="J2319" s="16">
        <f>I2319-H2319</f>
        <v>12000</v>
      </c>
      <c r="K2319" s="16" t="str">
        <f>VLOOKUP(C2319,[1]master_data!$A$2:$E$495,5,FALSE)</f>
        <v>Ikan</v>
      </c>
      <c r="L2319" s="1"/>
    </row>
    <row r="2320" spans="1:12" ht="12" customHeight="1" x14ac:dyDescent="0.25">
      <c r="A2320" s="15">
        <v>44955</v>
      </c>
      <c r="B2320" s="16">
        <v>22300188</v>
      </c>
      <c r="C2320" s="16" t="s">
        <v>408</v>
      </c>
      <c r="D2320" s="16" t="str">
        <f>VLOOKUP(C2320,[1]master_data!$A$2:$E$495,2,FALSE)</f>
        <v>GUPY</v>
      </c>
      <c r="E2320" s="16">
        <v>2</v>
      </c>
      <c r="F2320" s="16">
        <f>VLOOKUP(C2320,[1]master_data!$A$2:$E$495,3,FALSE)</f>
        <v>1200</v>
      </c>
      <c r="G2320" s="16">
        <f>VLOOKUP(C2320,[1]master_data!$A$2:$E$495,4,FALSE)</f>
        <v>2500</v>
      </c>
      <c r="H2320" s="16">
        <f>E2320*F2320</f>
        <v>2400</v>
      </c>
      <c r="I2320" s="16">
        <f>E2320*G2320</f>
        <v>5000</v>
      </c>
      <c r="J2320" s="16">
        <f>I2320-H2320</f>
        <v>2600</v>
      </c>
      <c r="K2320" s="16" t="str">
        <f>VLOOKUP(C2320,[1]master_data!$A$2:$E$495,5,FALSE)</f>
        <v>Ikan</v>
      </c>
      <c r="L2320" s="1"/>
    </row>
    <row r="2321" spans="1:12" ht="12" customHeight="1" x14ac:dyDescent="0.25">
      <c r="A2321" s="15">
        <v>44955</v>
      </c>
      <c r="B2321" s="16">
        <v>22300189</v>
      </c>
      <c r="C2321" s="16" t="s">
        <v>423</v>
      </c>
      <c r="D2321" s="16" t="str">
        <f>VLOOKUP(C2321,[1]master_data!$A$2:$E$495,2,FALSE)</f>
        <v>CAROLINE</v>
      </c>
      <c r="E2321" s="16">
        <v>1</v>
      </c>
      <c r="F2321" s="16">
        <f>VLOOKUP(C2321,[1]master_data!$A$2:$E$495,3,FALSE)</f>
        <v>900</v>
      </c>
      <c r="G2321" s="16">
        <f>VLOOKUP(C2321,[1]master_data!$A$2:$E$495,4,FALSE)</f>
        <v>2000</v>
      </c>
      <c r="H2321" s="16">
        <f>E2321*F2321</f>
        <v>900</v>
      </c>
      <c r="I2321" s="16">
        <f>E2321*G2321</f>
        <v>2000</v>
      </c>
      <c r="J2321" s="16">
        <f>I2321-H2321</f>
        <v>1100</v>
      </c>
      <c r="K2321" s="16" t="str">
        <f>VLOOKUP(C2321,[1]master_data!$A$2:$E$495,5,FALSE)</f>
        <v>Ikan</v>
      </c>
      <c r="L2321" s="1"/>
    </row>
    <row r="2322" spans="1:12" ht="12" customHeight="1" x14ac:dyDescent="0.25">
      <c r="A2322" s="15">
        <v>44954</v>
      </c>
      <c r="B2322" s="16">
        <v>22300180</v>
      </c>
      <c r="C2322" s="16" t="s">
        <v>180</v>
      </c>
      <c r="D2322" s="16" t="str">
        <f>VLOOKUP(C2322,[1]master_data!$A$2:$E$495,2,FALSE)</f>
        <v>LED ARMADA 3 MODE M40</v>
      </c>
      <c r="E2322" s="16">
        <v>5</v>
      </c>
      <c r="F2322" s="16">
        <f>VLOOKUP(C2322,[1]master_data!$A$2:$E$495,3,FALSE)</f>
        <v>24000</v>
      </c>
      <c r="G2322" s="16">
        <f>VLOOKUP(C2322,[1]master_data!$A$2:$E$495,4,FALSE)</f>
        <v>50000</v>
      </c>
      <c r="H2322" s="16">
        <f>E2322*F2322</f>
        <v>120000</v>
      </c>
      <c r="I2322" s="16">
        <f>E2322*G2322</f>
        <v>250000</v>
      </c>
      <c r="J2322" s="16">
        <f>I2322-H2322</f>
        <v>130000</v>
      </c>
      <c r="K2322" s="16" t="str">
        <f>VLOOKUP(C2322,[1]master_data!$A$2:$E$495,5,FALSE)</f>
        <v>Aksesoris</v>
      </c>
      <c r="L2322" s="1"/>
    </row>
    <row r="2323" spans="1:12" ht="12" customHeight="1" x14ac:dyDescent="0.25">
      <c r="A2323" s="15">
        <v>44954</v>
      </c>
      <c r="B2323" s="16">
        <v>22300181</v>
      </c>
      <c r="C2323" s="16" t="s">
        <v>411</v>
      </c>
      <c r="D2323" s="16" t="str">
        <f>VLOOKUP(C2323,[1]master_data!$A$2:$E$495,2,FALSE)</f>
        <v>KOKI K</v>
      </c>
      <c r="E2323" s="16">
        <v>30</v>
      </c>
      <c r="F2323" s="16">
        <f>VLOOKUP(C2323,[1]master_data!$A$2:$E$495,3,FALSE)</f>
        <v>3500</v>
      </c>
      <c r="G2323" s="16">
        <f>VLOOKUP(C2323,[1]master_data!$A$2:$E$495,4,FALSE)</f>
        <v>10000</v>
      </c>
      <c r="H2323" s="16">
        <f>E2323*F2323</f>
        <v>105000</v>
      </c>
      <c r="I2323" s="16">
        <f>E2323*G2323</f>
        <v>300000</v>
      </c>
      <c r="J2323" s="16">
        <f>I2323-H2323</f>
        <v>195000</v>
      </c>
      <c r="K2323" s="16" t="str">
        <f>VLOOKUP(C2323,[1]master_data!$A$2:$E$495,5,FALSE)</f>
        <v>Ikan</v>
      </c>
      <c r="L2323" s="1"/>
    </row>
    <row r="2324" spans="1:12" ht="12" customHeight="1" x14ac:dyDescent="0.25">
      <c r="A2324" s="15">
        <v>44954</v>
      </c>
      <c r="B2324" s="16">
        <v>22300182</v>
      </c>
      <c r="C2324" s="16" t="s">
        <v>390</v>
      </c>
      <c r="D2324" s="16" t="str">
        <f>VLOOKUP(C2324,[1]master_data!$A$2:$E$495,2,FALSE)</f>
        <v>CHANNA ASIATICA B</v>
      </c>
      <c r="E2324" s="16">
        <v>2</v>
      </c>
      <c r="F2324" s="16">
        <f>VLOOKUP(C2324,[1]master_data!$A$2:$E$495,3,FALSE)</f>
        <v>40000</v>
      </c>
      <c r="G2324" s="16">
        <f>VLOOKUP(C2324,[1]master_data!$A$2:$E$495,4,FALSE)</f>
        <v>100000</v>
      </c>
      <c r="H2324" s="16">
        <f>E2324*F2324</f>
        <v>80000</v>
      </c>
      <c r="I2324" s="16">
        <f>E2324*G2324</f>
        <v>200000</v>
      </c>
      <c r="J2324" s="16">
        <f>I2324-H2324</f>
        <v>120000</v>
      </c>
      <c r="K2324" s="16" t="str">
        <f>VLOOKUP(C2324,[1]master_data!$A$2:$E$495,5,FALSE)</f>
        <v>Ikan</v>
      </c>
      <c r="L2324" s="1"/>
    </row>
    <row r="2325" spans="1:12" ht="12" customHeight="1" x14ac:dyDescent="0.25">
      <c r="A2325" s="15">
        <v>44953</v>
      </c>
      <c r="B2325" s="16">
        <v>22300172</v>
      </c>
      <c r="C2325" s="16" t="s">
        <v>333</v>
      </c>
      <c r="D2325" s="16" t="str">
        <f>VLOOKUP(C2325,[1]master_data!$A$2:$E$495,2,FALSE)</f>
        <v>KARPET RUMPUT</v>
      </c>
      <c r="E2325" s="16">
        <v>5</v>
      </c>
      <c r="F2325" s="16">
        <f>VLOOKUP(C2325,[1]master_data!$A$2:$E$495,3,FALSE)</f>
        <v>15000</v>
      </c>
      <c r="G2325" s="16">
        <f>VLOOKUP(C2325,[1]master_data!$A$2:$E$495,4,FALSE)</f>
        <v>25000</v>
      </c>
      <c r="H2325" s="16">
        <f>E2325*F2325</f>
        <v>75000</v>
      </c>
      <c r="I2325" s="16">
        <f>E2325*G2325</f>
        <v>125000</v>
      </c>
      <c r="J2325" s="16">
        <f>I2325-H2325</f>
        <v>50000</v>
      </c>
      <c r="K2325" s="16" t="str">
        <f>VLOOKUP(C2325,[1]master_data!$A$2:$E$495,5,FALSE)</f>
        <v>Aksesoris</v>
      </c>
      <c r="L2325" s="1"/>
    </row>
    <row r="2326" spans="1:12" ht="12" customHeight="1" x14ac:dyDescent="0.25">
      <c r="A2326" s="15">
        <v>44953</v>
      </c>
      <c r="B2326" s="16">
        <v>22300173</v>
      </c>
      <c r="C2326" s="16" t="s">
        <v>95</v>
      </c>
      <c r="D2326" s="16" t="str">
        <f>VLOOKUP(C2326,[1]master_data!$A$2:$E$495,2,FALSE)</f>
        <v>MESIN AMARA 107</v>
      </c>
      <c r="E2326" s="16">
        <v>1</v>
      </c>
      <c r="F2326" s="16">
        <f>VLOOKUP(C2326,[1]master_data!$A$2:$E$495,3,FALSE)</f>
        <v>310000</v>
      </c>
      <c r="G2326" s="16">
        <f>VLOOKUP(C2326,[1]master_data!$A$2:$E$495,4,FALSE)</f>
        <v>380000</v>
      </c>
      <c r="H2326" s="16">
        <f>E2326*F2326</f>
        <v>310000</v>
      </c>
      <c r="I2326" s="16">
        <f>E2326*G2326</f>
        <v>380000</v>
      </c>
      <c r="J2326" s="16">
        <f>I2326-H2326</f>
        <v>70000</v>
      </c>
      <c r="K2326" s="16" t="str">
        <f>VLOOKUP(C2326,[1]master_data!$A$2:$E$495,5,FALSE)</f>
        <v>Aksesoris</v>
      </c>
      <c r="L2326" s="1"/>
    </row>
    <row r="2327" spans="1:12" ht="12" customHeight="1" x14ac:dyDescent="0.25">
      <c r="A2327" s="15">
        <v>44953</v>
      </c>
      <c r="B2327" s="16">
        <v>22300174</v>
      </c>
      <c r="C2327" s="16" t="s">
        <v>404</v>
      </c>
      <c r="D2327" s="16" t="str">
        <f>VLOOKUP(C2327,[1]master_data!$A$2:$E$495,2,FALSE)</f>
        <v>BARBIR</v>
      </c>
      <c r="E2327" s="16">
        <v>25</v>
      </c>
      <c r="F2327" s="16">
        <f>VLOOKUP(C2327,[1]master_data!$A$2:$E$495,3,FALSE)</f>
        <v>800</v>
      </c>
      <c r="G2327" s="16">
        <f>VLOOKUP(C2327,[1]master_data!$A$2:$E$495,4,FALSE)</f>
        <v>2000</v>
      </c>
      <c r="H2327" s="16">
        <f>E2327*F2327</f>
        <v>20000</v>
      </c>
      <c r="I2327" s="16">
        <f>E2327*G2327</f>
        <v>50000</v>
      </c>
      <c r="J2327" s="16">
        <f>I2327-H2327</f>
        <v>30000</v>
      </c>
      <c r="K2327" s="16" t="str">
        <f>VLOOKUP(C2327,[1]master_data!$A$2:$E$495,5,FALSE)</f>
        <v>Ikan</v>
      </c>
      <c r="L2327" s="1"/>
    </row>
    <row r="2328" spans="1:12" ht="12" customHeight="1" x14ac:dyDescent="0.25">
      <c r="A2328" s="15">
        <v>44953</v>
      </c>
      <c r="B2328" s="16">
        <v>22300175</v>
      </c>
      <c r="C2328" s="16" t="s">
        <v>440</v>
      </c>
      <c r="D2328" s="16" t="str">
        <f>VLOOKUP(C2328,[1]master_data!$A$2:$E$495,2,FALSE)</f>
        <v>PEMBERSIH KACA ALBINO</v>
      </c>
      <c r="E2328" s="16">
        <v>60</v>
      </c>
      <c r="F2328" s="16">
        <f>VLOOKUP(C2328,[1]master_data!$A$2:$E$495,3,FALSE)</f>
        <v>2500</v>
      </c>
      <c r="G2328" s="16">
        <f>VLOOKUP(C2328,[1]master_data!$A$2:$E$495,4,FALSE)</f>
        <v>5000</v>
      </c>
      <c r="H2328" s="16">
        <f>E2328*F2328</f>
        <v>150000</v>
      </c>
      <c r="I2328" s="16">
        <f>E2328*G2328</f>
        <v>300000</v>
      </c>
      <c r="J2328" s="16">
        <f>I2328-H2328</f>
        <v>150000</v>
      </c>
      <c r="K2328" s="16" t="str">
        <f>VLOOKUP(C2328,[1]master_data!$A$2:$E$495,5,FALSE)</f>
        <v>Ikan</v>
      </c>
      <c r="L2328" s="1"/>
    </row>
    <row r="2329" spans="1:12" ht="12" customHeight="1" x14ac:dyDescent="0.25">
      <c r="A2329" s="15">
        <v>44953</v>
      </c>
      <c r="B2329" s="16">
        <v>22300176</v>
      </c>
      <c r="C2329" s="16" t="s">
        <v>415</v>
      </c>
      <c r="D2329" s="16" t="str">
        <f>VLOOKUP(C2329,[1]master_data!$A$2:$E$495,2,FALSE)</f>
        <v>KOI T</v>
      </c>
      <c r="E2329" s="16">
        <v>5</v>
      </c>
      <c r="F2329" s="16">
        <f>VLOOKUP(C2329,[1]master_data!$A$2:$E$495,3,FALSE)</f>
        <v>7000</v>
      </c>
      <c r="G2329" s="16">
        <f>VLOOKUP(C2329,[1]master_data!$A$2:$E$495,4,FALSE)</f>
        <v>20000</v>
      </c>
      <c r="H2329" s="16">
        <f>E2329*F2329</f>
        <v>35000</v>
      </c>
      <c r="I2329" s="16">
        <f>E2329*G2329</f>
        <v>100000</v>
      </c>
      <c r="J2329" s="16">
        <f>I2329-H2329</f>
        <v>65000</v>
      </c>
      <c r="K2329" s="16" t="str">
        <f>VLOOKUP(C2329,[1]master_data!$A$2:$E$495,5,FALSE)</f>
        <v>Ikan</v>
      </c>
      <c r="L2329" s="1"/>
    </row>
    <row r="2330" spans="1:12" ht="12" customHeight="1" x14ac:dyDescent="0.25">
      <c r="A2330" s="15">
        <v>44953</v>
      </c>
      <c r="B2330" s="16">
        <v>22300177</v>
      </c>
      <c r="C2330" s="16" t="s">
        <v>192</v>
      </c>
      <c r="D2330" s="16" t="str">
        <f>VLOOKUP(C2330,[1]master_data!$A$2:$E$495,2,FALSE)</f>
        <v>LED KANDILA DnN ECO 50 CM</v>
      </c>
      <c r="E2330" s="16">
        <v>2</v>
      </c>
      <c r="F2330" s="16">
        <f>VLOOKUP(C2330,[1]master_data!$A$2:$E$495,3,FALSE)</f>
        <v>56000</v>
      </c>
      <c r="G2330" s="16">
        <f>VLOOKUP(C2330,[1]master_data!$A$2:$E$495,4,FALSE)</f>
        <v>85000</v>
      </c>
      <c r="H2330" s="16">
        <f>E2330*F2330</f>
        <v>112000</v>
      </c>
      <c r="I2330" s="16">
        <f>E2330*G2330</f>
        <v>170000</v>
      </c>
      <c r="J2330" s="16">
        <f>I2330-H2330</f>
        <v>58000</v>
      </c>
      <c r="K2330" s="16" t="str">
        <f>VLOOKUP(C2330,[1]master_data!$A$2:$E$495,5,FALSE)</f>
        <v>Aksesoris</v>
      </c>
      <c r="L2330" s="1"/>
    </row>
    <row r="2331" spans="1:12" ht="12" customHeight="1" x14ac:dyDescent="0.25">
      <c r="A2331" s="15">
        <v>44953</v>
      </c>
      <c r="B2331" s="16">
        <v>22300178</v>
      </c>
      <c r="C2331" s="16" t="s">
        <v>459</v>
      </c>
      <c r="D2331" s="16" t="str">
        <f>VLOOKUP(C2331,[1]master_data!$A$2:$E$495,2,FALSE)</f>
        <v>SEPAT</v>
      </c>
      <c r="E2331" s="16">
        <v>1</v>
      </c>
      <c r="F2331" s="16">
        <f>VLOOKUP(C2331,[1]master_data!$A$2:$E$495,3,FALSE)</f>
        <v>600</v>
      </c>
      <c r="G2331" s="16">
        <f>VLOOKUP(C2331,[1]master_data!$A$2:$E$495,4,FALSE)</f>
        <v>2000</v>
      </c>
      <c r="H2331" s="16">
        <f>E2331*F2331</f>
        <v>600</v>
      </c>
      <c r="I2331" s="16">
        <f>E2331*G2331</f>
        <v>2000</v>
      </c>
      <c r="J2331" s="16">
        <f>I2331-H2331</f>
        <v>1400</v>
      </c>
      <c r="K2331" s="16" t="str">
        <f>VLOOKUP(C2331,[1]master_data!$A$2:$E$495,5,FALSE)</f>
        <v>Ikan</v>
      </c>
      <c r="L2331" s="1"/>
    </row>
    <row r="2332" spans="1:12" ht="12" customHeight="1" x14ac:dyDescent="0.25">
      <c r="A2332" s="15">
        <v>44953</v>
      </c>
      <c r="B2332" s="16">
        <v>22300179</v>
      </c>
      <c r="C2332" s="16" t="s">
        <v>409</v>
      </c>
      <c r="D2332" s="16" t="str">
        <f>VLOOKUP(C2332,[1]master_data!$A$2:$E$495,2,FALSE)</f>
        <v>GOLDEN BLACK</v>
      </c>
      <c r="E2332" s="16">
        <v>1</v>
      </c>
      <c r="F2332" s="16">
        <f>VLOOKUP(C2332,[1]master_data!$A$2:$E$495,3,FALSE)</f>
        <v>800</v>
      </c>
      <c r="G2332" s="16">
        <f>VLOOKUP(C2332,[1]master_data!$A$2:$E$495,4,FALSE)</f>
        <v>2000</v>
      </c>
      <c r="H2332" s="16">
        <f>E2332*F2332</f>
        <v>800</v>
      </c>
      <c r="I2332" s="16">
        <f>E2332*G2332</f>
        <v>2000</v>
      </c>
      <c r="J2332" s="16">
        <f>I2332-H2332</f>
        <v>1200</v>
      </c>
      <c r="K2332" s="16" t="str">
        <f>VLOOKUP(C2332,[1]master_data!$A$2:$E$495,5,FALSE)</f>
        <v>Ikan</v>
      </c>
      <c r="L2332" s="1"/>
    </row>
    <row r="2333" spans="1:12" ht="12" customHeight="1" x14ac:dyDescent="0.25">
      <c r="A2333" s="15">
        <v>44952</v>
      </c>
      <c r="B2333" s="16">
        <v>22300164</v>
      </c>
      <c r="C2333" s="16" t="s">
        <v>245</v>
      </c>
      <c r="D2333" s="16" t="str">
        <f>VLOOKUP(C2333,[1]master_data!$A$2:$E$495,2,FALSE)</f>
        <v>AIRSTONE BAKSO B</v>
      </c>
      <c r="E2333" s="16">
        <v>25</v>
      </c>
      <c r="F2333" s="16">
        <f>VLOOKUP(C2333,[1]master_data!$A$2:$E$495,3,FALSE)</f>
        <v>7700</v>
      </c>
      <c r="G2333" s="16">
        <f>VLOOKUP(C2333,[1]master_data!$A$2:$E$495,4,FALSE)</f>
        <v>10000</v>
      </c>
      <c r="H2333" s="16">
        <f>E2333*F2333</f>
        <v>192500</v>
      </c>
      <c r="I2333" s="16">
        <f>E2333*G2333</f>
        <v>250000</v>
      </c>
      <c r="J2333" s="16">
        <f>I2333-H2333</f>
        <v>57500</v>
      </c>
      <c r="K2333" s="16" t="str">
        <f>VLOOKUP(C2333,[1]master_data!$A$2:$E$495,5,FALSE)</f>
        <v>Aksesoris</v>
      </c>
      <c r="L2333" s="1"/>
    </row>
    <row r="2334" spans="1:12" ht="12" customHeight="1" x14ac:dyDescent="0.25">
      <c r="A2334" s="15">
        <v>44952</v>
      </c>
      <c r="B2334" s="16">
        <v>22300165</v>
      </c>
      <c r="C2334" s="16" t="s">
        <v>445</v>
      </c>
      <c r="D2334" s="16" t="str">
        <f>VLOOKUP(C2334,[1]master_data!$A$2:$E$495,2,FALSE)</f>
        <v>REDFIN ALBINO</v>
      </c>
      <c r="E2334" s="16">
        <v>15</v>
      </c>
      <c r="F2334" s="16">
        <f>VLOOKUP(C2334,[1]master_data!$A$2:$E$495,3,FALSE)</f>
        <v>1500</v>
      </c>
      <c r="G2334" s="16">
        <f>VLOOKUP(C2334,[1]master_data!$A$2:$E$495,4,FALSE)</f>
        <v>4000</v>
      </c>
      <c r="H2334" s="16">
        <f>E2334*F2334</f>
        <v>22500</v>
      </c>
      <c r="I2334" s="16">
        <f>E2334*G2334</f>
        <v>60000</v>
      </c>
      <c r="J2334" s="16">
        <f>I2334-H2334</f>
        <v>37500</v>
      </c>
      <c r="K2334" s="16" t="str">
        <f>VLOOKUP(C2334,[1]master_data!$A$2:$E$495,5,FALSE)</f>
        <v>Ikan</v>
      </c>
      <c r="L2334" s="1"/>
    </row>
    <row r="2335" spans="1:12" ht="12" customHeight="1" x14ac:dyDescent="0.25">
      <c r="A2335" s="15">
        <v>44952</v>
      </c>
      <c r="B2335" s="16">
        <v>22300166</v>
      </c>
      <c r="C2335" s="16" t="s">
        <v>419</v>
      </c>
      <c r="D2335" s="16" t="str">
        <f>VLOOKUP(C2335,[1]master_data!$A$2:$E$495,2,FALSE)</f>
        <v>KOMET PAKAN</v>
      </c>
      <c r="E2335" s="16">
        <v>30</v>
      </c>
      <c r="F2335" s="16">
        <f>VLOOKUP(C2335,[1]master_data!$A$2:$E$495,3,FALSE)</f>
        <v>300</v>
      </c>
      <c r="G2335" s="16">
        <f>VLOOKUP(C2335,[1]master_data!$A$2:$E$495,4,FALSE)</f>
        <v>1000</v>
      </c>
      <c r="H2335" s="16">
        <f>E2335*F2335</f>
        <v>9000</v>
      </c>
      <c r="I2335" s="16">
        <f>E2335*G2335</f>
        <v>30000</v>
      </c>
      <c r="J2335" s="16">
        <f>I2335-H2335</f>
        <v>21000</v>
      </c>
      <c r="K2335" s="16" t="str">
        <f>VLOOKUP(C2335,[1]master_data!$A$2:$E$495,5,FALSE)</f>
        <v>Ikan</v>
      </c>
      <c r="L2335" s="1"/>
    </row>
    <row r="2336" spans="1:12" ht="12" customHeight="1" x14ac:dyDescent="0.25">
      <c r="A2336" s="15">
        <v>44952</v>
      </c>
      <c r="B2336" s="16">
        <v>22300167</v>
      </c>
      <c r="C2336" s="16" t="s">
        <v>388</v>
      </c>
      <c r="D2336" s="16" t="str">
        <f>VLOOKUP(C2336,[1]master_data!$A$2:$E$495,2,FALSE)</f>
        <v>CHANNA ASIATICA K</v>
      </c>
      <c r="E2336" s="16">
        <v>5</v>
      </c>
      <c r="F2336" s="16">
        <f>VLOOKUP(C2336,[1]master_data!$A$2:$E$495,3,FALSE)</f>
        <v>10000</v>
      </c>
      <c r="G2336" s="16">
        <f>VLOOKUP(C2336,[1]master_data!$A$2:$E$495,4,FALSE)</f>
        <v>40000</v>
      </c>
      <c r="H2336" s="16">
        <f>E2336*F2336</f>
        <v>50000</v>
      </c>
      <c r="I2336" s="16">
        <f>E2336*G2336</f>
        <v>200000</v>
      </c>
      <c r="J2336" s="16">
        <f>I2336-H2336</f>
        <v>150000</v>
      </c>
      <c r="K2336" s="16" t="str">
        <f>VLOOKUP(C2336,[1]master_data!$A$2:$E$495,5,FALSE)</f>
        <v>Ikan</v>
      </c>
      <c r="L2336" s="1"/>
    </row>
    <row r="2337" spans="1:12" ht="12" customHeight="1" x14ac:dyDescent="0.25">
      <c r="A2337" s="15">
        <v>44952</v>
      </c>
      <c r="B2337" s="16">
        <v>22300168</v>
      </c>
      <c r="C2337" s="16" t="s">
        <v>160</v>
      </c>
      <c r="D2337" s="16" t="str">
        <f>VLOOKUP(C2337,[1]master_data!$A$2:$E$495,2,FALSE)</f>
        <v>LED KANDILA PRO RED 80 CM</v>
      </c>
      <c r="E2337" s="16">
        <v>1</v>
      </c>
      <c r="F2337" s="16">
        <f>VLOOKUP(C2337,[1]master_data!$A$2:$E$495,3,FALSE)</f>
        <v>176500</v>
      </c>
      <c r="G2337" s="16">
        <f>VLOOKUP(C2337,[1]master_data!$A$2:$E$495,4,FALSE)</f>
        <v>235000</v>
      </c>
      <c r="H2337" s="16">
        <f>E2337*F2337</f>
        <v>176500</v>
      </c>
      <c r="I2337" s="16">
        <f>E2337*G2337</f>
        <v>235000</v>
      </c>
      <c r="J2337" s="16">
        <f>I2337-H2337</f>
        <v>58500</v>
      </c>
      <c r="K2337" s="16" t="str">
        <f>VLOOKUP(C2337,[1]master_data!$A$2:$E$495,5,FALSE)</f>
        <v>Aksesoris</v>
      </c>
      <c r="L2337" s="1"/>
    </row>
    <row r="2338" spans="1:12" ht="12" customHeight="1" x14ac:dyDescent="0.25">
      <c r="A2338" s="15">
        <v>44952</v>
      </c>
      <c r="B2338" s="16">
        <v>22300169</v>
      </c>
      <c r="C2338" s="16" t="s">
        <v>394</v>
      </c>
      <c r="D2338" s="16" t="str">
        <f>VLOOKUP(C2338,[1]master_data!$A$2:$E$495,2,FALSE)</f>
        <v>ALGA EATER</v>
      </c>
      <c r="E2338" s="16">
        <v>10</v>
      </c>
      <c r="F2338" s="16">
        <f>VLOOKUP(C2338,[1]master_data!$A$2:$E$495,3,FALSE)</f>
        <v>1750</v>
      </c>
      <c r="G2338" s="16">
        <f>VLOOKUP(C2338,[1]master_data!$A$2:$E$495,4,FALSE)</f>
        <v>5000</v>
      </c>
      <c r="H2338" s="16">
        <f>E2338*F2338</f>
        <v>17500</v>
      </c>
      <c r="I2338" s="16">
        <f>E2338*G2338</f>
        <v>50000</v>
      </c>
      <c r="J2338" s="16">
        <f>I2338-H2338</f>
        <v>32500</v>
      </c>
      <c r="K2338" s="16" t="str">
        <f>VLOOKUP(C2338,[1]master_data!$A$2:$E$495,5,FALSE)</f>
        <v>Ikan</v>
      </c>
      <c r="L2338" s="1"/>
    </row>
    <row r="2339" spans="1:12" ht="12" customHeight="1" x14ac:dyDescent="0.25">
      <c r="A2339" s="15">
        <v>44952</v>
      </c>
      <c r="B2339" s="16">
        <v>22300170</v>
      </c>
      <c r="C2339" s="16" t="s">
        <v>451</v>
      </c>
      <c r="D2339" s="16" t="str">
        <f>VLOOKUP(C2339,[1]master_data!$A$2:$E$495,2,FALSE)</f>
        <v>SYNODONTIS K</v>
      </c>
      <c r="E2339" s="16">
        <v>2</v>
      </c>
      <c r="F2339" s="16">
        <f>VLOOKUP(C2339,[1]master_data!$A$2:$E$495,3,FALSE)</f>
        <v>1500</v>
      </c>
      <c r="G2339" s="16">
        <f>VLOOKUP(C2339,[1]master_data!$A$2:$E$495,4,FALSE)</f>
        <v>5000</v>
      </c>
      <c r="H2339" s="16">
        <f>E2339*F2339</f>
        <v>3000</v>
      </c>
      <c r="I2339" s="16">
        <f>E2339*G2339</f>
        <v>10000</v>
      </c>
      <c r="J2339" s="16">
        <f>I2339-H2339</f>
        <v>7000</v>
      </c>
      <c r="K2339" s="16" t="str">
        <f>VLOOKUP(C2339,[1]master_data!$A$2:$E$495,5,FALSE)</f>
        <v>Ikan</v>
      </c>
      <c r="L2339" s="1"/>
    </row>
    <row r="2340" spans="1:12" ht="12" customHeight="1" x14ac:dyDescent="0.25">
      <c r="A2340" s="15">
        <v>44952</v>
      </c>
      <c r="B2340" s="16">
        <v>22300171</v>
      </c>
      <c r="C2340" s="16" t="s">
        <v>399</v>
      </c>
      <c r="D2340" s="16" t="str">
        <f>VLOOKUP(C2340,[1]master_data!$A$2:$E$495,2,FALSE)</f>
        <v>BALA BALA B</v>
      </c>
      <c r="E2340" s="16">
        <v>30</v>
      </c>
      <c r="F2340" s="16">
        <f>VLOOKUP(C2340,[1]master_data!$A$2:$E$495,3,FALSE)</f>
        <v>7000</v>
      </c>
      <c r="G2340" s="16">
        <f>VLOOKUP(C2340,[1]master_data!$A$2:$E$495,4,FALSE)</f>
        <v>15000</v>
      </c>
      <c r="H2340" s="16">
        <f>E2340*F2340</f>
        <v>210000</v>
      </c>
      <c r="I2340" s="16">
        <f>E2340*G2340</f>
        <v>450000</v>
      </c>
      <c r="J2340" s="16">
        <f>I2340-H2340</f>
        <v>240000</v>
      </c>
      <c r="K2340" s="16" t="str">
        <f>VLOOKUP(C2340,[1]master_data!$A$2:$E$495,5,FALSE)</f>
        <v>Ikan</v>
      </c>
      <c r="L2340" s="1"/>
    </row>
    <row r="2341" spans="1:12" ht="12" customHeight="1" x14ac:dyDescent="0.25">
      <c r="A2341" s="15">
        <v>44951</v>
      </c>
      <c r="B2341" s="16">
        <v>22300160</v>
      </c>
      <c r="C2341" s="16" t="s">
        <v>358</v>
      </c>
      <c r="D2341" s="16" t="str">
        <f>VLOOKUP(C2341,[1]master_data!$A$2:$E$495,2,FALSE)</f>
        <v>TOPLES 7,2 L</v>
      </c>
      <c r="E2341" s="16">
        <v>5</v>
      </c>
      <c r="F2341" s="16">
        <f>VLOOKUP(C2341,[1]master_data!$A$2:$E$495,3,FALSE)</f>
        <v>45000</v>
      </c>
      <c r="G2341" s="16">
        <f>VLOOKUP(C2341,[1]master_data!$A$2:$E$495,4,FALSE)</f>
        <v>100000</v>
      </c>
      <c r="H2341" s="16">
        <f>E2341*F2341</f>
        <v>225000</v>
      </c>
      <c r="I2341" s="16">
        <f>E2341*G2341</f>
        <v>500000</v>
      </c>
      <c r="J2341" s="16">
        <f>I2341-H2341</f>
        <v>275000</v>
      </c>
      <c r="K2341" s="16" t="str">
        <f>VLOOKUP(C2341,[1]master_data!$A$2:$E$495,5,FALSE)</f>
        <v>Aksesoris</v>
      </c>
      <c r="L2341" s="1"/>
    </row>
    <row r="2342" spans="1:12" ht="12" customHeight="1" x14ac:dyDescent="0.25">
      <c r="A2342" s="15">
        <v>44951</v>
      </c>
      <c r="B2342" s="16">
        <v>22300161</v>
      </c>
      <c r="C2342" s="16" t="s">
        <v>399</v>
      </c>
      <c r="D2342" s="16" t="str">
        <f>VLOOKUP(C2342,[1]master_data!$A$2:$E$495,2,FALSE)</f>
        <v>BALA BALA B</v>
      </c>
      <c r="E2342" s="16">
        <v>1</v>
      </c>
      <c r="F2342" s="16">
        <f>VLOOKUP(C2342,[1]master_data!$A$2:$E$495,3,FALSE)</f>
        <v>7000</v>
      </c>
      <c r="G2342" s="16">
        <f>VLOOKUP(C2342,[1]master_data!$A$2:$E$495,4,FALSE)</f>
        <v>15000</v>
      </c>
      <c r="H2342" s="16">
        <f>E2342*F2342</f>
        <v>7000</v>
      </c>
      <c r="I2342" s="16">
        <f>E2342*G2342</f>
        <v>15000</v>
      </c>
      <c r="J2342" s="16">
        <f>I2342-H2342</f>
        <v>8000</v>
      </c>
      <c r="K2342" s="16" t="str">
        <f>VLOOKUP(C2342,[1]master_data!$A$2:$E$495,5,FALSE)</f>
        <v>Ikan</v>
      </c>
      <c r="L2342" s="1"/>
    </row>
    <row r="2343" spans="1:12" ht="12" customHeight="1" x14ac:dyDescent="0.25">
      <c r="A2343" s="15">
        <v>44951</v>
      </c>
      <c r="B2343" s="16">
        <v>22300162</v>
      </c>
      <c r="C2343" s="16" t="s">
        <v>31</v>
      </c>
      <c r="D2343" s="16" t="str">
        <f>VLOOKUP(C2343,[1]master_data!$A$2:$E$495,2,FALSE)</f>
        <v>TOP FILTER ROSTON B</v>
      </c>
      <c r="E2343" s="16">
        <v>2</v>
      </c>
      <c r="F2343" s="16">
        <f>VLOOKUP(C2343,[1]master_data!$A$2:$E$495,3,FALSE)</f>
        <v>35000</v>
      </c>
      <c r="G2343" s="16">
        <f>VLOOKUP(C2343,[1]master_data!$A$2:$E$495,4,FALSE)</f>
        <v>65000</v>
      </c>
      <c r="H2343" s="16">
        <f>E2343*F2343</f>
        <v>70000</v>
      </c>
      <c r="I2343" s="16">
        <f>E2343*G2343</f>
        <v>130000</v>
      </c>
      <c r="J2343" s="16">
        <f>I2343-H2343</f>
        <v>60000</v>
      </c>
      <c r="K2343" s="16" t="str">
        <f>VLOOKUP(C2343,[1]master_data!$A$2:$E$495,5,FALSE)</f>
        <v>Aksesoris</v>
      </c>
      <c r="L2343" s="1"/>
    </row>
    <row r="2344" spans="1:12" ht="12" customHeight="1" x14ac:dyDescent="0.25">
      <c r="A2344" s="15">
        <v>44951</v>
      </c>
      <c r="B2344" s="16">
        <v>22300163</v>
      </c>
      <c r="C2344" s="16" t="s">
        <v>250</v>
      </c>
      <c r="D2344" s="16" t="str">
        <f>VLOOKUP(C2344,[1]master_data!$A$2:$E$495,2,FALSE)</f>
        <v>GOSOKAN BIASA</v>
      </c>
      <c r="E2344" s="16">
        <v>1</v>
      </c>
      <c r="F2344" s="16">
        <f>VLOOKUP(C2344,[1]master_data!$A$2:$E$495,3,FALSE)</f>
        <v>10000</v>
      </c>
      <c r="G2344" s="16">
        <f>VLOOKUP(C2344,[1]master_data!$A$2:$E$495,4,FALSE)</f>
        <v>20000</v>
      </c>
      <c r="H2344" s="16">
        <f>E2344*F2344</f>
        <v>10000</v>
      </c>
      <c r="I2344" s="16">
        <f>E2344*G2344</f>
        <v>20000</v>
      </c>
      <c r="J2344" s="16">
        <f>I2344-H2344</f>
        <v>10000</v>
      </c>
      <c r="K2344" s="16" t="str">
        <f>VLOOKUP(C2344,[1]master_data!$A$2:$E$495,5,FALSE)</f>
        <v>Aksesoris</v>
      </c>
      <c r="L2344" s="1"/>
    </row>
    <row r="2345" spans="1:12" ht="12" customHeight="1" x14ac:dyDescent="0.25">
      <c r="A2345" s="15">
        <v>44950</v>
      </c>
      <c r="B2345" s="16">
        <v>22300155</v>
      </c>
      <c r="C2345" s="16" t="s">
        <v>421</v>
      </c>
      <c r="D2345" s="16" t="str">
        <f>VLOOKUP(C2345,[1]master_data!$A$2:$E$495,2,FALSE)</f>
        <v>KOI SLAYER K</v>
      </c>
      <c r="E2345" s="16">
        <v>20</v>
      </c>
      <c r="F2345" s="16">
        <f>VLOOKUP(C2345,[1]master_data!$A$2:$E$495,3,FALSE)</f>
        <v>3500</v>
      </c>
      <c r="G2345" s="16">
        <f>VLOOKUP(C2345,[1]master_data!$A$2:$E$495,4,FALSE)</f>
        <v>10000</v>
      </c>
      <c r="H2345" s="16">
        <f>E2345*F2345</f>
        <v>70000</v>
      </c>
      <c r="I2345" s="16">
        <f>E2345*G2345</f>
        <v>200000</v>
      </c>
      <c r="J2345" s="16">
        <f>I2345-H2345</f>
        <v>130000</v>
      </c>
      <c r="K2345" s="16" t="str">
        <f>VLOOKUP(C2345,[1]master_data!$A$2:$E$495,5,FALSE)</f>
        <v>Ikan</v>
      </c>
      <c r="L2345" s="1"/>
    </row>
    <row r="2346" spans="1:12" ht="12" customHeight="1" x14ac:dyDescent="0.25">
      <c r="A2346" s="15">
        <v>44950</v>
      </c>
      <c r="B2346" s="16">
        <v>22300156</v>
      </c>
      <c r="C2346" s="16" t="s">
        <v>276</v>
      </c>
      <c r="D2346" s="16" t="str">
        <f>VLOOKUP(C2346,[1]master_data!$A$2:$E$495,2,FALSE)</f>
        <v>JARING 30</v>
      </c>
      <c r="E2346" s="16">
        <v>5</v>
      </c>
      <c r="F2346" s="16">
        <f>VLOOKUP(C2346,[1]master_data!$A$2:$E$495,3,FALSE)</f>
        <v>7100</v>
      </c>
      <c r="G2346" s="16">
        <f>VLOOKUP(C2346,[1]master_data!$A$2:$E$495,4,FALSE)</f>
        <v>12000</v>
      </c>
      <c r="H2346" s="16">
        <f>E2346*F2346</f>
        <v>35500</v>
      </c>
      <c r="I2346" s="16">
        <f>E2346*G2346</f>
        <v>60000</v>
      </c>
      <c r="J2346" s="16">
        <f>I2346-H2346</f>
        <v>24500</v>
      </c>
      <c r="K2346" s="16" t="str">
        <f>VLOOKUP(C2346,[1]master_data!$A$2:$E$495,5,FALSE)</f>
        <v>Aksesoris</v>
      </c>
      <c r="L2346" s="1"/>
    </row>
    <row r="2347" spans="1:12" ht="12" customHeight="1" x14ac:dyDescent="0.25">
      <c r="A2347" s="15">
        <v>44950</v>
      </c>
      <c r="B2347" s="16">
        <v>22300157</v>
      </c>
      <c r="C2347" s="16" t="s">
        <v>414</v>
      </c>
      <c r="D2347" s="16" t="str">
        <f>VLOOKUP(C2347,[1]master_data!$A$2:$E$495,2,FALSE)</f>
        <v>KOI K</v>
      </c>
      <c r="E2347" s="16">
        <v>20</v>
      </c>
      <c r="F2347" s="16">
        <f>VLOOKUP(C2347,[1]master_data!$A$2:$E$495,3,FALSE)</f>
        <v>2500</v>
      </c>
      <c r="G2347" s="16">
        <f>VLOOKUP(C2347,[1]master_data!$A$2:$E$495,4,FALSE)</f>
        <v>10000</v>
      </c>
      <c r="H2347" s="16">
        <f>E2347*F2347</f>
        <v>50000</v>
      </c>
      <c r="I2347" s="16">
        <f>E2347*G2347</f>
        <v>200000</v>
      </c>
      <c r="J2347" s="16">
        <f>I2347-H2347</f>
        <v>150000</v>
      </c>
      <c r="K2347" s="16" t="str">
        <f>VLOOKUP(C2347,[1]master_data!$A$2:$E$495,5,FALSE)</f>
        <v>Ikan</v>
      </c>
      <c r="L2347" s="1"/>
    </row>
    <row r="2348" spans="1:12" ht="12" customHeight="1" x14ac:dyDescent="0.25">
      <c r="A2348" s="15">
        <v>44950</v>
      </c>
      <c r="B2348" s="16">
        <v>22300158</v>
      </c>
      <c r="C2348" s="16" t="s">
        <v>444</v>
      </c>
      <c r="D2348" s="16" t="str">
        <f>VLOOKUP(C2348,[1]master_data!$A$2:$E$495,2,FALSE)</f>
        <v>REDFIN HITAM</v>
      </c>
      <c r="E2348" s="16">
        <v>18</v>
      </c>
      <c r="F2348" s="16">
        <f>VLOOKUP(C2348,[1]master_data!$A$2:$E$495,3,FALSE)</f>
        <v>1500</v>
      </c>
      <c r="G2348" s="16">
        <f>VLOOKUP(C2348,[1]master_data!$A$2:$E$495,4,FALSE)</f>
        <v>4000</v>
      </c>
      <c r="H2348" s="16">
        <f>E2348*F2348</f>
        <v>27000</v>
      </c>
      <c r="I2348" s="16">
        <f>E2348*G2348</f>
        <v>72000</v>
      </c>
      <c r="J2348" s="16">
        <f>I2348-H2348</f>
        <v>45000</v>
      </c>
      <c r="K2348" s="16" t="str">
        <f>VLOOKUP(C2348,[1]master_data!$A$2:$E$495,5,FALSE)</f>
        <v>Ikan</v>
      </c>
      <c r="L2348" s="1"/>
    </row>
    <row r="2349" spans="1:12" ht="12" customHeight="1" x14ac:dyDescent="0.25">
      <c r="A2349" s="15">
        <v>44950</v>
      </c>
      <c r="B2349" s="16">
        <v>22300159</v>
      </c>
      <c r="C2349" s="16" t="s">
        <v>439</v>
      </c>
      <c r="D2349" s="16" t="str">
        <f>VLOOKUP(C2349,[1]master_data!$A$2:$E$495,2,FALSE)</f>
        <v>PEMBERSIH KACA BIASA</v>
      </c>
      <c r="E2349" s="16">
        <v>1</v>
      </c>
      <c r="F2349" s="16">
        <f>VLOOKUP(C2349,[1]master_data!$A$2:$E$495,3,FALSE)</f>
        <v>2000</v>
      </c>
      <c r="G2349" s="16">
        <f>VLOOKUP(C2349,[1]master_data!$A$2:$E$495,4,FALSE)</f>
        <v>5000</v>
      </c>
      <c r="H2349" s="16">
        <f>E2349*F2349</f>
        <v>2000</v>
      </c>
      <c r="I2349" s="16">
        <f>E2349*G2349</f>
        <v>5000</v>
      </c>
      <c r="J2349" s="16">
        <f>I2349-H2349</f>
        <v>3000</v>
      </c>
      <c r="K2349" s="16" t="str">
        <f>VLOOKUP(C2349,[1]master_data!$A$2:$E$495,5,FALSE)</f>
        <v>Ikan</v>
      </c>
      <c r="L2349" s="1"/>
    </row>
    <row r="2350" spans="1:12" ht="12" customHeight="1" x14ac:dyDescent="0.25">
      <c r="A2350" s="15">
        <v>44949</v>
      </c>
      <c r="B2350" s="16">
        <v>22300151</v>
      </c>
      <c r="C2350" s="16" t="s">
        <v>65</v>
      </c>
      <c r="D2350" s="16" t="str">
        <f>VLOOKUP(C2350,[1]master_data!$A$2:$E$495,2,FALSE)</f>
        <v>BOX KOSONG JUMBO</v>
      </c>
      <c r="E2350" s="16">
        <v>10</v>
      </c>
      <c r="F2350" s="16">
        <f>VLOOKUP(C2350,[1]master_data!$A$2:$E$495,3,FALSE)</f>
        <v>25000</v>
      </c>
      <c r="G2350" s="16">
        <f>VLOOKUP(C2350,[1]master_data!$A$2:$E$495,4,FALSE)</f>
        <v>45000</v>
      </c>
      <c r="H2350" s="16">
        <f>E2350*F2350</f>
        <v>250000</v>
      </c>
      <c r="I2350" s="16">
        <f>E2350*G2350</f>
        <v>450000</v>
      </c>
      <c r="J2350" s="16">
        <f>I2350-H2350</f>
        <v>200000</v>
      </c>
      <c r="K2350" s="16" t="str">
        <f>VLOOKUP(C2350,[1]master_data!$A$2:$E$495,5,FALSE)</f>
        <v>Aksesoris</v>
      </c>
      <c r="L2350" s="1"/>
    </row>
    <row r="2351" spans="1:12" ht="12" customHeight="1" x14ac:dyDescent="0.25">
      <c r="A2351" s="15">
        <v>44949</v>
      </c>
      <c r="B2351" s="16">
        <v>22300152</v>
      </c>
      <c r="C2351" s="16" t="s">
        <v>46</v>
      </c>
      <c r="D2351" s="16" t="str">
        <f>VLOOKUP(C2351,[1]master_data!$A$2:$E$495,2,FALSE)</f>
        <v>MESIN YAMANO MP 44</v>
      </c>
      <c r="E2351" s="16">
        <v>2</v>
      </c>
      <c r="F2351" s="16">
        <f>VLOOKUP(C2351,[1]master_data!$A$2:$E$495,3,FALSE)</f>
        <v>40000</v>
      </c>
      <c r="G2351" s="16">
        <f>VLOOKUP(C2351,[1]master_data!$A$2:$E$495,4,FALSE)</f>
        <v>60000</v>
      </c>
      <c r="H2351" s="16">
        <f>E2351*F2351</f>
        <v>80000</v>
      </c>
      <c r="I2351" s="16">
        <f>E2351*G2351</f>
        <v>120000</v>
      </c>
      <c r="J2351" s="16">
        <f>I2351-H2351</f>
        <v>40000</v>
      </c>
      <c r="K2351" s="16" t="str">
        <f>VLOOKUP(C2351,[1]master_data!$A$2:$E$495,5,FALSE)</f>
        <v>Aksesoris</v>
      </c>
      <c r="L2351" s="1"/>
    </row>
    <row r="2352" spans="1:12" ht="12" customHeight="1" x14ac:dyDescent="0.25">
      <c r="A2352" s="15">
        <v>44949</v>
      </c>
      <c r="B2352" s="16">
        <v>22300153</v>
      </c>
      <c r="C2352" s="16" t="s">
        <v>403</v>
      </c>
      <c r="D2352" s="16" t="str">
        <f>VLOOKUP(C2352,[1]master_data!$A$2:$E$495,2,FALSE)</f>
        <v>KOMET BOKIM</v>
      </c>
      <c r="E2352" s="16">
        <v>45</v>
      </c>
      <c r="F2352" s="16">
        <f>VLOOKUP(C2352,[1]master_data!$A$2:$E$495,3,FALSE)</f>
        <v>1500</v>
      </c>
      <c r="G2352" s="16">
        <f>VLOOKUP(C2352,[1]master_data!$A$2:$E$495,4,FALSE)</f>
        <v>5000</v>
      </c>
      <c r="H2352" s="16">
        <f>E2352*F2352</f>
        <v>67500</v>
      </c>
      <c r="I2352" s="16">
        <f>E2352*G2352</f>
        <v>225000</v>
      </c>
      <c r="J2352" s="16">
        <f>I2352-H2352</f>
        <v>157500</v>
      </c>
      <c r="K2352" s="16" t="str">
        <f>VLOOKUP(C2352,[1]master_data!$A$2:$E$495,5,FALSE)</f>
        <v>Ikan</v>
      </c>
      <c r="L2352" s="1"/>
    </row>
    <row r="2353" spans="1:12" ht="12" customHeight="1" x14ac:dyDescent="0.25">
      <c r="A2353" s="15">
        <v>44949</v>
      </c>
      <c r="B2353" s="16">
        <v>22300154</v>
      </c>
      <c r="C2353" s="16" t="s">
        <v>358</v>
      </c>
      <c r="D2353" s="16" t="str">
        <f>VLOOKUP(C2353,[1]master_data!$A$2:$E$495,2,FALSE)</f>
        <v>TOPLES 7,2 L</v>
      </c>
      <c r="E2353" s="16">
        <v>1</v>
      </c>
      <c r="F2353" s="16">
        <f>VLOOKUP(C2353,[1]master_data!$A$2:$E$495,3,FALSE)</f>
        <v>45000</v>
      </c>
      <c r="G2353" s="16">
        <f>VLOOKUP(C2353,[1]master_data!$A$2:$E$495,4,FALSE)</f>
        <v>100000</v>
      </c>
      <c r="H2353" s="16">
        <f>E2353*F2353</f>
        <v>45000</v>
      </c>
      <c r="I2353" s="16">
        <f>E2353*G2353</f>
        <v>100000</v>
      </c>
      <c r="J2353" s="16">
        <f>I2353-H2353</f>
        <v>55000</v>
      </c>
      <c r="K2353" s="16" t="str">
        <f>VLOOKUP(C2353,[1]master_data!$A$2:$E$495,5,FALSE)</f>
        <v>Aksesoris</v>
      </c>
      <c r="L2353" s="1"/>
    </row>
    <row r="2354" spans="1:12" ht="12" customHeight="1" x14ac:dyDescent="0.25">
      <c r="A2354" s="15">
        <v>44948</v>
      </c>
      <c r="B2354" s="16">
        <v>22300147</v>
      </c>
      <c r="C2354" s="16" t="s">
        <v>130</v>
      </c>
      <c r="D2354" s="16" t="str">
        <f>VLOOKUP(C2354,[1]master_data!$A$2:$E$495,2,FALSE)</f>
        <v>LED YAMANO S600</v>
      </c>
      <c r="E2354" s="16">
        <v>10</v>
      </c>
      <c r="F2354" s="16">
        <f>VLOOKUP(C2354,[1]master_data!$A$2:$E$495,3,FALSE)</f>
        <v>60000</v>
      </c>
      <c r="G2354" s="16">
        <f>VLOOKUP(C2354,[1]master_data!$A$2:$E$495,4,FALSE)</f>
        <v>85000</v>
      </c>
      <c r="H2354" s="16">
        <f>E2354*F2354</f>
        <v>600000</v>
      </c>
      <c r="I2354" s="16">
        <f>E2354*G2354</f>
        <v>850000</v>
      </c>
      <c r="J2354" s="16">
        <f>I2354-H2354</f>
        <v>250000</v>
      </c>
      <c r="K2354" s="16" t="str">
        <f>VLOOKUP(C2354,[1]master_data!$A$2:$E$495,5,FALSE)</f>
        <v>Aksesoris</v>
      </c>
      <c r="L2354" s="1"/>
    </row>
    <row r="2355" spans="1:12" ht="12" customHeight="1" x14ac:dyDescent="0.25">
      <c r="A2355" s="15">
        <v>44948</v>
      </c>
      <c r="B2355" s="16">
        <v>22300148</v>
      </c>
      <c r="C2355" s="16" t="s">
        <v>228</v>
      </c>
      <c r="D2355" s="16" t="str">
        <f>VLOOKUP(C2355,[1]master_data!$A$2:$E$495,2,FALSE)</f>
        <v>CACING KERING</v>
      </c>
      <c r="E2355" s="16">
        <v>10</v>
      </c>
      <c r="F2355" s="16">
        <f>VLOOKUP(C2355,[1]master_data!$A$2:$E$495,3,FALSE)</f>
        <v>5000</v>
      </c>
      <c r="G2355" s="16">
        <f>VLOOKUP(C2355,[1]master_data!$A$2:$E$495,4,FALSE)</f>
        <v>8000</v>
      </c>
      <c r="H2355" s="16">
        <f>E2355*F2355</f>
        <v>50000</v>
      </c>
      <c r="I2355" s="16">
        <f>E2355*G2355</f>
        <v>80000</v>
      </c>
      <c r="J2355" s="16">
        <f>I2355-H2355</f>
        <v>30000</v>
      </c>
      <c r="K2355" s="16" t="str">
        <f>VLOOKUP(C2355,[1]master_data!$A$2:$E$495,5,FALSE)</f>
        <v>Aksesoris</v>
      </c>
      <c r="L2355" s="1"/>
    </row>
    <row r="2356" spans="1:12" ht="12" customHeight="1" x14ac:dyDescent="0.25">
      <c r="A2356" s="15">
        <v>44948</v>
      </c>
      <c r="B2356" s="16">
        <v>22300149</v>
      </c>
      <c r="C2356" s="16" t="s">
        <v>336</v>
      </c>
      <c r="D2356" s="16" t="str">
        <f>VLOOKUP(C2356,[1]master_data!$A$2:$E$495,2,FALSE)</f>
        <v>KARUNG JALA M</v>
      </c>
      <c r="E2356" s="16">
        <v>11</v>
      </c>
      <c r="F2356" s="16">
        <f>VLOOKUP(C2356,[1]master_data!$A$2:$E$495,3,FALSE)</f>
        <v>4000</v>
      </c>
      <c r="G2356" s="16">
        <f>VLOOKUP(C2356,[1]master_data!$A$2:$E$495,4,FALSE)</f>
        <v>10000</v>
      </c>
      <c r="H2356" s="16">
        <f>E2356*F2356</f>
        <v>44000</v>
      </c>
      <c r="I2356" s="16">
        <f>E2356*G2356</f>
        <v>110000</v>
      </c>
      <c r="J2356" s="16">
        <f>I2356-H2356</f>
        <v>66000</v>
      </c>
      <c r="K2356" s="16" t="str">
        <f>VLOOKUP(C2356,[1]master_data!$A$2:$E$495,5,FALSE)</f>
        <v>Aksesoris</v>
      </c>
      <c r="L2356" s="1"/>
    </row>
    <row r="2357" spans="1:12" ht="12" customHeight="1" x14ac:dyDescent="0.25">
      <c r="A2357" s="15">
        <v>44948</v>
      </c>
      <c r="B2357" s="16">
        <v>22300150</v>
      </c>
      <c r="C2357" s="16" t="s">
        <v>431</v>
      </c>
      <c r="D2357" s="16" t="str">
        <f>VLOOKUP(C2357,[1]master_data!$A$2:$E$495,2,FALSE)</f>
        <v>MARU B</v>
      </c>
      <c r="E2357" s="16">
        <v>2</v>
      </c>
      <c r="F2357" s="16">
        <f>VLOOKUP(C2357,[1]master_data!$A$2:$E$495,3,FALSE)</f>
        <v>90000</v>
      </c>
      <c r="G2357" s="16">
        <f>VLOOKUP(C2357,[1]master_data!$A$2:$E$495,4,FALSE)</f>
        <v>150000</v>
      </c>
      <c r="H2357" s="16">
        <f>E2357*F2357</f>
        <v>180000</v>
      </c>
      <c r="I2357" s="16">
        <f>E2357*G2357</f>
        <v>300000</v>
      </c>
      <c r="J2357" s="16">
        <f>I2357-H2357</f>
        <v>120000</v>
      </c>
      <c r="K2357" s="16" t="str">
        <f>VLOOKUP(C2357,[1]master_data!$A$2:$E$495,5,FALSE)</f>
        <v>Ikan</v>
      </c>
      <c r="L2357" s="1"/>
    </row>
    <row r="2358" spans="1:12" ht="12" customHeight="1" x14ac:dyDescent="0.25">
      <c r="A2358" s="15">
        <v>44947</v>
      </c>
      <c r="B2358" s="16">
        <v>22300139</v>
      </c>
      <c r="C2358" s="16" t="s">
        <v>455</v>
      </c>
      <c r="D2358" s="16" t="str">
        <f>VLOOKUP(C2358,[1]master_data!$A$2:$E$495,2,FALSE)</f>
        <v>ZEBRA PINK</v>
      </c>
      <c r="E2358" s="16">
        <v>50</v>
      </c>
      <c r="F2358" s="16">
        <f>VLOOKUP(C2358,[1]master_data!$A$2:$E$495,3,FALSE)</f>
        <v>800</v>
      </c>
      <c r="G2358" s="16">
        <f>VLOOKUP(C2358,[1]master_data!$A$2:$E$495,4,FALSE)</f>
        <v>2000</v>
      </c>
      <c r="H2358" s="16">
        <f>E2358*F2358</f>
        <v>40000</v>
      </c>
      <c r="I2358" s="16">
        <f>E2358*G2358</f>
        <v>100000</v>
      </c>
      <c r="J2358" s="16">
        <f>I2358-H2358</f>
        <v>60000</v>
      </c>
      <c r="K2358" s="16" t="str">
        <f>VLOOKUP(C2358,[1]master_data!$A$2:$E$495,5,FALSE)</f>
        <v>Ikan</v>
      </c>
      <c r="L2358" s="1"/>
    </row>
    <row r="2359" spans="1:12" ht="12" customHeight="1" x14ac:dyDescent="0.25">
      <c r="A2359" s="15">
        <v>44947</v>
      </c>
      <c r="B2359" s="16">
        <v>22300140</v>
      </c>
      <c r="C2359" s="16" t="s">
        <v>421</v>
      </c>
      <c r="D2359" s="16" t="str">
        <f>VLOOKUP(C2359,[1]master_data!$A$2:$E$495,2,FALSE)</f>
        <v>KOI SLAYER K</v>
      </c>
      <c r="E2359" s="16">
        <v>10</v>
      </c>
      <c r="F2359" s="16">
        <f>VLOOKUP(C2359,[1]master_data!$A$2:$E$495,3,FALSE)</f>
        <v>3500</v>
      </c>
      <c r="G2359" s="16">
        <f>VLOOKUP(C2359,[1]master_data!$A$2:$E$495,4,FALSE)</f>
        <v>10000</v>
      </c>
      <c r="H2359" s="16">
        <f>E2359*F2359</f>
        <v>35000</v>
      </c>
      <c r="I2359" s="16">
        <f>E2359*G2359</f>
        <v>100000</v>
      </c>
      <c r="J2359" s="16">
        <f>I2359-H2359</f>
        <v>65000</v>
      </c>
      <c r="K2359" s="16" t="str">
        <f>VLOOKUP(C2359,[1]master_data!$A$2:$E$495,5,FALSE)</f>
        <v>Ikan</v>
      </c>
      <c r="L2359" s="1"/>
    </row>
    <row r="2360" spans="1:12" ht="12" customHeight="1" x14ac:dyDescent="0.25">
      <c r="A2360" s="15">
        <v>44947</v>
      </c>
      <c r="B2360" s="16">
        <v>22300141</v>
      </c>
      <c r="C2360" s="16" t="s">
        <v>454</v>
      </c>
      <c r="D2360" s="16" t="str">
        <f>VLOOKUP(C2360,[1]master_data!$A$2:$E$495,2,FALSE)</f>
        <v>TOMAN</v>
      </c>
      <c r="E2360" s="16">
        <v>2</v>
      </c>
      <c r="F2360" s="16">
        <f>VLOOKUP(C2360,[1]master_data!$A$2:$E$495,3,FALSE)</f>
        <v>10000</v>
      </c>
      <c r="G2360" s="16">
        <f>VLOOKUP(C2360,[1]master_data!$A$2:$E$495,4,FALSE)</f>
        <v>25000</v>
      </c>
      <c r="H2360" s="16">
        <f>E2360*F2360</f>
        <v>20000</v>
      </c>
      <c r="I2360" s="16">
        <f>E2360*G2360</f>
        <v>50000</v>
      </c>
      <c r="J2360" s="16">
        <f>I2360-H2360</f>
        <v>30000</v>
      </c>
      <c r="K2360" s="16" t="str">
        <f>VLOOKUP(C2360,[1]master_data!$A$2:$E$495,5,FALSE)</f>
        <v>Ikan</v>
      </c>
      <c r="L2360" s="1"/>
    </row>
    <row r="2361" spans="1:12" ht="12" customHeight="1" x14ac:dyDescent="0.25">
      <c r="A2361" s="15">
        <v>44947</v>
      </c>
      <c r="B2361" s="16">
        <v>22300142</v>
      </c>
      <c r="C2361" s="16" t="s">
        <v>440</v>
      </c>
      <c r="D2361" s="16" t="str">
        <f>VLOOKUP(C2361,[1]master_data!$A$2:$E$495,2,FALSE)</f>
        <v>PEMBERSIH KACA ALBINO</v>
      </c>
      <c r="E2361" s="16">
        <v>30</v>
      </c>
      <c r="F2361" s="16">
        <f>VLOOKUP(C2361,[1]master_data!$A$2:$E$495,3,FALSE)</f>
        <v>2500</v>
      </c>
      <c r="G2361" s="16">
        <f>VLOOKUP(C2361,[1]master_data!$A$2:$E$495,4,FALSE)</f>
        <v>5000</v>
      </c>
      <c r="H2361" s="16">
        <f>E2361*F2361</f>
        <v>75000</v>
      </c>
      <c r="I2361" s="16">
        <f>E2361*G2361</f>
        <v>150000</v>
      </c>
      <c r="J2361" s="16">
        <f>I2361-H2361</f>
        <v>75000</v>
      </c>
      <c r="K2361" s="16" t="str">
        <f>VLOOKUP(C2361,[1]master_data!$A$2:$E$495,5,FALSE)</f>
        <v>Ikan</v>
      </c>
      <c r="L2361" s="1"/>
    </row>
    <row r="2362" spans="1:12" ht="12" customHeight="1" x14ac:dyDescent="0.25">
      <c r="A2362" s="15">
        <v>44947</v>
      </c>
      <c r="B2362" s="16">
        <v>22300143</v>
      </c>
      <c r="C2362" s="16" t="s">
        <v>301</v>
      </c>
      <c r="D2362" s="16" t="str">
        <f>VLOOKUP(C2362,[1]master_data!$A$2:$E$495,2,FALSE)</f>
        <v>OBAT QUARANTINI MED</v>
      </c>
      <c r="E2362" s="16">
        <v>1</v>
      </c>
      <c r="F2362" s="16">
        <f>VLOOKUP(C2362,[1]master_data!$A$2:$E$495,3,FALSE)</f>
        <v>37000</v>
      </c>
      <c r="G2362" s="16">
        <f>VLOOKUP(C2362,[1]master_data!$A$2:$E$495,4,FALSE)</f>
        <v>60000</v>
      </c>
      <c r="H2362" s="16">
        <f>E2362*F2362</f>
        <v>37000</v>
      </c>
      <c r="I2362" s="16">
        <f>E2362*G2362</f>
        <v>60000</v>
      </c>
      <c r="J2362" s="16">
        <f>I2362-H2362</f>
        <v>23000</v>
      </c>
      <c r="K2362" s="16" t="str">
        <f>VLOOKUP(C2362,[1]master_data!$A$2:$E$495,5,FALSE)</f>
        <v>Aksesoris</v>
      </c>
      <c r="L2362" s="1"/>
    </row>
    <row r="2363" spans="1:12" ht="12" customHeight="1" x14ac:dyDescent="0.25">
      <c r="A2363" s="15">
        <v>44947</v>
      </c>
      <c r="B2363" s="16">
        <v>22300144</v>
      </c>
      <c r="C2363" s="16" t="s">
        <v>449</v>
      </c>
      <c r="D2363" s="16" t="str">
        <f>VLOOKUP(C2363,[1]master_data!$A$2:$E$495,2,FALSE)</f>
        <v>SUMATRA GOLD FISH</v>
      </c>
      <c r="E2363" s="16">
        <v>25</v>
      </c>
      <c r="F2363" s="16">
        <f>VLOOKUP(C2363,[1]master_data!$A$2:$E$495,3,FALSE)</f>
        <v>2500</v>
      </c>
      <c r="G2363" s="16">
        <f>VLOOKUP(C2363,[1]master_data!$A$2:$E$495,4,FALSE)</f>
        <v>4000</v>
      </c>
      <c r="H2363" s="16">
        <f>E2363*F2363</f>
        <v>62500</v>
      </c>
      <c r="I2363" s="16">
        <f>E2363*G2363</f>
        <v>100000</v>
      </c>
      <c r="J2363" s="16">
        <f>I2363-H2363</f>
        <v>37500</v>
      </c>
      <c r="K2363" s="16" t="str">
        <f>VLOOKUP(C2363,[1]master_data!$A$2:$E$495,5,FALSE)</f>
        <v>Ikan</v>
      </c>
      <c r="L2363" s="1"/>
    </row>
    <row r="2364" spans="1:12" ht="12" customHeight="1" x14ac:dyDescent="0.25">
      <c r="A2364" s="15">
        <v>44947</v>
      </c>
      <c r="B2364" s="16">
        <v>22300145</v>
      </c>
      <c r="C2364" s="16" t="s">
        <v>330</v>
      </c>
      <c r="D2364" s="16" t="str">
        <f>VLOOKUP(C2364,[1]master_data!$A$2:$E$495,2,FALSE)</f>
        <v>AIRSTONE D2L3</v>
      </c>
      <c r="E2364" s="16">
        <v>20</v>
      </c>
      <c r="F2364" s="16">
        <f>VLOOKUP(C2364,[1]master_data!$A$2:$E$495,3,FALSE)</f>
        <v>1100</v>
      </c>
      <c r="G2364" s="16">
        <f>VLOOKUP(C2364,[1]master_data!$A$2:$E$495,4,FALSE)</f>
        <v>4000</v>
      </c>
      <c r="H2364" s="16">
        <f>E2364*F2364</f>
        <v>22000</v>
      </c>
      <c r="I2364" s="16">
        <f>E2364*G2364</f>
        <v>80000</v>
      </c>
      <c r="J2364" s="16">
        <f>I2364-H2364</f>
        <v>58000</v>
      </c>
      <c r="K2364" s="16" t="str">
        <f>VLOOKUP(C2364,[1]master_data!$A$2:$E$495,5,FALSE)</f>
        <v>Aksesoris</v>
      </c>
      <c r="L2364" s="1"/>
    </row>
    <row r="2365" spans="1:12" ht="12" customHeight="1" x14ac:dyDescent="0.25">
      <c r="A2365" s="15">
        <v>44947</v>
      </c>
      <c r="B2365" s="16">
        <v>22300146</v>
      </c>
      <c r="C2365" s="16" t="s">
        <v>59</v>
      </c>
      <c r="D2365" s="16" t="str">
        <f>VLOOKUP(C2365,[1]master_data!$A$2:$E$495,2,FALSE)</f>
        <v>MESIN ATMAN 105</v>
      </c>
      <c r="E2365" s="16">
        <v>1</v>
      </c>
      <c r="F2365" s="16">
        <f>VLOOKUP(C2365,[1]master_data!$A$2:$E$495,3,FALSE)</f>
        <v>275000</v>
      </c>
      <c r="G2365" s="16">
        <f>VLOOKUP(C2365,[1]master_data!$A$2:$E$495,4,FALSE)</f>
        <v>350000</v>
      </c>
      <c r="H2365" s="16">
        <f>E2365*F2365</f>
        <v>275000</v>
      </c>
      <c r="I2365" s="16">
        <f>E2365*G2365</f>
        <v>350000</v>
      </c>
      <c r="J2365" s="16">
        <f>I2365-H2365</f>
        <v>75000</v>
      </c>
      <c r="K2365" s="16" t="str">
        <f>VLOOKUP(C2365,[1]master_data!$A$2:$E$495,5,FALSE)</f>
        <v>Aksesoris</v>
      </c>
      <c r="L2365" s="1"/>
    </row>
    <row r="2366" spans="1:12" ht="12" customHeight="1" x14ac:dyDescent="0.25">
      <c r="A2366" s="15">
        <v>44946</v>
      </c>
      <c r="B2366" s="16">
        <v>22300134</v>
      </c>
      <c r="C2366" s="16" t="s">
        <v>403</v>
      </c>
      <c r="D2366" s="16" t="str">
        <f>VLOOKUP(C2366,[1]master_data!$A$2:$E$495,2,FALSE)</f>
        <v>KOMET BOKIM</v>
      </c>
      <c r="E2366" s="16">
        <v>30</v>
      </c>
      <c r="F2366" s="16">
        <f>VLOOKUP(C2366,[1]master_data!$A$2:$E$495,3,FALSE)</f>
        <v>1500</v>
      </c>
      <c r="G2366" s="16">
        <f>VLOOKUP(C2366,[1]master_data!$A$2:$E$495,4,FALSE)</f>
        <v>5000</v>
      </c>
      <c r="H2366" s="16">
        <f>E2366*F2366</f>
        <v>45000</v>
      </c>
      <c r="I2366" s="16">
        <f>E2366*G2366</f>
        <v>150000</v>
      </c>
      <c r="J2366" s="16">
        <f>I2366-H2366</f>
        <v>105000</v>
      </c>
      <c r="K2366" s="16" t="str">
        <f>VLOOKUP(C2366,[1]master_data!$A$2:$E$495,5,FALSE)</f>
        <v>Ikan</v>
      </c>
      <c r="L2366" s="1"/>
    </row>
    <row r="2367" spans="1:12" ht="12" customHeight="1" x14ac:dyDescent="0.25">
      <c r="A2367" s="15">
        <v>44946</v>
      </c>
      <c r="B2367" s="16">
        <v>22300135</v>
      </c>
      <c r="C2367" s="16" t="s">
        <v>312</v>
      </c>
      <c r="D2367" s="16" t="str">
        <f>VLOOKUP(C2367,[1]master_data!$A$2:$E$495,2,FALSE)</f>
        <v>LURUS PIPA</v>
      </c>
      <c r="E2367" s="16">
        <v>20</v>
      </c>
      <c r="F2367" s="16">
        <f>VLOOKUP(C2367,[1]master_data!$A$2:$E$495,3,FALSE)</f>
        <v>800</v>
      </c>
      <c r="G2367" s="16">
        <f>VLOOKUP(C2367,[1]master_data!$A$2:$E$495,4,FALSE)</f>
        <v>2000</v>
      </c>
      <c r="H2367" s="16">
        <f>E2367*F2367</f>
        <v>16000</v>
      </c>
      <c r="I2367" s="16">
        <f>E2367*G2367</f>
        <v>40000</v>
      </c>
      <c r="J2367" s="16">
        <f>I2367-H2367</f>
        <v>24000</v>
      </c>
      <c r="K2367" s="16" t="str">
        <f>VLOOKUP(C2367,[1]master_data!$A$2:$E$495,5,FALSE)</f>
        <v>Aksesoris</v>
      </c>
      <c r="L2367" s="1"/>
    </row>
    <row r="2368" spans="1:12" ht="12" customHeight="1" x14ac:dyDescent="0.25">
      <c r="A2368" s="15">
        <v>44946</v>
      </c>
      <c r="B2368" s="16">
        <v>22300136</v>
      </c>
      <c r="C2368" s="16" t="s">
        <v>443</v>
      </c>
      <c r="D2368" s="16" t="str">
        <f>VLOOKUP(C2368,[1]master_data!$A$2:$E$495,2,FALSE)</f>
        <v>PESO</v>
      </c>
      <c r="E2368" s="16">
        <v>10</v>
      </c>
      <c r="F2368" s="16">
        <f>VLOOKUP(C2368,[1]master_data!$A$2:$E$495,3,FALSE)</f>
        <v>19000</v>
      </c>
      <c r="G2368" s="16">
        <f>VLOOKUP(C2368,[1]master_data!$A$2:$E$495,4,FALSE)</f>
        <v>40000</v>
      </c>
      <c r="H2368" s="16">
        <f>E2368*F2368</f>
        <v>190000</v>
      </c>
      <c r="I2368" s="16">
        <f>E2368*G2368</f>
        <v>400000</v>
      </c>
      <c r="J2368" s="16">
        <f>I2368-H2368</f>
        <v>210000</v>
      </c>
      <c r="K2368" s="16" t="str">
        <f>VLOOKUP(C2368,[1]master_data!$A$2:$E$495,5,FALSE)</f>
        <v>Ikan</v>
      </c>
      <c r="L2368" s="1"/>
    </row>
    <row r="2369" spans="1:12" ht="12" customHeight="1" x14ac:dyDescent="0.25">
      <c r="A2369" s="15">
        <v>44946</v>
      </c>
      <c r="B2369" s="16">
        <v>22300137</v>
      </c>
      <c r="C2369" s="16" t="s">
        <v>396</v>
      </c>
      <c r="D2369" s="16" t="str">
        <f>VLOOKUP(C2369,[1]master_data!$A$2:$E$495,2,FALSE)</f>
        <v>BIPOLAR</v>
      </c>
      <c r="E2369" s="16">
        <v>30</v>
      </c>
      <c r="F2369" s="16">
        <f>VLOOKUP(C2369,[1]master_data!$A$2:$E$495,3,FALSE)</f>
        <v>1000</v>
      </c>
      <c r="G2369" s="16">
        <f>VLOOKUP(C2369,[1]master_data!$A$2:$E$495,4,FALSE)</f>
        <v>2500</v>
      </c>
      <c r="H2369" s="16">
        <f>E2369*F2369</f>
        <v>30000</v>
      </c>
      <c r="I2369" s="16">
        <f>E2369*G2369</f>
        <v>75000</v>
      </c>
      <c r="J2369" s="16">
        <f>I2369-H2369</f>
        <v>45000</v>
      </c>
      <c r="K2369" s="16" t="str">
        <f>VLOOKUP(C2369,[1]master_data!$A$2:$E$495,5,FALSE)</f>
        <v>Ikan</v>
      </c>
      <c r="L2369" s="1"/>
    </row>
    <row r="2370" spans="1:12" ht="12" customHeight="1" x14ac:dyDescent="0.25">
      <c r="A2370" s="15">
        <v>44946</v>
      </c>
      <c r="B2370" s="16">
        <v>22300138</v>
      </c>
      <c r="C2370" s="16" t="s">
        <v>413</v>
      </c>
      <c r="D2370" s="16" t="str">
        <f>VLOOKUP(C2370,[1]master_data!$A$2:$E$495,2,FALSE)</f>
        <v>KOKI B</v>
      </c>
      <c r="E2370" s="16">
        <v>1</v>
      </c>
      <c r="F2370" s="16">
        <f>VLOOKUP(C2370,[1]master_data!$A$2:$E$495,3,FALSE)</f>
        <v>20000</v>
      </c>
      <c r="G2370" s="16">
        <f>VLOOKUP(C2370,[1]master_data!$A$2:$E$495,4,FALSE)</f>
        <v>50000</v>
      </c>
      <c r="H2370" s="16">
        <f>E2370*F2370</f>
        <v>20000</v>
      </c>
      <c r="I2370" s="16">
        <f>E2370*G2370</f>
        <v>50000</v>
      </c>
      <c r="J2370" s="16">
        <f>I2370-H2370</f>
        <v>30000</v>
      </c>
      <c r="K2370" s="16" t="str">
        <f>VLOOKUP(C2370,[1]master_data!$A$2:$E$495,5,FALSE)</f>
        <v>Ikan</v>
      </c>
      <c r="L2370" s="1"/>
    </row>
    <row r="2371" spans="1:12" ht="12" customHeight="1" x14ac:dyDescent="0.25">
      <c r="A2371" s="15">
        <v>44945</v>
      </c>
      <c r="B2371" s="16">
        <v>22300128</v>
      </c>
      <c r="C2371" s="16" t="s">
        <v>434</v>
      </c>
      <c r="D2371" s="16" t="str">
        <f>VLOOKUP(C2371,[1]master_data!$A$2:$E$495,2,FALSE)</f>
        <v>NIASA</v>
      </c>
      <c r="E2371" s="16">
        <v>20</v>
      </c>
      <c r="F2371" s="16">
        <f>VLOOKUP(C2371,[1]master_data!$A$2:$E$495,3,FALSE)</f>
        <v>900</v>
      </c>
      <c r="G2371" s="16">
        <f>VLOOKUP(C2371,[1]master_data!$A$2:$E$495,4,FALSE)</f>
        <v>2000</v>
      </c>
      <c r="H2371" s="16">
        <f>E2371*F2371</f>
        <v>18000</v>
      </c>
      <c r="I2371" s="16">
        <f>E2371*G2371</f>
        <v>40000</v>
      </c>
      <c r="J2371" s="16">
        <f>I2371-H2371</f>
        <v>22000</v>
      </c>
      <c r="K2371" s="16" t="str">
        <f>VLOOKUP(C2371,[1]master_data!$A$2:$E$495,5,FALSE)</f>
        <v>Ikan</v>
      </c>
      <c r="L2371" s="1"/>
    </row>
    <row r="2372" spans="1:12" ht="12" customHeight="1" x14ac:dyDescent="0.25">
      <c r="A2372" s="15">
        <v>44945</v>
      </c>
      <c r="B2372" s="16">
        <v>22300129</v>
      </c>
      <c r="C2372" s="16" t="s">
        <v>412</v>
      </c>
      <c r="D2372" s="16" t="str">
        <f>VLOOKUP(C2372,[1]master_data!$A$2:$E$495,2,FALSE)</f>
        <v>KOKI T</v>
      </c>
      <c r="E2372" s="16">
        <v>1</v>
      </c>
      <c r="F2372" s="16">
        <f>VLOOKUP(C2372,[1]master_data!$A$2:$E$495,3,FALSE)</f>
        <v>8000</v>
      </c>
      <c r="G2372" s="16">
        <f>VLOOKUP(C2372,[1]master_data!$A$2:$E$495,4,FALSE)</f>
        <v>15000</v>
      </c>
      <c r="H2372" s="16">
        <f>E2372*F2372</f>
        <v>8000</v>
      </c>
      <c r="I2372" s="16">
        <f>E2372*G2372</f>
        <v>15000</v>
      </c>
      <c r="J2372" s="16">
        <f>I2372-H2372</f>
        <v>7000</v>
      </c>
      <c r="K2372" s="16" t="str">
        <f>VLOOKUP(C2372,[1]master_data!$A$2:$E$495,5,FALSE)</f>
        <v>Ikan</v>
      </c>
      <c r="L2372" s="1"/>
    </row>
    <row r="2373" spans="1:12" ht="12" customHeight="1" x14ac:dyDescent="0.25">
      <c r="A2373" s="15">
        <v>44945</v>
      </c>
      <c r="B2373" s="16">
        <v>22300130</v>
      </c>
      <c r="C2373" s="16" t="s">
        <v>181</v>
      </c>
      <c r="D2373" s="16" t="str">
        <f>VLOOKUP(C2373,[1]master_data!$A$2:$E$495,2,FALSE)</f>
        <v>LED ARMADA 3 MODE M50</v>
      </c>
      <c r="E2373" s="16">
        <v>10</v>
      </c>
      <c r="F2373" s="16">
        <f>VLOOKUP(C2373,[1]master_data!$A$2:$E$495,3,FALSE)</f>
        <v>26000</v>
      </c>
      <c r="G2373" s="16">
        <f>VLOOKUP(C2373,[1]master_data!$A$2:$E$495,4,FALSE)</f>
        <v>50000</v>
      </c>
      <c r="H2373" s="16">
        <f>E2373*F2373</f>
        <v>260000</v>
      </c>
      <c r="I2373" s="16">
        <f>E2373*G2373</f>
        <v>500000</v>
      </c>
      <c r="J2373" s="16">
        <f>I2373-H2373</f>
        <v>240000</v>
      </c>
      <c r="K2373" s="16" t="str">
        <f>VLOOKUP(C2373,[1]master_data!$A$2:$E$495,5,FALSE)</f>
        <v>Aksesoris</v>
      </c>
      <c r="L2373" s="1"/>
    </row>
    <row r="2374" spans="1:12" ht="12" customHeight="1" x14ac:dyDescent="0.25">
      <c r="A2374" s="15">
        <v>44945</v>
      </c>
      <c r="B2374" s="16">
        <v>22300131</v>
      </c>
      <c r="C2374" s="16" t="s">
        <v>344</v>
      </c>
      <c r="D2374" s="16" t="str">
        <f>VLOOKUP(C2374,[1]master_data!$A$2:$E$495,2,FALSE)</f>
        <v>AKUARIUM NIKITA S</v>
      </c>
      <c r="E2374" s="16">
        <v>2</v>
      </c>
      <c r="F2374" s="16">
        <f>VLOOKUP(C2374,[1]master_data!$A$2:$E$495,3,FALSE)</f>
        <v>60000</v>
      </c>
      <c r="G2374" s="16">
        <f>VLOOKUP(C2374,[1]master_data!$A$2:$E$495,4,FALSE)</f>
        <v>90000</v>
      </c>
      <c r="H2374" s="16">
        <f>E2374*F2374</f>
        <v>120000</v>
      </c>
      <c r="I2374" s="16">
        <f>E2374*G2374</f>
        <v>180000</v>
      </c>
      <c r="J2374" s="16">
        <f>I2374-H2374</f>
        <v>60000</v>
      </c>
      <c r="K2374" s="16" t="str">
        <f>VLOOKUP(C2374,[1]master_data!$A$2:$E$495,5,FALSE)</f>
        <v>Aksesoris</v>
      </c>
      <c r="L2374" s="1"/>
    </row>
    <row r="2375" spans="1:12" ht="12" customHeight="1" x14ac:dyDescent="0.25">
      <c r="A2375" s="15">
        <v>44945</v>
      </c>
      <c r="B2375" s="16">
        <v>22300132</v>
      </c>
      <c r="C2375" s="16" t="s">
        <v>453</v>
      </c>
      <c r="D2375" s="16" t="str">
        <f>VLOOKUP(C2375,[1]master_data!$A$2:$E$495,2,FALSE)</f>
        <v>TETRA</v>
      </c>
      <c r="E2375" s="16">
        <v>17</v>
      </c>
      <c r="F2375" s="16">
        <f>VLOOKUP(C2375,[1]master_data!$A$2:$E$495,3,FALSE)</f>
        <v>800</v>
      </c>
      <c r="G2375" s="16">
        <f>VLOOKUP(C2375,[1]master_data!$A$2:$E$495,4,FALSE)</f>
        <v>2000</v>
      </c>
      <c r="H2375" s="16">
        <f>E2375*F2375</f>
        <v>13600</v>
      </c>
      <c r="I2375" s="16">
        <f>E2375*G2375</f>
        <v>34000</v>
      </c>
      <c r="J2375" s="16">
        <f>I2375-H2375</f>
        <v>20400</v>
      </c>
      <c r="K2375" s="16" t="str">
        <f>VLOOKUP(C2375,[1]master_data!$A$2:$E$495,5,FALSE)</f>
        <v>Ikan</v>
      </c>
      <c r="L2375" s="1"/>
    </row>
    <row r="2376" spans="1:12" ht="12" customHeight="1" x14ac:dyDescent="0.25">
      <c r="A2376" s="15">
        <v>44945</v>
      </c>
      <c r="B2376" s="16">
        <v>22300133</v>
      </c>
      <c r="C2376" s="16" t="s">
        <v>256</v>
      </c>
      <c r="D2376" s="16" t="str">
        <f>VLOOKUP(C2376,[1]master_data!$A$2:$E$495,2,FALSE)</f>
        <v>BIOBOL</v>
      </c>
      <c r="E2376" s="16">
        <v>1</v>
      </c>
      <c r="F2376" s="16">
        <f>VLOOKUP(C2376,[1]master_data!$A$2:$E$495,3,FALSE)</f>
        <v>4000</v>
      </c>
      <c r="G2376" s="16">
        <f>VLOOKUP(C2376,[1]master_data!$A$2:$E$495,4,FALSE)</f>
        <v>7500</v>
      </c>
      <c r="H2376" s="16">
        <f>E2376*F2376</f>
        <v>4000</v>
      </c>
      <c r="I2376" s="16">
        <f>E2376*G2376</f>
        <v>7500</v>
      </c>
      <c r="J2376" s="16">
        <f>I2376-H2376</f>
        <v>3500</v>
      </c>
      <c r="K2376" s="16" t="str">
        <f>VLOOKUP(C2376,[1]master_data!$A$2:$E$495,5,FALSE)</f>
        <v>Aksesoris</v>
      </c>
      <c r="L2376" s="1"/>
    </row>
    <row r="2377" spans="1:12" ht="12" customHeight="1" x14ac:dyDescent="0.25">
      <c r="A2377" s="15">
        <v>44944</v>
      </c>
      <c r="B2377" s="16">
        <v>22300121</v>
      </c>
      <c r="C2377" s="16" t="s">
        <v>440</v>
      </c>
      <c r="D2377" s="16" t="str">
        <f>VLOOKUP(C2377,[1]master_data!$A$2:$E$495,2,FALSE)</f>
        <v>PEMBERSIH KACA ALBINO</v>
      </c>
      <c r="E2377" s="16">
        <v>50</v>
      </c>
      <c r="F2377" s="16">
        <f>VLOOKUP(C2377,[1]master_data!$A$2:$E$495,3,FALSE)</f>
        <v>2500</v>
      </c>
      <c r="G2377" s="16">
        <f>VLOOKUP(C2377,[1]master_data!$A$2:$E$495,4,FALSE)</f>
        <v>5000</v>
      </c>
      <c r="H2377" s="16">
        <f>E2377*F2377</f>
        <v>125000</v>
      </c>
      <c r="I2377" s="16">
        <f>E2377*G2377</f>
        <v>250000</v>
      </c>
      <c r="J2377" s="16">
        <f>I2377-H2377</f>
        <v>125000</v>
      </c>
      <c r="K2377" s="16" t="str">
        <f>VLOOKUP(C2377,[1]master_data!$A$2:$E$495,5,FALSE)</f>
        <v>Ikan</v>
      </c>
      <c r="L2377" s="1"/>
    </row>
    <row r="2378" spans="1:12" ht="12" customHeight="1" x14ac:dyDescent="0.25">
      <c r="A2378" s="15">
        <v>44944</v>
      </c>
      <c r="B2378" s="16">
        <v>22300122</v>
      </c>
      <c r="C2378" s="16" t="s">
        <v>410</v>
      </c>
      <c r="D2378" s="16" t="str">
        <f>VLOOKUP(C2378,[1]master_data!$A$2:$E$495,2,FALSE)</f>
        <v>HIU TAWAR</v>
      </c>
      <c r="E2378" s="16">
        <v>15</v>
      </c>
      <c r="F2378" s="16">
        <f>VLOOKUP(C2378,[1]master_data!$A$2:$E$495,3,FALSE)</f>
        <v>600</v>
      </c>
      <c r="G2378" s="16">
        <f>VLOOKUP(C2378,[1]master_data!$A$2:$E$495,4,FALSE)</f>
        <v>2000</v>
      </c>
      <c r="H2378" s="16">
        <f>E2378*F2378</f>
        <v>9000</v>
      </c>
      <c r="I2378" s="16">
        <f>E2378*G2378</f>
        <v>30000</v>
      </c>
      <c r="J2378" s="16">
        <f>I2378-H2378</f>
        <v>21000</v>
      </c>
      <c r="K2378" s="16" t="str">
        <f>VLOOKUP(C2378,[1]master_data!$A$2:$E$495,5,FALSE)</f>
        <v>Ikan</v>
      </c>
      <c r="L2378" s="1"/>
    </row>
    <row r="2379" spans="1:12" ht="12" customHeight="1" x14ac:dyDescent="0.25">
      <c r="A2379" s="15">
        <v>44944</v>
      </c>
      <c r="B2379" s="16">
        <v>22300123</v>
      </c>
      <c r="C2379" s="16" t="s">
        <v>402</v>
      </c>
      <c r="D2379" s="16" t="str">
        <f>VLOOKUP(C2379,[1]master_data!$A$2:$E$495,2,FALSE)</f>
        <v>CHANNA BLUE PULCHRA B</v>
      </c>
      <c r="E2379" s="16">
        <v>2</v>
      </c>
      <c r="F2379" s="16">
        <f>VLOOKUP(C2379,[1]master_data!$A$2:$E$495,3,FALSE)</f>
        <v>125000</v>
      </c>
      <c r="G2379" s="16">
        <f>VLOOKUP(C2379,[1]master_data!$A$2:$E$495,4,FALSE)</f>
        <v>200000</v>
      </c>
      <c r="H2379" s="16">
        <f>E2379*F2379</f>
        <v>250000</v>
      </c>
      <c r="I2379" s="16">
        <f>E2379*G2379</f>
        <v>400000</v>
      </c>
      <c r="J2379" s="16">
        <f>I2379-H2379</f>
        <v>150000</v>
      </c>
      <c r="K2379" s="16" t="str">
        <f>VLOOKUP(C2379,[1]master_data!$A$2:$E$495,5,FALSE)</f>
        <v>Ikan</v>
      </c>
      <c r="L2379" s="1"/>
    </row>
    <row r="2380" spans="1:12" ht="12" customHeight="1" x14ac:dyDescent="0.25">
      <c r="A2380" s="15">
        <v>44944</v>
      </c>
      <c r="B2380" s="16">
        <v>22300124</v>
      </c>
      <c r="C2380" s="16" t="s">
        <v>117</v>
      </c>
      <c r="D2380" s="16" t="str">
        <f>VLOOKUP(C2380,[1]master_data!$A$2:$E$495,2,FALSE)</f>
        <v>LED VOSSO 20 CM</v>
      </c>
      <c r="E2380" s="16">
        <v>10</v>
      </c>
      <c r="F2380" s="16">
        <f>VLOOKUP(C2380,[1]master_data!$A$2:$E$495,3,FALSE)</f>
        <v>20000</v>
      </c>
      <c r="G2380" s="16">
        <f>VLOOKUP(C2380,[1]master_data!$A$2:$E$495,4,FALSE)</f>
        <v>30000</v>
      </c>
      <c r="H2380" s="16">
        <f>E2380*F2380</f>
        <v>200000</v>
      </c>
      <c r="I2380" s="16">
        <f>E2380*G2380</f>
        <v>300000</v>
      </c>
      <c r="J2380" s="16">
        <f>I2380-H2380</f>
        <v>100000</v>
      </c>
      <c r="K2380" s="16" t="str">
        <f>VLOOKUP(C2380,[1]master_data!$A$2:$E$495,5,FALSE)</f>
        <v>Aksesoris</v>
      </c>
      <c r="L2380" s="1"/>
    </row>
    <row r="2381" spans="1:12" ht="12" customHeight="1" x14ac:dyDescent="0.25">
      <c r="A2381" s="15">
        <v>44944</v>
      </c>
      <c r="B2381" s="16">
        <v>22300125</v>
      </c>
      <c r="C2381" s="16" t="s">
        <v>399</v>
      </c>
      <c r="D2381" s="16" t="str">
        <f>VLOOKUP(C2381,[1]master_data!$A$2:$E$495,2,FALSE)</f>
        <v>BALA BALA B</v>
      </c>
      <c r="E2381" s="16">
        <v>1</v>
      </c>
      <c r="F2381" s="16">
        <f>VLOOKUP(C2381,[1]master_data!$A$2:$E$495,3,FALSE)</f>
        <v>7000</v>
      </c>
      <c r="G2381" s="16">
        <f>VLOOKUP(C2381,[1]master_data!$A$2:$E$495,4,FALSE)</f>
        <v>15000</v>
      </c>
      <c r="H2381" s="16">
        <f>E2381*F2381</f>
        <v>7000</v>
      </c>
      <c r="I2381" s="16">
        <f>E2381*G2381</f>
        <v>15000</v>
      </c>
      <c r="J2381" s="16">
        <f>I2381-H2381</f>
        <v>8000</v>
      </c>
      <c r="K2381" s="16" t="str">
        <f>VLOOKUP(C2381,[1]master_data!$A$2:$E$495,5,FALSE)</f>
        <v>Ikan</v>
      </c>
      <c r="L2381" s="1"/>
    </row>
    <row r="2382" spans="1:12" ht="12" customHeight="1" x14ac:dyDescent="0.25">
      <c r="A2382" s="15">
        <v>44944</v>
      </c>
      <c r="B2382" s="16">
        <v>22300126</v>
      </c>
      <c r="C2382" s="16" t="s">
        <v>21</v>
      </c>
      <c r="D2382" s="16" t="str">
        <f>VLOOKUP(C2382,[1]master_data!$A$2:$E$495,2,FALSE)</f>
        <v>MESIN ROSTON 1600</v>
      </c>
      <c r="E2382" s="16">
        <v>5</v>
      </c>
      <c r="F2382" s="16">
        <f>VLOOKUP(C2382,[1]master_data!$A$2:$E$495,3,FALSE)</f>
        <v>40000</v>
      </c>
      <c r="G2382" s="16">
        <f>VLOOKUP(C2382,[1]master_data!$A$2:$E$495,4,FALSE)</f>
        <v>55000</v>
      </c>
      <c r="H2382" s="16">
        <f>E2382*F2382</f>
        <v>200000</v>
      </c>
      <c r="I2382" s="16">
        <f>E2382*G2382</f>
        <v>275000</v>
      </c>
      <c r="J2382" s="16">
        <f>I2382-H2382</f>
        <v>75000</v>
      </c>
      <c r="K2382" s="16" t="str">
        <f>VLOOKUP(C2382,[1]master_data!$A$2:$E$495,5,FALSE)</f>
        <v>Aksesoris</v>
      </c>
      <c r="L2382" s="1"/>
    </row>
    <row r="2383" spans="1:12" ht="12" customHeight="1" x14ac:dyDescent="0.25">
      <c r="A2383" s="15">
        <v>44944</v>
      </c>
      <c r="B2383" s="16">
        <v>22300127</v>
      </c>
      <c r="C2383" s="16" t="s">
        <v>388</v>
      </c>
      <c r="D2383" s="16" t="str">
        <f>VLOOKUP(C2383,[1]master_data!$A$2:$E$495,2,FALSE)</f>
        <v>CHANNA ASIATICA K</v>
      </c>
      <c r="E2383" s="16">
        <v>1</v>
      </c>
      <c r="F2383" s="16">
        <f>VLOOKUP(C2383,[1]master_data!$A$2:$E$495,3,FALSE)</f>
        <v>10000</v>
      </c>
      <c r="G2383" s="16">
        <f>VLOOKUP(C2383,[1]master_data!$A$2:$E$495,4,FALSE)</f>
        <v>40000</v>
      </c>
      <c r="H2383" s="16">
        <f>E2383*F2383</f>
        <v>10000</v>
      </c>
      <c r="I2383" s="16">
        <f>E2383*G2383</f>
        <v>40000</v>
      </c>
      <c r="J2383" s="16">
        <f>I2383-H2383</f>
        <v>30000</v>
      </c>
      <c r="K2383" s="16" t="str">
        <f>VLOOKUP(C2383,[1]master_data!$A$2:$E$495,5,FALSE)</f>
        <v>Ikan</v>
      </c>
      <c r="L2383" s="1"/>
    </row>
    <row r="2384" spans="1:12" ht="12" customHeight="1" x14ac:dyDescent="0.25">
      <c r="A2384" s="15">
        <v>44943</v>
      </c>
      <c r="B2384" s="16">
        <v>22300115</v>
      </c>
      <c r="C2384" s="16" t="s">
        <v>421</v>
      </c>
      <c r="D2384" s="16" t="str">
        <f>VLOOKUP(C2384,[1]master_data!$A$2:$E$495,2,FALSE)</f>
        <v>KOI SLAYER K</v>
      </c>
      <c r="E2384" s="16">
        <v>10</v>
      </c>
      <c r="F2384" s="16">
        <f>VLOOKUP(C2384,[1]master_data!$A$2:$E$495,3,FALSE)</f>
        <v>3500</v>
      </c>
      <c r="G2384" s="16">
        <f>VLOOKUP(C2384,[1]master_data!$A$2:$E$495,4,FALSE)</f>
        <v>10000</v>
      </c>
      <c r="H2384" s="16">
        <f>E2384*F2384</f>
        <v>35000</v>
      </c>
      <c r="I2384" s="16">
        <f>E2384*G2384</f>
        <v>100000</v>
      </c>
      <c r="J2384" s="16">
        <f>I2384-H2384</f>
        <v>65000</v>
      </c>
      <c r="K2384" s="16" t="str">
        <f>VLOOKUP(C2384,[1]master_data!$A$2:$E$495,5,FALSE)</f>
        <v>Ikan</v>
      </c>
      <c r="L2384" s="1"/>
    </row>
    <row r="2385" spans="1:12" ht="12" customHeight="1" x14ac:dyDescent="0.25">
      <c r="A2385" s="15">
        <v>44943</v>
      </c>
      <c r="B2385" s="16">
        <v>22300116</v>
      </c>
      <c r="C2385" s="16" t="s">
        <v>290</v>
      </c>
      <c r="D2385" s="16" t="str">
        <f>VLOOKUP(C2385,[1]master_data!$A$2:$E$495,2,FALSE)</f>
        <v>MAINAN KINCIR DOUBEL</v>
      </c>
      <c r="E2385" s="16">
        <v>2</v>
      </c>
      <c r="F2385" s="16">
        <f>VLOOKUP(C2385,[1]master_data!$A$2:$E$495,3,FALSE)</f>
        <v>17000</v>
      </c>
      <c r="G2385" s="16">
        <f>VLOOKUP(C2385,[1]master_data!$A$2:$E$495,4,FALSE)</f>
        <v>30000</v>
      </c>
      <c r="H2385" s="16">
        <f>E2385*F2385</f>
        <v>34000</v>
      </c>
      <c r="I2385" s="16">
        <f>E2385*G2385</f>
        <v>60000</v>
      </c>
      <c r="J2385" s="16">
        <f>I2385-H2385</f>
        <v>26000</v>
      </c>
      <c r="K2385" s="16" t="str">
        <f>VLOOKUP(C2385,[1]master_data!$A$2:$E$495,5,FALSE)</f>
        <v>Aksesoris</v>
      </c>
      <c r="L2385" s="1"/>
    </row>
    <row r="2386" spans="1:12" ht="12" customHeight="1" x14ac:dyDescent="0.25">
      <c r="A2386" s="15">
        <v>44943</v>
      </c>
      <c r="B2386" s="16">
        <v>22300117</v>
      </c>
      <c r="C2386" s="16" t="s">
        <v>90</v>
      </c>
      <c r="D2386" s="16" t="str">
        <f>VLOOKUP(C2386,[1]master_data!$A$2:$E$495,2,FALSE)</f>
        <v>MESIN RECENT WV 3000</v>
      </c>
      <c r="E2386" s="16">
        <v>5</v>
      </c>
      <c r="F2386" s="16">
        <f>VLOOKUP(C2386,[1]master_data!$A$2:$E$495,3,FALSE)</f>
        <v>59000</v>
      </c>
      <c r="G2386" s="16">
        <f>VLOOKUP(C2386,[1]master_data!$A$2:$E$495,4,FALSE)</f>
        <v>85000</v>
      </c>
      <c r="H2386" s="16">
        <f>E2386*F2386</f>
        <v>295000</v>
      </c>
      <c r="I2386" s="16">
        <f>E2386*G2386</f>
        <v>425000</v>
      </c>
      <c r="J2386" s="16">
        <f>I2386-H2386</f>
        <v>130000</v>
      </c>
      <c r="K2386" s="16" t="str">
        <f>VLOOKUP(C2386,[1]master_data!$A$2:$E$495,5,FALSE)</f>
        <v>Aksesoris</v>
      </c>
      <c r="L2386" s="1"/>
    </row>
    <row r="2387" spans="1:12" ht="12" customHeight="1" x14ac:dyDescent="0.25">
      <c r="A2387" s="15">
        <v>44943</v>
      </c>
      <c r="B2387" s="16">
        <v>22300118</v>
      </c>
      <c r="C2387" s="16" t="s">
        <v>138</v>
      </c>
      <c r="D2387" s="16" t="str">
        <f>VLOOKUP(C2387,[1]master_data!$A$2:$E$495,2,FALSE)</f>
        <v>LAMPU ARMADA UV 20W</v>
      </c>
      <c r="E2387" s="16">
        <v>1</v>
      </c>
      <c r="F2387" s="16">
        <f>VLOOKUP(C2387,[1]master_data!$A$2:$E$495,3,FALSE)</f>
        <v>99000</v>
      </c>
      <c r="G2387" s="16">
        <f>VLOOKUP(C2387,[1]master_data!$A$2:$E$495,4,FALSE)</f>
        <v>125000</v>
      </c>
      <c r="H2387" s="16">
        <f>E2387*F2387</f>
        <v>99000</v>
      </c>
      <c r="I2387" s="16">
        <f>E2387*G2387</f>
        <v>125000</v>
      </c>
      <c r="J2387" s="16">
        <f>I2387-H2387</f>
        <v>26000</v>
      </c>
      <c r="K2387" s="16" t="str">
        <f>VLOOKUP(C2387,[1]master_data!$A$2:$E$495,5,FALSE)</f>
        <v>Aksesoris</v>
      </c>
      <c r="L2387" s="1"/>
    </row>
    <row r="2388" spans="1:12" ht="12" customHeight="1" x14ac:dyDescent="0.25">
      <c r="A2388" s="15">
        <v>44943</v>
      </c>
      <c r="B2388" s="16">
        <v>22300119</v>
      </c>
      <c r="C2388" s="16" t="s">
        <v>399</v>
      </c>
      <c r="D2388" s="16" t="str">
        <f>VLOOKUP(C2388,[1]master_data!$A$2:$E$495,2,FALSE)</f>
        <v>BALA BALA B</v>
      </c>
      <c r="E2388" s="16">
        <v>5</v>
      </c>
      <c r="F2388" s="16">
        <f>VLOOKUP(C2388,[1]master_data!$A$2:$E$495,3,FALSE)</f>
        <v>7000</v>
      </c>
      <c r="G2388" s="16">
        <f>VLOOKUP(C2388,[1]master_data!$A$2:$E$495,4,FALSE)</f>
        <v>15000</v>
      </c>
      <c r="H2388" s="16">
        <f>E2388*F2388</f>
        <v>35000</v>
      </c>
      <c r="I2388" s="16">
        <f>E2388*G2388</f>
        <v>75000</v>
      </c>
      <c r="J2388" s="16">
        <f>I2388-H2388</f>
        <v>40000</v>
      </c>
      <c r="K2388" s="16" t="str">
        <f>VLOOKUP(C2388,[1]master_data!$A$2:$E$495,5,FALSE)</f>
        <v>Ikan</v>
      </c>
      <c r="L2388" s="1"/>
    </row>
    <row r="2389" spans="1:12" ht="12" customHeight="1" x14ac:dyDescent="0.25">
      <c r="A2389" s="15">
        <v>44943</v>
      </c>
      <c r="B2389" s="16">
        <v>22300120</v>
      </c>
      <c r="C2389" s="16" t="s">
        <v>426</v>
      </c>
      <c r="D2389" s="16" t="str">
        <f>VLOOKUP(C2389,[1]master_data!$A$2:$E$495,2,FALSE)</f>
        <v>LOUHAN</v>
      </c>
      <c r="E2389" s="16">
        <v>2</v>
      </c>
      <c r="F2389" s="16">
        <f>VLOOKUP(C2389,[1]master_data!$A$2:$E$495,3,FALSE)</f>
        <v>85000</v>
      </c>
      <c r="G2389" s="16">
        <f>VLOOKUP(C2389,[1]master_data!$A$2:$E$495,4,FALSE)</f>
        <v>200000</v>
      </c>
      <c r="H2389" s="16">
        <f>E2389*F2389</f>
        <v>170000</v>
      </c>
      <c r="I2389" s="16">
        <f>E2389*G2389</f>
        <v>400000</v>
      </c>
      <c r="J2389" s="16">
        <f>I2389-H2389</f>
        <v>230000</v>
      </c>
      <c r="K2389" s="16" t="str">
        <f>VLOOKUP(C2389,[1]master_data!$A$2:$E$495,5,FALSE)</f>
        <v>Ikan</v>
      </c>
      <c r="L2389" s="1"/>
    </row>
    <row r="2390" spans="1:12" ht="12" customHeight="1" x14ac:dyDescent="0.25">
      <c r="A2390" s="15">
        <v>44942</v>
      </c>
      <c r="B2390" s="16">
        <v>22300108</v>
      </c>
      <c r="C2390" s="16" t="s">
        <v>412</v>
      </c>
      <c r="D2390" s="16" t="str">
        <f>VLOOKUP(C2390,[1]master_data!$A$2:$E$495,2,FALSE)</f>
        <v>KOKI T</v>
      </c>
      <c r="E2390" s="16">
        <v>5</v>
      </c>
      <c r="F2390" s="16">
        <f>VLOOKUP(C2390,[1]master_data!$A$2:$E$495,3,FALSE)</f>
        <v>8000</v>
      </c>
      <c r="G2390" s="16">
        <f>VLOOKUP(C2390,[1]master_data!$A$2:$E$495,4,FALSE)</f>
        <v>15000</v>
      </c>
      <c r="H2390" s="16">
        <f>E2390*F2390</f>
        <v>40000</v>
      </c>
      <c r="I2390" s="16">
        <f>E2390*G2390</f>
        <v>75000</v>
      </c>
      <c r="J2390" s="16">
        <f>I2390-H2390</f>
        <v>35000</v>
      </c>
      <c r="K2390" s="16" t="str">
        <f>VLOOKUP(C2390,[1]master_data!$A$2:$E$495,5,FALSE)</f>
        <v>Ikan</v>
      </c>
      <c r="L2390" s="1"/>
    </row>
    <row r="2391" spans="1:12" ht="12" customHeight="1" x14ac:dyDescent="0.25">
      <c r="A2391" s="15">
        <v>44942</v>
      </c>
      <c r="B2391" s="16">
        <v>22300109</v>
      </c>
      <c r="C2391" s="16" t="s">
        <v>440</v>
      </c>
      <c r="D2391" s="16" t="str">
        <f>VLOOKUP(C2391,[1]master_data!$A$2:$E$495,2,FALSE)</f>
        <v>PEMBERSIH KACA ALBINO</v>
      </c>
      <c r="E2391" s="16">
        <v>40</v>
      </c>
      <c r="F2391" s="16">
        <f>VLOOKUP(C2391,[1]master_data!$A$2:$E$495,3,FALSE)</f>
        <v>2500</v>
      </c>
      <c r="G2391" s="16">
        <f>VLOOKUP(C2391,[1]master_data!$A$2:$E$495,4,FALSE)</f>
        <v>5000</v>
      </c>
      <c r="H2391" s="16">
        <f>E2391*F2391</f>
        <v>100000</v>
      </c>
      <c r="I2391" s="16">
        <f>E2391*G2391</f>
        <v>200000</v>
      </c>
      <c r="J2391" s="16">
        <f>I2391-H2391</f>
        <v>100000</v>
      </c>
      <c r="K2391" s="16" t="str">
        <f>VLOOKUP(C2391,[1]master_data!$A$2:$E$495,5,FALSE)</f>
        <v>Ikan</v>
      </c>
      <c r="L2391" s="1"/>
    </row>
    <row r="2392" spans="1:12" ht="12" customHeight="1" x14ac:dyDescent="0.25">
      <c r="A2392" s="15">
        <v>44942</v>
      </c>
      <c r="B2392" s="16">
        <v>22300110</v>
      </c>
      <c r="C2392" s="16" t="s">
        <v>431</v>
      </c>
      <c r="D2392" s="16" t="str">
        <f>VLOOKUP(C2392,[1]master_data!$A$2:$E$495,2,FALSE)</f>
        <v>MARU B</v>
      </c>
      <c r="E2392" s="16">
        <v>4</v>
      </c>
      <c r="F2392" s="16">
        <f>VLOOKUP(C2392,[1]master_data!$A$2:$E$495,3,FALSE)</f>
        <v>90000</v>
      </c>
      <c r="G2392" s="16">
        <f>VLOOKUP(C2392,[1]master_data!$A$2:$E$495,4,FALSE)</f>
        <v>150000</v>
      </c>
      <c r="H2392" s="16">
        <f>E2392*F2392</f>
        <v>360000</v>
      </c>
      <c r="I2392" s="16">
        <f>E2392*G2392</f>
        <v>600000</v>
      </c>
      <c r="J2392" s="16">
        <f>I2392-H2392</f>
        <v>240000</v>
      </c>
      <c r="K2392" s="16" t="str">
        <f>VLOOKUP(C2392,[1]master_data!$A$2:$E$495,5,FALSE)</f>
        <v>Ikan</v>
      </c>
      <c r="L2392" s="1"/>
    </row>
    <row r="2393" spans="1:12" ht="12" customHeight="1" x14ac:dyDescent="0.25">
      <c r="A2393" s="15">
        <v>44942</v>
      </c>
      <c r="B2393" s="16">
        <v>22300111</v>
      </c>
      <c r="C2393" s="16" t="s">
        <v>435</v>
      </c>
      <c r="D2393" s="16" t="str">
        <f>VLOOKUP(C2393,[1]master_data!$A$2:$E$495,2,FALSE)</f>
        <v>RED EYE TETRA</v>
      </c>
      <c r="E2393" s="16">
        <v>10</v>
      </c>
      <c r="F2393" s="16">
        <f>VLOOKUP(C2393,[1]master_data!$A$2:$E$495,3,FALSE)</f>
        <v>900</v>
      </c>
      <c r="G2393" s="16">
        <f>VLOOKUP(C2393,[1]master_data!$A$2:$E$495,4,FALSE)</f>
        <v>2000</v>
      </c>
      <c r="H2393" s="16">
        <f>E2393*F2393</f>
        <v>9000</v>
      </c>
      <c r="I2393" s="16">
        <f>E2393*G2393</f>
        <v>20000</v>
      </c>
      <c r="J2393" s="16">
        <f>I2393-H2393</f>
        <v>11000</v>
      </c>
      <c r="K2393" s="16" t="str">
        <f>VLOOKUP(C2393,[1]master_data!$A$2:$E$495,5,FALSE)</f>
        <v>Ikan</v>
      </c>
      <c r="L2393" s="1"/>
    </row>
    <row r="2394" spans="1:12" ht="12" customHeight="1" x14ac:dyDescent="0.25">
      <c r="A2394" s="15">
        <v>44942</v>
      </c>
      <c r="B2394" s="16">
        <v>22300112</v>
      </c>
      <c r="C2394" s="16" t="s">
        <v>166</v>
      </c>
      <c r="D2394" s="16" t="str">
        <f>VLOOKUP(C2394,[1]master_data!$A$2:$E$495,2,FALSE)</f>
        <v>LAMPU ARMADA UV 15W</v>
      </c>
      <c r="E2394" s="16">
        <v>1</v>
      </c>
      <c r="F2394" s="16">
        <f>VLOOKUP(C2394,[1]master_data!$A$2:$E$495,3,FALSE)</f>
        <v>88000</v>
      </c>
      <c r="G2394" s="16">
        <f>VLOOKUP(C2394,[1]master_data!$A$2:$E$495,4,FALSE)</f>
        <v>115000</v>
      </c>
      <c r="H2394" s="16">
        <f>E2394*F2394</f>
        <v>88000</v>
      </c>
      <c r="I2394" s="16">
        <f>E2394*G2394</f>
        <v>115000</v>
      </c>
      <c r="J2394" s="16">
        <f>I2394-H2394</f>
        <v>27000</v>
      </c>
      <c r="K2394" s="16" t="str">
        <f>VLOOKUP(C2394,[1]master_data!$A$2:$E$495,5,FALSE)</f>
        <v>Aksesoris</v>
      </c>
      <c r="L2394" s="1"/>
    </row>
    <row r="2395" spans="1:12" ht="12" customHeight="1" x14ac:dyDescent="0.25">
      <c r="A2395" s="15">
        <v>44942</v>
      </c>
      <c r="B2395" s="16">
        <v>22300113</v>
      </c>
      <c r="C2395" s="16" t="s">
        <v>392</v>
      </c>
      <c r="D2395" s="16" t="str">
        <f>VLOOKUP(C2395,[1]master_data!$A$2:$E$495,2,FALSE)</f>
        <v>ARWANA SILVER K</v>
      </c>
      <c r="E2395" s="16">
        <v>2</v>
      </c>
      <c r="F2395" s="16">
        <f>VLOOKUP(C2395,[1]master_data!$A$2:$E$495,3,FALSE)</f>
        <v>100000</v>
      </c>
      <c r="G2395" s="16">
        <f>VLOOKUP(C2395,[1]master_data!$A$2:$E$495,4,FALSE)</f>
        <v>200000</v>
      </c>
      <c r="H2395" s="16">
        <f>E2395*F2395</f>
        <v>200000</v>
      </c>
      <c r="I2395" s="16">
        <f>E2395*G2395</f>
        <v>400000</v>
      </c>
      <c r="J2395" s="16">
        <f>I2395-H2395</f>
        <v>200000</v>
      </c>
      <c r="K2395" s="16" t="str">
        <f>VLOOKUP(C2395,[1]master_data!$A$2:$E$495,5,FALSE)</f>
        <v>Ikan</v>
      </c>
      <c r="L2395" s="1"/>
    </row>
    <row r="2396" spans="1:12" ht="12" customHeight="1" x14ac:dyDescent="0.25">
      <c r="A2396" s="15">
        <v>44942</v>
      </c>
      <c r="B2396" s="16">
        <v>22300114</v>
      </c>
      <c r="C2396" s="16" t="s">
        <v>33</v>
      </c>
      <c r="D2396" s="16" t="str">
        <f>VLOOKUP(C2396,[1]master_data!$A$2:$E$495,2,FALSE)</f>
        <v>MESIN YAMANO 1200</v>
      </c>
      <c r="E2396" s="16">
        <v>1</v>
      </c>
      <c r="F2396" s="16">
        <f>VLOOKUP(C2396,[1]master_data!$A$2:$E$495,3,FALSE)</f>
        <v>27000</v>
      </c>
      <c r="G2396" s="16">
        <f>VLOOKUP(C2396,[1]master_data!$A$2:$E$495,4,FALSE)</f>
        <v>40000</v>
      </c>
      <c r="H2396" s="16">
        <f>E2396*F2396</f>
        <v>27000</v>
      </c>
      <c r="I2396" s="16">
        <f>E2396*G2396</f>
        <v>40000</v>
      </c>
      <c r="J2396" s="16">
        <f>I2396-H2396</f>
        <v>13000</v>
      </c>
      <c r="K2396" s="16" t="str">
        <f>VLOOKUP(C2396,[1]master_data!$A$2:$E$495,5,FALSE)</f>
        <v>Aksesoris</v>
      </c>
      <c r="L2396" s="1"/>
    </row>
    <row r="2397" spans="1:12" ht="12" customHeight="1" x14ac:dyDescent="0.25">
      <c r="A2397" s="15">
        <v>44941</v>
      </c>
      <c r="B2397" s="16">
        <v>22300100</v>
      </c>
      <c r="C2397" s="16" t="s">
        <v>30</v>
      </c>
      <c r="D2397" s="16" t="str">
        <f>VLOOKUP(C2397,[1]master_data!$A$2:$E$495,2,FALSE)</f>
        <v>TOP FILTER ROSTON 650 K</v>
      </c>
      <c r="E2397" s="16">
        <v>1</v>
      </c>
      <c r="F2397" s="16">
        <f>VLOOKUP(C2397,[1]master_data!$A$2:$E$495,3,FALSE)</f>
        <v>35000</v>
      </c>
      <c r="G2397" s="16">
        <f>VLOOKUP(C2397,[1]master_data!$A$2:$E$495,4,FALSE)</f>
        <v>50000</v>
      </c>
      <c r="H2397" s="16">
        <f>E2397*F2397</f>
        <v>35000</v>
      </c>
      <c r="I2397" s="16">
        <f>E2397*G2397</f>
        <v>50000</v>
      </c>
      <c r="J2397" s="16">
        <f>I2397-H2397</f>
        <v>15000</v>
      </c>
      <c r="K2397" s="16" t="str">
        <f>VLOOKUP(C2397,[1]master_data!$A$2:$E$495,5,FALSE)</f>
        <v>Aksesoris</v>
      </c>
      <c r="L2397" s="1"/>
    </row>
    <row r="2398" spans="1:12" ht="12" customHeight="1" x14ac:dyDescent="0.25">
      <c r="A2398" s="15">
        <v>44941</v>
      </c>
      <c r="B2398" s="16">
        <v>22300101</v>
      </c>
      <c r="C2398" s="16" t="s">
        <v>410</v>
      </c>
      <c r="D2398" s="16" t="str">
        <f>VLOOKUP(C2398,[1]master_data!$A$2:$E$495,2,FALSE)</f>
        <v>HIU TAWAR</v>
      </c>
      <c r="E2398" s="16">
        <v>10</v>
      </c>
      <c r="F2398" s="16">
        <f>VLOOKUP(C2398,[1]master_data!$A$2:$E$495,3,FALSE)</f>
        <v>600</v>
      </c>
      <c r="G2398" s="16">
        <f>VLOOKUP(C2398,[1]master_data!$A$2:$E$495,4,FALSE)</f>
        <v>2000</v>
      </c>
      <c r="H2398" s="16">
        <f>E2398*F2398</f>
        <v>6000</v>
      </c>
      <c r="I2398" s="16">
        <f>E2398*G2398</f>
        <v>20000</v>
      </c>
      <c r="J2398" s="16">
        <f>I2398-H2398</f>
        <v>14000</v>
      </c>
      <c r="K2398" s="16" t="str">
        <f>VLOOKUP(C2398,[1]master_data!$A$2:$E$495,5,FALSE)</f>
        <v>Ikan</v>
      </c>
      <c r="L2398" s="1"/>
    </row>
    <row r="2399" spans="1:12" ht="12" customHeight="1" x14ac:dyDescent="0.25">
      <c r="A2399" s="15">
        <v>44941</v>
      </c>
      <c r="B2399" s="16">
        <v>22300102</v>
      </c>
      <c r="C2399" s="16" t="s">
        <v>121</v>
      </c>
      <c r="D2399" s="16" t="str">
        <f>VLOOKUP(C2399,[1]master_data!$A$2:$E$495,2,FALSE)</f>
        <v>LED KIYOSAKI 3 MODE 40 CM</v>
      </c>
      <c r="E2399" s="16">
        <v>1</v>
      </c>
      <c r="F2399" s="16">
        <f>VLOOKUP(C2399,[1]master_data!$A$2:$E$495,3,FALSE)</f>
        <v>32000</v>
      </c>
      <c r="G2399" s="16">
        <f>VLOOKUP(C2399,[1]master_data!$A$2:$E$495,4,FALSE)</f>
        <v>55000</v>
      </c>
      <c r="H2399" s="16">
        <f>E2399*F2399</f>
        <v>32000</v>
      </c>
      <c r="I2399" s="16">
        <f>E2399*G2399</f>
        <v>55000</v>
      </c>
      <c r="J2399" s="16">
        <f>I2399-H2399</f>
        <v>23000</v>
      </c>
      <c r="K2399" s="16" t="str">
        <f>VLOOKUP(C2399,[1]master_data!$A$2:$E$495,5,FALSE)</f>
        <v>Aksesoris</v>
      </c>
      <c r="L2399" s="1"/>
    </row>
    <row r="2400" spans="1:12" ht="12" customHeight="1" x14ac:dyDescent="0.25">
      <c r="A2400" s="15">
        <v>44941</v>
      </c>
      <c r="B2400" s="16">
        <v>22300103</v>
      </c>
      <c r="C2400" s="16" t="s">
        <v>418</v>
      </c>
      <c r="D2400" s="16" t="str">
        <f>VLOOKUP(C2400,[1]master_data!$A$2:$E$495,2,FALSE)</f>
        <v>KAVIAT</v>
      </c>
      <c r="E2400" s="16">
        <v>30</v>
      </c>
      <c r="F2400" s="16">
        <f>VLOOKUP(C2400,[1]master_data!$A$2:$E$495,3,FALSE)</f>
        <v>3500</v>
      </c>
      <c r="G2400" s="16">
        <f>VLOOKUP(C2400,[1]master_data!$A$2:$E$495,4,FALSE)</f>
        <v>8000</v>
      </c>
      <c r="H2400" s="16">
        <f>E2400*F2400</f>
        <v>105000</v>
      </c>
      <c r="I2400" s="16">
        <f>E2400*G2400</f>
        <v>240000</v>
      </c>
      <c r="J2400" s="16">
        <f>I2400-H2400</f>
        <v>135000</v>
      </c>
      <c r="K2400" s="16" t="str">
        <f>VLOOKUP(C2400,[1]master_data!$A$2:$E$495,5,FALSE)</f>
        <v>Ikan</v>
      </c>
      <c r="L2400" s="1"/>
    </row>
    <row r="2401" spans="1:12" ht="12" customHeight="1" x14ac:dyDescent="0.25">
      <c r="A2401" s="15">
        <v>44941</v>
      </c>
      <c r="B2401" s="16">
        <v>22300104</v>
      </c>
      <c r="C2401" s="16" t="s">
        <v>401</v>
      </c>
      <c r="D2401" s="16" t="str">
        <f>VLOOKUP(C2401,[1]master_data!$A$2:$E$495,2,FALSE)</f>
        <v>CHANNA BLUE PULCHRA K</v>
      </c>
      <c r="E2401" s="16">
        <v>2</v>
      </c>
      <c r="F2401" s="16">
        <f>VLOOKUP(C2401,[1]master_data!$A$2:$E$495,3,FALSE)</f>
        <v>25000</v>
      </c>
      <c r="G2401" s="16">
        <f>VLOOKUP(C2401,[1]master_data!$A$2:$E$495,4,FALSE)</f>
        <v>50000</v>
      </c>
      <c r="H2401" s="16">
        <f>E2401*F2401</f>
        <v>50000</v>
      </c>
      <c r="I2401" s="16">
        <f>E2401*G2401</f>
        <v>100000</v>
      </c>
      <c r="J2401" s="16">
        <f>I2401-H2401</f>
        <v>50000</v>
      </c>
      <c r="K2401" s="16" t="str">
        <f>VLOOKUP(C2401,[1]master_data!$A$2:$E$495,5,FALSE)</f>
        <v>Ikan</v>
      </c>
      <c r="L2401" s="1"/>
    </row>
    <row r="2402" spans="1:12" ht="12" customHeight="1" x14ac:dyDescent="0.25">
      <c r="A2402" s="15">
        <v>44941</v>
      </c>
      <c r="B2402" s="16">
        <v>22300105</v>
      </c>
      <c r="C2402" s="16" t="s">
        <v>93</v>
      </c>
      <c r="D2402" s="16" t="str">
        <f>VLOOKUP(C2402,[1]master_data!$A$2:$E$495,2,FALSE)</f>
        <v>MESIN KANDILA MAGURA 1200</v>
      </c>
      <c r="E2402" s="16">
        <v>5</v>
      </c>
      <c r="F2402" s="16">
        <f>VLOOKUP(C2402,[1]master_data!$A$2:$E$495,3,FALSE)</f>
        <v>52500</v>
      </c>
      <c r="G2402" s="16">
        <f>VLOOKUP(C2402,[1]master_data!$A$2:$E$495,4,FALSE)</f>
        <v>75000</v>
      </c>
      <c r="H2402" s="16">
        <f>E2402*F2402</f>
        <v>262500</v>
      </c>
      <c r="I2402" s="16">
        <f>E2402*G2402</f>
        <v>375000</v>
      </c>
      <c r="J2402" s="16">
        <f>I2402-H2402</f>
        <v>112500</v>
      </c>
      <c r="K2402" s="16" t="str">
        <f>VLOOKUP(C2402,[1]master_data!$A$2:$E$495,5,FALSE)</f>
        <v>Aksesoris</v>
      </c>
      <c r="L2402" s="1"/>
    </row>
    <row r="2403" spans="1:12" ht="12" customHeight="1" x14ac:dyDescent="0.25">
      <c r="A2403" s="15">
        <v>44941</v>
      </c>
      <c r="B2403" s="16">
        <v>22300106</v>
      </c>
      <c r="C2403" s="16" t="s">
        <v>433</v>
      </c>
      <c r="D2403" s="16" t="str">
        <f>VLOOKUP(C2403,[1]master_data!$A$2:$E$495,2,FALSE)</f>
        <v>MOLI BALON</v>
      </c>
      <c r="E2403" s="16">
        <v>15</v>
      </c>
      <c r="F2403" s="16">
        <f>VLOOKUP(C2403,[1]master_data!$A$2:$E$495,3,FALSE)</f>
        <v>800</v>
      </c>
      <c r="G2403" s="16">
        <f>VLOOKUP(C2403,[1]master_data!$A$2:$E$495,4,FALSE)</f>
        <v>2000</v>
      </c>
      <c r="H2403" s="16">
        <f>E2403*F2403</f>
        <v>12000</v>
      </c>
      <c r="I2403" s="16">
        <f>E2403*G2403</f>
        <v>30000</v>
      </c>
      <c r="J2403" s="16">
        <f>I2403-H2403</f>
        <v>18000</v>
      </c>
      <c r="K2403" s="16" t="str">
        <f>VLOOKUP(C2403,[1]master_data!$A$2:$E$495,5,FALSE)</f>
        <v>Ikan</v>
      </c>
      <c r="L2403" s="1"/>
    </row>
    <row r="2404" spans="1:12" ht="12" customHeight="1" x14ac:dyDescent="0.25">
      <c r="A2404" s="15">
        <v>44941</v>
      </c>
      <c r="B2404" s="16">
        <v>22300107</v>
      </c>
      <c r="C2404" s="16" t="s">
        <v>264</v>
      </c>
      <c r="D2404" s="16" t="str">
        <f>VLOOKUP(C2404,[1]master_data!$A$2:$E$495,2,FALSE)</f>
        <v>COP SELANG</v>
      </c>
      <c r="E2404" s="16">
        <v>1</v>
      </c>
      <c r="F2404" s="16">
        <f>VLOOKUP(C2404,[1]master_data!$A$2:$E$495,3,FALSE)</f>
        <v>750</v>
      </c>
      <c r="G2404" s="16">
        <f>VLOOKUP(C2404,[1]master_data!$A$2:$E$495,4,FALSE)</f>
        <v>1500</v>
      </c>
      <c r="H2404" s="16">
        <f>E2404*F2404</f>
        <v>750</v>
      </c>
      <c r="I2404" s="16">
        <f>E2404*G2404</f>
        <v>1500</v>
      </c>
      <c r="J2404" s="16">
        <f>I2404-H2404</f>
        <v>750</v>
      </c>
      <c r="K2404" s="16" t="str">
        <f>VLOOKUP(C2404,[1]master_data!$A$2:$E$495,5,FALSE)</f>
        <v>Aksesoris</v>
      </c>
      <c r="L2404" s="1"/>
    </row>
    <row r="2405" spans="1:12" ht="12" customHeight="1" x14ac:dyDescent="0.25">
      <c r="A2405" s="15">
        <v>44940</v>
      </c>
      <c r="B2405" s="16">
        <v>22300093</v>
      </c>
      <c r="C2405" s="16" t="s">
        <v>423</v>
      </c>
      <c r="D2405" s="16" t="str">
        <f>VLOOKUP(C2405,[1]master_data!$A$2:$E$495,2,FALSE)</f>
        <v>CAROLINE</v>
      </c>
      <c r="E2405" s="16">
        <v>15</v>
      </c>
      <c r="F2405" s="16">
        <f>VLOOKUP(C2405,[1]master_data!$A$2:$E$495,3,FALSE)</f>
        <v>900</v>
      </c>
      <c r="G2405" s="16">
        <f>VLOOKUP(C2405,[1]master_data!$A$2:$E$495,4,FALSE)</f>
        <v>2000</v>
      </c>
      <c r="H2405" s="16">
        <f>E2405*F2405</f>
        <v>13500</v>
      </c>
      <c r="I2405" s="16">
        <f>E2405*G2405</f>
        <v>30000</v>
      </c>
      <c r="J2405" s="16">
        <f>I2405-H2405</f>
        <v>16500</v>
      </c>
      <c r="K2405" s="16" t="str">
        <f>VLOOKUP(C2405,[1]master_data!$A$2:$E$495,5,FALSE)</f>
        <v>Ikan</v>
      </c>
      <c r="L2405" s="1"/>
    </row>
    <row r="2406" spans="1:12" ht="12" customHeight="1" x14ac:dyDescent="0.25">
      <c r="A2406" s="15">
        <v>44940</v>
      </c>
      <c r="B2406" s="16">
        <v>22300094</v>
      </c>
      <c r="C2406" s="16" t="s">
        <v>418</v>
      </c>
      <c r="D2406" s="16" t="str">
        <f>VLOOKUP(C2406,[1]master_data!$A$2:$E$495,2,FALSE)</f>
        <v>KAVIAT</v>
      </c>
      <c r="E2406" s="16">
        <v>30</v>
      </c>
      <c r="F2406" s="16">
        <f>VLOOKUP(C2406,[1]master_data!$A$2:$E$495,3,FALSE)</f>
        <v>3500</v>
      </c>
      <c r="G2406" s="16">
        <f>VLOOKUP(C2406,[1]master_data!$A$2:$E$495,4,FALSE)</f>
        <v>8000</v>
      </c>
      <c r="H2406" s="16">
        <f>E2406*F2406</f>
        <v>105000</v>
      </c>
      <c r="I2406" s="16">
        <f>E2406*G2406</f>
        <v>240000</v>
      </c>
      <c r="J2406" s="16">
        <f>I2406-H2406</f>
        <v>135000</v>
      </c>
      <c r="K2406" s="16" t="str">
        <f>VLOOKUP(C2406,[1]master_data!$A$2:$E$495,5,FALSE)</f>
        <v>Ikan</v>
      </c>
      <c r="L2406" s="1"/>
    </row>
    <row r="2407" spans="1:12" ht="12" customHeight="1" x14ac:dyDescent="0.25">
      <c r="A2407" s="15">
        <v>44940</v>
      </c>
      <c r="B2407" s="16">
        <v>22300095</v>
      </c>
      <c r="C2407" s="16" t="s">
        <v>337</v>
      </c>
      <c r="D2407" s="16" t="str">
        <f>VLOOKUP(C2407,[1]master_data!$A$2:$E$495,2,FALSE)</f>
        <v>KARUNG JALA S</v>
      </c>
      <c r="E2407" s="16">
        <v>20</v>
      </c>
      <c r="F2407" s="16">
        <f>VLOOKUP(C2407,[1]master_data!$A$2:$E$495,3,FALSE)</f>
        <v>2500</v>
      </c>
      <c r="G2407" s="16">
        <f>VLOOKUP(C2407,[1]master_data!$A$2:$E$495,4,FALSE)</f>
        <v>5000</v>
      </c>
      <c r="H2407" s="16">
        <f>E2407*F2407</f>
        <v>50000</v>
      </c>
      <c r="I2407" s="16">
        <f>E2407*G2407</f>
        <v>100000</v>
      </c>
      <c r="J2407" s="16">
        <f>I2407-H2407</f>
        <v>50000</v>
      </c>
      <c r="K2407" s="16" t="str">
        <f>VLOOKUP(C2407,[1]master_data!$A$2:$E$495,5,FALSE)</f>
        <v>Aksesoris</v>
      </c>
      <c r="L2407" s="1"/>
    </row>
    <row r="2408" spans="1:12" ht="12" customHeight="1" x14ac:dyDescent="0.25">
      <c r="A2408" s="15">
        <v>44940</v>
      </c>
      <c r="B2408" s="16">
        <v>22300096</v>
      </c>
      <c r="C2408" s="16" t="s">
        <v>206</v>
      </c>
      <c r="D2408" s="16" t="str">
        <f>VLOOKUP(C2408,[1]master_data!$A$2:$E$495,2,FALSE)</f>
        <v>TAKARI K</v>
      </c>
      <c r="E2408" s="16">
        <v>25</v>
      </c>
      <c r="F2408" s="16">
        <f>VLOOKUP(C2408,[1]master_data!$A$2:$E$495,3,FALSE)</f>
        <v>3500</v>
      </c>
      <c r="G2408" s="16">
        <f>VLOOKUP(C2408,[1]master_data!$A$2:$E$495,4,FALSE)</f>
        <v>5000</v>
      </c>
      <c r="H2408" s="16">
        <f>E2408*F2408</f>
        <v>87500</v>
      </c>
      <c r="I2408" s="16">
        <f>E2408*G2408</f>
        <v>125000</v>
      </c>
      <c r="J2408" s="16">
        <f>I2408-H2408</f>
        <v>37500</v>
      </c>
      <c r="K2408" s="16" t="str">
        <f>VLOOKUP(C2408,[1]master_data!$A$2:$E$495,5,FALSE)</f>
        <v>Aksesoris</v>
      </c>
      <c r="L2408" s="1"/>
    </row>
    <row r="2409" spans="1:12" ht="12" customHeight="1" x14ac:dyDescent="0.25">
      <c r="A2409" s="15">
        <v>44940</v>
      </c>
      <c r="B2409" s="16">
        <v>22300097</v>
      </c>
      <c r="C2409" s="16" t="s">
        <v>348</v>
      </c>
      <c r="D2409" s="16" t="str">
        <f>VLOOKUP(C2409,[1]master_data!$A$2:$E$495,2,FALSE)</f>
        <v>AKUARIUM 80 ROBOT</v>
      </c>
      <c r="E2409" s="16">
        <v>2</v>
      </c>
      <c r="F2409" s="16">
        <f>VLOOKUP(C2409,[1]master_data!$A$2:$E$495,3,FALSE)</f>
        <v>300000</v>
      </c>
      <c r="G2409" s="16">
        <f>VLOOKUP(C2409,[1]master_data!$A$2:$E$495,4,FALSE)</f>
        <v>370000</v>
      </c>
      <c r="H2409" s="16">
        <f>E2409*F2409</f>
        <v>600000</v>
      </c>
      <c r="I2409" s="16">
        <f>E2409*G2409</f>
        <v>740000</v>
      </c>
      <c r="J2409" s="16">
        <f>I2409-H2409</f>
        <v>140000</v>
      </c>
      <c r="K2409" s="16" t="str">
        <f>VLOOKUP(C2409,[1]master_data!$A$2:$E$495,5,FALSE)</f>
        <v>Aksesoris</v>
      </c>
      <c r="L2409" s="1"/>
    </row>
    <row r="2410" spans="1:12" ht="12" customHeight="1" x14ac:dyDescent="0.25">
      <c r="A2410" s="15">
        <v>44940</v>
      </c>
      <c r="B2410" s="16">
        <v>22300098</v>
      </c>
      <c r="C2410" s="16" t="s">
        <v>435</v>
      </c>
      <c r="D2410" s="16" t="str">
        <f>VLOOKUP(C2410,[1]master_data!$A$2:$E$495,2,FALSE)</f>
        <v>RED EYE TETRA</v>
      </c>
      <c r="E2410" s="16">
        <v>4</v>
      </c>
      <c r="F2410" s="16">
        <f>VLOOKUP(C2410,[1]master_data!$A$2:$E$495,3,FALSE)</f>
        <v>900</v>
      </c>
      <c r="G2410" s="16">
        <f>VLOOKUP(C2410,[1]master_data!$A$2:$E$495,4,FALSE)</f>
        <v>2000</v>
      </c>
      <c r="H2410" s="16">
        <f>E2410*F2410</f>
        <v>3600</v>
      </c>
      <c r="I2410" s="16">
        <f>E2410*G2410</f>
        <v>8000</v>
      </c>
      <c r="J2410" s="16">
        <f>I2410-H2410</f>
        <v>4400</v>
      </c>
      <c r="K2410" s="16" t="str">
        <f>VLOOKUP(C2410,[1]master_data!$A$2:$E$495,5,FALSE)</f>
        <v>Ikan</v>
      </c>
      <c r="L2410" s="1"/>
    </row>
    <row r="2411" spans="1:12" ht="12" customHeight="1" x14ac:dyDescent="0.25">
      <c r="A2411" s="15">
        <v>44940</v>
      </c>
      <c r="B2411" s="16">
        <v>22300099</v>
      </c>
      <c r="C2411" s="16" t="s">
        <v>433</v>
      </c>
      <c r="D2411" s="16" t="str">
        <f>VLOOKUP(C2411,[1]master_data!$A$2:$E$495,2,FALSE)</f>
        <v>MOLI BALON</v>
      </c>
      <c r="E2411" s="16">
        <v>1</v>
      </c>
      <c r="F2411" s="16">
        <f>VLOOKUP(C2411,[1]master_data!$A$2:$E$495,3,FALSE)</f>
        <v>800</v>
      </c>
      <c r="G2411" s="16">
        <f>VLOOKUP(C2411,[1]master_data!$A$2:$E$495,4,FALSE)</f>
        <v>2000</v>
      </c>
      <c r="H2411" s="16">
        <f>E2411*F2411</f>
        <v>800</v>
      </c>
      <c r="I2411" s="16">
        <f>E2411*G2411</f>
        <v>2000</v>
      </c>
      <c r="J2411" s="16">
        <f>I2411-H2411</f>
        <v>1200</v>
      </c>
      <c r="K2411" s="16" t="str">
        <f>VLOOKUP(C2411,[1]master_data!$A$2:$E$495,5,FALSE)</f>
        <v>Ikan</v>
      </c>
      <c r="L2411" s="1"/>
    </row>
    <row r="2412" spans="1:12" ht="12" customHeight="1" x14ac:dyDescent="0.25">
      <c r="A2412" s="15">
        <v>44939</v>
      </c>
      <c r="B2412" s="16">
        <v>22300083</v>
      </c>
      <c r="C2412" s="16" t="s">
        <v>134</v>
      </c>
      <c r="D2412" s="16" t="str">
        <f>VLOOKUP(C2412,[1]master_data!$A$2:$E$495,2,FALSE)</f>
        <v>LED NIKITA NS 300</v>
      </c>
      <c r="E2412" s="16">
        <v>2</v>
      </c>
      <c r="F2412" s="16">
        <f>VLOOKUP(C2412,[1]master_data!$A$2:$E$495,3,FALSE)</f>
        <v>36000</v>
      </c>
      <c r="G2412" s="16">
        <f>VLOOKUP(C2412,[1]master_data!$A$2:$E$495,4,FALSE)</f>
        <v>55000</v>
      </c>
      <c r="H2412" s="16">
        <f>E2412*F2412</f>
        <v>72000</v>
      </c>
      <c r="I2412" s="16">
        <f>E2412*G2412</f>
        <v>110000</v>
      </c>
      <c r="J2412" s="16">
        <f>I2412-H2412</f>
        <v>38000</v>
      </c>
      <c r="K2412" s="16" t="str">
        <f>VLOOKUP(C2412,[1]master_data!$A$2:$E$495,5,FALSE)</f>
        <v>Aksesoris</v>
      </c>
      <c r="L2412" s="1"/>
    </row>
    <row r="2413" spans="1:12" ht="12" customHeight="1" x14ac:dyDescent="0.25">
      <c r="A2413" s="15">
        <v>44939</v>
      </c>
      <c r="B2413" s="16">
        <v>22300084</v>
      </c>
      <c r="C2413" s="16" t="s">
        <v>118</v>
      </c>
      <c r="D2413" s="16" t="str">
        <f>VLOOKUP(C2413,[1]master_data!$A$2:$E$495,2,FALSE)</f>
        <v>LED ROSTON 3 MODE 20 CM</v>
      </c>
      <c r="E2413" s="16">
        <v>2</v>
      </c>
      <c r="F2413" s="16">
        <f>VLOOKUP(C2413,[1]master_data!$A$2:$E$495,3,FALSE)</f>
        <v>23000</v>
      </c>
      <c r="G2413" s="16">
        <f>VLOOKUP(C2413,[1]master_data!$A$2:$E$495,4,FALSE)</f>
        <v>40000</v>
      </c>
      <c r="H2413" s="16">
        <f>E2413*F2413</f>
        <v>46000</v>
      </c>
      <c r="I2413" s="16">
        <f>E2413*G2413</f>
        <v>80000</v>
      </c>
      <c r="J2413" s="16">
        <f>I2413-H2413</f>
        <v>34000</v>
      </c>
      <c r="K2413" s="16" t="str">
        <f>VLOOKUP(C2413,[1]master_data!$A$2:$E$495,5,FALSE)</f>
        <v>Aksesoris</v>
      </c>
      <c r="L2413" s="1"/>
    </row>
    <row r="2414" spans="1:12" ht="12" customHeight="1" x14ac:dyDescent="0.25">
      <c r="A2414" s="15">
        <v>44939</v>
      </c>
      <c r="B2414" s="16">
        <v>22300085</v>
      </c>
      <c r="C2414" s="16" t="s">
        <v>457</v>
      </c>
      <c r="D2414" s="16" t="str">
        <f>VLOOKUP(C2414,[1]master_data!$A$2:$E$495,2,FALSE)</f>
        <v>ZEBRA UNGU</v>
      </c>
      <c r="E2414" s="16">
        <v>15</v>
      </c>
      <c r="F2414" s="16">
        <f>VLOOKUP(C2414,[1]master_data!$A$2:$E$495,3,FALSE)</f>
        <v>800</v>
      </c>
      <c r="G2414" s="16">
        <f>VLOOKUP(C2414,[1]master_data!$A$2:$E$495,4,FALSE)</f>
        <v>2000</v>
      </c>
      <c r="H2414" s="16">
        <f>E2414*F2414</f>
        <v>12000</v>
      </c>
      <c r="I2414" s="16">
        <f>E2414*G2414</f>
        <v>30000</v>
      </c>
      <c r="J2414" s="16">
        <f>I2414-H2414</f>
        <v>18000</v>
      </c>
      <c r="K2414" s="16" t="str">
        <f>VLOOKUP(C2414,[1]master_data!$A$2:$E$495,5,FALSE)</f>
        <v>Ikan</v>
      </c>
      <c r="L2414" s="1"/>
    </row>
    <row r="2415" spans="1:12" ht="12" customHeight="1" x14ac:dyDescent="0.25">
      <c r="A2415" s="15">
        <v>44939</v>
      </c>
      <c r="B2415" s="16">
        <v>22300086</v>
      </c>
      <c r="C2415" s="16" t="s">
        <v>398</v>
      </c>
      <c r="D2415" s="16" t="str">
        <f>VLOOKUP(C2415,[1]master_data!$A$2:$E$495,2,FALSE)</f>
        <v>BALA BALA K</v>
      </c>
      <c r="E2415" s="16">
        <v>30</v>
      </c>
      <c r="F2415" s="16">
        <f>VLOOKUP(C2415,[1]master_data!$A$2:$E$495,3,FALSE)</f>
        <v>4000</v>
      </c>
      <c r="G2415" s="16">
        <f>VLOOKUP(C2415,[1]master_data!$A$2:$E$495,4,FALSE)</f>
        <v>8000</v>
      </c>
      <c r="H2415" s="16">
        <f>E2415*F2415</f>
        <v>120000</v>
      </c>
      <c r="I2415" s="16">
        <f>E2415*G2415</f>
        <v>240000</v>
      </c>
      <c r="J2415" s="16">
        <f>I2415-H2415</f>
        <v>120000</v>
      </c>
      <c r="K2415" s="16" t="str">
        <f>VLOOKUP(C2415,[1]master_data!$A$2:$E$495,5,FALSE)</f>
        <v>Ikan</v>
      </c>
      <c r="L2415" s="1"/>
    </row>
    <row r="2416" spans="1:12" ht="12" customHeight="1" x14ac:dyDescent="0.25">
      <c r="A2416" s="15">
        <v>44939</v>
      </c>
      <c r="B2416" s="16">
        <v>22300087</v>
      </c>
      <c r="C2416" s="16" t="s">
        <v>193</v>
      </c>
      <c r="D2416" s="16" t="str">
        <f>VLOOKUP(C2416,[1]master_data!$A$2:$E$495,2,FALSE)</f>
        <v>LED KANDILA DnN ECO 80 CM</v>
      </c>
      <c r="E2416" s="16">
        <v>1</v>
      </c>
      <c r="F2416" s="16">
        <f>VLOOKUP(C2416,[1]master_data!$A$2:$E$495,3,FALSE)</f>
        <v>78000</v>
      </c>
      <c r="G2416" s="16">
        <f>VLOOKUP(C2416,[1]master_data!$A$2:$E$495,4,FALSE)</f>
        <v>110000</v>
      </c>
      <c r="H2416" s="16">
        <f>E2416*F2416</f>
        <v>78000</v>
      </c>
      <c r="I2416" s="16">
        <f>E2416*G2416</f>
        <v>110000</v>
      </c>
      <c r="J2416" s="16">
        <f>I2416-H2416</f>
        <v>32000</v>
      </c>
      <c r="K2416" s="16" t="str">
        <f>VLOOKUP(C2416,[1]master_data!$A$2:$E$495,5,FALSE)</f>
        <v>Aksesoris</v>
      </c>
      <c r="L2416" s="1"/>
    </row>
    <row r="2417" spans="1:12" ht="12" customHeight="1" x14ac:dyDescent="0.25">
      <c r="A2417" s="15">
        <v>44939</v>
      </c>
      <c r="B2417" s="16">
        <v>22300088</v>
      </c>
      <c r="C2417" s="16" t="s">
        <v>340</v>
      </c>
      <c r="D2417" s="16" t="str">
        <f>VLOOKUP(C2417,[1]master_data!$A$2:$E$495,2,FALSE)</f>
        <v>KUTUB LAS</v>
      </c>
      <c r="E2417" s="16">
        <v>10</v>
      </c>
      <c r="F2417" s="16">
        <f>VLOOKUP(C2417,[1]master_data!$A$2:$E$495,3,FALSE)</f>
        <v>15000</v>
      </c>
      <c r="G2417" s="16">
        <f>VLOOKUP(C2417,[1]master_data!$A$2:$E$495,4,FALSE)</f>
        <v>25000</v>
      </c>
      <c r="H2417" s="16">
        <f>E2417*F2417</f>
        <v>150000</v>
      </c>
      <c r="I2417" s="16">
        <f>E2417*G2417</f>
        <v>250000</v>
      </c>
      <c r="J2417" s="16">
        <f>I2417-H2417</f>
        <v>100000</v>
      </c>
      <c r="K2417" s="16" t="str">
        <f>VLOOKUP(C2417,[1]master_data!$A$2:$E$495,5,FALSE)</f>
        <v>Aksesoris</v>
      </c>
      <c r="L2417" s="1"/>
    </row>
    <row r="2418" spans="1:12" ht="12" customHeight="1" x14ac:dyDescent="0.25">
      <c r="A2418" s="15">
        <v>44939</v>
      </c>
      <c r="B2418" s="16">
        <v>22300089</v>
      </c>
      <c r="C2418" s="16" t="s">
        <v>164</v>
      </c>
      <c r="D2418" s="16" t="str">
        <f>VLOOKUP(C2418,[1]master_data!$A$2:$E$495,2,FALSE)</f>
        <v>LED KANDILA DnN 20 CM</v>
      </c>
      <c r="E2418" s="16">
        <v>1</v>
      </c>
      <c r="F2418" s="16">
        <f>VLOOKUP(C2418,[1]master_data!$A$2:$E$495,3,FALSE)</f>
        <v>26000</v>
      </c>
      <c r="G2418" s="16">
        <f>VLOOKUP(C2418,[1]master_data!$A$2:$E$495,4,FALSE)</f>
        <v>40000</v>
      </c>
      <c r="H2418" s="16">
        <f>E2418*F2418</f>
        <v>26000</v>
      </c>
      <c r="I2418" s="16">
        <f>E2418*G2418</f>
        <v>40000</v>
      </c>
      <c r="J2418" s="16">
        <f>I2418-H2418</f>
        <v>14000</v>
      </c>
      <c r="K2418" s="16" t="str">
        <f>VLOOKUP(C2418,[1]master_data!$A$2:$E$495,5,FALSE)</f>
        <v>Aksesoris</v>
      </c>
      <c r="L2418" s="1"/>
    </row>
    <row r="2419" spans="1:12" ht="12" customHeight="1" x14ac:dyDescent="0.25">
      <c r="A2419" s="15">
        <v>44939</v>
      </c>
      <c r="B2419" s="16">
        <v>22300090</v>
      </c>
      <c r="C2419" s="16" t="s">
        <v>419</v>
      </c>
      <c r="D2419" s="16" t="str">
        <f>VLOOKUP(C2419,[1]master_data!$A$2:$E$495,2,FALSE)</f>
        <v>KOMET PAKAN</v>
      </c>
      <c r="E2419" s="16">
        <v>45</v>
      </c>
      <c r="F2419" s="16">
        <f>VLOOKUP(C2419,[1]master_data!$A$2:$E$495,3,FALSE)</f>
        <v>300</v>
      </c>
      <c r="G2419" s="16">
        <f>VLOOKUP(C2419,[1]master_data!$A$2:$E$495,4,FALSE)</f>
        <v>1000</v>
      </c>
      <c r="H2419" s="16">
        <f>E2419*F2419</f>
        <v>13500</v>
      </c>
      <c r="I2419" s="16">
        <f>E2419*G2419</f>
        <v>45000</v>
      </c>
      <c r="J2419" s="16">
        <f>I2419-H2419</f>
        <v>31500</v>
      </c>
      <c r="K2419" s="16" t="str">
        <f>VLOOKUP(C2419,[1]master_data!$A$2:$E$495,5,FALSE)</f>
        <v>Ikan</v>
      </c>
      <c r="L2419" s="1"/>
    </row>
    <row r="2420" spans="1:12" ht="12" customHeight="1" x14ac:dyDescent="0.25">
      <c r="A2420" s="15">
        <v>44939</v>
      </c>
      <c r="B2420" s="16">
        <v>22300091</v>
      </c>
      <c r="C2420" s="16" t="s">
        <v>64</v>
      </c>
      <c r="D2420" s="16" t="str">
        <f>VLOOKUP(C2420,[1]master_data!$A$2:$E$495,2,FALSE)</f>
        <v>MESIN SUSUN 3000</v>
      </c>
      <c r="E2420" s="16">
        <v>1</v>
      </c>
      <c r="F2420" s="16">
        <f>VLOOKUP(C2420,[1]master_data!$A$2:$E$495,3,FALSE)</f>
        <v>409000</v>
      </c>
      <c r="G2420" s="16">
        <f>VLOOKUP(C2420,[1]master_data!$A$2:$E$495,4,FALSE)</f>
        <v>450000</v>
      </c>
      <c r="H2420" s="16">
        <f>E2420*F2420</f>
        <v>409000</v>
      </c>
      <c r="I2420" s="16">
        <f>E2420*G2420</f>
        <v>450000</v>
      </c>
      <c r="J2420" s="16">
        <f>I2420-H2420</f>
        <v>41000</v>
      </c>
      <c r="K2420" s="16" t="str">
        <f>VLOOKUP(C2420,[1]master_data!$A$2:$E$495,5,FALSE)</f>
        <v>Aksesoris</v>
      </c>
      <c r="L2420" s="1"/>
    </row>
    <row r="2421" spans="1:12" ht="12" customHeight="1" x14ac:dyDescent="0.25">
      <c r="A2421" s="15">
        <v>44939</v>
      </c>
      <c r="B2421" s="16">
        <v>22300092</v>
      </c>
      <c r="C2421" s="16" t="s">
        <v>419</v>
      </c>
      <c r="D2421" s="16" t="str">
        <f>VLOOKUP(C2421,[1]master_data!$A$2:$E$495,2,FALSE)</f>
        <v>KOMET PAKAN</v>
      </c>
      <c r="E2421" s="16">
        <v>300</v>
      </c>
      <c r="F2421" s="16">
        <f>VLOOKUP(C2421,[1]master_data!$A$2:$E$495,3,FALSE)</f>
        <v>300</v>
      </c>
      <c r="G2421" s="16">
        <f>VLOOKUP(C2421,[1]master_data!$A$2:$E$495,4,FALSE)</f>
        <v>1000</v>
      </c>
      <c r="H2421" s="16">
        <f>E2421*F2421</f>
        <v>90000</v>
      </c>
      <c r="I2421" s="16">
        <f>E2421*G2421</f>
        <v>300000</v>
      </c>
      <c r="J2421" s="16">
        <f>I2421-H2421</f>
        <v>210000</v>
      </c>
      <c r="K2421" s="16" t="str">
        <f>VLOOKUP(C2421,[1]master_data!$A$2:$E$495,5,FALSE)</f>
        <v>Ikan</v>
      </c>
      <c r="L2421" s="1"/>
    </row>
    <row r="2422" spans="1:12" ht="12" customHeight="1" x14ac:dyDescent="0.25">
      <c r="A2422" s="15">
        <v>44938</v>
      </c>
      <c r="B2422" s="16">
        <v>22300080</v>
      </c>
      <c r="C2422" s="16" t="s">
        <v>416</v>
      </c>
      <c r="D2422" s="16" t="str">
        <f>VLOOKUP(C2422,[1]master_data!$A$2:$E$495,2,FALSE)</f>
        <v>KOI B</v>
      </c>
      <c r="E2422" s="16">
        <v>1</v>
      </c>
      <c r="F2422" s="16">
        <f>VLOOKUP(C2422,[1]master_data!$A$2:$E$495,3,FALSE)</f>
        <v>9000</v>
      </c>
      <c r="G2422" s="16">
        <f>VLOOKUP(C2422,[1]master_data!$A$2:$E$495,4,FALSE)</f>
        <v>30000</v>
      </c>
      <c r="H2422" s="16">
        <f>E2422*F2422</f>
        <v>9000</v>
      </c>
      <c r="I2422" s="16">
        <f>E2422*G2422</f>
        <v>30000</v>
      </c>
      <c r="J2422" s="16">
        <f>I2422-H2422</f>
        <v>21000</v>
      </c>
      <c r="K2422" s="16" t="str">
        <f>VLOOKUP(C2422,[1]master_data!$A$2:$E$495,5,FALSE)</f>
        <v>Ikan</v>
      </c>
      <c r="L2422" s="1"/>
    </row>
    <row r="2423" spans="1:12" ht="12" customHeight="1" x14ac:dyDescent="0.25">
      <c r="A2423" s="15">
        <v>44938</v>
      </c>
      <c r="B2423" s="16">
        <v>22300081</v>
      </c>
      <c r="C2423" s="16" t="s">
        <v>446</v>
      </c>
      <c r="D2423" s="16" t="str">
        <f>VLOOKUP(C2423,[1]master_data!$A$2:$E$495,2,FALSE)</f>
        <v xml:space="preserve"> CHANNA RED BARITO K</v>
      </c>
      <c r="E2423" s="16">
        <v>7</v>
      </c>
      <c r="F2423" s="16">
        <f>VLOOKUP(C2423,[1]master_data!$A$2:$E$495,3,FALSE)</f>
        <v>45000</v>
      </c>
      <c r="G2423" s="16">
        <f>VLOOKUP(C2423,[1]master_data!$A$2:$E$495,4,FALSE)</f>
        <v>100000</v>
      </c>
      <c r="H2423" s="16">
        <f>E2423*F2423</f>
        <v>315000</v>
      </c>
      <c r="I2423" s="16">
        <f>E2423*G2423</f>
        <v>700000</v>
      </c>
      <c r="J2423" s="16">
        <f>I2423-H2423</f>
        <v>385000</v>
      </c>
      <c r="K2423" s="16" t="str">
        <f>VLOOKUP(C2423,[1]master_data!$A$2:$E$495,5,FALSE)</f>
        <v>Ikan</v>
      </c>
      <c r="L2423" s="1"/>
    </row>
    <row r="2424" spans="1:12" ht="12" customHeight="1" x14ac:dyDescent="0.25">
      <c r="A2424" s="15">
        <v>44938</v>
      </c>
      <c r="B2424" s="16">
        <v>22300082</v>
      </c>
      <c r="C2424" s="16" t="s">
        <v>418</v>
      </c>
      <c r="D2424" s="16" t="str">
        <f>VLOOKUP(C2424,[1]master_data!$A$2:$E$495,2,FALSE)</f>
        <v>KAVIAT</v>
      </c>
      <c r="E2424" s="16">
        <v>2</v>
      </c>
      <c r="F2424" s="16">
        <f>VLOOKUP(C2424,[1]master_data!$A$2:$E$495,3,FALSE)</f>
        <v>3500</v>
      </c>
      <c r="G2424" s="16">
        <f>VLOOKUP(C2424,[1]master_data!$A$2:$E$495,4,FALSE)</f>
        <v>8000</v>
      </c>
      <c r="H2424" s="16">
        <f>E2424*F2424</f>
        <v>7000</v>
      </c>
      <c r="I2424" s="16">
        <f>E2424*G2424</f>
        <v>16000</v>
      </c>
      <c r="J2424" s="16">
        <f>I2424-H2424</f>
        <v>9000</v>
      </c>
      <c r="K2424" s="16" t="str">
        <f>VLOOKUP(C2424,[1]master_data!$A$2:$E$495,5,FALSE)</f>
        <v>Ikan</v>
      </c>
      <c r="L2424" s="1"/>
    </row>
    <row r="2425" spans="1:12" ht="12" customHeight="1" x14ac:dyDescent="0.25">
      <c r="A2425" s="15">
        <v>44937</v>
      </c>
      <c r="B2425" s="16">
        <v>22300073</v>
      </c>
      <c r="C2425" s="16" t="s">
        <v>359</v>
      </c>
      <c r="D2425" s="16" t="str">
        <f>VLOOKUP(C2425,[1]master_data!$A$2:$E$495,2,FALSE)</f>
        <v>TOPLES 12,3 L</v>
      </c>
      <c r="E2425" s="16">
        <v>2</v>
      </c>
      <c r="F2425" s="16">
        <f>VLOOKUP(C2425,[1]master_data!$A$2:$E$495,3,FALSE)</f>
        <v>52000</v>
      </c>
      <c r="G2425" s="16">
        <f>VLOOKUP(C2425,[1]master_data!$A$2:$E$495,4,FALSE)</f>
        <v>110000</v>
      </c>
      <c r="H2425" s="16">
        <f>E2425*F2425</f>
        <v>104000</v>
      </c>
      <c r="I2425" s="16">
        <f>E2425*G2425</f>
        <v>220000</v>
      </c>
      <c r="J2425" s="16">
        <f>I2425-H2425</f>
        <v>116000</v>
      </c>
      <c r="K2425" s="16" t="str">
        <f>VLOOKUP(C2425,[1]master_data!$A$2:$E$495,5,FALSE)</f>
        <v>Aksesoris</v>
      </c>
      <c r="L2425" s="1"/>
    </row>
    <row r="2426" spans="1:12" ht="12" customHeight="1" x14ac:dyDescent="0.25">
      <c r="A2426" s="15">
        <v>44937</v>
      </c>
      <c r="B2426" s="16">
        <v>22300074</v>
      </c>
      <c r="C2426" s="16" t="s">
        <v>399</v>
      </c>
      <c r="D2426" s="16" t="str">
        <f>VLOOKUP(C2426,[1]master_data!$A$2:$E$495,2,FALSE)</f>
        <v>BALA BALA B</v>
      </c>
      <c r="E2426" s="16">
        <v>10</v>
      </c>
      <c r="F2426" s="16">
        <f>VLOOKUP(C2426,[1]master_data!$A$2:$E$495,3,FALSE)</f>
        <v>7000</v>
      </c>
      <c r="G2426" s="16">
        <f>VLOOKUP(C2426,[1]master_data!$A$2:$E$495,4,FALSE)</f>
        <v>15000</v>
      </c>
      <c r="H2426" s="16">
        <f>E2426*F2426</f>
        <v>70000</v>
      </c>
      <c r="I2426" s="16">
        <f>E2426*G2426</f>
        <v>150000</v>
      </c>
      <c r="J2426" s="16">
        <f>I2426-H2426</f>
        <v>80000</v>
      </c>
      <c r="K2426" s="16" t="str">
        <f>VLOOKUP(C2426,[1]master_data!$A$2:$E$495,5,FALSE)</f>
        <v>Ikan</v>
      </c>
      <c r="L2426" s="1"/>
    </row>
    <row r="2427" spans="1:12" ht="12" customHeight="1" x14ac:dyDescent="0.25">
      <c r="A2427" s="15">
        <v>44937</v>
      </c>
      <c r="B2427" s="16">
        <v>22300075</v>
      </c>
      <c r="C2427" s="16" t="s">
        <v>406</v>
      </c>
      <c r="D2427" s="16" t="str">
        <f>VLOOKUP(C2427,[1]master_data!$A$2:$E$495,2,FALSE)</f>
        <v>CATFISH</v>
      </c>
      <c r="E2427" s="16">
        <v>2</v>
      </c>
      <c r="F2427" s="16">
        <f>VLOOKUP(C2427,[1]master_data!$A$2:$E$495,3,FALSE)</f>
        <v>20000</v>
      </c>
      <c r="G2427" s="16">
        <f>VLOOKUP(C2427,[1]master_data!$A$2:$E$495,4,FALSE)</f>
        <v>50000</v>
      </c>
      <c r="H2427" s="16">
        <f>E2427*F2427</f>
        <v>40000</v>
      </c>
      <c r="I2427" s="16">
        <f>E2427*G2427</f>
        <v>100000</v>
      </c>
      <c r="J2427" s="16">
        <f>I2427-H2427</f>
        <v>60000</v>
      </c>
      <c r="K2427" s="16" t="str">
        <f>VLOOKUP(C2427,[1]master_data!$A$2:$E$495,5,FALSE)</f>
        <v>Ikan</v>
      </c>
      <c r="L2427" s="1"/>
    </row>
    <row r="2428" spans="1:12" ht="12" customHeight="1" x14ac:dyDescent="0.25">
      <c r="A2428" s="15">
        <v>44937</v>
      </c>
      <c r="B2428" s="16">
        <v>22300076</v>
      </c>
      <c r="C2428" s="16" t="s">
        <v>100</v>
      </c>
      <c r="D2428" s="16" t="str">
        <f>VLOOKUP(C2428,[1]master_data!$A$2:$E$495,2,FALSE)</f>
        <v>MESIN AMARA 106</v>
      </c>
      <c r="E2428" s="16">
        <v>1</v>
      </c>
      <c r="F2428" s="16">
        <f>VLOOKUP(C2428,[1]master_data!$A$2:$E$495,3,FALSE)</f>
        <v>270000</v>
      </c>
      <c r="G2428" s="16">
        <f>VLOOKUP(C2428,[1]master_data!$A$2:$E$495,4,FALSE)</f>
        <v>330000</v>
      </c>
      <c r="H2428" s="16">
        <f>E2428*F2428</f>
        <v>270000</v>
      </c>
      <c r="I2428" s="16">
        <f>E2428*G2428</f>
        <v>330000</v>
      </c>
      <c r="J2428" s="16">
        <f>I2428-H2428</f>
        <v>60000</v>
      </c>
      <c r="K2428" s="16" t="str">
        <f>VLOOKUP(C2428,[1]master_data!$A$2:$E$495,5,FALSE)</f>
        <v>Aksesoris</v>
      </c>
      <c r="L2428" s="1"/>
    </row>
    <row r="2429" spans="1:12" ht="12" customHeight="1" x14ac:dyDescent="0.25">
      <c r="A2429" s="15">
        <v>44937</v>
      </c>
      <c r="B2429" s="16">
        <v>22300077</v>
      </c>
      <c r="C2429" s="16" t="s">
        <v>348</v>
      </c>
      <c r="D2429" s="16" t="str">
        <f>VLOOKUP(C2429,[1]master_data!$A$2:$E$495,2,FALSE)</f>
        <v>AKUARIUM 80 ROBOT</v>
      </c>
      <c r="E2429" s="16">
        <v>1</v>
      </c>
      <c r="F2429" s="16">
        <f>VLOOKUP(C2429,[1]master_data!$A$2:$E$495,3,FALSE)</f>
        <v>300000</v>
      </c>
      <c r="G2429" s="16">
        <f>VLOOKUP(C2429,[1]master_data!$A$2:$E$495,4,FALSE)</f>
        <v>370000</v>
      </c>
      <c r="H2429" s="16">
        <f>E2429*F2429</f>
        <v>300000</v>
      </c>
      <c r="I2429" s="16">
        <f>E2429*G2429</f>
        <v>370000</v>
      </c>
      <c r="J2429" s="16">
        <f>I2429-H2429</f>
        <v>70000</v>
      </c>
      <c r="K2429" s="16" t="str">
        <f>VLOOKUP(C2429,[1]master_data!$A$2:$E$495,5,FALSE)</f>
        <v>Aksesoris</v>
      </c>
      <c r="L2429" s="1"/>
    </row>
    <row r="2430" spans="1:12" ht="12" customHeight="1" x14ac:dyDescent="0.25">
      <c r="A2430" s="15">
        <v>44937</v>
      </c>
      <c r="B2430" s="16">
        <v>22300078</v>
      </c>
      <c r="C2430" s="16" t="s">
        <v>281</v>
      </c>
      <c r="D2430" s="16" t="str">
        <f>VLOOKUP(C2430,[1]master_data!$A$2:$E$495,2,FALSE)</f>
        <v>KRAN 3 W</v>
      </c>
      <c r="E2430" s="16">
        <v>18</v>
      </c>
      <c r="F2430" s="16">
        <f>VLOOKUP(C2430,[1]master_data!$A$2:$E$495,3,FALSE)</f>
        <v>5500</v>
      </c>
      <c r="G2430" s="16">
        <f>VLOOKUP(C2430,[1]master_data!$A$2:$E$495,4,FALSE)</f>
        <v>8000</v>
      </c>
      <c r="H2430" s="16">
        <f>E2430*F2430</f>
        <v>99000</v>
      </c>
      <c r="I2430" s="16">
        <f>E2430*G2430</f>
        <v>144000</v>
      </c>
      <c r="J2430" s="16">
        <f>I2430-H2430</f>
        <v>45000</v>
      </c>
      <c r="K2430" s="16" t="str">
        <f>VLOOKUP(C2430,[1]master_data!$A$2:$E$495,5,FALSE)</f>
        <v>Aksesoris</v>
      </c>
      <c r="L2430" s="1"/>
    </row>
    <row r="2431" spans="1:12" ht="12" customHeight="1" x14ac:dyDescent="0.25">
      <c r="A2431" s="15">
        <v>44937</v>
      </c>
      <c r="B2431" s="16">
        <v>22300079</v>
      </c>
      <c r="C2431" s="16" t="s">
        <v>429</v>
      </c>
      <c r="D2431" s="16" t="str">
        <f>VLOOKUP(C2431,[1]master_data!$A$2:$E$495,2,FALSE)</f>
        <v>MANFISH B</v>
      </c>
      <c r="E2431" s="16">
        <v>1</v>
      </c>
      <c r="F2431" s="16">
        <f>VLOOKUP(C2431,[1]master_data!$A$2:$E$495,3,FALSE)</f>
        <v>4000</v>
      </c>
      <c r="G2431" s="16">
        <f>VLOOKUP(C2431,[1]master_data!$A$2:$E$495,4,FALSE)</f>
        <v>10000</v>
      </c>
      <c r="H2431" s="16">
        <f>E2431*F2431</f>
        <v>4000</v>
      </c>
      <c r="I2431" s="16">
        <f>E2431*G2431</f>
        <v>10000</v>
      </c>
      <c r="J2431" s="16">
        <f>I2431-H2431</f>
        <v>6000</v>
      </c>
      <c r="K2431" s="16" t="str">
        <f>VLOOKUP(C2431,[1]master_data!$A$2:$E$495,5,FALSE)</f>
        <v>Ikan</v>
      </c>
      <c r="L2431" s="1"/>
    </row>
    <row r="2432" spans="1:12" ht="12" customHeight="1" x14ac:dyDescent="0.25">
      <c r="A2432" s="15">
        <v>44936</v>
      </c>
      <c r="B2432" s="16">
        <v>22300062</v>
      </c>
      <c r="C2432" s="16" t="s">
        <v>434</v>
      </c>
      <c r="D2432" s="16" t="str">
        <f>VLOOKUP(C2432,[1]master_data!$A$2:$E$495,2,FALSE)</f>
        <v>NIASA</v>
      </c>
      <c r="E2432" s="16">
        <v>10</v>
      </c>
      <c r="F2432" s="16">
        <f>VLOOKUP(C2432,[1]master_data!$A$2:$E$495,3,FALSE)</f>
        <v>900</v>
      </c>
      <c r="G2432" s="16">
        <f>VLOOKUP(C2432,[1]master_data!$A$2:$E$495,4,FALSE)</f>
        <v>2000</v>
      </c>
      <c r="H2432" s="16">
        <f>E2432*F2432</f>
        <v>9000</v>
      </c>
      <c r="I2432" s="16">
        <f>E2432*G2432</f>
        <v>20000</v>
      </c>
      <c r="J2432" s="16">
        <f>I2432-H2432</f>
        <v>11000</v>
      </c>
      <c r="K2432" s="16" t="str">
        <f>VLOOKUP(C2432,[1]master_data!$A$2:$E$495,5,FALSE)</f>
        <v>Ikan</v>
      </c>
      <c r="L2432" s="1"/>
    </row>
    <row r="2433" spans="1:12" ht="12" customHeight="1" x14ac:dyDescent="0.25">
      <c r="A2433" s="15">
        <v>44936</v>
      </c>
      <c r="B2433" s="16">
        <v>22300063</v>
      </c>
      <c r="C2433" s="16" t="s">
        <v>433</v>
      </c>
      <c r="D2433" s="16" t="str">
        <f>VLOOKUP(C2433,[1]master_data!$A$2:$E$495,2,FALSE)</f>
        <v>MOLI BALON</v>
      </c>
      <c r="E2433" s="16">
        <v>25</v>
      </c>
      <c r="F2433" s="16">
        <f>VLOOKUP(C2433,[1]master_data!$A$2:$E$495,3,FALSE)</f>
        <v>800</v>
      </c>
      <c r="G2433" s="16">
        <f>VLOOKUP(C2433,[1]master_data!$A$2:$E$495,4,FALSE)</f>
        <v>2000</v>
      </c>
      <c r="H2433" s="16">
        <f>E2433*F2433</f>
        <v>20000</v>
      </c>
      <c r="I2433" s="16">
        <f>E2433*G2433</f>
        <v>50000</v>
      </c>
      <c r="J2433" s="16">
        <f>I2433-H2433</f>
        <v>30000</v>
      </c>
      <c r="K2433" s="16" t="str">
        <f>VLOOKUP(C2433,[1]master_data!$A$2:$E$495,5,FALSE)</f>
        <v>Ikan</v>
      </c>
      <c r="L2433" s="1"/>
    </row>
    <row r="2434" spans="1:12" ht="12" customHeight="1" x14ac:dyDescent="0.25">
      <c r="A2434" s="15">
        <v>44936</v>
      </c>
      <c r="B2434" s="16">
        <v>22300064</v>
      </c>
      <c r="C2434" s="16" t="s">
        <v>308</v>
      </c>
      <c r="D2434" s="16" t="str">
        <f>VLOOKUP(C2434,[1]master_data!$A$2:$E$495,2,FALSE)</f>
        <v>SELANG SPIRAL</v>
      </c>
      <c r="E2434" s="16">
        <v>20</v>
      </c>
      <c r="F2434" s="16">
        <f>VLOOKUP(C2434,[1]master_data!$A$2:$E$495,3,FALSE)</f>
        <v>2600</v>
      </c>
      <c r="G2434" s="16">
        <f>VLOOKUP(C2434,[1]master_data!$A$2:$E$495,4,FALSE)</f>
        <v>5000</v>
      </c>
      <c r="H2434" s="16">
        <f>E2434*F2434</f>
        <v>52000</v>
      </c>
      <c r="I2434" s="16">
        <f>E2434*G2434</f>
        <v>100000</v>
      </c>
      <c r="J2434" s="16">
        <f>I2434-H2434</f>
        <v>48000</v>
      </c>
      <c r="K2434" s="16" t="str">
        <f>VLOOKUP(C2434,[1]master_data!$A$2:$E$495,5,FALSE)</f>
        <v>Aksesoris</v>
      </c>
      <c r="L2434" s="1"/>
    </row>
    <row r="2435" spans="1:12" ht="12" customHeight="1" x14ac:dyDescent="0.25">
      <c r="A2435" s="15">
        <v>44936</v>
      </c>
      <c r="B2435" s="16">
        <v>22300065</v>
      </c>
      <c r="C2435" s="16" t="s">
        <v>425</v>
      </c>
      <c r="D2435" s="16" t="str">
        <f>VLOOKUP(C2435,[1]master_data!$A$2:$E$495,2,FALSE)</f>
        <v>LEMON</v>
      </c>
      <c r="E2435" s="16">
        <v>10</v>
      </c>
      <c r="F2435" s="16">
        <f>VLOOKUP(C2435,[1]master_data!$A$2:$E$495,3,FALSE)</f>
        <v>1000</v>
      </c>
      <c r="G2435" s="16">
        <f>VLOOKUP(C2435,[1]master_data!$A$2:$E$495,4,FALSE)</f>
        <v>2000</v>
      </c>
      <c r="H2435" s="16">
        <f>E2435*F2435</f>
        <v>10000</v>
      </c>
      <c r="I2435" s="16">
        <f>E2435*G2435</f>
        <v>20000</v>
      </c>
      <c r="J2435" s="16">
        <f>I2435-H2435</f>
        <v>10000</v>
      </c>
      <c r="K2435" s="16" t="str">
        <f>VLOOKUP(C2435,[1]master_data!$A$2:$E$495,5,FALSE)</f>
        <v>Ikan</v>
      </c>
      <c r="L2435" s="1"/>
    </row>
    <row r="2436" spans="1:12" ht="12" customHeight="1" x14ac:dyDescent="0.25">
      <c r="A2436" s="15">
        <v>44936</v>
      </c>
      <c r="B2436" s="16">
        <v>22300066</v>
      </c>
      <c r="C2436" s="16" t="s">
        <v>105</v>
      </c>
      <c r="D2436" s="16" t="str">
        <f>VLOOKUP(C2436,[1]master_data!$A$2:$E$495,2,FALSE)</f>
        <v>AIRATOR ROSTON LUB 4</v>
      </c>
      <c r="E2436" s="16">
        <v>1</v>
      </c>
      <c r="F2436" s="16">
        <f>VLOOKUP(C2436,[1]master_data!$A$2:$E$495,3,FALSE)</f>
        <v>85000</v>
      </c>
      <c r="G2436" s="16">
        <f>VLOOKUP(C2436,[1]master_data!$A$2:$E$495,4,FALSE)</f>
        <v>125000</v>
      </c>
      <c r="H2436" s="16">
        <f>E2436*F2436</f>
        <v>85000</v>
      </c>
      <c r="I2436" s="16">
        <f>E2436*G2436</f>
        <v>125000</v>
      </c>
      <c r="J2436" s="16">
        <f>I2436-H2436</f>
        <v>40000</v>
      </c>
      <c r="K2436" s="16" t="str">
        <f>VLOOKUP(C2436,[1]master_data!$A$2:$E$495,5,FALSE)</f>
        <v>Aksesoris</v>
      </c>
      <c r="L2436" s="1"/>
    </row>
    <row r="2437" spans="1:12" ht="12" customHeight="1" x14ac:dyDescent="0.25">
      <c r="A2437" s="15">
        <v>44936</v>
      </c>
      <c r="B2437" s="16">
        <v>22300067</v>
      </c>
      <c r="C2437" s="16" t="s">
        <v>456</v>
      </c>
      <c r="D2437" s="16" t="str">
        <f>VLOOKUP(C2437,[1]master_data!$A$2:$E$495,2,FALSE)</f>
        <v>ZEBRA HIJAU</v>
      </c>
      <c r="E2437" s="16">
        <v>15</v>
      </c>
      <c r="F2437" s="16">
        <f>VLOOKUP(C2437,[1]master_data!$A$2:$E$495,3,FALSE)</f>
        <v>800</v>
      </c>
      <c r="G2437" s="16">
        <f>VLOOKUP(C2437,[1]master_data!$A$2:$E$495,4,FALSE)</f>
        <v>2000</v>
      </c>
      <c r="H2437" s="16">
        <f>E2437*F2437</f>
        <v>12000</v>
      </c>
      <c r="I2437" s="16">
        <f>E2437*G2437</f>
        <v>30000</v>
      </c>
      <c r="J2437" s="16">
        <f>I2437-H2437</f>
        <v>18000</v>
      </c>
      <c r="K2437" s="16" t="str">
        <f>VLOOKUP(C2437,[1]master_data!$A$2:$E$495,5,FALSE)</f>
        <v>Ikan</v>
      </c>
      <c r="L2437" s="1"/>
    </row>
    <row r="2438" spans="1:12" ht="12" customHeight="1" x14ac:dyDescent="0.25">
      <c r="A2438" s="15">
        <v>44936</v>
      </c>
      <c r="B2438" s="16">
        <v>22300068</v>
      </c>
      <c r="C2438" s="16" t="s">
        <v>440</v>
      </c>
      <c r="D2438" s="16" t="str">
        <f>VLOOKUP(C2438,[1]master_data!$A$2:$E$495,2,FALSE)</f>
        <v>PEMBERSIH KACA ALBINO</v>
      </c>
      <c r="E2438" s="16">
        <v>40</v>
      </c>
      <c r="F2438" s="16">
        <f>VLOOKUP(C2438,[1]master_data!$A$2:$E$495,3,FALSE)</f>
        <v>2500</v>
      </c>
      <c r="G2438" s="16">
        <f>VLOOKUP(C2438,[1]master_data!$A$2:$E$495,4,FALSE)</f>
        <v>5000</v>
      </c>
      <c r="H2438" s="16">
        <f>E2438*F2438</f>
        <v>100000</v>
      </c>
      <c r="I2438" s="16">
        <f>E2438*G2438</f>
        <v>200000</v>
      </c>
      <c r="J2438" s="16">
        <f>I2438-H2438</f>
        <v>100000</v>
      </c>
      <c r="K2438" s="16" t="str">
        <f>VLOOKUP(C2438,[1]master_data!$A$2:$E$495,5,FALSE)</f>
        <v>Ikan</v>
      </c>
      <c r="L2438" s="1"/>
    </row>
    <row r="2439" spans="1:12" ht="12" customHeight="1" x14ac:dyDescent="0.25">
      <c r="A2439" s="15">
        <v>44936</v>
      </c>
      <c r="B2439" s="16">
        <v>22300069</v>
      </c>
      <c r="C2439" s="16" t="s">
        <v>293</v>
      </c>
      <c r="D2439" s="16" t="str">
        <f>VLOOKUP(C2439,[1]master_data!$A$2:$E$495,2,FALSE)</f>
        <v>JARING NELAYAN</v>
      </c>
      <c r="E2439" s="16">
        <v>2</v>
      </c>
      <c r="F2439" s="16">
        <f>VLOOKUP(C2439,[1]master_data!$A$2:$E$495,3,FALSE)</f>
        <v>15000</v>
      </c>
      <c r="G2439" s="16">
        <f>VLOOKUP(C2439,[1]master_data!$A$2:$E$495,4,FALSE)</f>
        <v>25000</v>
      </c>
      <c r="H2439" s="16">
        <f>E2439*F2439</f>
        <v>30000</v>
      </c>
      <c r="I2439" s="16">
        <f>E2439*G2439</f>
        <v>50000</v>
      </c>
      <c r="J2439" s="16">
        <f>I2439-H2439</f>
        <v>20000</v>
      </c>
      <c r="K2439" s="16" t="str">
        <f>VLOOKUP(C2439,[1]master_data!$A$2:$E$495,5,FALSE)</f>
        <v>Aksesoris</v>
      </c>
      <c r="L2439" s="1"/>
    </row>
    <row r="2440" spans="1:12" ht="12" customHeight="1" x14ac:dyDescent="0.25">
      <c r="A2440" s="15">
        <v>44936</v>
      </c>
      <c r="B2440" s="16">
        <v>22300070</v>
      </c>
      <c r="C2440" s="16" t="s">
        <v>453</v>
      </c>
      <c r="D2440" s="16" t="str">
        <f>VLOOKUP(C2440,[1]master_data!$A$2:$E$495,2,FALSE)</f>
        <v>TETRA</v>
      </c>
      <c r="E2440" s="16">
        <v>10</v>
      </c>
      <c r="F2440" s="16">
        <f>VLOOKUP(C2440,[1]master_data!$A$2:$E$495,3,FALSE)</f>
        <v>800</v>
      </c>
      <c r="G2440" s="16">
        <f>VLOOKUP(C2440,[1]master_data!$A$2:$E$495,4,FALSE)</f>
        <v>2000</v>
      </c>
      <c r="H2440" s="16">
        <f>E2440*F2440</f>
        <v>8000</v>
      </c>
      <c r="I2440" s="16">
        <f>E2440*G2440</f>
        <v>20000</v>
      </c>
      <c r="J2440" s="16">
        <f>I2440-H2440</f>
        <v>12000</v>
      </c>
      <c r="K2440" s="16" t="str">
        <f>VLOOKUP(C2440,[1]master_data!$A$2:$E$495,5,FALSE)</f>
        <v>Ikan</v>
      </c>
      <c r="L2440" s="1"/>
    </row>
    <row r="2441" spans="1:12" ht="12" customHeight="1" x14ac:dyDescent="0.25">
      <c r="A2441" s="15">
        <v>44936</v>
      </c>
      <c r="B2441" s="16">
        <v>22300071</v>
      </c>
      <c r="C2441" s="16" t="s">
        <v>227</v>
      </c>
      <c r="D2441" s="16" t="str">
        <f>VLOOKUP(C2441,[1]master_data!$A$2:$E$495,2,FALSE)</f>
        <v>OK IKO LOUHAN HITAM</v>
      </c>
      <c r="E2441" s="16">
        <v>10</v>
      </c>
      <c r="F2441" s="16">
        <f>VLOOKUP(C2441,[1]master_data!$A$2:$E$495,3,FALSE)</f>
        <v>31500</v>
      </c>
      <c r="G2441" s="16">
        <f>VLOOKUP(C2441,[1]master_data!$A$2:$E$495,4,FALSE)</f>
        <v>50000</v>
      </c>
      <c r="H2441" s="16">
        <f>E2441*F2441</f>
        <v>315000</v>
      </c>
      <c r="I2441" s="16">
        <f>E2441*G2441</f>
        <v>500000</v>
      </c>
      <c r="J2441" s="16">
        <f>I2441-H2441</f>
        <v>185000</v>
      </c>
      <c r="K2441" s="16" t="str">
        <f>VLOOKUP(C2441,[1]master_data!$A$2:$E$495,5,FALSE)</f>
        <v>Aksesoris</v>
      </c>
      <c r="L2441" s="1"/>
    </row>
    <row r="2442" spans="1:12" ht="12" customHeight="1" x14ac:dyDescent="0.25">
      <c r="A2442" s="15">
        <v>44936</v>
      </c>
      <c r="B2442" s="16">
        <v>22300072</v>
      </c>
      <c r="C2442" s="16" t="s">
        <v>448</v>
      </c>
      <c r="D2442" s="16" t="str">
        <f>VLOOKUP(C2442,[1]master_data!$A$2:$E$495,2,FALSE)</f>
        <v>SUMATRA BIASA</v>
      </c>
      <c r="E2442" s="16">
        <v>19</v>
      </c>
      <c r="F2442" s="16">
        <f>VLOOKUP(C2442,[1]master_data!$A$2:$E$495,3,FALSE)</f>
        <v>800</v>
      </c>
      <c r="G2442" s="16">
        <f>VLOOKUP(C2442,[1]master_data!$A$2:$E$495,4,FALSE)</f>
        <v>2000</v>
      </c>
      <c r="H2442" s="16">
        <f>E2442*F2442</f>
        <v>15200</v>
      </c>
      <c r="I2442" s="16">
        <f>E2442*G2442</f>
        <v>38000</v>
      </c>
      <c r="J2442" s="16">
        <f>I2442-H2442</f>
        <v>22800</v>
      </c>
      <c r="K2442" s="16" t="str">
        <f>VLOOKUP(C2442,[1]master_data!$A$2:$E$495,5,FALSE)</f>
        <v>Ikan</v>
      </c>
      <c r="L2442" s="1"/>
    </row>
    <row r="2443" spans="1:12" ht="12" customHeight="1" x14ac:dyDescent="0.25">
      <c r="A2443" s="15">
        <v>44935</v>
      </c>
      <c r="B2443" s="16">
        <v>22300055</v>
      </c>
      <c r="C2443" s="16" t="s">
        <v>261</v>
      </c>
      <c r="D2443" s="16" t="str">
        <f>VLOOKUP(C2443,[1]master_data!$A$2:$E$495,2,FALSE)</f>
        <v>COP SEKAT KACA</v>
      </c>
      <c r="E2443" s="16">
        <v>15</v>
      </c>
      <c r="F2443" s="16">
        <f>VLOOKUP(C2443,[1]master_data!$A$2:$E$495,3,FALSE)</f>
        <v>800</v>
      </c>
      <c r="G2443" s="16">
        <f>VLOOKUP(C2443,[1]master_data!$A$2:$E$495,4,FALSE)</f>
        <v>2000</v>
      </c>
      <c r="H2443" s="16">
        <f>E2443*F2443</f>
        <v>12000</v>
      </c>
      <c r="I2443" s="16">
        <f>E2443*G2443</f>
        <v>30000</v>
      </c>
      <c r="J2443" s="16">
        <f>I2443-H2443</f>
        <v>18000</v>
      </c>
      <c r="K2443" s="16" t="str">
        <f>VLOOKUP(C2443,[1]master_data!$A$2:$E$495,5,FALSE)</f>
        <v>Aksesoris</v>
      </c>
      <c r="L2443" s="1"/>
    </row>
    <row r="2444" spans="1:12" ht="12" customHeight="1" x14ac:dyDescent="0.25">
      <c r="A2444" s="15">
        <v>44935</v>
      </c>
      <c r="B2444" s="16">
        <v>22300056</v>
      </c>
      <c r="C2444" s="16" t="s">
        <v>216</v>
      </c>
      <c r="D2444" s="16" t="str">
        <f>VLOOKUP(C2444,[1]master_data!$A$2:$E$495,2,FALSE)</f>
        <v>TAKARI BESAR</v>
      </c>
      <c r="E2444" s="16">
        <v>1</v>
      </c>
      <c r="F2444" s="16">
        <f>VLOOKUP(C2444,[1]master_data!$A$2:$E$495,3,FALSE)</f>
        <v>17000</v>
      </c>
      <c r="G2444" s="16">
        <f>VLOOKUP(C2444,[1]master_data!$A$2:$E$495,4,FALSE)</f>
        <v>20000</v>
      </c>
      <c r="H2444" s="16">
        <f>E2444*F2444</f>
        <v>17000</v>
      </c>
      <c r="I2444" s="16">
        <f>E2444*G2444</f>
        <v>20000</v>
      </c>
      <c r="J2444" s="16">
        <f>I2444-H2444</f>
        <v>3000</v>
      </c>
      <c r="K2444" s="16" t="str">
        <f>VLOOKUP(C2444,[1]master_data!$A$2:$E$495,5,FALSE)</f>
        <v>Aksesoris</v>
      </c>
      <c r="L2444" s="1"/>
    </row>
    <row r="2445" spans="1:12" ht="12" customHeight="1" x14ac:dyDescent="0.25">
      <c r="A2445" s="15">
        <v>44935</v>
      </c>
      <c r="B2445" s="16">
        <v>22300057</v>
      </c>
      <c r="C2445" s="16" t="s">
        <v>429</v>
      </c>
      <c r="D2445" s="16" t="str">
        <f>VLOOKUP(C2445,[1]master_data!$A$2:$E$495,2,FALSE)</f>
        <v>MANFISH B</v>
      </c>
      <c r="E2445" s="16">
        <v>25</v>
      </c>
      <c r="F2445" s="16">
        <f>VLOOKUP(C2445,[1]master_data!$A$2:$E$495,3,FALSE)</f>
        <v>4000</v>
      </c>
      <c r="G2445" s="16">
        <f>VLOOKUP(C2445,[1]master_data!$A$2:$E$495,4,FALSE)</f>
        <v>10000</v>
      </c>
      <c r="H2445" s="16">
        <f>E2445*F2445</f>
        <v>100000</v>
      </c>
      <c r="I2445" s="16">
        <f>E2445*G2445</f>
        <v>250000</v>
      </c>
      <c r="J2445" s="16">
        <f>I2445-H2445</f>
        <v>150000</v>
      </c>
      <c r="K2445" s="16" t="str">
        <f>VLOOKUP(C2445,[1]master_data!$A$2:$E$495,5,FALSE)</f>
        <v>Ikan</v>
      </c>
      <c r="L2445" s="1"/>
    </row>
    <row r="2446" spans="1:12" ht="12" customHeight="1" x14ac:dyDescent="0.25">
      <c r="A2446" s="15">
        <v>44935</v>
      </c>
      <c r="B2446" s="16">
        <v>22300058</v>
      </c>
      <c r="C2446" s="16" t="s">
        <v>194</v>
      </c>
      <c r="D2446" s="16" t="str">
        <f>VLOOKUP(C2446,[1]master_data!$A$2:$E$495,2,FALSE)</f>
        <v>LED KANDILA DnN ECO 30 CM</v>
      </c>
      <c r="E2446" s="16">
        <v>5</v>
      </c>
      <c r="F2446" s="16">
        <f>VLOOKUP(C2446,[1]master_data!$A$2:$E$495,3,FALSE)</f>
        <v>48000</v>
      </c>
      <c r="G2446" s="16">
        <f>VLOOKUP(C2446,[1]master_data!$A$2:$E$495,4,FALSE)</f>
        <v>70000</v>
      </c>
      <c r="H2446" s="16">
        <f>E2446*F2446</f>
        <v>240000</v>
      </c>
      <c r="I2446" s="16">
        <f>E2446*G2446</f>
        <v>350000</v>
      </c>
      <c r="J2446" s="16">
        <f>I2446-H2446</f>
        <v>110000</v>
      </c>
      <c r="K2446" s="16" t="str">
        <f>VLOOKUP(C2446,[1]master_data!$A$2:$E$495,5,FALSE)</f>
        <v>Aksesoris</v>
      </c>
      <c r="L2446" s="1"/>
    </row>
    <row r="2447" spans="1:12" ht="12" customHeight="1" x14ac:dyDescent="0.25">
      <c r="A2447" s="15">
        <v>44935</v>
      </c>
      <c r="B2447" s="16">
        <v>22300059</v>
      </c>
      <c r="C2447" s="16" t="s">
        <v>287</v>
      </c>
      <c r="D2447" s="16" t="str">
        <f>VLOOKUP(C2447,[1]master_data!$A$2:$E$495,2,FALSE)</f>
        <v>KAPAS 2X1</v>
      </c>
      <c r="E2447" s="16">
        <v>1</v>
      </c>
      <c r="F2447" s="16">
        <f>VLOOKUP(C2447,[1]master_data!$A$2:$E$495,3,FALSE)</f>
        <v>35000</v>
      </c>
      <c r="G2447" s="16">
        <f>VLOOKUP(C2447,[1]master_data!$A$2:$E$495,4,FALSE)</f>
        <v>40000</v>
      </c>
      <c r="H2447" s="16">
        <f>E2447*F2447</f>
        <v>35000</v>
      </c>
      <c r="I2447" s="16">
        <f>E2447*G2447</f>
        <v>40000</v>
      </c>
      <c r="J2447" s="16">
        <f>I2447-H2447</f>
        <v>5000</v>
      </c>
      <c r="K2447" s="16" t="str">
        <f>VLOOKUP(C2447,[1]master_data!$A$2:$E$495,5,FALSE)</f>
        <v>Aksesoris</v>
      </c>
      <c r="L2447" s="1"/>
    </row>
    <row r="2448" spans="1:12" ht="12" customHeight="1" x14ac:dyDescent="0.25">
      <c r="A2448" s="15">
        <v>44935</v>
      </c>
      <c r="B2448" s="16">
        <v>22300060</v>
      </c>
      <c r="C2448" s="16" t="s">
        <v>274</v>
      </c>
      <c r="D2448" s="16" t="str">
        <f>VLOOKUP(C2448,[1]master_data!$A$2:$E$495,2,FALSE)</f>
        <v>JARING 15</v>
      </c>
      <c r="E2448" s="16">
        <v>1</v>
      </c>
      <c r="F2448" s="16">
        <f>VLOOKUP(C2448,[1]master_data!$A$2:$E$495,3,FALSE)</f>
        <v>3750</v>
      </c>
      <c r="G2448" s="16">
        <f>VLOOKUP(C2448,[1]master_data!$A$2:$E$495,4,FALSE)</f>
        <v>8000</v>
      </c>
      <c r="H2448" s="16">
        <f>E2448*F2448</f>
        <v>3750</v>
      </c>
      <c r="I2448" s="16">
        <f>E2448*G2448</f>
        <v>8000</v>
      </c>
      <c r="J2448" s="16">
        <f>I2448-H2448</f>
        <v>4250</v>
      </c>
      <c r="K2448" s="16" t="str">
        <f>VLOOKUP(C2448,[1]master_data!$A$2:$E$495,5,FALSE)</f>
        <v>Aksesoris</v>
      </c>
      <c r="L2448" s="1"/>
    </row>
    <row r="2449" spans="1:12" ht="12" customHeight="1" x14ac:dyDescent="0.25">
      <c r="A2449" s="15">
        <v>44935</v>
      </c>
      <c r="B2449" s="16">
        <v>22300061</v>
      </c>
      <c r="C2449" s="16" t="s">
        <v>58</v>
      </c>
      <c r="D2449" s="16" t="str">
        <f>VLOOKUP(C2449,[1]master_data!$A$2:$E$495,2,FALSE)</f>
        <v>MESIN ATMAN 104</v>
      </c>
      <c r="E2449" s="16">
        <v>1</v>
      </c>
      <c r="F2449" s="16">
        <f>VLOOKUP(C2449,[1]master_data!$A$2:$E$495,3,FALSE)</f>
        <v>170000</v>
      </c>
      <c r="G2449" s="16">
        <f>VLOOKUP(C2449,[1]master_data!$A$2:$E$495,4,FALSE)</f>
        <v>225000</v>
      </c>
      <c r="H2449" s="16">
        <f>E2449*F2449</f>
        <v>170000</v>
      </c>
      <c r="I2449" s="16">
        <f>E2449*G2449</f>
        <v>225000</v>
      </c>
      <c r="J2449" s="16">
        <f>I2449-H2449</f>
        <v>55000</v>
      </c>
      <c r="K2449" s="16" t="str">
        <f>VLOOKUP(C2449,[1]master_data!$A$2:$E$495,5,FALSE)</f>
        <v>Aksesoris</v>
      </c>
      <c r="L2449" s="1"/>
    </row>
    <row r="2450" spans="1:12" ht="12" customHeight="1" x14ac:dyDescent="0.25">
      <c r="A2450" s="15">
        <v>44934</v>
      </c>
      <c r="B2450" s="16">
        <v>22300045</v>
      </c>
      <c r="C2450" s="16" t="s">
        <v>194</v>
      </c>
      <c r="D2450" s="16" t="str">
        <f>VLOOKUP(C2450,[1]master_data!$A$2:$E$495,2,FALSE)</f>
        <v>LED KANDILA DnN ECO 30 CM</v>
      </c>
      <c r="E2450" s="16">
        <v>2</v>
      </c>
      <c r="F2450" s="16">
        <f>VLOOKUP(C2450,[1]master_data!$A$2:$E$495,3,FALSE)</f>
        <v>48000</v>
      </c>
      <c r="G2450" s="16">
        <f>VLOOKUP(C2450,[1]master_data!$A$2:$E$495,4,FALSE)</f>
        <v>70000</v>
      </c>
      <c r="H2450" s="16">
        <f>E2450*F2450</f>
        <v>96000</v>
      </c>
      <c r="I2450" s="16">
        <f>E2450*G2450</f>
        <v>140000</v>
      </c>
      <c r="J2450" s="16">
        <f>I2450-H2450</f>
        <v>44000</v>
      </c>
      <c r="K2450" s="16" t="str">
        <f>VLOOKUP(C2450,[1]master_data!$A$2:$E$495,5,FALSE)</f>
        <v>Aksesoris</v>
      </c>
      <c r="L2450" s="1"/>
    </row>
    <row r="2451" spans="1:12" ht="12" customHeight="1" x14ac:dyDescent="0.25">
      <c r="A2451" s="15">
        <v>44934</v>
      </c>
      <c r="B2451" s="16">
        <v>22300046</v>
      </c>
      <c r="C2451" s="16" t="s">
        <v>440</v>
      </c>
      <c r="D2451" s="16" t="str">
        <f>VLOOKUP(C2451,[1]master_data!$A$2:$E$495,2,FALSE)</f>
        <v>PEMBERSIH KACA ALBINO</v>
      </c>
      <c r="E2451" s="16">
        <v>15</v>
      </c>
      <c r="F2451" s="16">
        <f>VLOOKUP(C2451,[1]master_data!$A$2:$E$495,3,FALSE)</f>
        <v>2500</v>
      </c>
      <c r="G2451" s="16">
        <f>VLOOKUP(C2451,[1]master_data!$A$2:$E$495,4,FALSE)</f>
        <v>5000</v>
      </c>
      <c r="H2451" s="16">
        <f>E2451*F2451</f>
        <v>37500</v>
      </c>
      <c r="I2451" s="16">
        <f>E2451*G2451</f>
        <v>75000</v>
      </c>
      <c r="J2451" s="16">
        <f>I2451-H2451</f>
        <v>37500</v>
      </c>
      <c r="K2451" s="16" t="str">
        <f>VLOOKUP(C2451,[1]master_data!$A$2:$E$495,5,FALSE)</f>
        <v>Ikan</v>
      </c>
      <c r="L2451" s="1"/>
    </row>
    <row r="2452" spans="1:12" ht="12" customHeight="1" x14ac:dyDescent="0.25">
      <c r="A2452" s="15">
        <v>44934</v>
      </c>
      <c r="B2452" s="16">
        <v>22300047</v>
      </c>
      <c r="C2452" s="16" t="s">
        <v>410</v>
      </c>
      <c r="D2452" s="16" t="str">
        <f>VLOOKUP(C2452,[1]master_data!$A$2:$E$495,2,FALSE)</f>
        <v>HIU TAWAR</v>
      </c>
      <c r="E2452" s="16">
        <v>10</v>
      </c>
      <c r="F2452" s="16">
        <f>VLOOKUP(C2452,[1]master_data!$A$2:$E$495,3,FALSE)</f>
        <v>600</v>
      </c>
      <c r="G2452" s="16">
        <f>VLOOKUP(C2452,[1]master_data!$A$2:$E$495,4,FALSE)</f>
        <v>2000</v>
      </c>
      <c r="H2452" s="16">
        <f>E2452*F2452</f>
        <v>6000</v>
      </c>
      <c r="I2452" s="16">
        <f>E2452*G2452</f>
        <v>20000</v>
      </c>
      <c r="J2452" s="16">
        <f>I2452-H2452</f>
        <v>14000</v>
      </c>
      <c r="K2452" s="16" t="str">
        <f>VLOOKUP(C2452,[1]master_data!$A$2:$E$495,5,FALSE)</f>
        <v>Ikan</v>
      </c>
      <c r="L2452" s="1"/>
    </row>
    <row r="2453" spans="1:12" ht="12" customHeight="1" x14ac:dyDescent="0.25">
      <c r="A2453" s="15">
        <v>44934</v>
      </c>
      <c r="B2453" s="16">
        <v>22300048</v>
      </c>
      <c r="C2453" s="16" t="s">
        <v>233</v>
      </c>
      <c r="D2453" s="16" t="str">
        <f>VLOOKUP(C2453,[1]master_data!$A$2:$E$495,2,FALSE)</f>
        <v>PREMIUM GOLD FISH RED</v>
      </c>
      <c r="E2453" s="16">
        <v>2</v>
      </c>
      <c r="F2453" s="16">
        <f>VLOOKUP(C2453,[1]master_data!$A$2:$E$495,3,FALSE)</f>
        <v>37000</v>
      </c>
      <c r="G2453" s="16">
        <f>VLOOKUP(C2453,[1]master_data!$A$2:$E$495,4,FALSE)</f>
        <v>50000</v>
      </c>
      <c r="H2453" s="16">
        <f>E2453*F2453</f>
        <v>74000</v>
      </c>
      <c r="I2453" s="16">
        <f>E2453*G2453</f>
        <v>100000</v>
      </c>
      <c r="J2453" s="16">
        <f>I2453-H2453</f>
        <v>26000</v>
      </c>
      <c r="K2453" s="16" t="str">
        <f>VLOOKUP(C2453,[1]master_data!$A$2:$E$495,5,FALSE)</f>
        <v>Aksesoris</v>
      </c>
      <c r="L2453" s="1"/>
    </row>
    <row r="2454" spans="1:12" ht="12" customHeight="1" x14ac:dyDescent="0.25">
      <c r="A2454" s="15">
        <v>44934</v>
      </c>
      <c r="B2454" s="16">
        <v>22300049</v>
      </c>
      <c r="C2454" s="16" t="s">
        <v>437</v>
      </c>
      <c r="D2454" s="16" t="str">
        <f>VLOOKUP(C2454,[1]master_data!$A$2:$E$495,2,FALSE)</f>
        <v>NEON</v>
      </c>
      <c r="E2454" s="16">
        <v>15</v>
      </c>
      <c r="F2454" s="16">
        <f>VLOOKUP(C2454,[1]master_data!$A$2:$E$495,3,FALSE)</f>
        <v>1250</v>
      </c>
      <c r="G2454" s="16">
        <f>VLOOKUP(C2454,[1]master_data!$A$2:$E$495,4,FALSE)</f>
        <v>5000</v>
      </c>
      <c r="H2454" s="16">
        <f>E2454*F2454</f>
        <v>18750</v>
      </c>
      <c r="I2454" s="16">
        <f>E2454*G2454</f>
        <v>75000</v>
      </c>
      <c r="J2454" s="16">
        <f>I2454-H2454</f>
        <v>56250</v>
      </c>
      <c r="K2454" s="16" t="str">
        <f>VLOOKUP(C2454,[1]master_data!$A$2:$E$495,5,FALSE)</f>
        <v>Ikan</v>
      </c>
      <c r="L2454" s="1"/>
    </row>
    <row r="2455" spans="1:12" ht="12" customHeight="1" x14ac:dyDescent="0.25">
      <c r="A2455" s="15">
        <v>44934</v>
      </c>
      <c r="B2455" s="16">
        <v>22300050</v>
      </c>
      <c r="C2455" s="16" t="s">
        <v>175</v>
      </c>
      <c r="D2455" s="16" t="str">
        <f>VLOOKUP(C2455,[1]master_data!$A$2:$E$495,2,FALSE)</f>
        <v>LED ARMADA 3 BRS AP 600</v>
      </c>
      <c r="E2455" s="16">
        <v>5</v>
      </c>
      <c r="F2455" s="16">
        <f>VLOOKUP(C2455,[1]master_data!$A$2:$E$495,3,FALSE)</f>
        <v>55000</v>
      </c>
      <c r="G2455" s="16">
        <f>VLOOKUP(C2455,[1]master_data!$A$2:$E$495,4,FALSE)</f>
        <v>80000</v>
      </c>
      <c r="H2455" s="16">
        <f>E2455*F2455</f>
        <v>275000</v>
      </c>
      <c r="I2455" s="16">
        <f>E2455*G2455</f>
        <v>400000</v>
      </c>
      <c r="J2455" s="16">
        <f>I2455-H2455</f>
        <v>125000</v>
      </c>
      <c r="K2455" s="16" t="str">
        <f>VLOOKUP(C2455,[1]master_data!$A$2:$E$495,5,FALSE)</f>
        <v>Aksesoris</v>
      </c>
      <c r="L2455" s="1"/>
    </row>
    <row r="2456" spans="1:12" ht="12" customHeight="1" x14ac:dyDescent="0.25">
      <c r="A2456" s="15">
        <v>44934</v>
      </c>
      <c r="B2456" s="16">
        <v>22300051</v>
      </c>
      <c r="C2456" s="16" t="s">
        <v>391</v>
      </c>
      <c r="D2456" s="16" t="str">
        <f>VLOOKUP(C2456,[1]master_data!$A$2:$E$495,2,FALSE)</f>
        <v>CHANNA ANDRAO B</v>
      </c>
      <c r="E2456" s="16">
        <v>2</v>
      </c>
      <c r="F2456" s="16">
        <f>VLOOKUP(C2456,[1]master_data!$A$2:$E$495,3,FALSE)</f>
        <v>100000</v>
      </c>
      <c r="G2456" s="16">
        <f>VLOOKUP(C2456,[1]master_data!$A$2:$E$495,4,FALSE)</f>
        <v>200000</v>
      </c>
      <c r="H2456" s="16">
        <f>E2456*F2456</f>
        <v>200000</v>
      </c>
      <c r="I2456" s="16">
        <f>E2456*G2456</f>
        <v>400000</v>
      </c>
      <c r="J2456" s="16">
        <f>I2456-H2456</f>
        <v>200000</v>
      </c>
      <c r="K2456" s="16" t="str">
        <f>VLOOKUP(C2456,[1]master_data!$A$2:$E$495,5,FALSE)</f>
        <v>Ikan</v>
      </c>
      <c r="L2456" s="1"/>
    </row>
    <row r="2457" spans="1:12" ht="12" customHeight="1" x14ac:dyDescent="0.25">
      <c r="A2457" s="15">
        <v>44934</v>
      </c>
      <c r="B2457" s="16">
        <v>22300052</v>
      </c>
      <c r="C2457" s="16" t="s">
        <v>395</v>
      </c>
      <c r="D2457" s="16" t="str">
        <f>VLOOKUP(C2457,[1]master_data!$A$2:$E$495,2,FALSE)</f>
        <v>ALIGATOR</v>
      </c>
      <c r="E2457" s="16">
        <v>2</v>
      </c>
      <c r="F2457" s="16">
        <f>VLOOKUP(C2457,[1]master_data!$A$2:$E$495,3,FALSE)</f>
        <v>17000</v>
      </c>
      <c r="G2457" s="16">
        <f>VLOOKUP(C2457,[1]master_data!$A$2:$E$495,4,FALSE)</f>
        <v>35000</v>
      </c>
      <c r="H2457" s="16">
        <f>E2457*F2457</f>
        <v>34000</v>
      </c>
      <c r="I2457" s="16">
        <f>E2457*G2457</f>
        <v>70000</v>
      </c>
      <c r="J2457" s="16">
        <f>I2457-H2457</f>
        <v>36000</v>
      </c>
      <c r="K2457" s="16" t="str">
        <f>VLOOKUP(C2457,[1]master_data!$A$2:$E$495,5,FALSE)</f>
        <v>Ikan</v>
      </c>
      <c r="L2457" s="1"/>
    </row>
    <row r="2458" spans="1:12" ht="12" customHeight="1" x14ac:dyDescent="0.25">
      <c r="A2458" s="15">
        <v>44934</v>
      </c>
      <c r="B2458" s="16">
        <v>22300053</v>
      </c>
      <c r="C2458" s="16" t="s">
        <v>378</v>
      </c>
      <c r="D2458" s="16" t="str">
        <f>VLOOKUP(C2458,[1]master_data!$A$2:$E$495,2,FALSE)</f>
        <v>PASIR SILICA</v>
      </c>
      <c r="E2458" s="16">
        <v>2</v>
      </c>
      <c r="F2458" s="16">
        <f>VLOOKUP(C2458,[1]master_data!$A$2:$E$495,3,FALSE)</f>
        <v>5000</v>
      </c>
      <c r="G2458" s="16">
        <f>VLOOKUP(C2458,[1]master_data!$A$2:$E$495,4,FALSE)</f>
        <v>10000</v>
      </c>
      <c r="H2458" s="16">
        <f>E2458*F2458</f>
        <v>10000</v>
      </c>
      <c r="I2458" s="16">
        <f>E2458*G2458</f>
        <v>20000</v>
      </c>
      <c r="J2458" s="16">
        <f>I2458-H2458</f>
        <v>10000</v>
      </c>
      <c r="K2458" s="16" t="str">
        <f>VLOOKUP(C2458,[1]master_data!$A$2:$E$495,5,FALSE)</f>
        <v>Aksesoris</v>
      </c>
      <c r="L2458" s="1"/>
    </row>
    <row r="2459" spans="1:12" ht="12" customHeight="1" x14ac:dyDescent="0.25">
      <c r="A2459" s="15">
        <v>44934</v>
      </c>
      <c r="B2459" s="16">
        <v>22300054</v>
      </c>
      <c r="C2459" s="16" t="s">
        <v>428</v>
      </c>
      <c r="D2459" s="16" t="str">
        <f>VLOOKUP(C2459,[1]master_data!$A$2:$E$495,2,FALSE)</f>
        <v>MANFISH K</v>
      </c>
      <c r="E2459" s="16">
        <v>1</v>
      </c>
      <c r="F2459" s="16">
        <f>VLOOKUP(C2459,[1]master_data!$A$2:$E$495,3,FALSE)</f>
        <v>2000</v>
      </c>
      <c r="G2459" s="16">
        <f>VLOOKUP(C2459,[1]master_data!$A$2:$E$495,4,FALSE)</f>
        <v>5000</v>
      </c>
      <c r="H2459" s="16">
        <f>E2459*F2459</f>
        <v>2000</v>
      </c>
      <c r="I2459" s="16">
        <f>E2459*G2459</f>
        <v>5000</v>
      </c>
      <c r="J2459" s="16">
        <f>I2459-H2459</f>
        <v>3000</v>
      </c>
      <c r="K2459" s="16" t="str">
        <f>VLOOKUP(C2459,[1]master_data!$A$2:$E$495,5,FALSE)</f>
        <v>Ikan</v>
      </c>
      <c r="L2459" s="1"/>
    </row>
    <row r="2460" spans="1:12" ht="12" customHeight="1" x14ac:dyDescent="0.25">
      <c r="A2460" s="15">
        <v>44933</v>
      </c>
      <c r="B2460" s="16">
        <v>22300038</v>
      </c>
      <c r="C2460" s="16" t="s">
        <v>408</v>
      </c>
      <c r="D2460" s="16" t="str">
        <f>VLOOKUP(C2460,[1]master_data!$A$2:$E$495,2,FALSE)</f>
        <v>GUPY</v>
      </c>
      <c r="E2460" s="16">
        <v>10</v>
      </c>
      <c r="F2460" s="16">
        <f>VLOOKUP(C2460,[1]master_data!$A$2:$E$495,3,FALSE)</f>
        <v>1200</v>
      </c>
      <c r="G2460" s="16">
        <f>VLOOKUP(C2460,[1]master_data!$A$2:$E$495,4,FALSE)</f>
        <v>2500</v>
      </c>
      <c r="H2460" s="16">
        <f>E2460*F2460</f>
        <v>12000</v>
      </c>
      <c r="I2460" s="16">
        <f>E2460*G2460</f>
        <v>25000</v>
      </c>
      <c r="J2460" s="16">
        <f>I2460-H2460</f>
        <v>13000</v>
      </c>
      <c r="K2460" s="16" t="str">
        <f>VLOOKUP(C2460,[1]master_data!$A$2:$E$495,5,FALSE)</f>
        <v>Ikan</v>
      </c>
      <c r="L2460" s="1"/>
    </row>
    <row r="2461" spans="1:12" ht="12" customHeight="1" x14ac:dyDescent="0.25">
      <c r="A2461" s="15">
        <v>44933</v>
      </c>
      <c r="B2461" s="16">
        <v>22300039</v>
      </c>
      <c r="C2461" s="16" t="s">
        <v>185</v>
      </c>
      <c r="D2461" s="16" t="str">
        <f>VLOOKUP(C2461,[1]master_data!$A$2:$E$495,2,FALSE)</f>
        <v>LED RECENT DnN 40 CM</v>
      </c>
      <c r="E2461" s="16">
        <v>1</v>
      </c>
      <c r="F2461" s="16">
        <f>VLOOKUP(C2461,[1]master_data!$A$2:$E$495,3,FALSE)</f>
        <v>29000</v>
      </c>
      <c r="G2461" s="16">
        <f>VLOOKUP(C2461,[1]master_data!$A$2:$E$495,4,FALSE)</f>
        <v>50000</v>
      </c>
      <c r="H2461" s="16">
        <f>E2461*F2461</f>
        <v>29000</v>
      </c>
      <c r="I2461" s="16">
        <f>E2461*G2461</f>
        <v>50000</v>
      </c>
      <c r="J2461" s="16">
        <f>I2461-H2461</f>
        <v>21000</v>
      </c>
      <c r="K2461" s="16" t="str">
        <f>VLOOKUP(C2461,[1]master_data!$A$2:$E$495,5,FALSE)</f>
        <v>Aksesoris</v>
      </c>
      <c r="L2461" s="1"/>
    </row>
    <row r="2462" spans="1:12" ht="12" customHeight="1" x14ac:dyDescent="0.25">
      <c r="A2462" s="15">
        <v>44933</v>
      </c>
      <c r="B2462" s="16">
        <v>22300040</v>
      </c>
      <c r="C2462" s="16" t="s">
        <v>398</v>
      </c>
      <c r="D2462" s="16" t="str">
        <f>VLOOKUP(C2462,[1]master_data!$A$2:$E$495,2,FALSE)</f>
        <v>BALA BALA K</v>
      </c>
      <c r="E2462" s="16">
        <v>20</v>
      </c>
      <c r="F2462" s="16">
        <f>VLOOKUP(C2462,[1]master_data!$A$2:$E$495,3,FALSE)</f>
        <v>4000</v>
      </c>
      <c r="G2462" s="16">
        <f>VLOOKUP(C2462,[1]master_data!$A$2:$E$495,4,FALSE)</f>
        <v>8000</v>
      </c>
      <c r="H2462" s="16">
        <f>E2462*F2462</f>
        <v>80000</v>
      </c>
      <c r="I2462" s="16">
        <f>E2462*G2462</f>
        <v>160000</v>
      </c>
      <c r="J2462" s="16">
        <f>I2462-H2462</f>
        <v>80000</v>
      </c>
      <c r="K2462" s="16" t="str">
        <f>VLOOKUP(C2462,[1]master_data!$A$2:$E$495,5,FALSE)</f>
        <v>Ikan</v>
      </c>
      <c r="L2462" s="1"/>
    </row>
    <row r="2463" spans="1:12" ht="12" customHeight="1" x14ac:dyDescent="0.25">
      <c r="A2463" s="15">
        <v>44933</v>
      </c>
      <c r="B2463" s="16">
        <v>22300041</v>
      </c>
      <c r="C2463" s="16" t="s">
        <v>455</v>
      </c>
      <c r="D2463" s="16" t="str">
        <f>VLOOKUP(C2463,[1]master_data!$A$2:$E$495,2,FALSE)</f>
        <v>ZEBRA PINK</v>
      </c>
      <c r="E2463" s="16">
        <v>20</v>
      </c>
      <c r="F2463" s="16">
        <f>VLOOKUP(C2463,[1]master_data!$A$2:$E$495,3,FALSE)</f>
        <v>800</v>
      </c>
      <c r="G2463" s="16">
        <f>VLOOKUP(C2463,[1]master_data!$A$2:$E$495,4,FALSE)</f>
        <v>2000</v>
      </c>
      <c r="H2463" s="16">
        <f>E2463*F2463</f>
        <v>16000</v>
      </c>
      <c r="I2463" s="16">
        <f>E2463*G2463</f>
        <v>40000</v>
      </c>
      <c r="J2463" s="16">
        <f>I2463-H2463</f>
        <v>24000</v>
      </c>
      <c r="K2463" s="16" t="str">
        <f>VLOOKUP(C2463,[1]master_data!$A$2:$E$495,5,FALSE)</f>
        <v>Ikan</v>
      </c>
      <c r="L2463" s="1"/>
    </row>
    <row r="2464" spans="1:12" ht="12" customHeight="1" x14ac:dyDescent="0.25">
      <c r="A2464" s="15">
        <v>44933</v>
      </c>
      <c r="B2464" s="16">
        <v>22300042</v>
      </c>
      <c r="C2464" s="16" t="s">
        <v>421</v>
      </c>
      <c r="D2464" s="16" t="str">
        <f>VLOOKUP(C2464,[1]master_data!$A$2:$E$495,2,FALSE)</f>
        <v>KOI SLAYER K</v>
      </c>
      <c r="E2464" s="16">
        <v>30</v>
      </c>
      <c r="F2464" s="16">
        <f>VLOOKUP(C2464,[1]master_data!$A$2:$E$495,3,FALSE)</f>
        <v>3500</v>
      </c>
      <c r="G2464" s="16">
        <f>VLOOKUP(C2464,[1]master_data!$A$2:$E$495,4,FALSE)</f>
        <v>10000</v>
      </c>
      <c r="H2464" s="16">
        <f>E2464*F2464</f>
        <v>105000</v>
      </c>
      <c r="I2464" s="16">
        <f>E2464*G2464</f>
        <v>300000</v>
      </c>
      <c r="J2464" s="16">
        <f>I2464-H2464</f>
        <v>195000</v>
      </c>
      <c r="K2464" s="16" t="str">
        <f>VLOOKUP(C2464,[1]master_data!$A$2:$E$495,5,FALSE)</f>
        <v>Ikan</v>
      </c>
      <c r="L2464" s="1"/>
    </row>
    <row r="2465" spans="1:12" ht="12" customHeight="1" x14ac:dyDescent="0.25">
      <c r="A2465" s="15">
        <v>44933</v>
      </c>
      <c r="B2465" s="16">
        <v>22300043</v>
      </c>
      <c r="C2465" s="16" t="s">
        <v>23</v>
      </c>
      <c r="D2465" s="16" t="str">
        <f>VLOOKUP(C2465,[1]master_data!$A$2:$E$495,2,FALSE)</f>
        <v>MESIN ROSTON 3900</v>
      </c>
      <c r="E2465" s="16">
        <v>2</v>
      </c>
      <c r="F2465" s="16">
        <f>VLOOKUP(C2465,[1]master_data!$A$2:$E$495,3,FALSE)</f>
        <v>90000</v>
      </c>
      <c r="G2465" s="16">
        <f>VLOOKUP(C2465,[1]master_data!$A$2:$E$495,4,FALSE)</f>
        <v>150000</v>
      </c>
      <c r="H2465" s="16">
        <f>E2465*F2465</f>
        <v>180000</v>
      </c>
      <c r="I2465" s="16">
        <f>E2465*G2465</f>
        <v>300000</v>
      </c>
      <c r="J2465" s="16">
        <f>I2465-H2465</f>
        <v>120000</v>
      </c>
      <c r="K2465" s="16" t="str">
        <f>VLOOKUP(C2465,[1]master_data!$A$2:$E$495,5,FALSE)</f>
        <v>Aksesoris</v>
      </c>
      <c r="L2465" s="1"/>
    </row>
    <row r="2466" spans="1:12" ht="12" customHeight="1" x14ac:dyDescent="0.25">
      <c r="A2466" s="15">
        <v>44933</v>
      </c>
      <c r="B2466" s="16">
        <v>22300044</v>
      </c>
      <c r="C2466" s="16" t="s">
        <v>411</v>
      </c>
      <c r="D2466" s="16" t="str">
        <f>VLOOKUP(C2466,[1]master_data!$A$2:$E$495,2,FALSE)</f>
        <v>KOKI K</v>
      </c>
      <c r="E2466" s="16">
        <v>1</v>
      </c>
      <c r="F2466" s="16">
        <f>VLOOKUP(C2466,[1]master_data!$A$2:$E$495,3,FALSE)</f>
        <v>3500</v>
      </c>
      <c r="G2466" s="16">
        <f>VLOOKUP(C2466,[1]master_data!$A$2:$E$495,4,FALSE)</f>
        <v>10000</v>
      </c>
      <c r="H2466" s="16">
        <f>E2466*F2466</f>
        <v>3500</v>
      </c>
      <c r="I2466" s="16">
        <f>E2466*G2466</f>
        <v>10000</v>
      </c>
      <c r="J2466" s="16">
        <f>I2466-H2466</f>
        <v>6500</v>
      </c>
      <c r="K2466" s="16" t="str">
        <f>VLOOKUP(C2466,[1]master_data!$A$2:$E$495,5,FALSE)</f>
        <v>Ikan</v>
      </c>
      <c r="L2466" s="1"/>
    </row>
    <row r="2467" spans="1:12" ht="12" customHeight="1" x14ac:dyDescent="0.25">
      <c r="A2467" s="15">
        <v>44932</v>
      </c>
      <c r="B2467" s="16">
        <v>22300026</v>
      </c>
      <c r="C2467" s="16" t="s">
        <v>403</v>
      </c>
      <c r="D2467" s="16" t="str">
        <f>VLOOKUP(C2467,[1]master_data!$A$2:$E$495,2,FALSE)</f>
        <v>KOMET BOKIM</v>
      </c>
      <c r="E2467" s="16">
        <v>15</v>
      </c>
      <c r="F2467" s="16">
        <f>VLOOKUP(C2467,[1]master_data!$A$2:$E$495,3,FALSE)</f>
        <v>1500</v>
      </c>
      <c r="G2467" s="16">
        <f>VLOOKUP(C2467,[1]master_data!$A$2:$E$495,4,FALSE)</f>
        <v>5000</v>
      </c>
      <c r="H2467" s="16">
        <f>E2467*F2467</f>
        <v>22500</v>
      </c>
      <c r="I2467" s="16">
        <f>E2467*G2467</f>
        <v>75000</v>
      </c>
      <c r="J2467" s="16">
        <f>I2467-H2467</f>
        <v>52500</v>
      </c>
      <c r="K2467" s="16" t="str">
        <f>VLOOKUP(C2467,[1]master_data!$A$2:$E$495,5,FALSE)</f>
        <v>Ikan</v>
      </c>
      <c r="L2467" s="1"/>
    </row>
    <row r="2468" spans="1:12" ht="12" customHeight="1" x14ac:dyDescent="0.25">
      <c r="A2468" s="15">
        <v>44932</v>
      </c>
      <c r="B2468" s="16">
        <v>22300027</v>
      </c>
      <c r="C2468" s="16" t="s">
        <v>454</v>
      </c>
      <c r="D2468" s="16" t="str">
        <f>VLOOKUP(C2468,[1]master_data!$A$2:$E$495,2,FALSE)</f>
        <v>TOMAN</v>
      </c>
      <c r="E2468" s="16">
        <v>1</v>
      </c>
      <c r="F2468" s="16">
        <f>VLOOKUP(C2468,[1]master_data!$A$2:$E$495,3,FALSE)</f>
        <v>10000</v>
      </c>
      <c r="G2468" s="16">
        <f>VLOOKUP(C2468,[1]master_data!$A$2:$E$495,4,FALSE)</f>
        <v>25000</v>
      </c>
      <c r="H2468" s="16">
        <f>E2468*F2468</f>
        <v>10000</v>
      </c>
      <c r="I2468" s="16">
        <f>E2468*G2468</f>
        <v>25000</v>
      </c>
      <c r="J2468" s="16">
        <f>I2468-H2468</f>
        <v>15000</v>
      </c>
      <c r="K2468" s="16" t="str">
        <f>VLOOKUP(C2468,[1]master_data!$A$2:$E$495,5,FALSE)</f>
        <v>Ikan</v>
      </c>
      <c r="L2468" s="1"/>
    </row>
    <row r="2469" spans="1:12" ht="12" customHeight="1" x14ac:dyDescent="0.25">
      <c r="A2469" s="15">
        <v>44932</v>
      </c>
      <c r="B2469" s="16">
        <v>22300028</v>
      </c>
      <c r="C2469" s="16" t="s">
        <v>29</v>
      </c>
      <c r="D2469" s="16" t="str">
        <f>VLOOKUP(C2469,[1]master_data!$A$2:$E$495,2,FALSE)</f>
        <v>MESIN ROSTON 108</v>
      </c>
      <c r="E2469" s="16">
        <v>1</v>
      </c>
      <c r="F2469" s="16">
        <f>VLOOKUP(C2469,[1]master_data!$A$2:$E$495,3,FALSE)</f>
        <v>190000</v>
      </c>
      <c r="G2469" s="16">
        <f>VLOOKUP(C2469,[1]master_data!$A$2:$E$495,4,FALSE)</f>
        <v>275000</v>
      </c>
      <c r="H2469" s="16">
        <f>E2469*F2469</f>
        <v>190000</v>
      </c>
      <c r="I2469" s="16">
        <f>E2469*G2469</f>
        <v>275000</v>
      </c>
      <c r="J2469" s="16">
        <f>I2469-H2469</f>
        <v>85000</v>
      </c>
      <c r="K2469" s="16" t="str">
        <f>VLOOKUP(C2469,[1]master_data!$A$2:$E$495,5,FALSE)</f>
        <v>Aksesoris</v>
      </c>
      <c r="L2469" s="1"/>
    </row>
    <row r="2470" spans="1:12" ht="12" customHeight="1" x14ac:dyDescent="0.25">
      <c r="A2470" s="15">
        <v>44932</v>
      </c>
      <c r="B2470" s="16">
        <v>22300029</v>
      </c>
      <c r="C2470" s="16" t="s">
        <v>353</v>
      </c>
      <c r="D2470" s="16" t="str">
        <f>VLOOKUP(C2470,[1]master_data!$A$2:$E$495,2,FALSE)</f>
        <v>AKUARIUM BAHARI L</v>
      </c>
      <c r="E2470" s="16">
        <v>1</v>
      </c>
      <c r="F2470" s="16">
        <f>VLOOKUP(C2470,[1]master_data!$A$2:$E$495,3,FALSE)</f>
        <v>82000</v>
      </c>
      <c r="G2470" s="16">
        <f>VLOOKUP(C2470,[1]master_data!$A$2:$E$495,4,FALSE)</f>
        <v>150000</v>
      </c>
      <c r="H2470" s="16">
        <f>E2470*F2470</f>
        <v>82000</v>
      </c>
      <c r="I2470" s="16">
        <f>E2470*G2470</f>
        <v>150000</v>
      </c>
      <c r="J2470" s="16">
        <f>I2470-H2470</f>
        <v>68000</v>
      </c>
      <c r="K2470" s="16" t="str">
        <f>VLOOKUP(C2470,[1]master_data!$A$2:$E$495,5,FALSE)</f>
        <v>Aksesoris</v>
      </c>
      <c r="L2470" s="1"/>
    </row>
    <row r="2471" spans="1:12" ht="12" customHeight="1" x14ac:dyDescent="0.25">
      <c r="A2471" s="15">
        <v>44932</v>
      </c>
      <c r="B2471" s="16">
        <v>22300030</v>
      </c>
      <c r="C2471" s="16" t="s">
        <v>293</v>
      </c>
      <c r="D2471" s="16" t="str">
        <f>VLOOKUP(C2471,[1]master_data!$A$2:$E$495,2,FALSE)</f>
        <v>JARING NELAYAN</v>
      </c>
      <c r="E2471" s="16">
        <v>5</v>
      </c>
      <c r="F2471" s="16">
        <f>VLOOKUP(C2471,[1]master_data!$A$2:$E$495,3,FALSE)</f>
        <v>15000</v>
      </c>
      <c r="G2471" s="16">
        <f>VLOOKUP(C2471,[1]master_data!$A$2:$E$495,4,FALSE)</f>
        <v>25000</v>
      </c>
      <c r="H2471" s="16">
        <f>E2471*F2471</f>
        <v>75000</v>
      </c>
      <c r="I2471" s="16">
        <f>E2471*G2471</f>
        <v>125000</v>
      </c>
      <c r="J2471" s="16">
        <f>I2471-H2471</f>
        <v>50000</v>
      </c>
      <c r="K2471" s="16" t="str">
        <f>VLOOKUP(C2471,[1]master_data!$A$2:$E$495,5,FALSE)</f>
        <v>Aksesoris</v>
      </c>
      <c r="L2471" s="1"/>
    </row>
    <row r="2472" spans="1:12" ht="12" customHeight="1" x14ac:dyDescent="0.25">
      <c r="A2472" s="15">
        <v>44932</v>
      </c>
      <c r="B2472" s="16">
        <v>22300031</v>
      </c>
      <c r="C2472" s="16" t="s">
        <v>339</v>
      </c>
      <c r="D2472" s="16" t="str">
        <f>VLOOKUP(C2472,[1]master_data!$A$2:$E$495,2,FALSE)</f>
        <v>FOOD TIMER AMARA 8431</v>
      </c>
      <c r="E2472" s="16">
        <v>1</v>
      </c>
      <c r="F2472" s="16">
        <f>VLOOKUP(C2472,[1]master_data!$A$2:$E$495,3,FALSE)</f>
        <v>45000</v>
      </c>
      <c r="G2472" s="16">
        <f>VLOOKUP(C2472,[1]master_data!$A$2:$E$495,4,FALSE)</f>
        <v>115000</v>
      </c>
      <c r="H2472" s="16">
        <f>E2472*F2472</f>
        <v>45000</v>
      </c>
      <c r="I2472" s="16">
        <f>E2472*G2472</f>
        <v>115000</v>
      </c>
      <c r="J2472" s="16">
        <f>I2472-H2472</f>
        <v>70000</v>
      </c>
      <c r="K2472" s="16" t="str">
        <f>VLOOKUP(C2472,[1]master_data!$A$2:$E$495,5,FALSE)</f>
        <v>Aksesoris</v>
      </c>
      <c r="L2472" s="1"/>
    </row>
    <row r="2473" spans="1:12" ht="12" customHeight="1" x14ac:dyDescent="0.25">
      <c r="A2473" s="15">
        <v>44932</v>
      </c>
      <c r="B2473" s="16">
        <v>22300032</v>
      </c>
      <c r="C2473" s="16" t="s">
        <v>84</v>
      </c>
      <c r="D2473" s="16" t="str">
        <f>VLOOKUP(C2473,[1]master_data!$A$2:$E$495,2,FALSE)</f>
        <v>MESIN KIYOSAKI 105A</v>
      </c>
      <c r="E2473" s="16">
        <v>1</v>
      </c>
      <c r="F2473" s="16">
        <f>VLOOKUP(C2473,[1]master_data!$A$2:$E$495,3,FALSE)</f>
        <v>95000</v>
      </c>
      <c r="G2473" s="16">
        <f>VLOOKUP(C2473,[1]master_data!$A$2:$E$495,4,FALSE)</f>
        <v>145000</v>
      </c>
      <c r="H2473" s="16">
        <f>E2473*F2473</f>
        <v>95000</v>
      </c>
      <c r="I2473" s="16">
        <f>E2473*G2473</f>
        <v>145000</v>
      </c>
      <c r="J2473" s="16">
        <f>I2473-H2473</f>
        <v>50000</v>
      </c>
      <c r="K2473" s="16" t="str">
        <f>VLOOKUP(C2473,[1]master_data!$A$2:$E$495,5,FALSE)</f>
        <v>Aksesoris</v>
      </c>
      <c r="L2473" s="1"/>
    </row>
    <row r="2474" spans="1:12" ht="12" customHeight="1" x14ac:dyDescent="0.25">
      <c r="A2474" s="15">
        <v>44932</v>
      </c>
      <c r="B2474" s="16">
        <v>22300033</v>
      </c>
      <c r="C2474" s="16" t="s">
        <v>419</v>
      </c>
      <c r="D2474" s="16" t="str">
        <f>VLOOKUP(C2474,[1]master_data!$A$2:$E$495,2,FALSE)</f>
        <v>KOMET PAKAN</v>
      </c>
      <c r="E2474" s="16">
        <v>30</v>
      </c>
      <c r="F2474" s="16">
        <f>VLOOKUP(C2474,[1]master_data!$A$2:$E$495,3,FALSE)</f>
        <v>300</v>
      </c>
      <c r="G2474" s="16">
        <f>VLOOKUP(C2474,[1]master_data!$A$2:$E$495,4,FALSE)</f>
        <v>1000</v>
      </c>
      <c r="H2474" s="16">
        <f>E2474*F2474</f>
        <v>9000</v>
      </c>
      <c r="I2474" s="16">
        <f>E2474*G2474</f>
        <v>30000</v>
      </c>
      <c r="J2474" s="16">
        <f>I2474-H2474</f>
        <v>21000</v>
      </c>
      <c r="K2474" s="16" t="str">
        <f>VLOOKUP(C2474,[1]master_data!$A$2:$E$495,5,FALSE)</f>
        <v>Ikan</v>
      </c>
      <c r="L2474" s="1"/>
    </row>
    <row r="2475" spans="1:12" ht="12" customHeight="1" x14ac:dyDescent="0.25">
      <c r="A2475" s="15">
        <v>44932</v>
      </c>
      <c r="B2475" s="16">
        <v>22300034</v>
      </c>
      <c r="C2475" s="16" t="s">
        <v>405</v>
      </c>
      <c r="D2475" s="16" t="str">
        <f>VLOOKUP(C2475,[1]master_data!$A$2:$E$495,2,FALSE)</f>
        <v>CUPANG</v>
      </c>
      <c r="E2475" s="16">
        <v>10</v>
      </c>
      <c r="F2475" s="16">
        <f>VLOOKUP(C2475,[1]master_data!$A$2:$E$495,3,FALSE)</f>
        <v>2000</v>
      </c>
      <c r="G2475" s="16">
        <f>VLOOKUP(C2475,[1]master_data!$A$2:$E$495,4,FALSE)</f>
        <v>5000</v>
      </c>
      <c r="H2475" s="16">
        <f>E2475*F2475</f>
        <v>20000</v>
      </c>
      <c r="I2475" s="16">
        <f>E2475*G2475</f>
        <v>50000</v>
      </c>
      <c r="J2475" s="16">
        <f>I2475-H2475</f>
        <v>30000</v>
      </c>
      <c r="K2475" s="16" t="str">
        <f>VLOOKUP(C2475,[1]master_data!$A$2:$E$495,5,FALSE)</f>
        <v>Ikan</v>
      </c>
      <c r="L2475" s="1"/>
    </row>
    <row r="2476" spans="1:12" ht="12" customHeight="1" x14ac:dyDescent="0.25">
      <c r="A2476" s="15">
        <v>44932</v>
      </c>
      <c r="B2476" s="16">
        <v>22300035</v>
      </c>
      <c r="C2476" s="16" t="s">
        <v>404</v>
      </c>
      <c r="D2476" s="16" t="str">
        <f>VLOOKUP(C2476,[1]master_data!$A$2:$E$495,2,FALSE)</f>
        <v>BARBIR</v>
      </c>
      <c r="E2476" s="16">
        <v>20</v>
      </c>
      <c r="F2476" s="16">
        <f>VLOOKUP(C2476,[1]master_data!$A$2:$E$495,3,FALSE)</f>
        <v>800</v>
      </c>
      <c r="G2476" s="16">
        <f>VLOOKUP(C2476,[1]master_data!$A$2:$E$495,4,FALSE)</f>
        <v>2000</v>
      </c>
      <c r="H2476" s="16">
        <f>E2476*F2476</f>
        <v>16000</v>
      </c>
      <c r="I2476" s="16">
        <f>E2476*G2476</f>
        <v>40000</v>
      </c>
      <c r="J2476" s="16">
        <f>I2476-H2476</f>
        <v>24000</v>
      </c>
      <c r="K2476" s="16" t="str">
        <f>VLOOKUP(C2476,[1]master_data!$A$2:$E$495,5,FALSE)</f>
        <v>Ikan</v>
      </c>
      <c r="L2476" s="1"/>
    </row>
    <row r="2477" spans="1:12" ht="12" customHeight="1" x14ac:dyDescent="0.25">
      <c r="A2477" s="15">
        <v>44932</v>
      </c>
      <c r="B2477" s="16">
        <v>22300036</v>
      </c>
      <c r="C2477" s="16" t="s">
        <v>83</v>
      </c>
      <c r="D2477" s="16" t="str">
        <f>VLOOKUP(C2477,[1]master_data!$A$2:$E$495,2,FALSE)</f>
        <v>MESIN AQURA 1000L</v>
      </c>
      <c r="E2477" s="16">
        <v>1</v>
      </c>
      <c r="F2477" s="16">
        <f>VLOOKUP(C2477,[1]master_data!$A$2:$E$495,3,FALSE)</f>
        <v>38000</v>
      </c>
      <c r="G2477" s="16">
        <f>VLOOKUP(C2477,[1]master_data!$A$2:$E$495,4,FALSE)</f>
        <v>50000</v>
      </c>
      <c r="H2477" s="16">
        <f>E2477*F2477</f>
        <v>38000</v>
      </c>
      <c r="I2477" s="16">
        <f>E2477*G2477</f>
        <v>50000</v>
      </c>
      <c r="J2477" s="16">
        <f>I2477-H2477</f>
        <v>12000</v>
      </c>
      <c r="K2477" s="16" t="str">
        <f>VLOOKUP(C2477,[1]master_data!$A$2:$E$495,5,FALSE)</f>
        <v>Aksesoris</v>
      </c>
      <c r="L2477" s="1"/>
    </row>
    <row r="2478" spans="1:12" ht="12" customHeight="1" x14ac:dyDescent="0.25">
      <c r="A2478" s="15">
        <v>44932</v>
      </c>
      <c r="B2478" s="16">
        <v>22300037</v>
      </c>
      <c r="C2478" s="16" t="s">
        <v>408</v>
      </c>
      <c r="D2478" s="16" t="str">
        <f>VLOOKUP(C2478,[1]master_data!$A$2:$E$495,2,FALSE)</f>
        <v>GUPY</v>
      </c>
      <c r="E2478" s="16">
        <v>3</v>
      </c>
      <c r="F2478" s="16">
        <f>VLOOKUP(C2478,[1]master_data!$A$2:$E$495,3,FALSE)</f>
        <v>1200</v>
      </c>
      <c r="G2478" s="16">
        <f>VLOOKUP(C2478,[1]master_data!$A$2:$E$495,4,FALSE)</f>
        <v>2500</v>
      </c>
      <c r="H2478" s="16">
        <f>E2478*F2478</f>
        <v>3600</v>
      </c>
      <c r="I2478" s="16">
        <f>E2478*G2478</f>
        <v>7500</v>
      </c>
      <c r="J2478" s="16">
        <f>I2478-H2478</f>
        <v>3900</v>
      </c>
      <c r="K2478" s="16" t="str">
        <f>VLOOKUP(C2478,[1]master_data!$A$2:$E$495,5,FALSE)</f>
        <v>Ikan</v>
      </c>
      <c r="L2478" s="1"/>
    </row>
    <row r="2479" spans="1:12" ht="12" customHeight="1" x14ac:dyDescent="0.25">
      <c r="A2479" s="15">
        <v>44931</v>
      </c>
      <c r="B2479" s="16">
        <v>22300015</v>
      </c>
      <c r="C2479" s="16" t="s">
        <v>367</v>
      </c>
      <c r="D2479" s="16" t="str">
        <f>VLOOKUP(C2479,[1]master_data!$A$2:$E$495,2,FALSE)</f>
        <v>TUTUP AKUARIUM L</v>
      </c>
      <c r="E2479" s="16">
        <v>1</v>
      </c>
      <c r="F2479" s="16">
        <f>VLOOKUP(C2479,[1]master_data!$A$2:$E$495,3,FALSE)</f>
        <v>28000</v>
      </c>
      <c r="G2479" s="16">
        <f>VLOOKUP(C2479,[1]master_data!$A$2:$E$495,4,FALSE)</f>
        <v>40000</v>
      </c>
      <c r="H2479" s="16">
        <f>E2479*F2479</f>
        <v>28000</v>
      </c>
      <c r="I2479" s="16">
        <f>E2479*G2479</f>
        <v>40000</v>
      </c>
      <c r="J2479" s="16">
        <f>I2479-H2479</f>
        <v>12000</v>
      </c>
      <c r="K2479" s="16" t="str">
        <f>VLOOKUP(C2479,[1]master_data!$A$2:$E$495,5,FALSE)</f>
        <v>Aksesoris</v>
      </c>
      <c r="L2479" s="1"/>
    </row>
    <row r="2480" spans="1:12" ht="12" customHeight="1" x14ac:dyDescent="0.25">
      <c r="A2480" s="15">
        <v>44931</v>
      </c>
      <c r="B2480" s="16">
        <v>22300016</v>
      </c>
      <c r="C2480" s="16" t="s">
        <v>452</v>
      </c>
      <c r="D2480" s="16" t="str">
        <f>VLOOKUP(C2480,[1]master_data!$A$2:$E$495,2,FALSE)</f>
        <v>SYNODONTI B</v>
      </c>
      <c r="E2480" s="16">
        <v>10</v>
      </c>
      <c r="F2480" s="16">
        <f>VLOOKUP(C2480,[1]master_data!$A$2:$E$495,3,FALSE)</f>
        <v>4000</v>
      </c>
      <c r="G2480" s="16">
        <f>VLOOKUP(C2480,[1]master_data!$A$2:$E$495,4,FALSE)</f>
        <v>10000</v>
      </c>
      <c r="H2480" s="16">
        <f>E2480*F2480</f>
        <v>40000</v>
      </c>
      <c r="I2480" s="16">
        <f>E2480*G2480</f>
        <v>100000</v>
      </c>
      <c r="J2480" s="16">
        <f>I2480-H2480</f>
        <v>60000</v>
      </c>
      <c r="K2480" s="16" t="str">
        <f>VLOOKUP(C2480,[1]master_data!$A$2:$E$495,5,FALSE)</f>
        <v>Ikan</v>
      </c>
      <c r="L2480" s="1"/>
    </row>
    <row r="2481" spans="1:12" ht="12" customHeight="1" x14ac:dyDescent="0.25">
      <c r="A2481" s="15">
        <v>44931</v>
      </c>
      <c r="B2481" s="16">
        <v>22300017</v>
      </c>
      <c r="C2481" s="16" t="s">
        <v>155</v>
      </c>
      <c r="D2481" s="16" t="str">
        <f>VLOOKUP(C2481,[1]master_data!$A$2:$E$495,2,FALSE)</f>
        <v>LED ROSTON 3 MODE 40 CM</v>
      </c>
      <c r="E2481" s="16">
        <v>10</v>
      </c>
      <c r="F2481" s="16">
        <f>VLOOKUP(C2481,[1]master_data!$A$2:$E$495,3,FALSE)</f>
        <v>27000</v>
      </c>
      <c r="G2481" s="16">
        <f>VLOOKUP(C2481,[1]master_data!$A$2:$E$495,4,FALSE)</f>
        <v>50000</v>
      </c>
      <c r="H2481" s="16">
        <f>E2481*F2481</f>
        <v>270000</v>
      </c>
      <c r="I2481" s="16">
        <f>E2481*G2481</f>
        <v>500000</v>
      </c>
      <c r="J2481" s="16">
        <f>I2481-H2481</f>
        <v>230000</v>
      </c>
      <c r="K2481" s="16" t="str">
        <f>VLOOKUP(C2481,[1]master_data!$A$2:$E$495,5,FALSE)</f>
        <v>Aksesoris</v>
      </c>
      <c r="L2481" s="1"/>
    </row>
    <row r="2482" spans="1:12" ht="12" customHeight="1" x14ac:dyDescent="0.25">
      <c r="A2482" s="15">
        <v>44931</v>
      </c>
      <c r="B2482" s="16">
        <v>22300018</v>
      </c>
      <c r="C2482" s="16" t="s">
        <v>423</v>
      </c>
      <c r="D2482" s="16" t="str">
        <f>VLOOKUP(C2482,[1]master_data!$A$2:$E$495,2,FALSE)</f>
        <v>CAROLINE</v>
      </c>
      <c r="E2482" s="16">
        <v>20</v>
      </c>
      <c r="F2482" s="16">
        <f>VLOOKUP(C2482,[1]master_data!$A$2:$E$495,3,FALSE)</f>
        <v>900</v>
      </c>
      <c r="G2482" s="16">
        <f>VLOOKUP(C2482,[1]master_data!$A$2:$E$495,4,FALSE)</f>
        <v>2000</v>
      </c>
      <c r="H2482" s="16">
        <f>E2482*F2482</f>
        <v>18000</v>
      </c>
      <c r="I2482" s="16">
        <f>E2482*G2482</f>
        <v>40000</v>
      </c>
      <c r="J2482" s="16">
        <f>I2482-H2482</f>
        <v>22000</v>
      </c>
      <c r="K2482" s="16" t="str">
        <f>VLOOKUP(C2482,[1]master_data!$A$2:$E$495,5,FALSE)</f>
        <v>Ikan</v>
      </c>
      <c r="L2482" s="1"/>
    </row>
    <row r="2483" spans="1:12" ht="12" customHeight="1" x14ac:dyDescent="0.25">
      <c r="A2483" s="15">
        <v>44931</v>
      </c>
      <c r="B2483" s="16">
        <v>22300019</v>
      </c>
      <c r="C2483" s="16" t="s">
        <v>457</v>
      </c>
      <c r="D2483" s="16" t="str">
        <f>VLOOKUP(C2483,[1]master_data!$A$2:$E$495,2,FALSE)</f>
        <v>ZEBRA UNGU</v>
      </c>
      <c r="E2483" s="16">
        <v>10</v>
      </c>
      <c r="F2483" s="16">
        <f>VLOOKUP(C2483,[1]master_data!$A$2:$E$495,3,FALSE)</f>
        <v>800</v>
      </c>
      <c r="G2483" s="16">
        <f>VLOOKUP(C2483,[1]master_data!$A$2:$E$495,4,FALSE)</f>
        <v>2000</v>
      </c>
      <c r="H2483" s="16">
        <f>E2483*F2483</f>
        <v>8000</v>
      </c>
      <c r="I2483" s="16">
        <f>E2483*G2483</f>
        <v>20000</v>
      </c>
      <c r="J2483" s="16">
        <f>I2483-H2483</f>
        <v>12000</v>
      </c>
      <c r="K2483" s="16" t="str">
        <f>VLOOKUP(C2483,[1]master_data!$A$2:$E$495,5,FALSE)</f>
        <v>Ikan</v>
      </c>
      <c r="L2483" s="1"/>
    </row>
    <row r="2484" spans="1:12" ht="12" customHeight="1" x14ac:dyDescent="0.25">
      <c r="A2484" s="15">
        <v>44931</v>
      </c>
      <c r="B2484" s="16">
        <v>22300020</v>
      </c>
      <c r="C2484" s="16" t="s">
        <v>415</v>
      </c>
      <c r="D2484" s="16" t="str">
        <f>VLOOKUP(C2484,[1]master_data!$A$2:$E$495,2,FALSE)</f>
        <v>KOI T</v>
      </c>
      <c r="E2484" s="16">
        <v>1</v>
      </c>
      <c r="F2484" s="16">
        <f>VLOOKUP(C2484,[1]master_data!$A$2:$E$495,3,FALSE)</f>
        <v>7000</v>
      </c>
      <c r="G2484" s="16">
        <f>VLOOKUP(C2484,[1]master_data!$A$2:$E$495,4,FALSE)</f>
        <v>20000</v>
      </c>
      <c r="H2484" s="16">
        <f>E2484*F2484</f>
        <v>7000</v>
      </c>
      <c r="I2484" s="16">
        <f>E2484*G2484</f>
        <v>20000</v>
      </c>
      <c r="J2484" s="16">
        <f>I2484-H2484</f>
        <v>13000</v>
      </c>
      <c r="K2484" s="16" t="str">
        <f>VLOOKUP(C2484,[1]master_data!$A$2:$E$495,5,FALSE)</f>
        <v>Ikan</v>
      </c>
      <c r="L2484" s="1"/>
    </row>
    <row r="2485" spans="1:12" ht="12" customHeight="1" x14ac:dyDescent="0.25">
      <c r="A2485" s="15">
        <v>44931</v>
      </c>
      <c r="B2485" s="16">
        <v>22300021</v>
      </c>
      <c r="C2485" s="16" t="s">
        <v>430</v>
      </c>
      <c r="D2485" s="16" t="str">
        <f>VLOOKUP(C2485,[1]master_data!$A$2:$E$495,2,FALSE)</f>
        <v>MARU K</v>
      </c>
      <c r="E2485" s="16">
        <v>1</v>
      </c>
      <c r="F2485" s="16">
        <f>VLOOKUP(C2485,[1]master_data!$A$2:$E$495,3,FALSE)</f>
        <v>23000</v>
      </c>
      <c r="G2485" s="16">
        <f>VLOOKUP(C2485,[1]master_data!$A$2:$E$495,4,FALSE)</f>
        <v>50000</v>
      </c>
      <c r="H2485" s="16">
        <f>E2485*F2485</f>
        <v>23000</v>
      </c>
      <c r="I2485" s="16">
        <f>E2485*G2485</f>
        <v>50000</v>
      </c>
      <c r="J2485" s="16">
        <f>I2485-H2485</f>
        <v>27000</v>
      </c>
      <c r="K2485" s="16" t="str">
        <f>VLOOKUP(C2485,[1]master_data!$A$2:$E$495,5,FALSE)</f>
        <v>Ikan</v>
      </c>
      <c r="L2485" s="1"/>
    </row>
    <row r="2486" spans="1:12" ht="12" customHeight="1" x14ac:dyDescent="0.25">
      <c r="A2486" s="15">
        <v>44931</v>
      </c>
      <c r="B2486" s="16">
        <v>22300022</v>
      </c>
      <c r="C2486" s="16" t="s">
        <v>425</v>
      </c>
      <c r="D2486" s="16" t="str">
        <f>VLOOKUP(C2486,[1]master_data!$A$2:$E$495,2,FALSE)</f>
        <v>LEMON</v>
      </c>
      <c r="E2486" s="16">
        <v>20</v>
      </c>
      <c r="F2486" s="16">
        <f>VLOOKUP(C2486,[1]master_data!$A$2:$E$495,3,FALSE)</f>
        <v>1000</v>
      </c>
      <c r="G2486" s="16">
        <f>VLOOKUP(C2486,[1]master_data!$A$2:$E$495,4,FALSE)</f>
        <v>2000</v>
      </c>
      <c r="H2486" s="16">
        <f>E2486*F2486</f>
        <v>20000</v>
      </c>
      <c r="I2486" s="16">
        <f>E2486*G2486</f>
        <v>40000</v>
      </c>
      <c r="J2486" s="16">
        <f>I2486-H2486</f>
        <v>20000</v>
      </c>
      <c r="K2486" s="16" t="str">
        <f>VLOOKUP(C2486,[1]master_data!$A$2:$E$495,5,FALSE)</f>
        <v>Ikan</v>
      </c>
      <c r="L2486" s="1"/>
    </row>
    <row r="2487" spans="1:12" ht="12" customHeight="1" x14ac:dyDescent="0.25">
      <c r="A2487" s="15">
        <v>44931</v>
      </c>
      <c r="B2487" s="16">
        <v>22300023</v>
      </c>
      <c r="C2487" s="16" t="s">
        <v>409</v>
      </c>
      <c r="D2487" s="16" t="str">
        <f>VLOOKUP(C2487,[1]master_data!$A$2:$E$495,2,FALSE)</f>
        <v>GOLDEN BLACK</v>
      </c>
      <c r="E2487" s="16">
        <v>10</v>
      </c>
      <c r="F2487" s="16">
        <f>VLOOKUP(C2487,[1]master_data!$A$2:$E$495,3,FALSE)</f>
        <v>800</v>
      </c>
      <c r="G2487" s="16">
        <f>VLOOKUP(C2487,[1]master_data!$A$2:$E$495,4,FALSE)</f>
        <v>2000</v>
      </c>
      <c r="H2487" s="16">
        <f>E2487*F2487</f>
        <v>8000</v>
      </c>
      <c r="I2487" s="16">
        <f>E2487*G2487</f>
        <v>20000</v>
      </c>
      <c r="J2487" s="16">
        <f>I2487-H2487</f>
        <v>12000</v>
      </c>
      <c r="K2487" s="16" t="str">
        <f>VLOOKUP(C2487,[1]master_data!$A$2:$E$495,5,FALSE)</f>
        <v>Ikan</v>
      </c>
      <c r="L2487" s="1"/>
    </row>
    <row r="2488" spans="1:12" ht="12" customHeight="1" x14ac:dyDescent="0.25">
      <c r="A2488" s="15">
        <v>44931</v>
      </c>
      <c r="B2488" s="16">
        <v>22300024</v>
      </c>
      <c r="C2488" s="16" t="s">
        <v>399</v>
      </c>
      <c r="D2488" s="16" t="str">
        <f>VLOOKUP(C2488,[1]master_data!$A$2:$E$495,2,FALSE)</f>
        <v>BALA BALA B</v>
      </c>
      <c r="E2488" s="16">
        <v>2</v>
      </c>
      <c r="F2488" s="16">
        <f>VLOOKUP(C2488,[1]master_data!$A$2:$E$495,3,FALSE)</f>
        <v>7000</v>
      </c>
      <c r="G2488" s="16">
        <f>VLOOKUP(C2488,[1]master_data!$A$2:$E$495,4,FALSE)</f>
        <v>15000</v>
      </c>
      <c r="H2488" s="16">
        <f>E2488*F2488</f>
        <v>14000</v>
      </c>
      <c r="I2488" s="16">
        <f>E2488*G2488</f>
        <v>30000</v>
      </c>
      <c r="J2488" s="16">
        <f>I2488-H2488</f>
        <v>16000</v>
      </c>
      <c r="K2488" s="16" t="str">
        <f>VLOOKUP(C2488,[1]master_data!$A$2:$E$495,5,FALSE)</f>
        <v>Ikan</v>
      </c>
      <c r="L2488" s="1"/>
    </row>
    <row r="2489" spans="1:12" ht="12" customHeight="1" x14ac:dyDescent="0.25">
      <c r="A2489" s="15">
        <v>44931</v>
      </c>
      <c r="B2489" s="16">
        <v>22300025</v>
      </c>
      <c r="C2489" s="16" t="s">
        <v>115</v>
      </c>
      <c r="D2489" s="16" t="str">
        <f>VLOOKUP(C2489,[1]master_data!$A$2:$E$495,2,FALSE)</f>
        <v>AIRATOR  YANG LUB 2</v>
      </c>
      <c r="E2489" s="16">
        <v>1</v>
      </c>
      <c r="F2489" s="16">
        <f>VLOOKUP(C2489,[1]master_data!$A$2:$E$495,3,FALSE)</f>
        <v>26500</v>
      </c>
      <c r="G2489" s="16">
        <f>VLOOKUP(C2489,[1]master_data!$A$2:$E$495,4,FALSE)</f>
        <v>50000</v>
      </c>
      <c r="H2489" s="16">
        <f>E2489*F2489</f>
        <v>26500</v>
      </c>
      <c r="I2489" s="16">
        <f>E2489*G2489</f>
        <v>50000</v>
      </c>
      <c r="J2489" s="16">
        <f>I2489-H2489</f>
        <v>23500</v>
      </c>
      <c r="K2489" s="16" t="str">
        <f>VLOOKUP(C2489,[1]master_data!$A$2:$E$495,5,FALSE)</f>
        <v>Aksesoris</v>
      </c>
      <c r="L2489" s="1"/>
    </row>
    <row r="2490" spans="1:12" ht="12" customHeight="1" x14ac:dyDescent="0.25">
      <c r="A2490" s="15">
        <v>44930</v>
      </c>
      <c r="B2490" s="16">
        <v>22300010</v>
      </c>
      <c r="C2490" s="16" t="s">
        <v>81</v>
      </c>
      <c r="D2490" s="16" t="str">
        <f>VLOOKUP(C2490,[1]master_data!$A$2:$E$495,2,FALSE)</f>
        <v>MESIN KIYOSAKI 105B</v>
      </c>
      <c r="E2490" s="16">
        <v>2</v>
      </c>
      <c r="F2490" s="16">
        <f>VLOOKUP(C2490,[1]master_data!$A$2:$E$495,3,FALSE)</f>
        <v>110000</v>
      </c>
      <c r="G2490" s="16">
        <f>VLOOKUP(C2490,[1]master_data!$A$2:$E$495,4,FALSE)</f>
        <v>160000</v>
      </c>
      <c r="H2490" s="16">
        <f>E2490*F2490</f>
        <v>220000</v>
      </c>
      <c r="I2490" s="16">
        <f>E2490*G2490</f>
        <v>320000</v>
      </c>
      <c r="J2490" s="16">
        <f>I2490-H2490</f>
        <v>100000</v>
      </c>
      <c r="K2490" s="16" t="str">
        <f>VLOOKUP(C2490,[1]master_data!$A$2:$E$495,5,FALSE)</f>
        <v>Aksesoris</v>
      </c>
      <c r="L2490" s="1"/>
    </row>
    <row r="2491" spans="1:12" ht="12" customHeight="1" x14ac:dyDescent="0.25">
      <c r="A2491" s="15">
        <v>44930</v>
      </c>
      <c r="B2491" s="16">
        <v>22300011</v>
      </c>
      <c r="C2491" s="16" t="s">
        <v>119</v>
      </c>
      <c r="D2491" s="16" t="str">
        <f>VLOOKUP(C2491,[1]master_data!$A$2:$E$495,2,FALSE)</f>
        <v>LED ROSTON 30 CM</v>
      </c>
      <c r="E2491" s="16">
        <v>1</v>
      </c>
      <c r="F2491" s="16">
        <f>VLOOKUP(C2491,[1]master_data!$A$2:$E$495,3,FALSE)</f>
        <v>21000</v>
      </c>
      <c r="G2491" s="16">
        <f>VLOOKUP(C2491,[1]master_data!$A$2:$E$495,4,FALSE)</f>
        <v>35000</v>
      </c>
      <c r="H2491" s="16">
        <f>E2491*F2491</f>
        <v>21000</v>
      </c>
      <c r="I2491" s="16">
        <f>E2491*G2491</f>
        <v>35000</v>
      </c>
      <c r="J2491" s="16">
        <f>I2491-H2491</f>
        <v>14000</v>
      </c>
      <c r="K2491" s="16" t="str">
        <f>VLOOKUP(C2491,[1]master_data!$A$2:$E$495,5,FALSE)</f>
        <v>Aksesoris</v>
      </c>
      <c r="L2491" s="1"/>
    </row>
    <row r="2492" spans="1:12" ht="12" customHeight="1" x14ac:dyDescent="0.25">
      <c r="A2492" s="15">
        <v>44930</v>
      </c>
      <c r="B2492" s="16">
        <v>22300012</v>
      </c>
      <c r="C2492" s="16" t="s">
        <v>5</v>
      </c>
      <c r="D2492" s="16" t="str">
        <f>VLOOKUP(C2492,[1]master_data!$A$2:$E$495,2,FALSE)</f>
        <v>MESIN YANG 1000 L</v>
      </c>
      <c r="E2492" s="16">
        <v>5</v>
      </c>
      <c r="F2492" s="16">
        <f>VLOOKUP(C2492,[1]master_data!$A$2:$E$495,3,FALSE)</f>
        <v>31000</v>
      </c>
      <c r="G2492" s="16">
        <f>VLOOKUP(C2492,[1]master_data!$A$2:$E$495,4,FALSE)</f>
        <v>50000</v>
      </c>
      <c r="H2492" s="16">
        <f>E2492*F2492</f>
        <v>155000</v>
      </c>
      <c r="I2492" s="16">
        <f>E2492*G2492</f>
        <v>250000</v>
      </c>
      <c r="J2492" s="16">
        <f>I2492-H2492</f>
        <v>95000</v>
      </c>
      <c r="K2492" s="16" t="str">
        <f>VLOOKUP(C2492,[1]master_data!$A$2:$E$495,5,FALSE)</f>
        <v>Aksesoris</v>
      </c>
      <c r="L2492" s="1"/>
    </row>
    <row r="2493" spans="1:12" ht="12" customHeight="1" x14ac:dyDescent="0.25">
      <c r="A2493" s="15">
        <v>44930</v>
      </c>
      <c r="B2493" s="16">
        <v>22300013</v>
      </c>
      <c r="C2493" s="16" t="s">
        <v>16</v>
      </c>
      <c r="D2493" s="16" t="str">
        <f>VLOOKUP(C2493,[1]master_data!$A$2:$E$495,2,FALSE)</f>
        <v>HANG ON YANG 502</v>
      </c>
      <c r="E2493" s="16">
        <v>1</v>
      </c>
      <c r="F2493" s="16">
        <f>VLOOKUP(C2493,[1]master_data!$A$2:$E$495,3,FALSE)</f>
        <v>71000</v>
      </c>
      <c r="G2493" s="16">
        <f>VLOOKUP(C2493,[1]master_data!$A$2:$E$495,4,FALSE)</f>
        <v>95000</v>
      </c>
      <c r="H2493" s="16">
        <f>E2493*F2493</f>
        <v>71000</v>
      </c>
      <c r="I2493" s="16">
        <f>E2493*G2493</f>
        <v>95000</v>
      </c>
      <c r="J2493" s="16">
        <f>I2493-H2493</f>
        <v>24000</v>
      </c>
      <c r="K2493" s="16" t="str">
        <f>VLOOKUP(C2493,[1]master_data!$A$2:$E$495,5,FALSE)</f>
        <v>Aksesoris</v>
      </c>
      <c r="L2493" s="1"/>
    </row>
    <row r="2494" spans="1:12" ht="12" customHeight="1" x14ac:dyDescent="0.25">
      <c r="A2494" s="15">
        <v>44930</v>
      </c>
      <c r="B2494" s="16">
        <v>22300014</v>
      </c>
      <c r="C2494" s="16" t="s">
        <v>172</v>
      </c>
      <c r="D2494" s="16" t="str">
        <f>VLOOKUP(C2494,[1]master_data!$A$2:$E$495,2,FALSE)</f>
        <v>LED KANDILA DnN 40 CM</v>
      </c>
      <c r="E2494" s="16">
        <v>10</v>
      </c>
      <c r="F2494" s="16">
        <f>VLOOKUP(C2494,[1]master_data!$A$2:$E$495,3,FALSE)</f>
        <v>30000</v>
      </c>
      <c r="G2494" s="16">
        <f>VLOOKUP(C2494,[1]master_data!$A$2:$E$495,4,FALSE)</f>
        <v>50000</v>
      </c>
      <c r="H2494" s="16">
        <f>E2494*F2494</f>
        <v>300000</v>
      </c>
      <c r="I2494" s="16">
        <f>E2494*G2494</f>
        <v>500000</v>
      </c>
      <c r="J2494" s="16">
        <f>I2494-H2494</f>
        <v>200000</v>
      </c>
      <c r="K2494" s="16" t="str">
        <f>VLOOKUP(C2494,[1]master_data!$A$2:$E$495,5,FALSE)</f>
        <v>Aksesoris</v>
      </c>
      <c r="L2494" s="1"/>
    </row>
    <row r="2495" spans="1:12" ht="12" customHeight="1" x14ac:dyDescent="0.25">
      <c r="A2495" s="15">
        <v>44929</v>
      </c>
      <c r="B2495" s="16">
        <v>22300007</v>
      </c>
      <c r="C2495" s="16" t="s">
        <v>187</v>
      </c>
      <c r="D2495" s="16" t="str">
        <f>VLOOKUP(C2495,[1]master_data!$A$2:$E$495,2,FALSE)</f>
        <v>LED KANDILA PRO RED ECO 20 CM</v>
      </c>
      <c r="E2495" s="16">
        <v>10</v>
      </c>
      <c r="F2495" s="16">
        <f>VLOOKUP(C2495,[1]master_data!$A$2:$E$495,3,FALSE)</f>
        <v>35000</v>
      </c>
      <c r="G2495" s="16">
        <f>VLOOKUP(C2495,[1]master_data!$A$2:$E$495,4,FALSE)</f>
        <v>55000</v>
      </c>
      <c r="H2495" s="16">
        <f>E2495*F2495</f>
        <v>350000</v>
      </c>
      <c r="I2495" s="16">
        <f>E2495*G2495</f>
        <v>550000</v>
      </c>
      <c r="J2495" s="16">
        <f>I2495-H2495</f>
        <v>200000</v>
      </c>
      <c r="K2495" s="16" t="str">
        <f>VLOOKUP(C2495,[1]master_data!$A$2:$E$495,5,FALSE)</f>
        <v>Aksesoris</v>
      </c>
      <c r="L2495" s="1"/>
    </row>
    <row r="2496" spans="1:12" ht="12" customHeight="1" x14ac:dyDescent="0.25">
      <c r="A2496" s="15">
        <v>44929</v>
      </c>
      <c r="B2496" s="16">
        <v>22300008</v>
      </c>
      <c r="C2496" s="16" t="s">
        <v>49</v>
      </c>
      <c r="D2496" s="16" t="str">
        <f>VLOOKUP(C2496,[1]master_data!$A$2:$E$495,2,FALSE)</f>
        <v>TOP FILTER NIKITA K</v>
      </c>
      <c r="E2496" s="16">
        <v>10</v>
      </c>
      <c r="F2496" s="16">
        <f>VLOOKUP(C2496,[1]master_data!$A$2:$E$495,3,FALSE)</f>
        <v>36000</v>
      </c>
      <c r="G2496" s="16">
        <f>VLOOKUP(C2496,[1]master_data!$A$2:$E$495,4,FALSE)</f>
        <v>55000</v>
      </c>
      <c r="H2496" s="16">
        <f>E2496*F2496</f>
        <v>360000</v>
      </c>
      <c r="I2496" s="16">
        <f>E2496*G2496</f>
        <v>550000</v>
      </c>
      <c r="J2496" s="16">
        <f>I2496-H2496</f>
        <v>190000</v>
      </c>
      <c r="K2496" s="16" t="str">
        <f>VLOOKUP(C2496,[1]master_data!$A$2:$E$495,5,FALSE)</f>
        <v>Aksesoris</v>
      </c>
      <c r="L2496" s="1"/>
    </row>
    <row r="2497" spans="1:12" ht="12" customHeight="1" x14ac:dyDescent="0.25">
      <c r="A2497" s="15">
        <v>44929</v>
      </c>
      <c r="B2497" s="16">
        <v>22300009</v>
      </c>
      <c r="C2497" s="16" t="s">
        <v>406</v>
      </c>
      <c r="D2497" s="16" t="str">
        <f>VLOOKUP(C2497,[1]master_data!$A$2:$E$495,2,FALSE)</f>
        <v>CATFISH</v>
      </c>
      <c r="E2497" s="16">
        <v>2</v>
      </c>
      <c r="F2497" s="16">
        <f>VLOOKUP(C2497,[1]master_data!$A$2:$E$495,3,FALSE)</f>
        <v>20000</v>
      </c>
      <c r="G2497" s="16">
        <f>VLOOKUP(C2497,[1]master_data!$A$2:$E$495,4,FALSE)</f>
        <v>50000</v>
      </c>
      <c r="H2497" s="16">
        <f>E2497*F2497</f>
        <v>40000</v>
      </c>
      <c r="I2497" s="16">
        <f>E2497*G2497</f>
        <v>100000</v>
      </c>
      <c r="J2497" s="16">
        <f>I2497-H2497</f>
        <v>60000</v>
      </c>
      <c r="K2497" s="16" t="str">
        <f>VLOOKUP(C2497,[1]master_data!$A$2:$E$495,5,FALSE)</f>
        <v>Ikan</v>
      </c>
      <c r="L2497" s="1"/>
    </row>
    <row r="2498" spans="1:12" ht="12" customHeight="1" x14ac:dyDescent="0.25">
      <c r="A2498" s="15">
        <v>44928</v>
      </c>
      <c r="B2498" s="16">
        <v>22300003</v>
      </c>
      <c r="C2498" s="16" t="s">
        <v>424</v>
      </c>
      <c r="D2498" s="16" t="str">
        <f>VLOOKUP(C2498,[1]master_data!$A$2:$E$495,2,FALSE)</f>
        <v>DISCUS</v>
      </c>
      <c r="E2498" s="16">
        <v>4</v>
      </c>
      <c r="F2498" s="16">
        <f>VLOOKUP(C2498,[1]master_data!$A$2:$E$495,3,FALSE)</f>
        <v>50000</v>
      </c>
      <c r="G2498" s="16">
        <f>VLOOKUP(C2498,[1]master_data!$A$2:$E$495,4,FALSE)</f>
        <v>150000</v>
      </c>
      <c r="H2498" s="16">
        <f>E2498*F2498</f>
        <v>200000</v>
      </c>
      <c r="I2498" s="16">
        <f>E2498*G2498</f>
        <v>600000</v>
      </c>
      <c r="J2498" s="16">
        <f>I2498-H2498</f>
        <v>400000</v>
      </c>
      <c r="K2498" s="16" t="str">
        <f>VLOOKUP(C2498,[1]master_data!$A$2:$E$495,5,FALSE)</f>
        <v>Ikan</v>
      </c>
      <c r="L2498" s="1"/>
    </row>
    <row r="2499" spans="1:12" ht="12" customHeight="1" x14ac:dyDescent="0.25">
      <c r="A2499" s="15">
        <v>44928</v>
      </c>
      <c r="B2499" s="16">
        <v>22300004</v>
      </c>
      <c r="C2499" s="16" t="s">
        <v>229</v>
      </c>
      <c r="D2499" s="16" t="str">
        <f>VLOOKUP(C2499,[1]master_data!$A$2:$E$495,2,FALSE)</f>
        <v>KOHAKO GROWTH</v>
      </c>
      <c r="E2499" s="16">
        <v>5</v>
      </c>
      <c r="F2499" s="16">
        <f>VLOOKUP(C2499,[1]master_data!$A$2:$E$495,3,FALSE)</f>
        <v>33500</v>
      </c>
      <c r="G2499" s="16">
        <f>VLOOKUP(C2499,[1]master_data!$A$2:$E$495,4,FALSE)</f>
        <v>45000</v>
      </c>
      <c r="H2499" s="16">
        <f>E2499*F2499</f>
        <v>167500</v>
      </c>
      <c r="I2499" s="16">
        <f>E2499*G2499</f>
        <v>225000</v>
      </c>
      <c r="J2499" s="16">
        <f>I2499-H2499</f>
        <v>57500</v>
      </c>
      <c r="K2499" s="16" t="str">
        <f>VLOOKUP(C2499,[1]master_data!$A$2:$E$495,5,FALSE)</f>
        <v>Aksesoris</v>
      </c>
      <c r="L2499" s="1"/>
    </row>
    <row r="2500" spans="1:12" ht="12" customHeight="1" x14ac:dyDescent="0.25">
      <c r="A2500" s="15">
        <v>44928</v>
      </c>
      <c r="B2500" s="16">
        <v>22300005</v>
      </c>
      <c r="C2500" s="16" t="s">
        <v>429</v>
      </c>
      <c r="D2500" s="16" t="str">
        <f>VLOOKUP(C2500,[1]master_data!$A$2:$E$495,2,FALSE)</f>
        <v>MANFISH B</v>
      </c>
      <c r="E2500" s="16">
        <v>15</v>
      </c>
      <c r="F2500" s="16">
        <f>VLOOKUP(C2500,[1]master_data!$A$2:$E$495,3,FALSE)</f>
        <v>4000</v>
      </c>
      <c r="G2500" s="16">
        <f>VLOOKUP(C2500,[1]master_data!$A$2:$E$495,4,FALSE)</f>
        <v>10000</v>
      </c>
      <c r="H2500" s="16">
        <f>E2500*F2500</f>
        <v>60000</v>
      </c>
      <c r="I2500" s="16">
        <f>E2500*G2500</f>
        <v>150000</v>
      </c>
      <c r="J2500" s="16">
        <f>I2500-H2500</f>
        <v>90000</v>
      </c>
      <c r="K2500" s="16" t="str">
        <f>VLOOKUP(C2500,[1]master_data!$A$2:$E$495,5,FALSE)</f>
        <v>Ikan</v>
      </c>
      <c r="L2500" s="1"/>
    </row>
    <row r="2501" spans="1:12" ht="12" customHeight="1" x14ac:dyDescent="0.25">
      <c r="A2501" s="15">
        <v>44928</v>
      </c>
      <c r="B2501" s="16">
        <v>22300006</v>
      </c>
      <c r="C2501" s="16" t="s">
        <v>376</v>
      </c>
      <c r="D2501" s="16" t="str">
        <f>VLOOKUP(C2501,[1]master_data!$A$2:$E$495,2,FALSE)</f>
        <v>PASIR BALI</v>
      </c>
      <c r="E2501" s="16">
        <v>1</v>
      </c>
      <c r="F2501" s="16">
        <f>VLOOKUP(C2501,[1]master_data!$A$2:$E$495,3,FALSE)</f>
        <v>5000</v>
      </c>
      <c r="G2501" s="16">
        <f>VLOOKUP(C2501,[1]master_data!$A$2:$E$495,4,FALSE)</f>
        <v>10000</v>
      </c>
      <c r="H2501" s="16">
        <f>E2501*F2501</f>
        <v>5000</v>
      </c>
      <c r="I2501" s="16">
        <f>E2501*G2501</f>
        <v>10000</v>
      </c>
      <c r="J2501" s="16">
        <f>I2501-H2501</f>
        <v>5000</v>
      </c>
      <c r="K2501" s="16" t="str">
        <f>VLOOKUP(C2501,[1]master_data!$A$2:$E$495,5,FALSE)</f>
        <v>Aksesoris</v>
      </c>
      <c r="L2501" s="1"/>
    </row>
    <row r="2502" spans="1:12" ht="12" customHeight="1" x14ac:dyDescent="0.25">
      <c r="A2502" s="15">
        <v>44927</v>
      </c>
      <c r="B2502" s="16">
        <v>22300001</v>
      </c>
      <c r="C2502" s="16" t="s">
        <v>171</v>
      </c>
      <c r="D2502" s="16" t="str">
        <f>VLOOKUP(C2502,[1]master_data!$A$2:$E$495,2,FALSE)</f>
        <v>LED ARROW 3 MODE 80 CM</v>
      </c>
      <c r="E2502" s="16">
        <v>10</v>
      </c>
      <c r="F2502" s="16">
        <f>VLOOKUP(C2502,[1]master_data!$A$2:$E$495,3,FALSE)</f>
        <v>69000</v>
      </c>
      <c r="G2502" s="16">
        <f>VLOOKUP(C2502,[1]master_data!$A$2:$E$495,4,FALSE)</f>
        <v>90000</v>
      </c>
      <c r="H2502" s="16">
        <f>E2502*F2502</f>
        <v>690000</v>
      </c>
      <c r="I2502" s="16">
        <f>E2502*G2502</f>
        <v>900000</v>
      </c>
      <c r="J2502" s="16">
        <f>I2502-H2502</f>
        <v>210000</v>
      </c>
      <c r="K2502" s="16" t="str">
        <f>VLOOKUP(C2502,[1]master_data!$A$2:$E$495,5,FALSE)</f>
        <v>Aksesoris</v>
      </c>
      <c r="L2502" s="1"/>
    </row>
    <row r="2503" spans="1:12" ht="12" customHeight="1" x14ac:dyDescent="0.25">
      <c r="A2503" s="15">
        <v>44927</v>
      </c>
      <c r="B2503" s="16">
        <v>22300002</v>
      </c>
      <c r="C2503" s="16" t="s">
        <v>392</v>
      </c>
      <c r="D2503" s="16" t="str">
        <f>VLOOKUP(C2503,[1]master_data!$A$2:$E$495,2,FALSE)</f>
        <v>ARWANA SILVER K</v>
      </c>
      <c r="E2503" s="16">
        <v>2</v>
      </c>
      <c r="F2503" s="16">
        <f>VLOOKUP(C2503,[1]master_data!$A$2:$E$495,3,FALSE)</f>
        <v>100000</v>
      </c>
      <c r="G2503" s="16">
        <f>VLOOKUP(C2503,[1]master_data!$A$2:$E$495,4,FALSE)</f>
        <v>200000</v>
      </c>
      <c r="H2503" s="16">
        <f>E2503*F2503</f>
        <v>200000</v>
      </c>
      <c r="I2503" s="16">
        <f>E2503*G2503</f>
        <v>400000</v>
      </c>
      <c r="J2503" s="16">
        <f>I2503-H2503</f>
        <v>200000</v>
      </c>
      <c r="K2503" s="16" t="str">
        <f>VLOOKUP(C2503,[1]master_data!$A$2:$E$495,5,FALSE)</f>
        <v>Ikan</v>
      </c>
      <c r="L2503" s="1"/>
    </row>
    <row r="2504" spans="1:12" ht="12" customHeight="1" x14ac:dyDescent="0.3">
      <c r="A2504" s="11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1"/>
    </row>
    <row r="2505" spans="1:12" ht="12" customHeight="1" x14ac:dyDescent="0.25">
      <c r="A2505" s="12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2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2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2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2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2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2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2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2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2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2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2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2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2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2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2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2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2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2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2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2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2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2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2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2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2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2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2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2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2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2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2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2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2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2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2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2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2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2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2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2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2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2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2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2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2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2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2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2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2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2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2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2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2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2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2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2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2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2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2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2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2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2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2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2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2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2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2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2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2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2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2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2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2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2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2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2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2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2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2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2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2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2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2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2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2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2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2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2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2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2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2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2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2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2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2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2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2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2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2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2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2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2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2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2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2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2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2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2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2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2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2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2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2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2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2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2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2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2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2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2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2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2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2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2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2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2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2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2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2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2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2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2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2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2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2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2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2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2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2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2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2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2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2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2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2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2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2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2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2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2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2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2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2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2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2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2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2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2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2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2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2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2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2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2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2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2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2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2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2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2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2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2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2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2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2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2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2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2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2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2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2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2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2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2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2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2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2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2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2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2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2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2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2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2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2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2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2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2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2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2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2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2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2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2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2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2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2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2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2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2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2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2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2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2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2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2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2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2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2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2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2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2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2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2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2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2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2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2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2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2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2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2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2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2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2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2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2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2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2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2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2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2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2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2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2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2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2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2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2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2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2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2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2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2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2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2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2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2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2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2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2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2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2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2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2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2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2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2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2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2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2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2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2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2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2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2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2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2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2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2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2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2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2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2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2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2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2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2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2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2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2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2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2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2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2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2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2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2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2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2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2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2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2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2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2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2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2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2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2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2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2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2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2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2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2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2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2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2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2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2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2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2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2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2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2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2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2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2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2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2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2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2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2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2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2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2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2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2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2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2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2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2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2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2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2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2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2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2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2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2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2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2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2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2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2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2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2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2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2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2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2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2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2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2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2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2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2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2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2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2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2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2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2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2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2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2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2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2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2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2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2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2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2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2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2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2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2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2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2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2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2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2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2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2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2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2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2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2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2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2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2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2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2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2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2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2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2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2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2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2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2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2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2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2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2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2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2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2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2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2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2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2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2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2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2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2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2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2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2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2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2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2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2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2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2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2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2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2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2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2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2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2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2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2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2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2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2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2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2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2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2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2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2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2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2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2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2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2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2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2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2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2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2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2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2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2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2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2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2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2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2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2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2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2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2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2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2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2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2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2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2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2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2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2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2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2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2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2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2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2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2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2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2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2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2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2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2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2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2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2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2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2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2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2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2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2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2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2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2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2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2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2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2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2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2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2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2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2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2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2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2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2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2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2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2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2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2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2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2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2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2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2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2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2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2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2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2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2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2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2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2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2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2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2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2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2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2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2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2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2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2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2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2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2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2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2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2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2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2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2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2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2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2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2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2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2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2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2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2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2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2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2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2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2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2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2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2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2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2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2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2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2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2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2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2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2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2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2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2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2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2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2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2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2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2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2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2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2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2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2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2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2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2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2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2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2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2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2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2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2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2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2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2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2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2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2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2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2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2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2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2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2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2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2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2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2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2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2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2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2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2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2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2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2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2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2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2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2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2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2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2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2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2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2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2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2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2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2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2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2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2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2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2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2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2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2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2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2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2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2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2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2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2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2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2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2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2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2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2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2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2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2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2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2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2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2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2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2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2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2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2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2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2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2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2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2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2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2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2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2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2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2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2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2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2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2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2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2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2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2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2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2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2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2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2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2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2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2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2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2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2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2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2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2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2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2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2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2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2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2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2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2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2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2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2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2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2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2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2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2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2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2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2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2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2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2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2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2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2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2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2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2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2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2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2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2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2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2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2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2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2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2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2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2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2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2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2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2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2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2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2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2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2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2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2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2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2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2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2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2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2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2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2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2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2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2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2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2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2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2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2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2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2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2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2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2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2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2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2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2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2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2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2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2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2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2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2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2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2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2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2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2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2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2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2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2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2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2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2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2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2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2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2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2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2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2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2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2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2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2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2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2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2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2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2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2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2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2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2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2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2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2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2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2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2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2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2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2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2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2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2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2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2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2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2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2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2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2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2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2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2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2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2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2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2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2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2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2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2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2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2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2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2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2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2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2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2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2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2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2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2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2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2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2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2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2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2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2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2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2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2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2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2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2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2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2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2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2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2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2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2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2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2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2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2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2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2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2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2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2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2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2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2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2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2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2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2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2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2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2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2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2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2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2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2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2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2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2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2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2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2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2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2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2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2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2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2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2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2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2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2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2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2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2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2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2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2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2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2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2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2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2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2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2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2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2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2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2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2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2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2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2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2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2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2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2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2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2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2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2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2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2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2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2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2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2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2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2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2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2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2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2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2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2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2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2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2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2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2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2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2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2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2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2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2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2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2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2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2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2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2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2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2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2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2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2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2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2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2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2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2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2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2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2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2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2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2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2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2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2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2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2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2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2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2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2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2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2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2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2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2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2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2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2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2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2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2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2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2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2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2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2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2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2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2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2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2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2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2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2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2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2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2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2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2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2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2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2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2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2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2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2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2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2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2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2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2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2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2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2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2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2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2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2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2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2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2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2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2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2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2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2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2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2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2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2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2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2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2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2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2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2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2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2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2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2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2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2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2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2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2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2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2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2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2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2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2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2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2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2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2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2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2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2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2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2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2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2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2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2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2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2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2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2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2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2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2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2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2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2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2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2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2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2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2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2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2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2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2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2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2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2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2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2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2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2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2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2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2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2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2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2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2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2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2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2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2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2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2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2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2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2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2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2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2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2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2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2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2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2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2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2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2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2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2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2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2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2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2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2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2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2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2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2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2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2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2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2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2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2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2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2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2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2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2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2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2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2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2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2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2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2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2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2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2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2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2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2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2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2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2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2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2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2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2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2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2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2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2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2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2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2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2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2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2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2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2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2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2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2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2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2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2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2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2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2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2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2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2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2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2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2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2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2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2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2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2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2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2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2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2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2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2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2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2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2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2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2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2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2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2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2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2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2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2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2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2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2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2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2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2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2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2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2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2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2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2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2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2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2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2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2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2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2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2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2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2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2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2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2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2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2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2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2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2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2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2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2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2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2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2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2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2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2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2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2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2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2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2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2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2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2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2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2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2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2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2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2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2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2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2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2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2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2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2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2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2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2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2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2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2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2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2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2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2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2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2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2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2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2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2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2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2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2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2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2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2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2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2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2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2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2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2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2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2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2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2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2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2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2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2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2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2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2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2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2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2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2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2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2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2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2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2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2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2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2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2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2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2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2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2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2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2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2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2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2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2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2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2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2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2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2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2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2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2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2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2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2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2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2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2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2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2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2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2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2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2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2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2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2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2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2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2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2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2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2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2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2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2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2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2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2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2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2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2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2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2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2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2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2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2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2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2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2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2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2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2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2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2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2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2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2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2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2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2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2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2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2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2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2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2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2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2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2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2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2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2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2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2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2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2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2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2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2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2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2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2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2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2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2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2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2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2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2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2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2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2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2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2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2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2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2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2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2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2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2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2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2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2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2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2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2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2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2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2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2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2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2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2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2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2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2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2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2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2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2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2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2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2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2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2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2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2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2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2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2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2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2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2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2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2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2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2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2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2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2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2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2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2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2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2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2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2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2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2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2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2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2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2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2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2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2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2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2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2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2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2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2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2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2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2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2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2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2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2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>
      <c r="A4051" s="12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/>
    <row r="4053" spans="1:12" ht="12" customHeight="1" x14ac:dyDescent="0.25"/>
    <row r="4054" spans="1:12" ht="12" customHeight="1" x14ac:dyDescent="0.25"/>
    <row r="4055" spans="1:12" ht="12" customHeight="1" x14ac:dyDescent="0.25"/>
    <row r="4056" spans="1:12" ht="12" customHeight="1" x14ac:dyDescent="0.25"/>
    <row r="4057" spans="1:12" ht="12" customHeight="1" x14ac:dyDescent="0.25"/>
    <row r="4058" spans="1:12" ht="12" customHeight="1" x14ac:dyDescent="0.25"/>
    <row r="4059" spans="1:12" ht="12" customHeight="1" x14ac:dyDescent="0.25"/>
    <row r="4060" spans="1:12" ht="12" customHeight="1" x14ac:dyDescent="0.25"/>
    <row r="4061" spans="1:12" ht="12" customHeight="1" x14ac:dyDescent="0.25"/>
    <row r="4062" spans="1:12" ht="12" customHeight="1" x14ac:dyDescent="0.25"/>
    <row r="4063" spans="1:12" ht="12" customHeight="1" x14ac:dyDescent="0.25"/>
    <row r="4064" spans="1:12" ht="12" customHeight="1" x14ac:dyDescent="0.25"/>
    <row r="4065" ht="12" customHeight="1" x14ac:dyDescent="0.25"/>
    <row r="4066" ht="12" customHeight="1" x14ac:dyDescent="0.25"/>
    <row r="4067" ht="12" customHeight="1" x14ac:dyDescent="0.25"/>
    <row r="4068" ht="12" customHeight="1" x14ac:dyDescent="0.25"/>
    <row r="4069" ht="12" customHeight="1" x14ac:dyDescent="0.25"/>
    <row r="4070" ht="12" customHeight="1" x14ac:dyDescent="0.25"/>
    <row r="4071" ht="12" customHeight="1" x14ac:dyDescent="0.25"/>
    <row r="4072" ht="12" customHeight="1" x14ac:dyDescent="0.25"/>
    <row r="4073" ht="12" customHeight="1" x14ac:dyDescent="0.25"/>
    <row r="4074" ht="12" customHeight="1" x14ac:dyDescent="0.25"/>
    <row r="4075" ht="12" customHeight="1" x14ac:dyDescent="0.25"/>
    <row r="4076" ht="12" customHeight="1" x14ac:dyDescent="0.25"/>
    <row r="4077" ht="12" customHeight="1" x14ac:dyDescent="0.25"/>
    <row r="4078" ht="12" customHeight="1" x14ac:dyDescent="0.25"/>
    <row r="4079" ht="12" customHeight="1" x14ac:dyDescent="0.25"/>
    <row r="4080" ht="12" customHeight="1" x14ac:dyDescent="0.25"/>
    <row r="4081" ht="12" customHeight="1" x14ac:dyDescent="0.25"/>
    <row r="4082" ht="12" customHeight="1" x14ac:dyDescent="0.25"/>
    <row r="4083" ht="12" customHeight="1" x14ac:dyDescent="0.25"/>
    <row r="4084" ht="12" customHeight="1" x14ac:dyDescent="0.25"/>
    <row r="4085" ht="12" customHeight="1" x14ac:dyDescent="0.25"/>
    <row r="4086" ht="12" customHeight="1" x14ac:dyDescent="0.25"/>
    <row r="4087" ht="12" customHeight="1" x14ac:dyDescent="0.25"/>
    <row r="4088" ht="12" customHeight="1" x14ac:dyDescent="0.25"/>
    <row r="4089" ht="12" customHeight="1" x14ac:dyDescent="0.25"/>
    <row r="4090" ht="12" customHeight="1" x14ac:dyDescent="0.25"/>
    <row r="4091" ht="12" customHeight="1" x14ac:dyDescent="0.25"/>
    <row r="4092" ht="12" customHeight="1" x14ac:dyDescent="0.25"/>
    <row r="4093" ht="12" customHeight="1" x14ac:dyDescent="0.25"/>
    <row r="4094" ht="12" customHeight="1" x14ac:dyDescent="0.25"/>
    <row r="4095" ht="12" customHeight="1" x14ac:dyDescent="0.25"/>
    <row r="4096" ht="12" customHeight="1" x14ac:dyDescent="0.25"/>
    <row r="4097" ht="12" customHeight="1" x14ac:dyDescent="0.25"/>
    <row r="4098" ht="12" customHeight="1" x14ac:dyDescent="0.25"/>
    <row r="4099" ht="12" customHeight="1" x14ac:dyDescent="0.25"/>
    <row r="4100" ht="12" customHeight="1" x14ac:dyDescent="0.25"/>
    <row r="4101" ht="12" customHeight="1" x14ac:dyDescent="0.25"/>
    <row r="4102" ht="12" customHeight="1" x14ac:dyDescent="0.25"/>
    <row r="4103" ht="12" customHeight="1" x14ac:dyDescent="0.25"/>
    <row r="4104" ht="12" customHeight="1" x14ac:dyDescent="0.25"/>
    <row r="4105" ht="12" customHeight="1" x14ac:dyDescent="0.25"/>
    <row r="4106" ht="12" customHeight="1" x14ac:dyDescent="0.25"/>
    <row r="4107" ht="12" customHeight="1" x14ac:dyDescent="0.25"/>
    <row r="4108" ht="12" customHeight="1" x14ac:dyDescent="0.25"/>
    <row r="4109" ht="12" customHeight="1" x14ac:dyDescent="0.25"/>
    <row r="4110" ht="12" customHeight="1" x14ac:dyDescent="0.25"/>
    <row r="4111" ht="12" customHeight="1" x14ac:dyDescent="0.25"/>
    <row r="4112" ht="12" customHeight="1" x14ac:dyDescent="0.25"/>
    <row r="4113" ht="12" customHeight="1" x14ac:dyDescent="0.25"/>
    <row r="4114" ht="12" customHeight="1" x14ac:dyDescent="0.25"/>
    <row r="4115" ht="12" customHeight="1" x14ac:dyDescent="0.25"/>
    <row r="4116" ht="12" customHeight="1" x14ac:dyDescent="0.25"/>
    <row r="4117" ht="12" customHeight="1" x14ac:dyDescent="0.25"/>
    <row r="4118" ht="12" customHeight="1" x14ac:dyDescent="0.25"/>
    <row r="4119" ht="12" customHeight="1" x14ac:dyDescent="0.25"/>
    <row r="4120" ht="12" customHeight="1" x14ac:dyDescent="0.25"/>
    <row r="4121" ht="12" customHeight="1" x14ac:dyDescent="0.25"/>
    <row r="4122" ht="12" customHeight="1" x14ac:dyDescent="0.25"/>
    <row r="4123" ht="12" customHeight="1" x14ac:dyDescent="0.25"/>
    <row r="4124" ht="12" customHeight="1" x14ac:dyDescent="0.25"/>
    <row r="4125" ht="12" customHeight="1" x14ac:dyDescent="0.25"/>
    <row r="4126" ht="12" customHeight="1" x14ac:dyDescent="0.25"/>
    <row r="4127" ht="12" customHeight="1" x14ac:dyDescent="0.25"/>
    <row r="4128" ht="12" customHeight="1" x14ac:dyDescent="0.25"/>
    <row r="4129" ht="12" customHeight="1" x14ac:dyDescent="0.25"/>
    <row r="4130" ht="12" customHeight="1" x14ac:dyDescent="0.25"/>
    <row r="4131" ht="12" customHeight="1" x14ac:dyDescent="0.25"/>
    <row r="4132" ht="12" customHeight="1" x14ac:dyDescent="0.25"/>
    <row r="4133" ht="12" customHeight="1" x14ac:dyDescent="0.25"/>
    <row r="4134" ht="12" customHeight="1" x14ac:dyDescent="0.25"/>
    <row r="4135" ht="12" customHeight="1" x14ac:dyDescent="0.25"/>
    <row r="4136" ht="12" customHeight="1" x14ac:dyDescent="0.25"/>
    <row r="4137" ht="12" customHeight="1" x14ac:dyDescent="0.25"/>
    <row r="4138" ht="12" customHeight="1" x14ac:dyDescent="0.25"/>
    <row r="4139" ht="12" customHeight="1" x14ac:dyDescent="0.25"/>
    <row r="4140" ht="12" customHeight="1" x14ac:dyDescent="0.25"/>
    <row r="4141" ht="12" customHeight="1" x14ac:dyDescent="0.25"/>
    <row r="4142" ht="12" customHeight="1" x14ac:dyDescent="0.25"/>
    <row r="4143" ht="12" customHeight="1" x14ac:dyDescent="0.25"/>
    <row r="4144" ht="12" customHeight="1" x14ac:dyDescent="0.25"/>
    <row r="4145" ht="12" customHeight="1" x14ac:dyDescent="0.25"/>
    <row r="4146" ht="12" customHeight="1" x14ac:dyDescent="0.25"/>
    <row r="4147" ht="12" customHeight="1" x14ac:dyDescent="0.25"/>
    <row r="4148" ht="12" customHeight="1" x14ac:dyDescent="0.25"/>
    <row r="4149" ht="12" customHeight="1" x14ac:dyDescent="0.25"/>
    <row r="4150" ht="12" customHeight="1" x14ac:dyDescent="0.25"/>
    <row r="4151" ht="12" customHeight="1" x14ac:dyDescent="0.25"/>
    <row r="4152" ht="12" customHeight="1" x14ac:dyDescent="0.25"/>
    <row r="4153" ht="12" customHeight="1" x14ac:dyDescent="0.25"/>
    <row r="4154" ht="12" customHeight="1" x14ac:dyDescent="0.25"/>
    <row r="4155" ht="12" customHeight="1" x14ac:dyDescent="0.25"/>
    <row r="4156" ht="12" customHeight="1" x14ac:dyDescent="0.25"/>
    <row r="4157" ht="12" customHeight="1" x14ac:dyDescent="0.25"/>
    <row r="4158" ht="12" customHeight="1" x14ac:dyDescent="0.25"/>
    <row r="4159" ht="12" customHeight="1" x14ac:dyDescent="0.25"/>
    <row r="4160" ht="12" customHeight="1" x14ac:dyDescent="0.25"/>
    <row r="4161" ht="12" customHeight="1" x14ac:dyDescent="0.25"/>
    <row r="4162" ht="12" customHeight="1" x14ac:dyDescent="0.25"/>
    <row r="4163" ht="12" customHeight="1" x14ac:dyDescent="0.25"/>
    <row r="4164" ht="12" customHeight="1" x14ac:dyDescent="0.25"/>
    <row r="4165" ht="12" customHeight="1" x14ac:dyDescent="0.25"/>
    <row r="4166" ht="12" customHeight="1" x14ac:dyDescent="0.25"/>
    <row r="4167" ht="12" customHeight="1" x14ac:dyDescent="0.25"/>
    <row r="4168" ht="12" customHeight="1" x14ac:dyDescent="0.25"/>
    <row r="4169" ht="12" customHeight="1" x14ac:dyDescent="0.25"/>
    <row r="4170" ht="12" customHeight="1" x14ac:dyDescent="0.25"/>
    <row r="4171" ht="12" customHeight="1" x14ac:dyDescent="0.25"/>
    <row r="4172" ht="12" customHeight="1" x14ac:dyDescent="0.25"/>
    <row r="4173" ht="12" customHeight="1" x14ac:dyDescent="0.25"/>
    <row r="4174" ht="12" customHeight="1" x14ac:dyDescent="0.25"/>
    <row r="4175" ht="12" customHeight="1" x14ac:dyDescent="0.25"/>
    <row r="4176" ht="12" customHeight="1" x14ac:dyDescent="0.25"/>
    <row r="4177" ht="12" customHeight="1" x14ac:dyDescent="0.25"/>
    <row r="4178" ht="12" customHeight="1" x14ac:dyDescent="0.25"/>
    <row r="4179" ht="12" customHeight="1" x14ac:dyDescent="0.25"/>
    <row r="4180" ht="12" customHeight="1" x14ac:dyDescent="0.25"/>
    <row r="4181" ht="12" customHeight="1" x14ac:dyDescent="0.25"/>
    <row r="4182" ht="12" customHeight="1" x14ac:dyDescent="0.25"/>
    <row r="4183" ht="12" customHeight="1" x14ac:dyDescent="0.25"/>
    <row r="4184" ht="12" customHeight="1" x14ac:dyDescent="0.25"/>
    <row r="4185" ht="12" customHeight="1" x14ac:dyDescent="0.25"/>
    <row r="4186" ht="12" customHeight="1" x14ac:dyDescent="0.25"/>
    <row r="4187" ht="12" customHeight="1" x14ac:dyDescent="0.25"/>
    <row r="4188" ht="12" customHeight="1" x14ac:dyDescent="0.25"/>
    <row r="4189" ht="12" customHeight="1" x14ac:dyDescent="0.25"/>
    <row r="4190" ht="12" customHeight="1" x14ac:dyDescent="0.25"/>
    <row r="4191" ht="12" customHeight="1" x14ac:dyDescent="0.25"/>
    <row r="4192" ht="12" customHeight="1" x14ac:dyDescent="0.25"/>
    <row r="4193" ht="12" customHeight="1" x14ac:dyDescent="0.25"/>
    <row r="4194" ht="12" customHeight="1" x14ac:dyDescent="0.25"/>
    <row r="4195" ht="12" customHeight="1" x14ac:dyDescent="0.25"/>
    <row r="4196" ht="12" customHeight="1" x14ac:dyDescent="0.25"/>
    <row r="4197" ht="12" customHeight="1" x14ac:dyDescent="0.25"/>
    <row r="4198" ht="12" customHeight="1" x14ac:dyDescent="0.25"/>
    <row r="4199" ht="12" customHeight="1" x14ac:dyDescent="0.25"/>
    <row r="4200" ht="12" customHeight="1" x14ac:dyDescent="0.25"/>
    <row r="4201" ht="12" customHeight="1" x14ac:dyDescent="0.25"/>
    <row r="4202" ht="12" customHeight="1" x14ac:dyDescent="0.25"/>
    <row r="4203" ht="12" customHeight="1" x14ac:dyDescent="0.25"/>
    <row r="4204" ht="12" customHeight="1" x14ac:dyDescent="0.25"/>
    <row r="4205" ht="12" customHeight="1" x14ac:dyDescent="0.25"/>
    <row r="4206" ht="12" customHeight="1" x14ac:dyDescent="0.25"/>
    <row r="4207" ht="12" customHeight="1" x14ac:dyDescent="0.25"/>
    <row r="4208" ht="12" customHeight="1" x14ac:dyDescent="0.25"/>
    <row r="4209" ht="12" customHeight="1" x14ac:dyDescent="0.25"/>
    <row r="4210" ht="12" customHeight="1" x14ac:dyDescent="0.25"/>
    <row r="4211" ht="12" customHeight="1" x14ac:dyDescent="0.25"/>
    <row r="4212" ht="12" customHeight="1" x14ac:dyDescent="0.25"/>
    <row r="4213" ht="12" customHeight="1" x14ac:dyDescent="0.25"/>
    <row r="4214" ht="12" customHeight="1" x14ac:dyDescent="0.25"/>
    <row r="4215" ht="12" customHeight="1" x14ac:dyDescent="0.25"/>
    <row r="4216" ht="12" customHeight="1" x14ac:dyDescent="0.25"/>
    <row r="4217" ht="12" customHeight="1" x14ac:dyDescent="0.25"/>
    <row r="4218" ht="12" customHeight="1" x14ac:dyDescent="0.25"/>
    <row r="4219" ht="12" customHeight="1" x14ac:dyDescent="0.25"/>
    <row r="4220" ht="12" customHeight="1" x14ac:dyDescent="0.25"/>
    <row r="4221" ht="12" customHeight="1" x14ac:dyDescent="0.25"/>
    <row r="4222" ht="12" customHeight="1" x14ac:dyDescent="0.25"/>
    <row r="4223" ht="12" customHeight="1" x14ac:dyDescent="0.25"/>
    <row r="4224" ht="12" customHeight="1" x14ac:dyDescent="0.25"/>
    <row r="4225" ht="12" customHeight="1" x14ac:dyDescent="0.25"/>
    <row r="4226" ht="12" customHeight="1" x14ac:dyDescent="0.25"/>
    <row r="4227" ht="12" customHeight="1" x14ac:dyDescent="0.25"/>
    <row r="4228" ht="12" customHeight="1" x14ac:dyDescent="0.25"/>
    <row r="4229" ht="12" customHeight="1" x14ac:dyDescent="0.25"/>
    <row r="4230" ht="12" customHeight="1" x14ac:dyDescent="0.25"/>
    <row r="4231" ht="12" customHeight="1" x14ac:dyDescent="0.25"/>
    <row r="4232" ht="12" customHeight="1" x14ac:dyDescent="0.25"/>
    <row r="4233" ht="12" customHeight="1" x14ac:dyDescent="0.25"/>
    <row r="4234" ht="12" customHeight="1" x14ac:dyDescent="0.25"/>
    <row r="4235" ht="12" customHeight="1" x14ac:dyDescent="0.25"/>
    <row r="4236" ht="12" customHeight="1" x14ac:dyDescent="0.25"/>
    <row r="4237" ht="12" customHeight="1" x14ac:dyDescent="0.25"/>
    <row r="4238" ht="12" customHeight="1" x14ac:dyDescent="0.25"/>
    <row r="4239" ht="12" customHeight="1" x14ac:dyDescent="0.25"/>
    <row r="4240" ht="12" customHeight="1" x14ac:dyDescent="0.25"/>
    <row r="4241" ht="12" customHeight="1" x14ac:dyDescent="0.25"/>
    <row r="4242" ht="12" customHeight="1" x14ac:dyDescent="0.25"/>
    <row r="4243" ht="12" customHeight="1" x14ac:dyDescent="0.25"/>
    <row r="4244" ht="12" customHeight="1" x14ac:dyDescent="0.25"/>
    <row r="4245" ht="12" customHeight="1" x14ac:dyDescent="0.25"/>
    <row r="4246" ht="12" customHeight="1" x14ac:dyDescent="0.25"/>
    <row r="4247" ht="12" customHeight="1" x14ac:dyDescent="0.25"/>
    <row r="4248" ht="12" customHeight="1" x14ac:dyDescent="0.25"/>
    <row r="4249" ht="12" customHeight="1" x14ac:dyDescent="0.25"/>
    <row r="4250" ht="12" customHeight="1" x14ac:dyDescent="0.25"/>
    <row r="4251" ht="12" customHeight="1" x14ac:dyDescent="0.25"/>
    <row r="4252" ht="12" customHeight="1" x14ac:dyDescent="0.25"/>
    <row r="4253" ht="12" customHeight="1" x14ac:dyDescent="0.25"/>
    <row r="4254" ht="12" customHeight="1" x14ac:dyDescent="0.25"/>
    <row r="4255" ht="12" customHeight="1" x14ac:dyDescent="0.25"/>
    <row r="4256" ht="12" customHeight="1" x14ac:dyDescent="0.25"/>
    <row r="4257" ht="12" customHeight="1" x14ac:dyDescent="0.25"/>
    <row r="4258" ht="12" customHeight="1" x14ac:dyDescent="0.25"/>
    <row r="4259" ht="12" customHeight="1" x14ac:dyDescent="0.25"/>
    <row r="4260" ht="12" customHeight="1" x14ac:dyDescent="0.25"/>
    <row r="4261" ht="12" customHeight="1" x14ac:dyDescent="0.25"/>
    <row r="4262" ht="12" customHeight="1" x14ac:dyDescent="0.25"/>
    <row r="4263" ht="12" customHeight="1" x14ac:dyDescent="0.25"/>
    <row r="4264" ht="12" customHeight="1" x14ac:dyDescent="0.25"/>
    <row r="4265" ht="12" customHeight="1" x14ac:dyDescent="0.25"/>
    <row r="4266" ht="12" customHeight="1" x14ac:dyDescent="0.25"/>
    <row r="4267" ht="12" customHeight="1" x14ac:dyDescent="0.25"/>
    <row r="4268" ht="12" customHeight="1" x14ac:dyDescent="0.25"/>
    <row r="4269" ht="12" customHeight="1" x14ac:dyDescent="0.25"/>
    <row r="4270" ht="12" customHeight="1" x14ac:dyDescent="0.25"/>
    <row r="4271" ht="12" customHeight="1" x14ac:dyDescent="0.25"/>
    <row r="4272" ht="12" customHeight="1" x14ac:dyDescent="0.25"/>
    <row r="4273" ht="12" customHeight="1" x14ac:dyDescent="0.25"/>
    <row r="4274" ht="12" customHeight="1" x14ac:dyDescent="0.25"/>
    <row r="4275" ht="12" customHeight="1" x14ac:dyDescent="0.25"/>
    <row r="4276" ht="12" customHeight="1" x14ac:dyDescent="0.25"/>
    <row r="4277" ht="12" customHeight="1" x14ac:dyDescent="0.25"/>
    <row r="4278" ht="12" customHeight="1" x14ac:dyDescent="0.25"/>
    <row r="4279" ht="12" customHeight="1" x14ac:dyDescent="0.25"/>
    <row r="4280" ht="12" customHeight="1" x14ac:dyDescent="0.25"/>
    <row r="4281" ht="12" customHeight="1" x14ac:dyDescent="0.25"/>
    <row r="4282" ht="12" customHeight="1" x14ac:dyDescent="0.25"/>
    <row r="4283" ht="12" customHeight="1" x14ac:dyDescent="0.25"/>
    <row r="4284" ht="12" customHeight="1" x14ac:dyDescent="0.25"/>
    <row r="4285" ht="12" customHeight="1" x14ac:dyDescent="0.25"/>
    <row r="4286" ht="12" customHeight="1" x14ac:dyDescent="0.25"/>
    <row r="4287" ht="12" customHeight="1" x14ac:dyDescent="0.25"/>
    <row r="4288" ht="12" customHeight="1" x14ac:dyDescent="0.25"/>
    <row r="4289" ht="12" customHeight="1" x14ac:dyDescent="0.25"/>
    <row r="4290" ht="12" customHeight="1" x14ac:dyDescent="0.25"/>
    <row r="4291" ht="12" customHeight="1" x14ac:dyDescent="0.25"/>
    <row r="4292" ht="12" customHeight="1" x14ac:dyDescent="0.25"/>
    <row r="4293" ht="12" customHeight="1" x14ac:dyDescent="0.25"/>
    <row r="4294" ht="12" customHeight="1" x14ac:dyDescent="0.25"/>
    <row r="4295" ht="12" customHeight="1" x14ac:dyDescent="0.25"/>
    <row r="4296" ht="12" customHeight="1" x14ac:dyDescent="0.25"/>
    <row r="4297" ht="12" customHeight="1" x14ac:dyDescent="0.25"/>
    <row r="4298" ht="12" customHeight="1" x14ac:dyDescent="0.25"/>
    <row r="4299" ht="12" customHeight="1" x14ac:dyDescent="0.25"/>
    <row r="4300" ht="12" customHeight="1" x14ac:dyDescent="0.25"/>
    <row r="4301" ht="12" customHeight="1" x14ac:dyDescent="0.25"/>
    <row r="4302" ht="12" customHeight="1" x14ac:dyDescent="0.25"/>
    <row r="4303" ht="12" customHeight="1" x14ac:dyDescent="0.25"/>
    <row r="4304" ht="12" customHeight="1" x14ac:dyDescent="0.25"/>
    <row r="4305" ht="12" customHeight="1" x14ac:dyDescent="0.25"/>
    <row r="4306" ht="12" customHeight="1" x14ac:dyDescent="0.25"/>
    <row r="4307" ht="12" customHeight="1" x14ac:dyDescent="0.25"/>
    <row r="4308" ht="12" customHeight="1" x14ac:dyDescent="0.25"/>
    <row r="4309" ht="12" customHeight="1" x14ac:dyDescent="0.25"/>
    <row r="4310" ht="12" customHeight="1" x14ac:dyDescent="0.25"/>
    <row r="4311" ht="12" customHeight="1" x14ac:dyDescent="0.25"/>
    <row r="4312" ht="12" customHeight="1" x14ac:dyDescent="0.25"/>
    <row r="4313" ht="12" customHeight="1" x14ac:dyDescent="0.25"/>
    <row r="4314" ht="12" customHeight="1" x14ac:dyDescent="0.25"/>
    <row r="4315" ht="12" customHeight="1" x14ac:dyDescent="0.25"/>
    <row r="4316" ht="12" customHeight="1" x14ac:dyDescent="0.25"/>
    <row r="4317" ht="12" customHeight="1" x14ac:dyDescent="0.25"/>
    <row r="4318" ht="12" customHeight="1" x14ac:dyDescent="0.25"/>
    <row r="4319" ht="12" customHeight="1" x14ac:dyDescent="0.25"/>
    <row r="4320" ht="12" customHeight="1" x14ac:dyDescent="0.25"/>
    <row r="4321" ht="12" customHeight="1" x14ac:dyDescent="0.25"/>
    <row r="4322" ht="12" customHeight="1" x14ac:dyDescent="0.25"/>
    <row r="4323" ht="12" customHeight="1" x14ac:dyDescent="0.25"/>
    <row r="4324" ht="12" customHeight="1" x14ac:dyDescent="0.25"/>
    <row r="4325" ht="12" customHeight="1" x14ac:dyDescent="0.25"/>
    <row r="4326" ht="12" customHeight="1" x14ac:dyDescent="0.25"/>
    <row r="4327" ht="12" customHeight="1" x14ac:dyDescent="0.25"/>
    <row r="4328" ht="12" customHeight="1" x14ac:dyDescent="0.25"/>
    <row r="4329" ht="12" customHeight="1" x14ac:dyDescent="0.25"/>
    <row r="4330" ht="12" customHeight="1" x14ac:dyDescent="0.25"/>
    <row r="4331" ht="12" customHeight="1" x14ac:dyDescent="0.25"/>
    <row r="4332" ht="12" customHeight="1" x14ac:dyDescent="0.25"/>
    <row r="4333" ht="12" customHeight="1" x14ac:dyDescent="0.25"/>
    <row r="4334" ht="12" customHeight="1" x14ac:dyDescent="0.25"/>
    <row r="4335" ht="12" customHeight="1" x14ac:dyDescent="0.25"/>
    <row r="4336" ht="12" customHeight="1" x14ac:dyDescent="0.25"/>
    <row r="4337" ht="12" customHeight="1" x14ac:dyDescent="0.25"/>
    <row r="4338" ht="12" customHeight="1" x14ac:dyDescent="0.25"/>
    <row r="4339" ht="12" customHeight="1" x14ac:dyDescent="0.25"/>
    <row r="4340" ht="12" customHeight="1" x14ac:dyDescent="0.25"/>
    <row r="4341" ht="12" customHeight="1" x14ac:dyDescent="0.25"/>
    <row r="4342" ht="12" customHeight="1" x14ac:dyDescent="0.25"/>
    <row r="4343" ht="12" customHeight="1" x14ac:dyDescent="0.25"/>
    <row r="4344" ht="12" customHeight="1" x14ac:dyDescent="0.25"/>
    <row r="4345" ht="12" customHeight="1" x14ac:dyDescent="0.25"/>
    <row r="4346" ht="12" customHeight="1" x14ac:dyDescent="0.25"/>
    <row r="4347" ht="12" customHeight="1" x14ac:dyDescent="0.25"/>
    <row r="4348" ht="12" customHeight="1" x14ac:dyDescent="0.25"/>
    <row r="4349" ht="12" customHeight="1" x14ac:dyDescent="0.25"/>
    <row r="4350" ht="12" customHeight="1" x14ac:dyDescent="0.25"/>
    <row r="4351" ht="12" customHeight="1" x14ac:dyDescent="0.25"/>
    <row r="4352" ht="12" customHeight="1" x14ac:dyDescent="0.25"/>
    <row r="4353" ht="12" customHeight="1" x14ac:dyDescent="0.25"/>
    <row r="4354" ht="12" customHeight="1" x14ac:dyDescent="0.25"/>
    <row r="4355" ht="12" customHeight="1" x14ac:dyDescent="0.25"/>
    <row r="4356" ht="12" customHeight="1" x14ac:dyDescent="0.25"/>
    <row r="4357" ht="12" customHeight="1" x14ac:dyDescent="0.25"/>
    <row r="4358" ht="12" customHeight="1" x14ac:dyDescent="0.25"/>
    <row r="4359" ht="12" customHeight="1" x14ac:dyDescent="0.25"/>
    <row r="4360" ht="12" customHeight="1" x14ac:dyDescent="0.25"/>
    <row r="4361" ht="12" customHeight="1" x14ac:dyDescent="0.25"/>
    <row r="4362" ht="12" customHeight="1" x14ac:dyDescent="0.25"/>
    <row r="4363" ht="12" customHeight="1" x14ac:dyDescent="0.25"/>
    <row r="4364" ht="12" customHeight="1" x14ac:dyDescent="0.25"/>
    <row r="4365" ht="12" customHeight="1" x14ac:dyDescent="0.25"/>
    <row r="4366" ht="12" customHeight="1" x14ac:dyDescent="0.25"/>
    <row r="4367" ht="12" customHeight="1" x14ac:dyDescent="0.25"/>
    <row r="4368" ht="12" customHeight="1" x14ac:dyDescent="0.25"/>
    <row r="4369" ht="12" customHeight="1" x14ac:dyDescent="0.25"/>
    <row r="4370" ht="12" customHeight="1" x14ac:dyDescent="0.25"/>
    <row r="4371" ht="12" customHeight="1" x14ac:dyDescent="0.25"/>
    <row r="4372" ht="12" customHeight="1" x14ac:dyDescent="0.25"/>
    <row r="4373" ht="12" customHeight="1" x14ac:dyDescent="0.25"/>
    <row r="4374" ht="12" customHeight="1" x14ac:dyDescent="0.25"/>
    <row r="4375" ht="12" customHeight="1" x14ac:dyDescent="0.25"/>
    <row r="4376" ht="12" customHeight="1" x14ac:dyDescent="0.25"/>
    <row r="4377" ht="12" customHeight="1" x14ac:dyDescent="0.25"/>
    <row r="4378" ht="12" customHeight="1" x14ac:dyDescent="0.25"/>
    <row r="4379" ht="12" customHeight="1" x14ac:dyDescent="0.25"/>
    <row r="4380" ht="12" customHeight="1" x14ac:dyDescent="0.25"/>
    <row r="4381" ht="12" customHeight="1" x14ac:dyDescent="0.25"/>
    <row r="4382" ht="12" customHeight="1" x14ac:dyDescent="0.25"/>
    <row r="4383" ht="12" customHeight="1" x14ac:dyDescent="0.25"/>
    <row r="4384" ht="12" customHeight="1" x14ac:dyDescent="0.25"/>
    <row r="4385" ht="12" customHeight="1" x14ac:dyDescent="0.25"/>
    <row r="4386" ht="12" customHeight="1" x14ac:dyDescent="0.25"/>
    <row r="4387" ht="12" customHeight="1" x14ac:dyDescent="0.25"/>
    <row r="4388" ht="12" customHeight="1" x14ac:dyDescent="0.25"/>
    <row r="4389" ht="12" customHeight="1" x14ac:dyDescent="0.25"/>
    <row r="4390" ht="12" customHeight="1" x14ac:dyDescent="0.25"/>
    <row r="4391" ht="12" customHeight="1" x14ac:dyDescent="0.25"/>
    <row r="4392" ht="12" customHeight="1" x14ac:dyDescent="0.25"/>
    <row r="4393" ht="12" customHeight="1" x14ac:dyDescent="0.25"/>
    <row r="4394" ht="12" customHeight="1" x14ac:dyDescent="0.25"/>
    <row r="4395" ht="12" customHeight="1" x14ac:dyDescent="0.25"/>
    <row r="4396" ht="12" customHeight="1" x14ac:dyDescent="0.25"/>
    <row r="4397" ht="12" customHeight="1" x14ac:dyDescent="0.25"/>
    <row r="4398" ht="12" customHeight="1" x14ac:dyDescent="0.25"/>
    <row r="4399" ht="12" customHeight="1" x14ac:dyDescent="0.25"/>
    <row r="4400" ht="12" customHeight="1" x14ac:dyDescent="0.25"/>
    <row r="4401" ht="12" customHeight="1" x14ac:dyDescent="0.25"/>
    <row r="4402" ht="12" customHeight="1" x14ac:dyDescent="0.25"/>
    <row r="4403" ht="12" customHeight="1" x14ac:dyDescent="0.25"/>
    <row r="4404" ht="12" customHeight="1" x14ac:dyDescent="0.25"/>
    <row r="4405" ht="12" customHeight="1" x14ac:dyDescent="0.25"/>
    <row r="4406" ht="12" customHeight="1" x14ac:dyDescent="0.25"/>
    <row r="4407" ht="12" customHeight="1" x14ac:dyDescent="0.25"/>
    <row r="4408" ht="12" customHeight="1" x14ac:dyDescent="0.25"/>
    <row r="4409" ht="12" customHeight="1" x14ac:dyDescent="0.25"/>
    <row r="4410" ht="12" customHeight="1" x14ac:dyDescent="0.25"/>
    <row r="4411" ht="12" customHeight="1" x14ac:dyDescent="0.25"/>
    <row r="4412" ht="12" customHeight="1" x14ac:dyDescent="0.25"/>
    <row r="4413" ht="12" customHeight="1" x14ac:dyDescent="0.25"/>
    <row r="4414" ht="12" customHeight="1" x14ac:dyDescent="0.25"/>
    <row r="4415" ht="12" customHeight="1" x14ac:dyDescent="0.25"/>
    <row r="4416" ht="12" customHeight="1" x14ac:dyDescent="0.25"/>
    <row r="4417" ht="12" customHeight="1" x14ac:dyDescent="0.25"/>
    <row r="4418" ht="12" customHeight="1" x14ac:dyDescent="0.25"/>
    <row r="4419" ht="12" customHeight="1" x14ac:dyDescent="0.25"/>
    <row r="4420" ht="12" customHeight="1" x14ac:dyDescent="0.25"/>
    <row r="4421" ht="12" customHeight="1" x14ac:dyDescent="0.25"/>
    <row r="4422" ht="12" customHeight="1" x14ac:dyDescent="0.25"/>
    <row r="4423" ht="12" customHeight="1" x14ac:dyDescent="0.25"/>
    <row r="4424" ht="12" customHeight="1" x14ac:dyDescent="0.25"/>
    <row r="4425" ht="12" customHeight="1" x14ac:dyDescent="0.25"/>
    <row r="4426" ht="12" customHeight="1" x14ac:dyDescent="0.25"/>
    <row r="4427" ht="12" customHeight="1" x14ac:dyDescent="0.25"/>
    <row r="4428" ht="12" customHeight="1" x14ac:dyDescent="0.25"/>
    <row r="4429" ht="12" customHeight="1" x14ac:dyDescent="0.25"/>
    <row r="4430" ht="12" customHeight="1" x14ac:dyDescent="0.25"/>
    <row r="4431" ht="12" customHeight="1" x14ac:dyDescent="0.25"/>
    <row r="4432" ht="12" customHeight="1" x14ac:dyDescent="0.25"/>
    <row r="4433" ht="12" customHeight="1" x14ac:dyDescent="0.25"/>
    <row r="4434" ht="12" customHeight="1" x14ac:dyDescent="0.25"/>
    <row r="4435" ht="12" customHeight="1" x14ac:dyDescent="0.25"/>
    <row r="4436" ht="12" customHeight="1" x14ac:dyDescent="0.25"/>
    <row r="4437" ht="12" customHeight="1" x14ac:dyDescent="0.25"/>
    <row r="4438" ht="12" customHeight="1" x14ac:dyDescent="0.25"/>
    <row r="4439" ht="12" customHeight="1" x14ac:dyDescent="0.25"/>
    <row r="4440" ht="12" customHeight="1" x14ac:dyDescent="0.25"/>
    <row r="4441" ht="12" customHeight="1" x14ac:dyDescent="0.25"/>
    <row r="4442" ht="12" customHeight="1" x14ac:dyDescent="0.25"/>
    <row r="4443" ht="12" customHeight="1" x14ac:dyDescent="0.25"/>
    <row r="4444" ht="12" customHeight="1" x14ac:dyDescent="0.25"/>
    <row r="4445" ht="12" customHeight="1" x14ac:dyDescent="0.25"/>
    <row r="4446" ht="12" customHeight="1" x14ac:dyDescent="0.25"/>
    <row r="4447" ht="12" customHeight="1" x14ac:dyDescent="0.25"/>
    <row r="4448" ht="12" customHeight="1" x14ac:dyDescent="0.25"/>
    <row r="4449" ht="12" customHeight="1" x14ac:dyDescent="0.25"/>
    <row r="4450" ht="12" customHeight="1" x14ac:dyDescent="0.25"/>
    <row r="4451" ht="12" customHeight="1" x14ac:dyDescent="0.25"/>
    <row r="4452" ht="12" customHeight="1" x14ac:dyDescent="0.25"/>
    <row r="4453" ht="12" customHeight="1" x14ac:dyDescent="0.25"/>
    <row r="4454" ht="12" customHeight="1" x14ac:dyDescent="0.25"/>
    <row r="4455" ht="12" customHeight="1" x14ac:dyDescent="0.25"/>
    <row r="4456" ht="12" customHeight="1" x14ac:dyDescent="0.25"/>
    <row r="4457" ht="12" customHeight="1" x14ac:dyDescent="0.25"/>
    <row r="4458" ht="12" customHeight="1" x14ac:dyDescent="0.25"/>
    <row r="4459" ht="12" customHeight="1" x14ac:dyDescent="0.25"/>
    <row r="4460" ht="12" customHeight="1" x14ac:dyDescent="0.25"/>
    <row r="4461" ht="12" customHeight="1" x14ac:dyDescent="0.25"/>
    <row r="4462" ht="12" customHeight="1" x14ac:dyDescent="0.25"/>
    <row r="4463" ht="12" customHeight="1" x14ac:dyDescent="0.25"/>
    <row r="4464" ht="12" customHeight="1" x14ac:dyDescent="0.25"/>
    <row r="4465" ht="12" customHeight="1" x14ac:dyDescent="0.25"/>
    <row r="4466" ht="12" customHeight="1" x14ac:dyDescent="0.25"/>
    <row r="4467" ht="12" customHeight="1" x14ac:dyDescent="0.25"/>
    <row r="4468" ht="12" customHeight="1" x14ac:dyDescent="0.25"/>
    <row r="4469" ht="12" customHeight="1" x14ac:dyDescent="0.25"/>
    <row r="4470" ht="12" customHeight="1" x14ac:dyDescent="0.25"/>
    <row r="4471" ht="12" customHeight="1" x14ac:dyDescent="0.25"/>
    <row r="4472" ht="12" customHeight="1" x14ac:dyDescent="0.25"/>
    <row r="4473" ht="12" customHeight="1" x14ac:dyDescent="0.25"/>
    <row r="4474" ht="12" customHeight="1" x14ac:dyDescent="0.25"/>
    <row r="4475" ht="12" customHeight="1" x14ac:dyDescent="0.25"/>
    <row r="4476" ht="12" customHeight="1" x14ac:dyDescent="0.25"/>
    <row r="4477" ht="12" customHeight="1" x14ac:dyDescent="0.25"/>
    <row r="4478" ht="12" customHeight="1" x14ac:dyDescent="0.25"/>
    <row r="4479" ht="12" customHeight="1" x14ac:dyDescent="0.25"/>
    <row r="4480" ht="12" customHeight="1" x14ac:dyDescent="0.25"/>
    <row r="4481" ht="12" customHeight="1" x14ac:dyDescent="0.25"/>
    <row r="4482" ht="12" customHeight="1" x14ac:dyDescent="0.25"/>
    <row r="4483" ht="12" customHeight="1" x14ac:dyDescent="0.25"/>
    <row r="4484" ht="12" customHeight="1" x14ac:dyDescent="0.25"/>
    <row r="4485" ht="12" customHeight="1" x14ac:dyDescent="0.25"/>
    <row r="4486" ht="12" customHeight="1" x14ac:dyDescent="0.25"/>
    <row r="4487" ht="12" customHeight="1" x14ac:dyDescent="0.25"/>
    <row r="4488" ht="12" customHeight="1" x14ac:dyDescent="0.25"/>
    <row r="4489" ht="12" customHeight="1" x14ac:dyDescent="0.25"/>
    <row r="4490" ht="12" customHeight="1" x14ac:dyDescent="0.25"/>
    <row r="4491" ht="12" customHeight="1" x14ac:dyDescent="0.25"/>
    <row r="4492" ht="12" customHeight="1" x14ac:dyDescent="0.25"/>
    <row r="4493" ht="12" customHeight="1" x14ac:dyDescent="0.25"/>
    <row r="4494" ht="12" customHeight="1" x14ac:dyDescent="0.25"/>
    <row r="4495" ht="12" customHeight="1" x14ac:dyDescent="0.25"/>
    <row r="4496" ht="12" customHeight="1" x14ac:dyDescent="0.25"/>
    <row r="4497" ht="12" customHeight="1" x14ac:dyDescent="0.25"/>
    <row r="4498" ht="12" customHeight="1" x14ac:dyDescent="0.25"/>
    <row r="4499" ht="12" customHeight="1" x14ac:dyDescent="0.25"/>
    <row r="4500" ht="12" customHeight="1" x14ac:dyDescent="0.25"/>
    <row r="4501" ht="12" customHeight="1" x14ac:dyDescent="0.25"/>
    <row r="4502" ht="12" customHeight="1" x14ac:dyDescent="0.25"/>
    <row r="4503" ht="12" customHeight="1" x14ac:dyDescent="0.25"/>
    <row r="4504" ht="12" customHeight="1" x14ac:dyDescent="0.25"/>
    <row r="4505" ht="12" customHeight="1" x14ac:dyDescent="0.25"/>
    <row r="4506" ht="12" customHeight="1" x14ac:dyDescent="0.25"/>
    <row r="4507" ht="12" customHeight="1" x14ac:dyDescent="0.25"/>
    <row r="4508" ht="12" customHeight="1" x14ac:dyDescent="0.25"/>
    <row r="4509" ht="12" customHeight="1" x14ac:dyDescent="0.25"/>
    <row r="4510" ht="12" customHeight="1" x14ac:dyDescent="0.25"/>
    <row r="4511" ht="12" customHeight="1" x14ac:dyDescent="0.25"/>
    <row r="4512" ht="12" customHeight="1" x14ac:dyDescent="0.25"/>
    <row r="4513" ht="12" customHeight="1" x14ac:dyDescent="0.25"/>
    <row r="4514" ht="12" customHeight="1" x14ac:dyDescent="0.25"/>
    <row r="4515" ht="12" customHeight="1" x14ac:dyDescent="0.25"/>
    <row r="4516" ht="12" customHeight="1" x14ac:dyDescent="0.25"/>
    <row r="4517" ht="12" customHeight="1" x14ac:dyDescent="0.25"/>
    <row r="4518" ht="12" customHeight="1" x14ac:dyDescent="0.25"/>
    <row r="4519" ht="12" customHeight="1" x14ac:dyDescent="0.25"/>
    <row r="4520" ht="12" customHeight="1" x14ac:dyDescent="0.25"/>
    <row r="4521" ht="12" customHeight="1" x14ac:dyDescent="0.25"/>
    <row r="4522" ht="12" customHeight="1" x14ac:dyDescent="0.25"/>
    <row r="4523" ht="12" customHeight="1" x14ac:dyDescent="0.25"/>
    <row r="4524" ht="12" customHeight="1" x14ac:dyDescent="0.25"/>
    <row r="4525" ht="12" customHeight="1" x14ac:dyDescent="0.25"/>
    <row r="4526" ht="12" customHeight="1" x14ac:dyDescent="0.25"/>
    <row r="4527" ht="12" customHeight="1" x14ac:dyDescent="0.25"/>
    <row r="4528" ht="12" customHeight="1" x14ac:dyDescent="0.25"/>
    <row r="4529" ht="12" customHeight="1" x14ac:dyDescent="0.25"/>
    <row r="4530" ht="12" customHeight="1" x14ac:dyDescent="0.25"/>
    <row r="4531" ht="12" customHeight="1" x14ac:dyDescent="0.25"/>
    <row r="4532" ht="12" customHeight="1" x14ac:dyDescent="0.25"/>
    <row r="4533" ht="12" customHeight="1" x14ac:dyDescent="0.25"/>
    <row r="4534" ht="12" customHeight="1" x14ac:dyDescent="0.25"/>
    <row r="4535" ht="12" customHeight="1" x14ac:dyDescent="0.25"/>
    <row r="4536" ht="12" customHeight="1" x14ac:dyDescent="0.25"/>
    <row r="4537" ht="12" customHeight="1" x14ac:dyDescent="0.25"/>
    <row r="4538" ht="12" customHeight="1" x14ac:dyDescent="0.25"/>
    <row r="4539" ht="12" customHeight="1" x14ac:dyDescent="0.25"/>
    <row r="4540" ht="12" customHeight="1" x14ac:dyDescent="0.25"/>
    <row r="4541" ht="12" customHeight="1" x14ac:dyDescent="0.25"/>
    <row r="4542" ht="12" customHeight="1" x14ac:dyDescent="0.25"/>
    <row r="4543" ht="12" customHeight="1" x14ac:dyDescent="0.25"/>
    <row r="4544" ht="12" customHeight="1" x14ac:dyDescent="0.25"/>
    <row r="4545" ht="12" customHeight="1" x14ac:dyDescent="0.25"/>
    <row r="4546" ht="12" customHeight="1" x14ac:dyDescent="0.25"/>
    <row r="4547" ht="12" customHeight="1" x14ac:dyDescent="0.25"/>
    <row r="4548" ht="12" customHeight="1" x14ac:dyDescent="0.25"/>
    <row r="4549" ht="12" customHeight="1" x14ac:dyDescent="0.25"/>
    <row r="4550" ht="12" customHeight="1" x14ac:dyDescent="0.25"/>
    <row r="4551" ht="12" customHeight="1" x14ac:dyDescent="0.25"/>
    <row r="4552" ht="12" customHeight="1" x14ac:dyDescent="0.25"/>
    <row r="4553" ht="12" customHeight="1" x14ac:dyDescent="0.25"/>
    <row r="4554" ht="12" customHeight="1" x14ac:dyDescent="0.25"/>
    <row r="4555" ht="12" customHeight="1" x14ac:dyDescent="0.25"/>
    <row r="4556" ht="12" customHeight="1" x14ac:dyDescent="0.25"/>
    <row r="4557" ht="12" customHeight="1" x14ac:dyDescent="0.25"/>
    <row r="4558" ht="12" customHeight="1" x14ac:dyDescent="0.25"/>
    <row r="4559" ht="12" customHeight="1" x14ac:dyDescent="0.25"/>
    <row r="4560" ht="12" customHeight="1" x14ac:dyDescent="0.25"/>
    <row r="4561" ht="12" customHeight="1" x14ac:dyDescent="0.25"/>
    <row r="4562" ht="12" customHeight="1" x14ac:dyDescent="0.25"/>
    <row r="4563" ht="12" customHeight="1" x14ac:dyDescent="0.25"/>
    <row r="4564" ht="12" customHeight="1" x14ac:dyDescent="0.25"/>
    <row r="4565" ht="12" customHeight="1" x14ac:dyDescent="0.25"/>
    <row r="4566" ht="12" customHeight="1" x14ac:dyDescent="0.25"/>
    <row r="4567" ht="12" customHeight="1" x14ac:dyDescent="0.25"/>
    <row r="4568" ht="12" customHeight="1" x14ac:dyDescent="0.25"/>
    <row r="4569" ht="12" customHeight="1" x14ac:dyDescent="0.25"/>
    <row r="4570" ht="12" customHeight="1" x14ac:dyDescent="0.25"/>
    <row r="4571" ht="12" customHeight="1" x14ac:dyDescent="0.25"/>
    <row r="4572" ht="12" customHeight="1" x14ac:dyDescent="0.25"/>
    <row r="4573" ht="12" customHeight="1" x14ac:dyDescent="0.25"/>
    <row r="4574" ht="12" customHeight="1" x14ac:dyDescent="0.25"/>
    <row r="4575" ht="12" customHeight="1" x14ac:dyDescent="0.25"/>
    <row r="4576" ht="12" customHeight="1" x14ac:dyDescent="0.25"/>
    <row r="4577" ht="12" customHeight="1" x14ac:dyDescent="0.25"/>
    <row r="4578" ht="12" customHeight="1" x14ac:dyDescent="0.25"/>
    <row r="4579" ht="12" customHeight="1" x14ac:dyDescent="0.25"/>
    <row r="4580" ht="12" customHeight="1" x14ac:dyDescent="0.25"/>
    <row r="4581" ht="12" customHeight="1" x14ac:dyDescent="0.25"/>
    <row r="4582" ht="12" customHeight="1" x14ac:dyDescent="0.25"/>
    <row r="4583" ht="12" customHeight="1" x14ac:dyDescent="0.25"/>
    <row r="4584" ht="12" customHeight="1" x14ac:dyDescent="0.25"/>
    <row r="4585" ht="12" customHeight="1" x14ac:dyDescent="0.25"/>
    <row r="4586" ht="12" customHeight="1" x14ac:dyDescent="0.25"/>
    <row r="4587" ht="12" customHeight="1" x14ac:dyDescent="0.25"/>
    <row r="4588" ht="12" customHeight="1" x14ac:dyDescent="0.25"/>
    <row r="4589" ht="12" customHeight="1" x14ac:dyDescent="0.25"/>
    <row r="4590" ht="12" customHeight="1" x14ac:dyDescent="0.25"/>
    <row r="4591" ht="12" customHeight="1" x14ac:dyDescent="0.25"/>
    <row r="4592" ht="12" customHeight="1" x14ac:dyDescent="0.25"/>
    <row r="4593" ht="12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12" customHeight="1" x14ac:dyDescent="0.25"/>
    <row r="4599" ht="12" customHeight="1" x14ac:dyDescent="0.25"/>
    <row r="4600" ht="12" customHeight="1" x14ac:dyDescent="0.25"/>
    <row r="4601" ht="12" customHeight="1" x14ac:dyDescent="0.25"/>
    <row r="4602" ht="12" customHeight="1" x14ac:dyDescent="0.25"/>
    <row r="4603" ht="12" customHeight="1" x14ac:dyDescent="0.25"/>
    <row r="4604" ht="12" customHeight="1" x14ac:dyDescent="0.25"/>
    <row r="4605" ht="12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12" customHeight="1" x14ac:dyDescent="0.25"/>
    <row r="4611" ht="12" customHeight="1" x14ac:dyDescent="0.25"/>
    <row r="4612" ht="12" customHeight="1" x14ac:dyDescent="0.25"/>
    <row r="4613" ht="12" customHeight="1" x14ac:dyDescent="0.25"/>
    <row r="4614" ht="12" customHeight="1" x14ac:dyDescent="0.25"/>
    <row r="4615" ht="12" customHeight="1" x14ac:dyDescent="0.25"/>
    <row r="4616" ht="12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12" customHeight="1" x14ac:dyDescent="0.25"/>
    <row r="4622" ht="12" customHeight="1" x14ac:dyDescent="0.25"/>
    <row r="4623" ht="12" customHeight="1" x14ac:dyDescent="0.25"/>
    <row r="4624" ht="12" customHeight="1" x14ac:dyDescent="0.25"/>
    <row r="4625" ht="12" customHeight="1" x14ac:dyDescent="0.25"/>
    <row r="4626" ht="12" customHeight="1" x14ac:dyDescent="0.25"/>
    <row r="4627" ht="12" customHeight="1" x14ac:dyDescent="0.25"/>
    <row r="4628" ht="12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12" customHeight="1" x14ac:dyDescent="0.25"/>
    <row r="4634" ht="12" customHeight="1" x14ac:dyDescent="0.25"/>
    <row r="4635" ht="12" customHeight="1" x14ac:dyDescent="0.25"/>
    <row r="4636" ht="12" customHeight="1" x14ac:dyDescent="0.25"/>
    <row r="4637" ht="12" customHeight="1" x14ac:dyDescent="0.25"/>
    <row r="4638" ht="12" customHeight="1" x14ac:dyDescent="0.25"/>
    <row r="4639" ht="12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12" customHeight="1" x14ac:dyDescent="0.25"/>
    <row r="4645" ht="12" customHeight="1" x14ac:dyDescent="0.25"/>
    <row r="4646" ht="12" customHeight="1" x14ac:dyDescent="0.25"/>
    <row r="4647" ht="12" customHeight="1" x14ac:dyDescent="0.25"/>
    <row r="4648" ht="12" customHeight="1" x14ac:dyDescent="0.25"/>
    <row r="4649" ht="12" customHeight="1" x14ac:dyDescent="0.25"/>
    <row r="4650" ht="12" customHeight="1" x14ac:dyDescent="0.25"/>
    <row r="4651" ht="12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12" customHeight="1" x14ac:dyDescent="0.25"/>
    <row r="4657" ht="12" customHeight="1" x14ac:dyDescent="0.25"/>
    <row r="4658" ht="12" customHeight="1" x14ac:dyDescent="0.25"/>
    <row r="4659" ht="12" customHeight="1" x14ac:dyDescent="0.25"/>
    <row r="4660" ht="12" customHeight="1" x14ac:dyDescent="0.25"/>
    <row r="4661" ht="12" customHeight="1" x14ac:dyDescent="0.25"/>
    <row r="4662" ht="12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12" customHeight="1" x14ac:dyDescent="0.25"/>
    <row r="4668" ht="12" customHeight="1" x14ac:dyDescent="0.25"/>
    <row r="4669" ht="12" customHeight="1" x14ac:dyDescent="0.25"/>
    <row r="4670" ht="12" customHeight="1" x14ac:dyDescent="0.25"/>
    <row r="4671" ht="12" customHeight="1" x14ac:dyDescent="0.25"/>
    <row r="4672" ht="12" customHeight="1" x14ac:dyDescent="0.25"/>
    <row r="4673" ht="12" customHeight="1" x14ac:dyDescent="0.25"/>
    <row r="4674" ht="12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12" customHeight="1" x14ac:dyDescent="0.25"/>
    <row r="4680" ht="12" customHeight="1" x14ac:dyDescent="0.25"/>
    <row r="4681" ht="12" customHeight="1" x14ac:dyDescent="0.25"/>
    <row r="4682" ht="12" customHeight="1" x14ac:dyDescent="0.25"/>
    <row r="4683" ht="12" customHeight="1" x14ac:dyDescent="0.25"/>
    <row r="4684" ht="12" customHeight="1" x14ac:dyDescent="0.25"/>
    <row r="4685" ht="12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12" customHeight="1" x14ac:dyDescent="0.25"/>
    <row r="4691" ht="12" customHeight="1" x14ac:dyDescent="0.25"/>
    <row r="4692" ht="12" customHeight="1" x14ac:dyDescent="0.25"/>
    <row r="4693" ht="12" customHeight="1" x14ac:dyDescent="0.25"/>
    <row r="4694" ht="12" customHeight="1" x14ac:dyDescent="0.25"/>
    <row r="4695" ht="12" customHeight="1" x14ac:dyDescent="0.25"/>
    <row r="4696" ht="12" customHeight="1" x14ac:dyDescent="0.25"/>
    <row r="4697" ht="12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12" customHeight="1" x14ac:dyDescent="0.25"/>
    <row r="4703" ht="12" customHeight="1" x14ac:dyDescent="0.25"/>
    <row r="4704" ht="12" customHeight="1" x14ac:dyDescent="0.25"/>
    <row r="4705" ht="12" customHeight="1" x14ac:dyDescent="0.25"/>
    <row r="4706" ht="12" customHeight="1" x14ac:dyDescent="0.25"/>
    <row r="4707" ht="12" customHeight="1" x14ac:dyDescent="0.25"/>
    <row r="4708" ht="12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12" customHeight="1" x14ac:dyDescent="0.25"/>
    <row r="4714" ht="12" customHeight="1" x14ac:dyDescent="0.25"/>
    <row r="4715" ht="12" customHeight="1" x14ac:dyDescent="0.25"/>
    <row r="4716" ht="12" customHeight="1" x14ac:dyDescent="0.25"/>
    <row r="4717" ht="12" customHeight="1" x14ac:dyDescent="0.25"/>
    <row r="4718" ht="12" customHeight="1" x14ac:dyDescent="0.25"/>
    <row r="4719" ht="12" customHeight="1" x14ac:dyDescent="0.25"/>
    <row r="4720" ht="12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12" customHeight="1" x14ac:dyDescent="0.25"/>
    <row r="4726" ht="12" customHeight="1" x14ac:dyDescent="0.25"/>
    <row r="4727" ht="12" customHeight="1" x14ac:dyDescent="0.25"/>
    <row r="4728" ht="12" customHeight="1" x14ac:dyDescent="0.25"/>
    <row r="4729" ht="12" customHeight="1" x14ac:dyDescent="0.25"/>
    <row r="4730" ht="12" customHeight="1" x14ac:dyDescent="0.25"/>
    <row r="4731" ht="12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12" customHeight="1" x14ac:dyDescent="0.25"/>
    <row r="4737" ht="12" customHeight="1" x14ac:dyDescent="0.25"/>
    <row r="4738" ht="12" customHeight="1" x14ac:dyDescent="0.25"/>
    <row r="4739" ht="12" customHeight="1" x14ac:dyDescent="0.25"/>
    <row r="4740" ht="12" customHeight="1" x14ac:dyDescent="0.25"/>
    <row r="4741" ht="12" customHeight="1" x14ac:dyDescent="0.25"/>
    <row r="4742" ht="12" customHeight="1" x14ac:dyDescent="0.25"/>
    <row r="4743" ht="12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12" customHeight="1" x14ac:dyDescent="0.25"/>
    <row r="4749" ht="12" customHeight="1" x14ac:dyDescent="0.25"/>
    <row r="4750" ht="12" customHeight="1" x14ac:dyDescent="0.25"/>
    <row r="4751" ht="12" customHeight="1" x14ac:dyDescent="0.25"/>
    <row r="4752" ht="12" customHeight="1" x14ac:dyDescent="0.25"/>
    <row r="4753" ht="12" customHeight="1" x14ac:dyDescent="0.25"/>
    <row r="4754" ht="12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12" customHeight="1" x14ac:dyDescent="0.25"/>
    <row r="4760" ht="12" customHeight="1" x14ac:dyDescent="0.25"/>
    <row r="4761" ht="12" customHeight="1" x14ac:dyDescent="0.25"/>
    <row r="4762" ht="12" customHeight="1" x14ac:dyDescent="0.25"/>
    <row r="4763" ht="12" customHeight="1" x14ac:dyDescent="0.25"/>
    <row r="4764" ht="12" customHeight="1" x14ac:dyDescent="0.25"/>
    <row r="4765" ht="12" customHeight="1" x14ac:dyDescent="0.25"/>
    <row r="4766" ht="12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12" customHeight="1" x14ac:dyDescent="0.25"/>
    <row r="4772" ht="12" customHeight="1" x14ac:dyDescent="0.25"/>
    <row r="4773" ht="12" customHeight="1" x14ac:dyDescent="0.25"/>
    <row r="4774" ht="12" customHeight="1" x14ac:dyDescent="0.25"/>
    <row r="4775" ht="12" customHeight="1" x14ac:dyDescent="0.25"/>
    <row r="4776" ht="12" customHeight="1" x14ac:dyDescent="0.25"/>
    <row r="4777" ht="12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12" customHeight="1" x14ac:dyDescent="0.25"/>
    <row r="4783" ht="12" customHeight="1" x14ac:dyDescent="0.25"/>
    <row r="4784" ht="12" customHeight="1" x14ac:dyDescent="0.25"/>
    <row r="4785" ht="12" customHeight="1" x14ac:dyDescent="0.25"/>
    <row r="4786" ht="12" customHeight="1" x14ac:dyDescent="0.25"/>
    <row r="4787" ht="12" customHeight="1" x14ac:dyDescent="0.25"/>
    <row r="4788" ht="12" customHeight="1" x14ac:dyDescent="0.25"/>
    <row r="4789" ht="12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12" customHeight="1" x14ac:dyDescent="0.25"/>
    <row r="4795" ht="12" customHeight="1" x14ac:dyDescent="0.25"/>
    <row r="4796" ht="12" customHeight="1" x14ac:dyDescent="0.25"/>
    <row r="4797" ht="12" customHeight="1" x14ac:dyDescent="0.25"/>
    <row r="4798" ht="12" customHeight="1" x14ac:dyDescent="0.25"/>
    <row r="4799" ht="12" customHeight="1" x14ac:dyDescent="0.25"/>
    <row r="4800" ht="12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12" customHeight="1" x14ac:dyDescent="0.25"/>
    <row r="4806" ht="12" customHeight="1" x14ac:dyDescent="0.25"/>
    <row r="4807" ht="12" customHeight="1" x14ac:dyDescent="0.25"/>
    <row r="4808" ht="12" customHeight="1" x14ac:dyDescent="0.25"/>
    <row r="4809" ht="12" customHeight="1" x14ac:dyDescent="0.25"/>
    <row r="4810" ht="12" customHeight="1" x14ac:dyDescent="0.25"/>
    <row r="4811" ht="12" customHeight="1" x14ac:dyDescent="0.25"/>
    <row r="4812" ht="12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12" customHeight="1" x14ac:dyDescent="0.25"/>
    <row r="4818" ht="12" customHeight="1" x14ac:dyDescent="0.25"/>
    <row r="4819" ht="12" customHeight="1" x14ac:dyDescent="0.25"/>
    <row r="4820" ht="12" customHeight="1" x14ac:dyDescent="0.25"/>
    <row r="4821" ht="12" customHeight="1" x14ac:dyDescent="0.25"/>
    <row r="4822" ht="12" customHeight="1" x14ac:dyDescent="0.25"/>
    <row r="4823" ht="12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12" customHeight="1" x14ac:dyDescent="0.25"/>
    <row r="4829" ht="12" customHeight="1" x14ac:dyDescent="0.25"/>
    <row r="4830" ht="12" customHeight="1" x14ac:dyDescent="0.25"/>
    <row r="4831" ht="12" customHeight="1" x14ac:dyDescent="0.25"/>
    <row r="4832" ht="12" customHeight="1" x14ac:dyDescent="0.25"/>
    <row r="4833" ht="12" customHeight="1" x14ac:dyDescent="0.25"/>
    <row r="4834" ht="12" customHeight="1" x14ac:dyDescent="0.25"/>
    <row r="4835" ht="12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12" customHeight="1" x14ac:dyDescent="0.25"/>
    <row r="4841" ht="12" customHeight="1" x14ac:dyDescent="0.25"/>
    <row r="4842" ht="12" customHeight="1" x14ac:dyDescent="0.25"/>
    <row r="4843" ht="12" customHeight="1" x14ac:dyDescent="0.25"/>
    <row r="4844" ht="12" customHeight="1" x14ac:dyDescent="0.25"/>
    <row r="4845" ht="12" customHeight="1" x14ac:dyDescent="0.25"/>
    <row r="4846" ht="12" customHeight="1" x14ac:dyDescent="0.25"/>
    <row r="4847" ht="12" customHeight="1" x14ac:dyDescent="0.25"/>
    <row r="4848" ht="12" customHeight="1" x14ac:dyDescent="0.25"/>
    <row r="4849" ht="12" customHeight="1" x14ac:dyDescent="0.25"/>
    <row r="4850" ht="12" customHeight="1" x14ac:dyDescent="0.25"/>
    <row r="4851" ht="12" customHeight="1" x14ac:dyDescent="0.25"/>
    <row r="4852" ht="12" customHeight="1" x14ac:dyDescent="0.25"/>
    <row r="4853" ht="12" customHeight="1" x14ac:dyDescent="0.25"/>
    <row r="4854" ht="12" customHeight="1" x14ac:dyDescent="0.25"/>
    <row r="4855" ht="12" customHeight="1" x14ac:dyDescent="0.25"/>
    <row r="4856" ht="12" customHeight="1" x14ac:dyDescent="0.25"/>
    <row r="4857" ht="12" customHeight="1" x14ac:dyDescent="0.25"/>
    <row r="4858" ht="12" customHeight="1" x14ac:dyDescent="0.25"/>
    <row r="4859" ht="12" customHeight="1" x14ac:dyDescent="0.25"/>
    <row r="4860" ht="12" customHeight="1" x14ac:dyDescent="0.25"/>
    <row r="4861" ht="12" customHeight="1" x14ac:dyDescent="0.25"/>
    <row r="4862" ht="12" customHeight="1" x14ac:dyDescent="0.25"/>
    <row r="4863" ht="12" customHeight="1" x14ac:dyDescent="0.25"/>
    <row r="4864" ht="12" customHeight="1" x14ac:dyDescent="0.25"/>
    <row r="4865" ht="12" customHeight="1" x14ac:dyDescent="0.25"/>
    <row r="4866" ht="12" customHeight="1" x14ac:dyDescent="0.25"/>
    <row r="4867" ht="12" customHeight="1" x14ac:dyDescent="0.25"/>
    <row r="4868" ht="12" customHeight="1" x14ac:dyDescent="0.25"/>
    <row r="4869" ht="12" customHeight="1" x14ac:dyDescent="0.25"/>
    <row r="4870" ht="12" customHeight="1" x14ac:dyDescent="0.25"/>
    <row r="4871" ht="12" customHeight="1" x14ac:dyDescent="0.25"/>
    <row r="4872" ht="12" customHeight="1" x14ac:dyDescent="0.25"/>
    <row r="4873" ht="12" customHeight="1" x14ac:dyDescent="0.25"/>
    <row r="4874" ht="12" customHeight="1" x14ac:dyDescent="0.25"/>
    <row r="4875" ht="12" customHeight="1" x14ac:dyDescent="0.25"/>
    <row r="4876" ht="12" customHeight="1" x14ac:dyDescent="0.25"/>
    <row r="4877" ht="12" customHeight="1" x14ac:dyDescent="0.25"/>
    <row r="4878" ht="12" customHeight="1" x14ac:dyDescent="0.25"/>
    <row r="4879" ht="12" customHeight="1" x14ac:dyDescent="0.25"/>
    <row r="4880" ht="12" customHeight="1" x14ac:dyDescent="0.25"/>
    <row r="4881" ht="12" customHeight="1" x14ac:dyDescent="0.25"/>
    <row r="4882" ht="12" customHeight="1" x14ac:dyDescent="0.25"/>
    <row r="4883" ht="12" customHeight="1" x14ac:dyDescent="0.25"/>
    <row r="4884" ht="12" customHeight="1" x14ac:dyDescent="0.25"/>
    <row r="4885" ht="12" customHeight="1" x14ac:dyDescent="0.25"/>
    <row r="4886" ht="12" customHeight="1" x14ac:dyDescent="0.25"/>
    <row r="4887" ht="12" customHeight="1" x14ac:dyDescent="0.25"/>
    <row r="4888" ht="12" customHeight="1" x14ac:dyDescent="0.25"/>
    <row r="4889" ht="12" customHeight="1" x14ac:dyDescent="0.25"/>
    <row r="4890" ht="12" customHeight="1" x14ac:dyDescent="0.25"/>
    <row r="4891" ht="12" customHeight="1" x14ac:dyDescent="0.25"/>
    <row r="4892" ht="12" customHeight="1" x14ac:dyDescent="0.25"/>
    <row r="4893" ht="12" customHeight="1" x14ac:dyDescent="0.25"/>
    <row r="4894" ht="12" customHeight="1" x14ac:dyDescent="0.25"/>
    <row r="4895" ht="12" customHeight="1" x14ac:dyDescent="0.25"/>
    <row r="4896" ht="12" customHeight="1" x14ac:dyDescent="0.25"/>
    <row r="4897" ht="12" customHeight="1" x14ac:dyDescent="0.25"/>
    <row r="4898" ht="12" customHeight="1" x14ac:dyDescent="0.25"/>
    <row r="4899" ht="12" customHeight="1" x14ac:dyDescent="0.25"/>
    <row r="4900" ht="12" customHeight="1" x14ac:dyDescent="0.25"/>
    <row r="4901" ht="12" customHeight="1" x14ac:dyDescent="0.25"/>
    <row r="4902" ht="12" customHeight="1" x14ac:dyDescent="0.25"/>
    <row r="4903" ht="12" customHeight="1" x14ac:dyDescent="0.25"/>
    <row r="4904" ht="12" customHeight="1" x14ac:dyDescent="0.25"/>
    <row r="4905" ht="12" customHeight="1" x14ac:dyDescent="0.25"/>
    <row r="4906" ht="12" customHeight="1" x14ac:dyDescent="0.25"/>
    <row r="4907" ht="12" customHeight="1" x14ac:dyDescent="0.25"/>
    <row r="4908" ht="12" customHeight="1" x14ac:dyDescent="0.25"/>
    <row r="4909" ht="12" customHeight="1" x14ac:dyDescent="0.25"/>
    <row r="4910" ht="12" customHeight="1" x14ac:dyDescent="0.25"/>
    <row r="4911" ht="12" customHeight="1" x14ac:dyDescent="0.25"/>
    <row r="4912" ht="12" customHeight="1" x14ac:dyDescent="0.25"/>
    <row r="4913" ht="12" customHeight="1" x14ac:dyDescent="0.25"/>
    <row r="4914" ht="12" customHeight="1" x14ac:dyDescent="0.25"/>
    <row r="4915" ht="12" customHeight="1" x14ac:dyDescent="0.25"/>
    <row r="4916" ht="12" customHeight="1" x14ac:dyDescent="0.25"/>
    <row r="4917" ht="12" customHeight="1" x14ac:dyDescent="0.25"/>
    <row r="4918" ht="12" customHeight="1" x14ac:dyDescent="0.25"/>
    <row r="4919" ht="12" customHeight="1" x14ac:dyDescent="0.25"/>
    <row r="4920" ht="12" customHeight="1" x14ac:dyDescent="0.25"/>
    <row r="4921" ht="12" customHeight="1" x14ac:dyDescent="0.25"/>
    <row r="4922" ht="12" customHeight="1" x14ac:dyDescent="0.25"/>
    <row r="4923" ht="12" customHeight="1" x14ac:dyDescent="0.25"/>
    <row r="4924" ht="12" customHeight="1" x14ac:dyDescent="0.25"/>
    <row r="4925" ht="12" customHeight="1" x14ac:dyDescent="0.25"/>
    <row r="4926" ht="12" customHeight="1" x14ac:dyDescent="0.25"/>
    <row r="4927" ht="12" customHeight="1" x14ac:dyDescent="0.25"/>
    <row r="4928" ht="12" customHeight="1" x14ac:dyDescent="0.25"/>
    <row r="4929" ht="12" customHeight="1" x14ac:dyDescent="0.25"/>
    <row r="4930" ht="12" customHeight="1" x14ac:dyDescent="0.25"/>
    <row r="4931" ht="12" customHeight="1" x14ac:dyDescent="0.25"/>
    <row r="4932" ht="12" customHeight="1" x14ac:dyDescent="0.25"/>
    <row r="4933" ht="12" customHeight="1" x14ac:dyDescent="0.25"/>
    <row r="4934" ht="12" customHeight="1" x14ac:dyDescent="0.25"/>
    <row r="4935" ht="12" customHeight="1" x14ac:dyDescent="0.25"/>
    <row r="4936" ht="12" customHeight="1" x14ac:dyDescent="0.25"/>
    <row r="4937" ht="12" customHeight="1" x14ac:dyDescent="0.25"/>
    <row r="4938" ht="12" customHeight="1" x14ac:dyDescent="0.25"/>
    <row r="4939" ht="12" customHeight="1" x14ac:dyDescent="0.25"/>
    <row r="4940" ht="12" customHeight="1" x14ac:dyDescent="0.25"/>
    <row r="4941" ht="12" customHeight="1" x14ac:dyDescent="0.25"/>
    <row r="4942" ht="12" customHeight="1" x14ac:dyDescent="0.25"/>
    <row r="4943" ht="12" customHeight="1" x14ac:dyDescent="0.25"/>
    <row r="4944" ht="12" customHeight="1" x14ac:dyDescent="0.25"/>
    <row r="4945" ht="12" customHeight="1" x14ac:dyDescent="0.25"/>
    <row r="4946" ht="12" customHeight="1" x14ac:dyDescent="0.25"/>
    <row r="4947" ht="12" customHeight="1" x14ac:dyDescent="0.25"/>
    <row r="4948" ht="12" customHeight="1" x14ac:dyDescent="0.25"/>
    <row r="4949" ht="12" customHeight="1" x14ac:dyDescent="0.25"/>
    <row r="4950" ht="12" customHeight="1" x14ac:dyDescent="0.25"/>
    <row r="4951" ht="12" customHeight="1" x14ac:dyDescent="0.25"/>
    <row r="4952" ht="12" customHeight="1" x14ac:dyDescent="0.25"/>
    <row r="4953" ht="12" customHeight="1" x14ac:dyDescent="0.25"/>
    <row r="4954" ht="12" customHeight="1" x14ac:dyDescent="0.25"/>
    <row r="4955" ht="12" customHeight="1" x14ac:dyDescent="0.25"/>
    <row r="4956" ht="12" customHeight="1" x14ac:dyDescent="0.25"/>
    <row r="4957" ht="12" customHeight="1" x14ac:dyDescent="0.25"/>
    <row r="4958" ht="12" customHeight="1" x14ac:dyDescent="0.25"/>
    <row r="4959" ht="12" customHeight="1" x14ac:dyDescent="0.25"/>
    <row r="4960" ht="12" customHeight="1" x14ac:dyDescent="0.25"/>
    <row r="4961" ht="12" customHeight="1" x14ac:dyDescent="0.25"/>
    <row r="4962" ht="12" customHeight="1" x14ac:dyDescent="0.25"/>
    <row r="4963" ht="12" customHeight="1" x14ac:dyDescent="0.25"/>
    <row r="4964" ht="12" customHeight="1" x14ac:dyDescent="0.25"/>
    <row r="4965" ht="12" customHeight="1" x14ac:dyDescent="0.25"/>
    <row r="4966" ht="12" customHeight="1" x14ac:dyDescent="0.25"/>
    <row r="4967" ht="12" customHeight="1" x14ac:dyDescent="0.25"/>
    <row r="4968" ht="12" customHeight="1" x14ac:dyDescent="0.25"/>
    <row r="4969" ht="12" customHeight="1" x14ac:dyDescent="0.25"/>
    <row r="4970" ht="12" customHeight="1" x14ac:dyDescent="0.25"/>
    <row r="4971" ht="12" customHeight="1" x14ac:dyDescent="0.25"/>
    <row r="4972" ht="12" customHeight="1" x14ac:dyDescent="0.25"/>
    <row r="4973" ht="12" customHeight="1" x14ac:dyDescent="0.25"/>
    <row r="4974" ht="12" customHeight="1" x14ac:dyDescent="0.25"/>
    <row r="4975" ht="12" customHeight="1" x14ac:dyDescent="0.25"/>
    <row r="4976" ht="12" customHeight="1" x14ac:dyDescent="0.25"/>
    <row r="4977" ht="12" customHeight="1" x14ac:dyDescent="0.25"/>
    <row r="4978" ht="12" customHeight="1" x14ac:dyDescent="0.25"/>
    <row r="4979" ht="12" customHeight="1" x14ac:dyDescent="0.25"/>
    <row r="4980" ht="12" customHeight="1" x14ac:dyDescent="0.25"/>
    <row r="4981" ht="12" customHeight="1" x14ac:dyDescent="0.25"/>
    <row r="4982" ht="12" customHeight="1" x14ac:dyDescent="0.25"/>
    <row r="4983" ht="12" customHeight="1" x14ac:dyDescent="0.25"/>
    <row r="4984" ht="12" customHeight="1" x14ac:dyDescent="0.25"/>
    <row r="4985" ht="12" customHeight="1" x14ac:dyDescent="0.25"/>
    <row r="4986" ht="12" customHeight="1" x14ac:dyDescent="0.25"/>
    <row r="4987" ht="12" customHeight="1" x14ac:dyDescent="0.25"/>
    <row r="4988" ht="12" customHeight="1" x14ac:dyDescent="0.25"/>
    <row r="4989" ht="12" customHeight="1" x14ac:dyDescent="0.25"/>
    <row r="4990" ht="12" customHeight="1" x14ac:dyDescent="0.25"/>
    <row r="4991" ht="12" customHeight="1" x14ac:dyDescent="0.25"/>
    <row r="4992" ht="12" customHeight="1" x14ac:dyDescent="0.25"/>
    <row r="4993" ht="12" customHeight="1" x14ac:dyDescent="0.25"/>
    <row r="4994" ht="12" customHeight="1" x14ac:dyDescent="0.25"/>
    <row r="4995" ht="12" customHeight="1" x14ac:dyDescent="0.25"/>
    <row r="4996" ht="12" customHeight="1" x14ac:dyDescent="0.25"/>
    <row r="4997" ht="12" customHeight="1" x14ac:dyDescent="0.25"/>
    <row r="4998" ht="12" customHeight="1" x14ac:dyDescent="0.25"/>
    <row r="4999" ht="12" customHeight="1" x14ac:dyDescent="0.25"/>
    <row r="5000" ht="12" customHeight="1" x14ac:dyDescent="0.25"/>
    <row r="5001" ht="12" customHeight="1" x14ac:dyDescent="0.25"/>
    <row r="5002" ht="12" customHeight="1" x14ac:dyDescent="0.25"/>
    <row r="5003" ht="12" customHeight="1" x14ac:dyDescent="0.25"/>
    <row r="5004" ht="12" customHeight="1" x14ac:dyDescent="0.25"/>
    <row r="5005" ht="12" customHeight="1" x14ac:dyDescent="0.25"/>
    <row r="5006" ht="12" customHeight="1" x14ac:dyDescent="0.25"/>
    <row r="5007" ht="12" customHeight="1" x14ac:dyDescent="0.25"/>
    <row r="5008" ht="12" customHeight="1" x14ac:dyDescent="0.25"/>
    <row r="5009" ht="12" customHeight="1" x14ac:dyDescent="0.25"/>
    <row r="5010" ht="12" customHeight="1" x14ac:dyDescent="0.25"/>
    <row r="5011" ht="12" customHeight="1" x14ac:dyDescent="0.25"/>
    <row r="5012" ht="12" customHeight="1" x14ac:dyDescent="0.25"/>
    <row r="5013" ht="12" customHeight="1" x14ac:dyDescent="0.25"/>
    <row r="5014" ht="12" customHeight="1" x14ac:dyDescent="0.25"/>
    <row r="5015" ht="12" customHeight="1" x14ac:dyDescent="0.25"/>
    <row r="5016" ht="12" customHeight="1" x14ac:dyDescent="0.25"/>
    <row r="5017" ht="12" customHeight="1" x14ac:dyDescent="0.25"/>
    <row r="5018" ht="12" customHeight="1" x14ac:dyDescent="0.25"/>
    <row r="5019" ht="12" customHeight="1" x14ac:dyDescent="0.25"/>
    <row r="5020" ht="12" customHeight="1" x14ac:dyDescent="0.25"/>
    <row r="5021" ht="12" customHeight="1" x14ac:dyDescent="0.25"/>
    <row r="5022" ht="12" customHeight="1" x14ac:dyDescent="0.25"/>
    <row r="5023" ht="12" customHeight="1" x14ac:dyDescent="0.25"/>
    <row r="5024" ht="12" customHeight="1" x14ac:dyDescent="0.25"/>
    <row r="5025" ht="12" customHeight="1" x14ac:dyDescent="0.25"/>
    <row r="5026" ht="12" customHeight="1" x14ac:dyDescent="0.25"/>
    <row r="5027" ht="12" customHeight="1" x14ac:dyDescent="0.25"/>
    <row r="5028" ht="12" customHeight="1" x14ac:dyDescent="0.25"/>
    <row r="5029" ht="12" customHeight="1" x14ac:dyDescent="0.25"/>
    <row r="5030" ht="12" customHeight="1" x14ac:dyDescent="0.25"/>
    <row r="5031" ht="12" customHeight="1" x14ac:dyDescent="0.25"/>
    <row r="5032" ht="12" customHeight="1" x14ac:dyDescent="0.25"/>
    <row r="5033" ht="12" customHeight="1" x14ac:dyDescent="0.25"/>
    <row r="5034" ht="12" customHeight="1" x14ac:dyDescent="0.25"/>
    <row r="5035" ht="12" customHeight="1" x14ac:dyDescent="0.25"/>
    <row r="5036" ht="12" customHeight="1" x14ac:dyDescent="0.25"/>
    <row r="5037" ht="12" customHeight="1" x14ac:dyDescent="0.25"/>
    <row r="5038" ht="12" customHeight="1" x14ac:dyDescent="0.25"/>
    <row r="5039" ht="12" customHeight="1" x14ac:dyDescent="0.25"/>
    <row r="5040" ht="12" customHeight="1" x14ac:dyDescent="0.25"/>
    <row r="5041" ht="12" customHeight="1" x14ac:dyDescent="0.25"/>
    <row r="5042" ht="12" customHeight="1" x14ac:dyDescent="0.25"/>
    <row r="5043" ht="12" customHeight="1" x14ac:dyDescent="0.25"/>
    <row r="5044" ht="12" customHeight="1" x14ac:dyDescent="0.25"/>
    <row r="5045" ht="12" customHeight="1" x14ac:dyDescent="0.25"/>
    <row r="5046" ht="12" customHeight="1" x14ac:dyDescent="0.25"/>
    <row r="5047" ht="12" customHeight="1" x14ac:dyDescent="0.25"/>
    <row r="5048" ht="12" customHeight="1" x14ac:dyDescent="0.25"/>
    <row r="5049" ht="12" customHeight="1" x14ac:dyDescent="0.25"/>
    <row r="5050" ht="12" customHeight="1" x14ac:dyDescent="0.25"/>
    <row r="5051" ht="12" customHeight="1" x14ac:dyDescent="0.25"/>
    <row r="5052" ht="12" customHeight="1" x14ac:dyDescent="0.25"/>
    <row r="5053" ht="12" customHeight="1" x14ac:dyDescent="0.25"/>
    <row r="5054" ht="12" customHeight="1" x14ac:dyDescent="0.25"/>
    <row r="5055" ht="12" customHeight="1" x14ac:dyDescent="0.25"/>
    <row r="5056" ht="12" customHeight="1" x14ac:dyDescent="0.25"/>
    <row r="5057" ht="12" customHeight="1" x14ac:dyDescent="0.25"/>
    <row r="5058" ht="12" customHeight="1" x14ac:dyDescent="0.25"/>
    <row r="5059" ht="12" customHeight="1" x14ac:dyDescent="0.25"/>
    <row r="5060" ht="12" customHeight="1" x14ac:dyDescent="0.25"/>
    <row r="5061" ht="12" customHeight="1" x14ac:dyDescent="0.25"/>
    <row r="5062" ht="12" customHeight="1" x14ac:dyDescent="0.25"/>
    <row r="5063" ht="12" customHeight="1" x14ac:dyDescent="0.25"/>
    <row r="5064" ht="12" customHeight="1" x14ac:dyDescent="0.25"/>
    <row r="5065" ht="12" customHeight="1" x14ac:dyDescent="0.25"/>
    <row r="5066" ht="12" customHeight="1" x14ac:dyDescent="0.25"/>
    <row r="5067" ht="12" customHeight="1" x14ac:dyDescent="0.25"/>
    <row r="5068" ht="12" customHeight="1" x14ac:dyDescent="0.25"/>
    <row r="5069" ht="12" customHeight="1" x14ac:dyDescent="0.25"/>
    <row r="5070" ht="12" customHeight="1" x14ac:dyDescent="0.25"/>
    <row r="5071" ht="12" customHeight="1" x14ac:dyDescent="0.25"/>
    <row r="5072" ht="12" customHeight="1" x14ac:dyDescent="0.25"/>
    <row r="5073" ht="12" customHeight="1" x14ac:dyDescent="0.25"/>
    <row r="5074" ht="12" customHeight="1" x14ac:dyDescent="0.25"/>
    <row r="5075" ht="12" customHeight="1" x14ac:dyDescent="0.25"/>
    <row r="5076" ht="12" customHeight="1" x14ac:dyDescent="0.25"/>
    <row r="5077" ht="12" customHeight="1" x14ac:dyDescent="0.25"/>
    <row r="5078" ht="12" customHeight="1" x14ac:dyDescent="0.25"/>
    <row r="5079" ht="12" customHeight="1" x14ac:dyDescent="0.25"/>
    <row r="5080" ht="12" customHeight="1" x14ac:dyDescent="0.25"/>
    <row r="5081" ht="12" customHeight="1" x14ac:dyDescent="0.25"/>
    <row r="5082" ht="12" customHeight="1" x14ac:dyDescent="0.25"/>
    <row r="5083" ht="12" customHeight="1" x14ac:dyDescent="0.25"/>
    <row r="5084" ht="12" customHeight="1" x14ac:dyDescent="0.25"/>
    <row r="5085" ht="12" customHeight="1" x14ac:dyDescent="0.25"/>
    <row r="5086" ht="12" customHeight="1" x14ac:dyDescent="0.25"/>
    <row r="5087" ht="12" customHeight="1" x14ac:dyDescent="0.25"/>
    <row r="5088" ht="12" customHeight="1" x14ac:dyDescent="0.25"/>
    <row r="5089" ht="12" customHeight="1" x14ac:dyDescent="0.25"/>
    <row r="5090" ht="12" customHeight="1" x14ac:dyDescent="0.25"/>
    <row r="5091" ht="12" customHeight="1" x14ac:dyDescent="0.25"/>
    <row r="5092" ht="12" customHeight="1" x14ac:dyDescent="0.25"/>
    <row r="5093" ht="12" customHeight="1" x14ac:dyDescent="0.25"/>
    <row r="5094" ht="12" customHeight="1" x14ac:dyDescent="0.25"/>
    <row r="5095" ht="12" customHeight="1" x14ac:dyDescent="0.25"/>
    <row r="5096" ht="12" customHeight="1" x14ac:dyDescent="0.25"/>
    <row r="5097" ht="12" customHeight="1" x14ac:dyDescent="0.25"/>
    <row r="5098" ht="12" customHeight="1" x14ac:dyDescent="0.25"/>
    <row r="5099" ht="12" customHeight="1" x14ac:dyDescent="0.25"/>
    <row r="5100" ht="12" customHeight="1" x14ac:dyDescent="0.25"/>
    <row r="5101" ht="12" customHeight="1" x14ac:dyDescent="0.25"/>
    <row r="5102" ht="12" customHeight="1" x14ac:dyDescent="0.25"/>
    <row r="5103" ht="12" customHeight="1" x14ac:dyDescent="0.25"/>
    <row r="5104" ht="12" customHeight="1" x14ac:dyDescent="0.25"/>
    <row r="5105" ht="12" customHeight="1" x14ac:dyDescent="0.25"/>
    <row r="5106" ht="12" customHeight="1" x14ac:dyDescent="0.25"/>
    <row r="5107" ht="12" customHeight="1" x14ac:dyDescent="0.25"/>
    <row r="5108" ht="12" customHeight="1" x14ac:dyDescent="0.25"/>
    <row r="5109" ht="12" customHeight="1" x14ac:dyDescent="0.25"/>
    <row r="5110" ht="12" customHeight="1" x14ac:dyDescent="0.25"/>
    <row r="5111" ht="12" customHeight="1" x14ac:dyDescent="0.25"/>
    <row r="5112" ht="12" customHeight="1" x14ac:dyDescent="0.25"/>
    <row r="5113" ht="12" customHeight="1" x14ac:dyDescent="0.25"/>
    <row r="5114" ht="12" customHeight="1" x14ac:dyDescent="0.25"/>
    <row r="5115" ht="12" customHeight="1" x14ac:dyDescent="0.25"/>
    <row r="5116" ht="12" customHeight="1" x14ac:dyDescent="0.25"/>
    <row r="5117" ht="12" customHeight="1" x14ac:dyDescent="0.25"/>
    <row r="5118" ht="12" customHeight="1" x14ac:dyDescent="0.25"/>
    <row r="5119" ht="12" customHeight="1" x14ac:dyDescent="0.25"/>
    <row r="5120" ht="12" customHeight="1" x14ac:dyDescent="0.25"/>
    <row r="5121" ht="12" customHeight="1" x14ac:dyDescent="0.25"/>
    <row r="5122" ht="12" customHeight="1" x14ac:dyDescent="0.25"/>
    <row r="5123" ht="12" customHeight="1" x14ac:dyDescent="0.25"/>
    <row r="5124" ht="12" customHeight="1" x14ac:dyDescent="0.25"/>
    <row r="5125" ht="12" customHeight="1" x14ac:dyDescent="0.25"/>
    <row r="5126" ht="12" customHeight="1" x14ac:dyDescent="0.25"/>
    <row r="5127" ht="12" customHeight="1" x14ac:dyDescent="0.25"/>
    <row r="5128" ht="12" customHeight="1" x14ac:dyDescent="0.25"/>
    <row r="5129" ht="12" customHeight="1" x14ac:dyDescent="0.25"/>
    <row r="5130" ht="12" customHeight="1" x14ac:dyDescent="0.25"/>
    <row r="5131" ht="12" customHeight="1" x14ac:dyDescent="0.25"/>
    <row r="5132" ht="12" customHeight="1" x14ac:dyDescent="0.25"/>
    <row r="5133" ht="12" customHeight="1" x14ac:dyDescent="0.25"/>
    <row r="5134" ht="12" customHeight="1" x14ac:dyDescent="0.25"/>
    <row r="5135" ht="12" customHeight="1" x14ac:dyDescent="0.25"/>
    <row r="5136" ht="12" customHeight="1" x14ac:dyDescent="0.25"/>
    <row r="5137" ht="12" customHeight="1" x14ac:dyDescent="0.25"/>
    <row r="5138" ht="12" customHeight="1" x14ac:dyDescent="0.25"/>
    <row r="5139" ht="12" customHeight="1" x14ac:dyDescent="0.25"/>
    <row r="5140" ht="12" customHeight="1" x14ac:dyDescent="0.25"/>
    <row r="5141" ht="12" customHeight="1" x14ac:dyDescent="0.25"/>
    <row r="5142" ht="12" customHeight="1" x14ac:dyDescent="0.25"/>
    <row r="5143" ht="12" customHeight="1" x14ac:dyDescent="0.25"/>
    <row r="5144" ht="12" customHeight="1" x14ac:dyDescent="0.25"/>
    <row r="5145" ht="12" customHeight="1" x14ac:dyDescent="0.25"/>
    <row r="5146" ht="12" customHeight="1" x14ac:dyDescent="0.25"/>
    <row r="5147" ht="12" customHeight="1" x14ac:dyDescent="0.25"/>
    <row r="5148" ht="12" customHeight="1" x14ac:dyDescent="0.25"/>
    <row r="5149" ht="12" customHeight="1" x14ac:dyDescent="0.25"/>
    <row r="5150" ht="12" customHeight="1" x14ac:dyDescent="0.25"/>
    <row r="5151" ht="12" customHeight="1" x14ac:dyDescent="0.25"/>
    <row r="5152" ht="12" customHeight="1" x14ac:dyDescent="0.25"/>
    <row r="5153" ht="12" customHeight="1" x14ac:dyDescent="0.25"/>
    <row r="5154" ht="12" customHeight="1" x14ac:dyDescent="0.25"/>
    <row r="5155" ht="12" customHeight="1" x14ac:dyDescent="0.25"/>
    <row r="5156" ht="12" customHeight="1" x14ac:dyDescent="0.25"/>
    <row r="5157" ht="12" customHeight="1" x14ac:dyDescent="0.25"/>
    <row r="5158" ht="12" customHeight="1" x14ac:dyDescent="0.25"/>
    <row r="5159" ht="12" customHeight="1" x14ac:dyDescent="0.25"/>
    <row r="5160" ht="12" customHeight="1" x14ac:dyDescent="0.25"/>
    <row r="5161" ht="12" customHeight="1" x14ac:dyDescent="0.25"/>
    <row r="5162" ht="12" customHeight="1" x14ac:dyDescent="0.25"/>
    <row r="5163" ht="12" customHeight="1" x14ac:dyDescent="0.25"/>
    <row r="5164" ht="12" customHeight="1" x14ac:dyDescent="0.25"/>
    <row r="5165" ht="12" customHeight="1" x14ac:dyDescent="0.25"/>
    <row r="5166" ht="12" customHeight="1" x14ac:dyDescent="0.25"/>
    <row r="5167" ht="12" customHeight="1" x14ac:dyDescent="0.25"/>
    <row r="5168" ht="12" customHeight="1" x14ac:dyDescent="0.25"/>
    <row r="5169" ht="12" customHeight="1" x14ac:dyDescent="0.25"/>
    <row r="5170" ht="12" customHeight="1" x14ac:dyDescent="0.25"/>
    <row r="5171" ht="12" customHeight="1" x14ac:dyDescent="0.25"/>
    <row r="5172" ht="12" customHeight="1" x14ac:dyDescent="0.25"/>
    <row r="5173" ht="12" customHeight="1" x14ac:dyDescent="0.25"/>
    <row r="5174" ht="12" customHeight="1" x14ac:dyDescent="0.25"/>
    <row r="5175" ht="12" customHeight="1" x14ac:dyDescent="0.25"/>
    <row r="5176" ht="12" customHeight="1" x14ac:dyDescent="0.25"/>
    <row r="5177" ht="12" customHeight="1" x14ac:dyDescent="0.25"/>
    <row r="5178" ht="12" customHeight="1" x14ac:dyDescent="0.25"/>
    <row r="5179" ht="12" customHeight="1" x14ac:dyDescent="0.25"/>
    <row r="5180" ht="12" customHeight="1" x14ac:dyDescent="0.25"/>
    <row r="5181" ht="12" customHeight="1" x14ac:dyDescent="0.25"/>
    <row r="5182" ht="12" customHeight="1" x14ac:dyDescent="0.25"/>
    <row r="5183" ht="12" customHeight="1" x14ac:dyDescent="0.25"/>
    <row r="5184" ht="12" customHeight="1" x14ac:dyDescent="0.25"/>
    <row r="5185" ht="12" customHeight="1" x14ac:dyDescent="0.25"/>
    <row r="5186" ht="12" customHeight="1" x14ac:dyDescent="0.25"/>
    <row r="5187" ht="12" customHeight="1" x14ac:dyDescent="0.25"/>
    <row r="5188" ht="12" customHeight="1" x14ac:dyDescent="0.25"/>
    <row r="5189" ht="12" customHeight="1" x14ac:dyDescent="0.25"/>
    <row r="5190" ht="12" customHeight="1" x14ac:dyDescent="0.25"/>
    <row r="5191" ht="12" customHeight="1" x14ac:dyDescent="0.25"/>
    <row r="5192" ht="12" customHeight="1" x14ac:dyDescent="0.25"/>
    <row r="5193" ht="12" customHeight="1" x14ac:dyDescent="0.25"/>
    <row r="5194" ht="12" customHeight="1" x14ac:dyDescent="0.25"/>
    <row r="5195" ht="12" customHeight="1" x14ac:dyDescent="0.25"/>
    <row r="5196" ht="12" customHeight="1" x14ac:dyDescent="0.25"/>
    <row r="5197" ht="12" customHeight="1" x14ac:dyDescent="0.25"/>
    <row r="5198" ht="12" customHeight="1" x14ac:dyDescent="0.25"/>
    <row r="5199" ht="12" customHeight="1" x14ac:dyDescent="0.25"/>
    <row r="5200" ht="12" customHeight="1" x14ac:dyDescent="0.25"/>
    <row r="5201" ht="12" customHeight="1" x14ac:dyDescent="0.25"/>
    <row r="5202" ht="12" customHeight="1" x14ac:dyDescent="0.25"/>
    <row r="5203" ht="12" customHeight="1" x14ac:dyDescent="0.25"/>
    <row r="5204" ht="12" customHeight="1" x14ac:dyDescent="0.25"/>
    <row r="5205" ht="12" customHeight="1" x14ac:dyDescent="0.25"/>
    <row r="5206" ht="12" customHeight="1" x14ac:dyDescent="0.25"/>
    <row r="5207" ht="12" customHeight="1" x14ac:dyDescent="0.25"/>
    <row r="5208" ht="12" customHeight="1" x14ac:dyDescent="0.25"/>
    <row r="5209" ht="12" customHeight="1" x14ac:dyDescent="0.25"/>
    <row r="5210" ht="12" customHeight="1" x14ac:dyDescent="0.25"/>
    <row r="5211" ht="12" customHeight="1" x14ac:dyDescent="0.25"/>
    <row r="5212" ht="12" customHeight="1" x14ac:dyDescent="0.25"/>
    <row r="5213" ht="12" customHeight="1" x14ac:dyDescent="0.25"/>
    <row r="5214" ht="12" customHeight="1" x14ac:dyDescent="0.25"/>
    <row r="5215" ht="12" customHeight="1" x14ac:dyDescent="0.25"/>
    <row r="5216" ht="12" customHeight="1" x14ac:dyDescent="0.25"/>
    <row r="5217" ht="12" customHeight="1" x14ac:dyDescent="0.25"/>
    <row r="5218" ht="12" customHeight="1" x14ac:dyDescent="0.25"/>
    <row r="5219" ht="12" customHeight="1" x14ac:dyDescent="0.25"/>
    <row r="5220" ht="12" customHeight="1" x14ac:dyDescent="0.25"/>
    <row r="5221" ht="12" customHeight="1" x14ac:dyDescent="0.25"/>
    <row r="5222" ht="12" customHeight="1" x14ac:dyDescent="0.25"/>
    <row r="5223" ht="12" customHeight="1" x14ac:dyDescent="0.25"/>
    <row r="5224" ht="12" customHeight="1" x14ac:dyDescent="0.25"/>
    <row r="5225" ht="12" customHeight="1" x14ac:dyDescent="0.25"/>
    <row r="5226" ht="12" customHeight="1" x14ac:dyDescent="0.25"/>
    <row r="5227" ht="12" customHeight="1" x14ac:dyDescent="0.25"/>
    <row r="5228" ht="12" customHeight="1" x14ac:dyDescent="0.25"/>
    <row r="5229" ht="12" customHeight="1" x14ac:dyDescent="0.25"/>
    <row r="5230" ht="12" customHeight="1" x14ac:dyDescent="0.25"/>
    <row r="5231" ht="12" customHeight="1" x14ac:dyDescent="0.25"/>
    <row r="5232" ht="12" customHeight="1" x14ac:dyDescent="0.25"/>
    <row r="5233" ht="12" customHeight="1" x14ac:dyDescent="0.25"/>
    <row r="5234" ht="12" customHeight="1" x14ac:dyDescent="0.25"/>
    <row r="5235" ht="12" customHeight="1" x14ac:dyDescent="0.25"/>
    <row r="5236" ht="12" customHeight="1" x14ac:dyDescent="0.25"/>
    <row r="5237" ht="12" customHeight="1" x14ac:dyDescent="0.25"/>
    <row r="5238" ht="12" customHeight="1" x14ac:dyDescent="0.25"/>
    <row r="5239" ht="12" customHeight="1" x14ac:dyDescent="0.25"/>
    <row r="5240" ht="12" customHeight="1" x14ac:dyDescent="0.25"/>
    <row r="5241" ht="12" customHeight="1" x14ac:dyDescent="0.25"/>
    <row r="5242" ht="12" customHeight="1" x14ac:dyDescent="0.25"/>
    <row r="5243" ht="12" customHeight="1" x14ac:dyDescent="0.25"/>
    <row r="5244" ht="12" customHeight="1" x14ac:dyDescent="0.25"/>
    <row r="5245" ht="12" customHeight="1" x14ac:dyDescent="0.25"/>
    <row r="5246" ht="12" customHeight="1" x14ac:dyDescent="0.25"/>
    <row r="5247" ht="12" customHeight="1" x14ac:dyDescent="0.25"/>
    <row r="5248" ht="12" customHeight="1" x14ac:dyDescent="0.25"/>
    <row r="5249" ht="12" customHeight="1" x14ac:dyDescent="0.25"/>
    <row r="5250" ht="12" customHeight="1" x14ac:dyDescent="0.25"/>
    <row r="5251" ht="12" customHeight="1" x14ac:dyDescent="0.25"/>
    <row r="5252" ht="12" customHeight="1" x14ac:dyDescent="0.25"/>
    <row r="5253" ht="12" customHeight="1" x14ac:dyDescent="0.25"/>
    <row r="5254" ht="12" customHeight="1" x14ac:dyDescent="0.25"/>
    <row r="5255" ht="12" customHeight="1" x14ac:dyDescent="0.25"/>
    <row r="5256" ht="12" customHeight="1" x14ac:dyDescent="0.25"/>
    <row r="5257" ht="12" customHeight="1" x14ac:dyDescent="0.25"/>
    <row r="5258" ht="12" customHeight="1" x14ac:dyDescent="0.25"/>
    <row r="5259" ht="12" customHeight="1" x14ac:dyDescent="0.25"/>
    <row r="5260" ht="12" customHeight="1" x14ac:dyDescent="0.25"/>
    <row r="5261" ht="12" customHeight="1" x14ac:dyDescent="0.25"/>
    <row r="5262" ht="12" customHeight="1" x14ac:dyDescent="0.25"/>
    <row r="5263" ht="12" customHeight="1" x14ac:dyDescent="0.25"/>
    <row r="5264" ht="12" customHeight="1" x14ac:dyDescent="0.25"/>
    <row r="5265" ht="12" customHeight="1" x14ac:dyDescent="0.25"/>
    <row r="5266" ht="12" customHeight="1" x14ac:dyDescent="0.25"/>
    <row r="5267" ht="12" customHeight="1" x14ac:dyDescent="0.25"/>
    <row r="5268" ht="12" customHeight="1" x14ac:dyDescent="0.25"/>
    <row r="5269" ht="12" customHeight="1" x14ac:dyDescent="0.25"/>
    <row r="5270" ht="12" customHeight="1" x14ac:dyDescent="0.25"/>
    <row r="5271" ht="12" customHeight="1" x14ac:dyDescent="0.25"/>
    <row r="5272" ht="12" customHeight="1" x14ac:dyDescent="0.25"/>
    <row r="5273" ht="12" customHeight="1" x14ac:dyDescent="0.25"/>
    <row r="5274" ht="12" customHeight="1" x14ac:dyDescent="0.25"/>
    <row r="5275" ht="12" customHeight="1" x14ac:dyDescent="0.25"/>
    <row r="5276" ht="12" customHeight="1" x14ac:dyDescent="0.25"/>
    <row r="5277" ht="12" customHeight="1" x14ac:dyDescent="0.25"/>
    <row r="5278" ht="12" customHeight="1" x14ac:dyDescent="0.25"/>
    <row r="5279" ht="12" customHeight="1" x14ac:dyDescent="0.25"/>
    <row r="5280" ht="12" customHeight="1" x14ac:dyDescent="0.25"/>
    <row r="5281" ht="12" customHeight="1" x14ac:dyDescent="0.25"/>
    <row r="5282" ht="12" customHeight="1" x14ac:dyDescent="0.25"/>
    <row r="5283" ht="12" customHeight="1" x14ac:dyDescent="0.25"/>
    <row r="5284" ht="12" customHeight="1" x14ac:dyDescent="0.25"/>
    <row r="5285" ht="12" customHeight="1" x14ac:dyDescent="0.25"/>
    <row r="5286" ht="12" customHeight="1" x14ac:dyDescent="0.25"/>
    <row r="5287" ht="12" customHeight="1" x14ac:dyDescent="0.25"/>
    <row r="5288" ht="12" customHeight="1" x14ac:dyDescent="0.25"/>
    <row r="5289" ht="12" customHeight="1" x14ac:dyDescent="0.25"/>
    <row r="5290" ht="12" customHeight="1" x14ac:dyDescent="0.25"/>
    <row r="5291" ht="12" customHeight="1" x14ac:dyDescent="0.25"/>
    <row r="5292" ht="12" customHeight="1" x14ac:dyDescent="0.25"/>
    <row r="5293" ht="12" customHeight="1" x14ac:dyDescent="0.25"/>
    <row r="5294" ht="12" customHeight="1" x14ac:dyDescent="0.25"/>
    <row r="5295" ht="12" customHeight="1" x14ac:dyDescent="0.25"/>
    <row r="5296" ht="12" customHeight="1" x14ac:dyDescent="0.25"/>
    <row r="5297" ht="12" customHeight="1" x14ac:dyDescent="0.25"/>
    <row r="5298" ht="12" customHeight="1" x14ac:dyDescent="0.25"/>
    <row r="5299" ht="12" customHeight="1" x14ac:dyDescent="0.25"/>
    <row r="5300" ht="12" customHeight="1" x14ac:dyDescent="0.25"/>
    <row r="5301" ht="12" customHeight="1" x14ac:dyDescent="0.25"/>
    <row r="5302" ht="12" customHeight="1" x14ac:dyDescent="0.25"/>
    <row r="5303" ht="12" customHeight="1" x14ac:dyDescent="0.25"/>
    <row r="5304" ht="12" customHeight="1" x14ac:dyDescent="0.25"/>
    <row r="5305" ht="12" customHeight="1" x14ac:dyDescent="0.25"/>
    <row r="5306" ht="12" customHeight="1" x14ac:dyDescent="0.25"/>
    <row r="5307" ht="12" customHeight="1" x14ac:dyDescent="0.25"/>
    <row r="5308" ht="12" customHeight="1" x14ac:dyDescent="0.25"/>
    <row r="5309" ht="12" customHeight="1" x14ac:dyDescent="0.25"/>
    <row r="5310" ht="12" customHeight="1" x14ac:dyDescent="0.25"/>
    <row r="5311" ht="12" customHeight="1" x14ac:dyDescent="0.25"/>
    <row r="5312" ht="12" customHeight="1" x14ac:dyDescent="0.25"/>
    <row r="5313" ht="12" customHeight="1" x14ac:dyDescent="0.25"/>
    <row r="5314" ht="12" customHeight="1" x14ac:dyDescent="0.25"/>
    <row r="5315" ht="12" customHeight="1" x14ac:dyDescent="0.25"/>
    <row r="5316" ht="12" customHeight="1" x14ac:dyDescent="0.25"/>
    <row r="5317" ht="12" customHeight="1" x14ac:dyDescent="0.25"/>
    <row r="5318" ht="12" customHeight="1" x14ac:dyDescent="0.25"/>
    <row r="5319" ht="12" customHeight="1" x14ac:dyDescent="0.25"/>
    <row r="5320" ht="12" customHeight="1" x14ac:dyDescent="0.25"/>
    <row r="5321" ht="12" customHeight="1" x14ac:dyDescent="0.25"/>
    <row r="5322" ht="12" customHeight="1" x14ac:dyDescent="0.25"/>
    <row r="5323" ht="12" customHeight="1" x14ac:dyDescent="0.25"/>
    <row r="5324" ht="12" customHeight="1" x14ac:dyDescent="0.25"/>
    <row r="5325" ht="12" customHeight="1" x14ac:dyDescent="0.25"/>
    <row r="5326" ht="12" customHeight="1" x14ac:dyDescent="0.25"/>
    <row r="5327" ht="12" customHeight="1" x14ac:dyDescent="0.25"/>
    <row r="5328" ht="12" customHeight="1" x14ac:dyDescent="0.25"/>
    <row r="5329" ht="12" customHeight="1" x14ac:dyDescent="0.25"/>
    <row r="5330" ht="12" customHeight="1" x14ac:dyDescent="0.25"/>
    <row r="5331" ht="12" customHeight="1" x14ac:dyDescent="0.25"/>
    <row r="5332" ht="12" customHeight="1" x14ac:dyDescent="0.25"/>
    <row r="5333" ht="12" customHeight="1" x14ac:dyDescent="0.25"/>
    <row r="5334" ht="12" customHeight="1" x14ac:dyDescent="0.25"/>
    <row r="5335" ht="12" customHeight="1" x14ac:dyDescent="0.25"/>
    <row r="5336" ht="12" customHeight="1" x14ac:dyDescent="0.25"/>
    <row r="5337" ht="12" customHeight="1" x14ac:dyDescent="0.25"/>
    <row r="5338" ht="12" customHeight="1" x14ac:dyDescent="0.25"/>
    <row r="5339" ht="12" customHeight="1" x14ac:dyDescent="0.25"/>
    <row r="5340" ht="12" customHeight="1" x14ac:dyDescent="0.25"/>
    <row r="5341" ht="12" customHeight="1" x14ac:dyDescent="0.25"/>
    <row r="5342" ht="12" customHeight="1" x14ac:dyDescent="0.25"/>
    <row r="5343" ht="12" customHeight="1" x14ac:dyDescent="0.25"/>
    <row r="5344" ht="12" customHeight="1" x14ac:dyDescent="0.25"/>
    <row r="5345" ht="12" customHeight="1" x14ac:dyDescent="0.25"/>
    <row r="5346" ht="12" customHeight="1" x14ac:dyDescent="0.25"/>
    <row r="5347" ht="12" customHeight="1" x14ac:dyDescent="0.25"/>
    <row r="5348" ht="12" customHeight="1" x14ac:dyDescent="0.25"/>
    <row r="5349" ht="12" customHeight="1" x14ac:dyDescent="0.25"/>
    <row r="5350" ht="12" customHeight="1" x14ac:dyDescent="0.25"/>
    <row r="5351" ht="12" customHeight="1" x14ac:dyDescent="0.25"/>
    <row r="5352" ht="12" customHeight="1" x14ac:dyDescent="0.25"/>
    <row r="5353" ht="12" customHeight="1" x14ac:dyDescent="0.25"/>
    <row r="5354" ht="12" customHeight="1" x14ac:dyDescent="0.25"/>
    <row r="5355" ht="12" customHeight="1" x14ac:dyDescent="0.25"/>
    <row r="5356" ht="12" customHeight="1" x14ac:dyDescent="0.25"/>
    <row r="5357" ht="12" customHeight="1" x14ac:dyDescent="0.25"/>
    <row r="5358" ht="12" customHeight="1" x14ac:dyDescent="0.25"/>
    <row r="5359" ht="12" customHeight="1" x14ac:dyDescent="0.25"/>
    <row r="5360" ht="12" customHeight="1" x14ac:dyDescent="0.25"/>
    <row r="5361" ht="12" customHeight="1" x14ac:dyDescent="0.25"/>
    <row r="5362" ht="12" customHeight="1" x14ac:dyDescent="0.25"/>
    <row r="5363" ht="12" customHeight="1" x14ac:dyDescent="0.25"/>
    <row r="5364" ht="12" customHeight="1" x14ac:dyDescent="0.25"/>
    <row r="5365" ht="12" customHeight="1" x14ac:dyDescent="0.25"/>
    <row r="5366" ht="12" customHeight="1" x14ac:dyDescent="0.25"/>
    <row r="5367" ht="12" customHeight="1" x14ac:dyDescent="0.25"/>
    <row r="5368" ht="12" customHeight="1" x14ac:dyDescent="0.25"/>
    <row r="5369" ht="12" customHeight="1" x14ac:dyDescent="0.25"/>
    <row r="5370" ht="12" customHeight="1" x14ac:dyDescent="0.25"/>
    <row r="5371" ht="12" customHeight="1" x14ac:dyDescent="0.25"/>
    <row r="5372" ht="12" customHeight="1" x14ac:dyDescent="0.25"/>
    <row r="5373" ht="12" customHeight="1" x14ac:dyDescent="0.25"/>
    <row r="5374" ht="12" customHeight="1" x14ac:dyDescent="0.25"/>
    <row r="5375" ht="12" customHeight="1" x14ac:dyDescent="0.25"/>
    <row r="5376" ht="12" customHeight="1" x14ac:dyDescent="0.25"/>
    <row r="5377" ht="12" customHeight="1" x14ac:dyDescent="0.25"/>
    <row r="5378" ht="12" customHeight="1" x14ac:dyDescent="0.25"/>
    <row r="5379" ht="12" customHeight="1" x14ac:dyDescent="0.25"/>
    <row r="5380" ht="12" customHeight="1" x14ac:dyDescent="0.25"/>
    <row r="5381" ht="12" customHeight="1" x14ac:dyDescent="0.25"/>
    <row r="5382" ht="12" customHeight="1" x14ac:dyDescent="0.25"/>
    <row r="5383" ht="12" customHeight="1" x14ac:dyDescent="0.25"/>
    <row r="5384" ht="12" customHeight="1" x14ac:dyDescent="0.25"/>
    <row r="5385" ht="12" customHeight="1" x14ac:dyDescent="0.25"/>
    <row r="5386" ht="12" customHeight="1" x14ac:dyDescent="0.25"/>
    <row r="5387" ht="12" customHeight="1" x14ac:dyDescent="0.25"/>
    <row r="5388" ht="12" customHeight="1" x14ac:dyDescent="0.25"/>
    <row r="5389" ht="12" customHeight="1" x14ac:dyDescent="0.25"/>
    <row r="5390" ht="12" customHeight="1" x14ac:dyDescent="0.25"/>
    <row r="5391" ht="12" customHeight="1" x14ac:dyDescent="0.25"/>
    <row r="5392" ht="12" customHeight="1" x14ac:dyDescent="0.25"/>
    <row r="5393" ht="12" customHeight="1" x14ac:dyDescent="0.25"/>
    <row r="5394" ht="12" customHeight="1" x14ac:dyDescent="0.25"/>
    <row r="5395" ht="12" customHeight="1" x14ac:dyDescent="0.25"/>
    <row r="5396" ht="12" customHeight="1" x14ac:dyDescent="0.25"/>
    <row r="5397" ht="12" customHeight="1" x14ac:dyDescent="0.25"/>
    <row r="5398" ht="12" customHeight="1" x14ac:dyDescent="0.25"/>
    <row r="5399" ht="12" customHeight="1" x14ac:dyDescent="0.25"/>
    <row r="5400" ht="12" customHeight="1" x14ac:dyDescent="0.25"/>
    <row r="5401" ht="12" customHeight="1" x14ac:dyDescent="0.25"/>
    <row r="5402" ht="12" customHeight="1" x14ac:dyDescent="0.25"/>
    <row r="5403" ht="12" customHeight="1" x14ac:dyDescent="0.25"/>
    <row r="5404" ht="12" customHeight="1" x14ac:dyDescent="0.25"/>
    <row r="5405" ht="12" customHeight="1" x14ac:dyDescent="0.25"/>
    <row r="5406" ht="12" customHeight="1" x14ac:dyDescent="0.25"/>
    <row r="5407" ht="12" customHeight="1" x14ac:dyDescent="0.25"/>
    <row r="5408" ht="12" customHeight="1" x14ac:dyDescent="0.25"/>
    <row r="5409" ht="12" customHeight="1" x14ac:dyDescent="0.25"/>
    <row r="5410" ht="12" customHeight="1" x14ac:dyDescent="0.25"/>
    <row r="5411" ht="12" customHeight="1" x14ac:dyDescent="0.25"/>
    <row r="5412" ht="12" customHeight="1" x14ac:dyDescent="0.25"/>
    <row r="5413" ht="12" customHeight="1" x14ac:dyDescent="0.25"/>
    <row r="5414" ht="12" customHeight="1" x14ac:dyDescent="0.25"/>
    <row r="5415" ht="12" customHeight="1" x14ac:dyDescent="0.25"/>
    <row r="5416" ht="12" customHeight="1" x14ac:dyDescent="0.25"/>
    <row r="5417" ht="12" customHeight="1" x14ac:dyDescent="0.25"/>
    <row r="5418" ht="12" customHeight="1" x14ac:dyDescent="0.25"/>
    <row r="5419" ht="12" customHeight="1" x14ac:dyDescent="0.25"/>
    <row r="5420" ht="12" customHeight="1" x14ac:dyDescent="0.25"/>
    <row r="5421" ht="12" customHeight="1" x14ac:dyDescent="0.25"/>
    <row r="5422" ht="12" customHeight="1" x14ac:dyDescent="0.25"/>
    <row r="5423" ht="12" customHeight="1" x14ac:dyDescent="0.25"/>
    <row r="5424" ht="12" customHeight="1" x14ac:dyDescent="0.25"/>
    <row r="5425" ht="12" customHeight="1" x14ac:dyDescent="0.25"/>
    <row r="5426" ht="12" customHeight="1" x14ac:dyDescent="0.25"/>
    <row r="5427" ht="12" customHeight="1" x14ac:dyDescent="0.25"/>
    <row r="5428" ht="12" customHeight="1" x14ac:dyDescent="0.25"/>
    <row r="5429" ht="12" customHeight="1" x14ac:dyDescent="0.25"/>
    <row r="5430" ht="12" customHeight="1" x14ac:dyDescent="0.25"/>
    <row r="5431" ht="12" customHeight="1" x14ac:dyDescent="0.25"/>
    <row r="5432" ht="12" customHeight="1" x14ac:dyDescent="0.25"/>
    <row r="5433" ht="12" customHeight="1" x14ac:dyDescent="0.25"/>
    <row r="5434" ht="12" customHeight="1" x14ac:dyDescent="0.25"/>
    <row r="5435" ht="12" customHeight="1" x14ac:dyDescent="0.25"/>
    <row r="5436" ht="12" customHeight="1" x14ac:dyDescent="0.25"/>
    <row r="5437" ht="12" customHeight="1" x14ac:dyDescent="0.25"/>
    <row r="5438" ht="12" customHeight="1" x14ac:dyDescent="0.25"/>
    <row r="5439" ht="12" customHeight="1" x14ac:dyDescent="0.25"/>
    <row r="5440" ht="12" customHeight="1" x14ac:dyDescent="0.25"/>
    <row r="5441" ht="12" customHeight="1" x14ac:dyDescent="0.25"/>
    <row r="5442" ht="12" customHeight="1" x14ac:dyDescent="0.25"/>
    <row r="5443" ht="12" customHeight="1" x14ac:dyDescent="0.25"/>
    <row r="5444" ht="12" customHeight="1" x14ac:dyDescent="0.25"/>
    <row r="5445" ht="12" customHeight="1" x14ac:dyDescent="0.25"/>
    <row r="5446" ht="12" customHeight="1" x14ac:dyDescent="0.25"/>
    <row r="5447" ht="12" customHeight="1" x14ac:dyDescent="0.25"/>
    <row r="5448" ht="12" customHeight="1" x14ac:dyDescent="0.25"/>
    <row r="5449" ht="12" customHeight="1" x14ac:dyDescent="0.25"/>
    <row r="5450" ht="12" customHeight="1" x14ac:dyDescent="0.25"/>
    <row r="5451" ht="12" customHeight="1" x14ac:dyDescent="0.25"/>
    <row r="5452" ht="12" customHeight="1" x14ac:dyDescent="0.25"/>
    <row r="5453" ht="12" customHeight="1" x14ac:dyDescent="0.25"/>
    <row r="5454" ht="12" customHeight="1" x14ac:dyDescent="0.25"/>
    <row r="5455" ht="12" customHeight="1" x14ac:dyDescent="0.25"/>
    <row r="5456" ht="12" customHeight="1" x14ac:dyDescent="0.25"/>
    <row r="5457" ht="12" customHeight="1" x14ac:dyDescent="0.25"/>
    <row r="5458" ht="12" customHeight="1" x14ac:dyDescent="0.25"/>
    <row r="5459" ht="12" customHeight="1" x14ac:dyDescent="0.25"/>
    <row r="5460" ht="12" customHeight="1" x14ac:dyDescent="0.25"/>
    <row r="5461" ht="12" customHeight="1" x14ac:dyDescent="0.25"/>
    <row r="5462" ht="12" customHeight="1" x14ac:dyDescent="0.25"/>
    <row r="5463" ht="12" customHeight="1" x14ac:dyDescent="0.25"/>
    <row r="5464" ht="12" customHeight="1" x14ac:dyDescent="0.25"/>
    <row r="5465" ht="12" customHeight="1" x14ac:dyDescent="0.25"/>
    <row r="5466" ht="12" customHeight="1" x14ac:dyDescent="0.25"/>
    <row r="5467" ht="12" customHeight="1" x14ac:dyDescent="0.25"/>
    <row r="5468" ht="12" customHeight="1" x14ac:dyDescent="0.25"/>
    <row r="5469" ht="12" customHeight="1" x14ac:dyDescent="0.25"/>
    <row r="5470" ht="12" customHeight="1" x14ac:dyDescent="0.25"/>
    <row r="5471" ht="12" customHeight="1" x14ac:dyDescent="0.25"/>
    <row r="5472" ht="12" customHeight="1" x14ac:dyDescent="0.25"/>
    <row r="5473" ht="12" customHeight="1" x14ac:dyDescent="0.25"/>
    <row r="5474" ht="12" customHeight="1" x14ac:dyDescent="0.25"/>
    <row r="5475" ht="12" customHeight="1" x14ac:dyDescent="0.25"/>
    <row r="5476" ht="12" customHeight="1" x14ac:dyDescent="0.25"/>
    <row r="5477" ht="12" customHeight="1" x14ac:dyDescent="0.25"/>
    <row r="5478" ht="12" customHeight="1" x14ac:dyDescent="0.25"/>
    <row r="5479" ht="12" customHeight="1" x14ac:dyDescent="0.25"/>
    <row r="5480" ht="12" customHeight="1" x14ac:dyDescent="0.25"/>
    <row r="5481" ht="12" customHeight="1" x14ac:dyDescent="0.25"/>
    <row r="5482" ht="12" customHeight="1" x14ac:dyDescent="0.25"/>
    <row r="5483" ht="12" customHeight="1" x14ac:dyDescent="0.25"/>
    <row r="5484" ht="12" customHeight="1" x14ac:dyDescent="0.25"/>
    <row r="5485" ht="12" customHeight="1" x14ac:dyDescent="0.25"/>
    <row r="5486" ht="12" customHeight="1" x14ac:dyDescent="0.25"/>
    <row r="5487" ht="12" customHeight="1" x14ac:dyDescent="0.25"/>
    <row r="5488" ht="12" customHeight="1" x14ac:dyDescent="0.25"/>
    <row r="5489" ht="12" customHeight="1" x14ac:dyDescent="0.25"/>
    <row r="5490" ht="12" customHeight="1" x14ac:dyDescent="0.25"/>
    <row r="5491" ht="12" customHeight="1" x14ac:dyDescent="0.25"/>
    <row r="5492" ht="12" customHeight="1" x14ac:dyDescent="0.25"/>
    <row r="5493" ht="12" customHeight="1" x14ac:dyDescent="0.25"/>
    <row r="5494" ht="12" customHeight="1" x14ac:dyDescent="0.25"/>
    <row r="5495" ht="12" customHeight="1" x14ac:dyDescent="0.25"/>
    <row r="5496" ht="12" customHeight="1" x14ac:dyDescent="0.25"/>
    <row r="5497" ht="12" customHeight="1" x14ac:dyDescent="0.25"/>
    <row r="5498" ht="12" customHeight="1" x14ac:dyDescent="0.25"/>
    <row r="5499" ht="12" customHeight="1" x14ac:dyDescent="0.25"/>
    <row r="5500" ht="12" customHeight="1" x14ac:dyDescent="0.25"/>
    <row r="5501" ht="12" customHeight="1" x14ac:dyDescent="0.25"/>
    <row r="5502" ht="12" customHeight="1" x14ac:dyDescent="0.25"/>
    <row r="5503" ht="12" customHeight="1" x14ac:dyDescent="0.25"/>
    <row r="5504" ht="12" customHeight="1" x14ac:dyDescent="0.25"/>
    <row r="5505" ht="12" customHeight="1" x14ac:dyDescent="0.25"/>
    <row r="5506" ht="12" customHeight="1" x14ac:dyDescent="0.25"/>
    <row r="5507" ht="12" customHeight="1" x14ac:dyDescent="0.25"/>
    <row r="5508" ht="12" customHeight="1" x14ac:dyDescent="0.25"/>
    <row r="5509" ht="12" customHeight="1" x14ac:dyDescent="0.25"/>
    <row r="5510" ht="12" customHeight="1" x14ac:dyDescent="0.25"/>
    <row r="5511" ht="12" customHeight="1" x14ac:dyDescent="0.25"/>
    <row r="5512" ht="12" customHeight="1" x14ac:dyDescent="0.25"/>
    <row r="5513" ht="12" customHeight="1" x14ac:dyDescent="0.25"/>
    <row r="5514" ht="12" customHeight="1" x14ac:dyDescent="0.25"/>
    <row r="5515" ht="12" customHeight="1" x14ac:dyDescent="0.25"/>
    <row r="5516" ht="12" customHeight="1" x14ac:dyDescent="0.25"/>
    <row r="5517" ht="12" customHeight="1" x14ac:dyDescent="0.25"/>
    <row r="5518" ht="12" customHeight="1" x14ac:dyDescent="0.25"/>
    <row r="5519" ht="12" customHeight="1" x14ac:dyDescent="0.25"/>
    <row r="5520" ht="12" customHeight="1" x14ac:dyDescent="0.25"/>
    <row r="5521" ht="12" customHeight="1" x14ac:dyDescent="0.25"/>
    <row r="5522" ht="12" customHeight="1" x14ac:dyDescent="0.25"/>
    <row r="5523" ht="12" customHeight="1" x14ac:dyDescent="0.25"/>
    <row r="5524" ht="12" customHeight="1" x14ac:dyDescent="0.25"/>
    <row r="5525" ht="12" customHeight="1" x14ac:dyDescent="0.25"/>
    <row r="5526" ht="12" customHeight="1" x14ac:dyDescent="0.25"/>
    <row r="5527" ht="12" customHeight="1" x14ac:dyDescent="0.25"/>
    <row r="5528" ht="12" customHeight="1" x14ac:dyDescent="0.25"/>
    <row r="5529" ht="12" customHeight="1" x14ac:dyDescent="0.25"/>
    <row r="5530" ht="12" customHeight="1" x14ac:dyDescent="0.25"/>
    <row r="5531" ht="12" customHeight="1" x14ac:dyDescent="0.25"/>
    <row r="5532" ht="12" customHeight="1" x14ac:dyDescent="0.25"/>
    <row r="5533" ht="12" customHeight="1" x14ac:dyDescent="0.25"/>
    <row r="5534" ht="12" customHeight="1" x14ac:dyDescent="0.25"/>
    <row r="5535" ht="12" customHeight="1" x14ac:dyDescent="0.25"/>
    <row r="5536" ht="12" customHeight="1" x14ac:dyDescent="0.25"/>
    <row r="5537" ht="12" customHeight="1" x14ac:dyDescent="0.25"/>
    <row r="5538" ht="12" customHeight="1" x14ac:dyDescent="0.25"/>
    <row r="5539" ht="12" customHeight="1" x14ac:dyDescent="0.25"/>
    <row r="5540" ht="12" customHeight="1" x14ac:dyDescent="0.25"/>
    <row r="5541" ht="12" customHeight="1" x14ac:dyDescent="0.25"/>
    <row r="5542" ht="12" customHeight="1" x14ac:dyDescent="0.25"/>
    <row r="5543" ht="12" customHeight="1" x14ac:dyDescent="0.25"/>
    <row r="5544" ht="12" customHeight="1" x14ac:dyDescent="0.25"/>
    <row r="5545" ht="12" customHeight="1" x14ac:dyDescent="0.25"/>
    <row r="5546" ht="12" customHeight="1" x14ac:dyDescent="0.25"/>
    <row r="5547" ht="12" customHeight="1" x14ac:dyDescent="0.25"/>
    <row r="5548" ht="12" customHeight="1" x14ac:dyDescent="0.25"/>
    <row r="5549" ht="12" customHeight="1" x14ac:dyDescent="0.25"/>
    <row r="5550" ht="12" customHeight="1" x14ac:dyDescent="0.25"/>
    <row r="5551" ht="12" customHeight="1" x14ac:dyDescent="0.25"/>
    <row r="5552" ht="12" customHeight="1" x14ac:dyDescent="0.25"/>
    <row r="5553" ht="12" customHeight="1" x14ac:dyDescent="0.25"/>
    <row r="5554" ht="12" customHeight="1" x14ac:dyDescent="0.25"/>
    <row r="5555" ht="12" customHeight="1" x14ac:dyDescent="0.25"/>
    <row r="5556" ht="12" customHeight="1" x14ac:dyDescent="0.25"/>
    <row r="5557" ht="12" customHeight="1" x14ac:dyDescent="0.25"/>
    <row r="5558" ht="12" customHeight="1" x14ac:dyDescent="0.25"/>
    <row r="5559" ht="12" customHeight="1" x14ac:dyDescent="0.25"/>
    <row r="5560" ht="12" customHeight="1" x14ac:dyDescent="0.25"/>
    <row r="5561" ht="12" customHeight="1" x14ac:dyDescent="0.25"/>
    <row r="5562" ht="12" customHeight="1" x14ac:dyDescent="0.25"/>
    <row r="5563" ht="12" customHeight="1" x14ac:dyDescent="0.25"/>
    <row r="5564" ht="12" customHeight="1" x14ac:dyDescent="0.25"/>
    <row r="5565" ht="12" customHeight="1" x14ac:dyDescent="0.25"/>
    <row r="5566" ht="12" customHeight="1" x14ac:dyDescent="0.25"/>
    <row r="5567" ht="12" customHeight="1" x14ac:dyDescent="0.25"/>
    <row r="5568" ht="12" customHeight="1" x14ac:dyDescent="0.25"/>
    <row r="5569" ht="12" customHeight="1" x14ac:dyDescent="0.25"/>
    <row r="5570" ht="12" customHeight="1" x14ac:dyDescent="0.25"/>
    <row r="5571" ht="12" customHeight="1" x14ac:dyDescent="0.25"/>
    <row r="5572" ht="12" customHeight="1" x14ac:dyDescent="0.25"/>
    <row r="5573" ht="12" customHeight="1" x14ac:dyDescent="0.25"/>
    <row r="5574" ht="12" customHeight="1" x14ac:dyDescent="0.25"/>
    <row r="5575" ht="12" customHeight="1" x14ac:dyDescent="0.25"/>
    <row r="5576" ht="12" customHeight="1" x14ac:dyDescent="0.25"/>
    <row r="5577" ht="12" customHeight="1" x14ac:dyDescent="0.25"/>
    <row r="5578" ht="12" customHeight="1" x14ac:dyDescent="0.25"/>
    <row r="5579" ht="12" customHeight="1" x14ac:dyDescent="0.25"/>
    <row r="5580" ht="12" customHeight="1" x14ac:dyDescent="0.25"/>
    <row r="5581" ht="12" customHeight="1" x14ac:dyDescent="0.25"/>
    <row r="5582" ht="12" customHeight="1" x14ac:dyDescent="0.25"/>
    <row r="5583" ht="12" customHeight="1" x14ac:dyDescent="0.25"/>
    <row r="5584" ht="12" customHeight="1" x14ac:dyDescent="0.25"/>
    <row r="5585" ht="12" customHeight="1" x14ac:dyDescent="0.25"/>
    <row r="5586" ht="12" customHeight="1" x14ac:dyDescent="0.25"/>
    <row r="5587" ht="12" customHeight="1" x14ac:dyDescent="0.25"/>
    <row r="5588" ht="12" customHeight="1" x14ac:dyDescent="0.25"/>
    <row r="5589" ht="12" customHeight="1" x14ac:dyDescent="0.25"/>
    <row r="5590" ht="12" customHeight="1" x14ac:dyDescent="0.25"/>
    <row r="5591" ht="12" customHeight="1" x14ac:dyDescent="0.25"/>
    <row r="5592" ht="12" customHeight="1" x14ac:dyDescent="0.25"/>
    <row r="5593" ht="12" customHeight="1" x14ac:dyDescent="0.25"/>
    <row r="5594" ht="12" customHeight="1" x14ac:dyDescent="0.25"/>
    <row r="5595" ht="12" customHeight="1" x14ac:dyDescent="0.25"/>
    <row r="5596" ht="12" customHeight="1" x14ac:dyDescent="0.25"/>
    <row r="5597" ht="12" customHeight="1" x14ac:dyDescent="0.25"/>
    <row r="5598" ht="12" customHeight="1" x14ac:dyDescent="0.25"/>
    <row r="5599" ht="12" customHeight="1" x14ac:dyDescent="0.25"/>
    <row r="5600" ht="12" customHeight="1" x14ac:dyDescent="0.25"/>
    <row r="5601" ht="12" customHeight="1" x14ac:dyDescent="0.25"/>
    <row r="5602" ht="12" customHeight="1" x14ac:dyDescent="0.25"/>
    <row r="5603" ht="12" customHeight="1" x14ac:dyDescent="0.25"/>
    <row r="5604" ht="12" customHeight="1" x14ac:dyDescent="0.25"/>
    <row r="5605" ht="12" customHeight="1" x14ac:dyDescent="0.25"/>
    <row r="5606" ht="12" customHeight="1" x14ac:dyDescent="0.25"/>
    <row r="5607" ht="12" customHeight="1" x14ac:dyDescent="0.25"/>
    <row r="5608" ht="12" customHeight="1" x14ac:dyDescent="0.25"/>
    <row r="5609" ht="12" customHeight="1" x14ac:dyDescent="0.25"/>
    <row r="5610" ht="12" customHeight="1" x14ac:dyDescent="0.25"/>
    <row r="5611" ht="12" customHeight="1" x14ac:dyDescent="0.25"/>
    <row r="5612" ht="12" customHeight="1" x14ac:dyDescent="0.25"/>
    <row r="5613" ht="12" customHeight="1" x14ac:dyDescent="0.25"/>
    <row r="5614" ht="12" customHeight="1" x14ac:dyDescent="0.25"/>
    <row r="5615" ht="12" customHeight="1" x14ac:dyDescent="0.25"/>
    <row r="5616" ht="12" customHeight="1" x14ac:dyDescent="0.25"/>
    <row r="5617" ht="12" customHeight="1" x14ac:dyDescent="0.25"/>
    <row r="5618" ht="12" customHeight="1" x14ac:dyDescent="0.25"/>
    <row r="5619" ht="12" customHeight="1" x14ac:dyDescent="0.25"/>
    <row r="5620" ht="12" customHeight="1" x14ac:dyDescent="0.25"/>
    <row r="5621" ht="12" customHeight="1" x14ac:dyDescent="0.25"/>
    <row r="5622" ht="12" customHeight="1" x14ac:dyDescent="0.25"/>
    <row r="5623" ht="12" customHeight="1" x14ac:dyDescent="0.25"/>
    <row r="5624" ht="12" customHeight="1" x14ac:dyDescent="0.25"/>
    <row r="5625" ht="12" customHeight="1" x14ac:dyDescent="0.25"/>
    <row r="5626" ht="12" customHeight="1" x14ac:dyDescent="0.25"/>
    <row r="5627" ht="12" customHeight="1" x14ac:dyDescent="0.25"/>
    <row r="5628" ht="12" customHeight="1" x14ac:dyDescent="0.25"/>
    <row r="5629" ht="12" customHeight="1" x14ac:dyDescent="0.25"/>
    <row r="5630" ht="12" customHeight="1" x14ac:dyDescent="0.25"/>
    <row r="5631" ht="12" customHeight="1" x14ac:dyDescent="0.25"/>
    <row r="5632" ht="12" customHeight="1" x14ac:dyDescent="0.25"/>
    <row r="5633" ht="12" customHeight="1" x14ac:dyDescent="0.25"/>
    <row r="5634" ht="12" customHeight="1" x14ac:dyDescent="0.25"/>
    <row r="5635" ht="12" customHeight="1" x14ac:dyDescent="0.25"/>
    <row r="5636" ht="12" customHeight="1" x14ac:dyDescent="0.25"/>
    <row r="5637" ht="12" customHeight="1" x14ac:dyDescent="0.25"/>
    <row r="5638" ht="12" customHeight="1" x14ac:dyDescent="0.25"/>
    <row r="5639" ht="12" customHeight="1" x14ac:dyDescent="0.25"/>
    <row r="5640" ht="12" customHeight="1" x14ac:dyDescent="0.25"/>
    <row r="5641" ht="12" customHeight="1" x14ac:dyDescent="0.25"/>
    <row r="5642" ht="12" customHeight="1" x14ac:dyDescent="0.25"/>
    <row r="5643" ht="12" customHeight="1" x14ac:dyDescent="0.25"/>
    <row r="5644" ht="12" customHeight="1" x14ac:dyDescent="0.25"/>
    <row r="5645" ht="12" customHeight="1" x14ac:dyDescent="0.25"/>
    <row r="5646" ht="12" customHeight="1" x14ac:dyDescent="0.25"/>
    <row r="5647" ht="12" customHeight="1" x14ac:dyDescent="0.25"/>
    <row r="5648" ht="12" customHeight="1" x14ac:dyDescent="0.25"/>
    <row r="5649" ht="12" customHeight="1" x14ac:dyDescent="0.25"/>
    <row r="5650" ht="12" customHeight="1" x14ac:dyDescent="0.25"/>
    <row r="5651" ht="12" customHeight="1" x14ac:dyDescent="0.25"/>
    <row r="5652" ht="12" customHeight="1" x14ac:dyDescent="0.25"/>
    <row r="5653" ht="12" customHeight="1" x14ac:dyDescent="0.25"/>
    <row r="5654" ht="12" customHeight="1" x14ac:dyDescent="0.25"/>
    <row r="5655" ht="12" customHeight="1" x14ac:dyDescent="0.25"/>
    <row r="5656" ht="12" customHeight="1" x14ac:dyDescent="0.25"/>
    <row r="5657" ht="12" customHeight="1" x14ac:dyDescent="0.25"/>
    <row r="5658" ht="12" customHeight="1" x14ac:dyDescent="0.25"/>
    <row r="5659" ht="12" customHeight="1" x14ac:dyDescent="0.25"/>
    <row r="5660" ht="12" customHeight="1" x14ac:dyDescent="0.25"/>
    <row r="5661" ht="12" customHeight="1" x14ac:dyDescent="0.25"/>
    <row r="5662" ht="12" customHeight="1" x14ac:dyDescent="0.25"/>
    <row r="5663" ht="12" customHeight="1" x14ac:dyDescent="0.25"/>
    <row r="5664" ht="12" customHeight="1" x14ac:dyDescent="0.25"/>
    <row r="5665" ht="12" customHeight="1" x14ac:dyDescent="0.25"/>
    <row r="5666" ht="12" customHeight="1" x14ac:dyDescent="0.25"/>
    <row r="5667" ht="12" customHeight="1" x14ac:dyDescent="0.25"/>
    <row r="5668" ht="12" customHeight="1" x14ac:dyDescent="0.25"/>
    <row r="5669" ht="12" customHeight="1" x14ac:dyDescent="0.25"/>
    <row r="5670" ht="12" customHeight="1" x14ac:dyDescent="0.25"/>
    <row r="5671" ht="12" customHeight="1" x14ac:dyDescent="0.25"/>
    <row r="5672" ht="12" customHeight="1" x14ac:dyDescent="0.25"/>
    <row r="5673" ht="12" customHeight="1" x14ac:dyDescent="0.25"/>
    <row r="5674" ht="12" customHeight="1" x14ac:dyDescent="0.25"/>
    <row r="5675" ht="12" customHeight="1" x14ac:dyDescent="0.25"/>
    <row r="5676" ht="12" customHeight="1" x14ac:dyDescent="0.25"/>
    <row r="5677" ht="12" customHeight="1" x14ac:dyDescent="0.25"/>
    <row r="5678" ht="12" customHeight="1" x14ac:dyDescent="0.25"/>
    <row r="5679" ht="12" customHeight="1" x14ac:dyDescent="0.25"/>
    <row r="5680" ht="12" customHeight="1" x14ac:dyDescent="0.25"/>
    <row r="5681" ht="12" customHeight="1" x14ac:dyDescent="0.25"/>
    <row r="5682" ht="12" customHeight="1" x14ac:dyDescent="0.25"/>
    <row r="5683" ht="12" customHeight="1" x14ac:dyDescent="0.25"/>
    <row r="5684" ht="12" customHeight="1" x14ac:dyDescent="0.25"/>
    <row r="5685" ht="12" customHeight="1" x14ac:dyDescent="0.25"/>
    <row r="5686" ht="12" customHeight="1" x14ac:dyDescent="0.25"/>
    <row r="5687" ht="12" customHeight="1" x14ac:dyDescent="0.25"/>
    <row r="5688" ht="12" customHeight="1" x14ac:dyDescent="0.25"/>
    <row r="5689" ht="12" customHeight="1" x14ac:dyDescent="0.25"/>
    <row r="5690" ht="12" customHeight="1" x14ac:dyDescent="0.25"/>
    <row r="5691" ht="12" customHeight="1" x14ac:dyDescent="0.25"/>
    <row r="5692" ht="12" customHeight="1" x14ac:dyDescent="0.25"/>
    <row r="5693" ht="12" customHeight="1" x14ac:dyDescent="0.25"/>
    <row r="5694" ht="12" customHeight="1" x14ac:dyDescent="0.25"/>
    <row r="5695" ht="12" customHeight="1" x14ac:dyDescent="0.25"/>
    <row r="5696" ht="12" customHeight="1" x14ac:dyDescent="0.25"/>
    <row r="5697" ht="12" customHeight="1" x14ac:dyDescent="0.25"/>
    <row r="5698" ht="12" customHeight="1" x14ac:dyDescent="0.25"/>
    <row r="5699" ht="12" customHeight="1" x14ac:dyDescent="0.25"/>
    <row r="5700" ht="12" customHeight="1" x14ac:dyDescent="0.25"/>
    <row r="5701" ht="12" customHeight="1" x14ac:dyDescent="0.25"/>
    <row r="5702" ht="12" customHeight="1" x14ac:dyDescent="0.25"/>
    <row r="5703" ht="12" customHeight="1" x14ac:dyDescent="0.25"/>
    <row r="5704" ht="12" customHeight="1" x14ac:dyDescent="0.25"/>
    <row r="5705" ht="12" customHeight="1" x14ac:dyDescent="0.25"/>
    <row r="5706" ht="12" customHeight="1" x14ac:dyDescent="0.25"/>
    <row r="5707" ht="12" customHeight="1" x14ac:dyDescent="0.25"/>
    <row r="5708" ht="12" customHeight="1" x14ac:dyDescent="0.25"/>
    <row r="5709" ht="12" customHeight="1" x14ac:dyDescent="0.25"/>
    <row r="5710" ht="12" customHeight="1" x14ac:dyDescent="0.25"/>
    <row r="5711" ht="12" customHeight="1" x14ac:dyDescent="0.25"/>
    <row r="5712" ht="12" customHeight="1" x14ac:dyDescent="0.25"/>
    <row r="5713" ht="12" customHeight="1" x14ac:dyDescent="0.25"/>
    <row r="5714" ht="12" customHeight="1" x14ac:dyDescent="0.25"/>
    <row r="5715" ht="12" customHeight="1" x14ac:dyDescent="0.25"/>
    <row r="5716" ht="12" customHeight="1" x14ac:dyDescent="0.25"/>
    <row r="5717" ht="12" customHeight="1" x14ac:dyDescent="0.25"/>
    <row r="5718" ht="12" customHeight="1" x14ac:dyDescent="0.25"/>
    <row r="5719" ht="12" customHeight="1" x14ac:dyDescent="0.25"/>
    <row r="5720" ht="12" customHeight="1" x14ac:dyDescent="0.25"/>
    <row r="5721" ht="12" customHeight="1" x14ac:dyDescent="0.25"/>
    <row r="5722" ht="12" customHeight="1" x14ac:dyDescent="0.25"/>
    <row r="5723" ht="12" customHeight="1" x14ac:dyDescent="0.25"/>
    <row r="5724" ht="12" customHeight="1" x14ac:dyDescent="0.25"/>
    <row r="5725" ht="12" customHeight="1" x14ac:dyDescent="0.25"/>
    <row r="5726" ht="12" customHeight="1" x14ac:dyDescent="0.25"/>
    <row r="5727" ht="12" customHeight="1" x14ac:dyDescent="0.25"/>
    <row r="5728" ht="12" customHeight="1" x14ac:dyDescent="0.25"/>
    <row r="5729" ht="12" customHeight="1" x14ac:dyDescent="0.25"/>
    <row r="5730" ht="12" customHeight="1" x14ac:dyDescent="0.25"/>
    <row r="5731" ht="12" customHeight="1" x14ac:dyDescent="0.25"/>
    <row r="5732" ht="12" customHeight="1" x14ac:dyDescent="0.25"/>
    <row r="5733" ht="12" customHeight="1" x14ac:dyDescent="0.25"/>
    <row r="5734" ht="12" customHeight="1" x14ac:dyDescent="0.25"/>
    <row r="5735" ht="12" customHeight="1" x14ac:dyDescent="0.25"/>
    <row r="5736" ht="12" customHeight="1" x14ac:dyDescent="0.25"/>
    <row r="5737" ht="12" customHeight="1" x14ac:dyDescent="0.25"/>
    <row r="5738" ht="12" customHeight="1" x14ac:dyDescent="0.25"/>
    <row r="5739" ht="12" customHeight="1" x14ac:dyDescent="0.25"/>
    <row r="5740" ht="12" customHeight="1" x14ac:dyDescent="0.25"/>
    <row r="5741" ht="12" customHeight="1" x14ac:dyDescent="0.25"/>
    <row r="5742" ht="12" customHeight="1" x14ac:dyDescent="0.25"/>
    <row r="5743" ht="12" customHeight="1" x14ac:dyDescent="0.25"/>
    <row r="5744" ht="12" customHeight="1" x14ac:dyDescent="0.25"/>
    <row r="5745" ht="12" customHeight="1" x14ac:dyDescent="0.25"/>
    <row r="5746" ht="12" customHeight="1" x14ac:dyDescent="0.25"/>
    <row r="5747" ht="12" customHeight="1" x14ac:dyDescent="0.25"/>
    <row r="5748" ht="12" customHeight="1" x14ac:dyDescent="0.25"/>
    <row r="5749" ht="12" customHeight="1" x14ac:dyDescent="0.25"/>
    <row r="5750" ht="12" customHeight="1" x14ac:dyDescent="0.25"/>
    <row r="5751" ht="12" customHeight="1" x14ac:dyDescent="0.25"/>
    <row r="5752" ht="12" customHeight="1" x14ac:dyDescent="0.25"/>
    <row r="5753" ht="12" customHeight="1" x14ac:dyDescent="0.25"/>
    <row r="5754" ht="12" customHeight="1" x14ac:dyDescent="0.25"/>
    <row r="5755" ht="12" customHeight="1" x14ac:dyDescent="0.25"/>
    <row r="5756" ht="12" customHeight="1" x14ac:dyDescent="0.25"/>
    <row r="5757" ht="12" customHeight="1" x14ac:dyDescent="0.25"/>
    <row r="5758" ht="12" customHeight="1" x14ac:dyDescent="0.25"/>
    <row r="5759" ht="12" customHeight="1" x14ac:dyDescent="0.25"/>
    <row r="5760" ht="12" customHeight="1" x14ac:dyDescent="0.25"/>
    <row r="5761" ht="12" customHeight="1" x14ac:dyDescent="0.25"/>
    <row r="5762" ht="12" customHeight="1" x14ac:dyDescent="0.25"/>
    <row r="5763" ht="12" customHeight="1" x14ac:dyDescent="0.25"/>
    <row r="5764" ht="12" customHeight="1" x14ac:dyDescent="0.25"/>
    <row r="5765" ht="12" customHeight="1" x14ac:dyDescent="0.25"/>
    <row r="5766" ht="12" customHeight="1" x14ac:dyDescent="0.25"/>
    <row r="5767" ht="12" customHeight="1" x14ac:dyDescent="0.25"/>
    <row r="5768" ht="12" customHeight="1" x14ac:dyDescent="0.25"/>
    <row r="5769" ht="12" customHeight="1" x14ac:dyDescent="0.25"/>
    <row r="5770" ht="12" customHeight="1" x14ac:dyDescent="0.25"/>
    <row r="5771" ht="12" customHeight="1" x14ac:dyDescent="0.25"/>
    <row r="5772" ht="12" customHeight="1" x14ac:dyDescent="0.25"/>
    <row r="5773" ht="12" customHeight="1" x14ac:dyDescent="0.25"/>
    <row r="5774" ht="12" customHeight="1" x14ac:dyDescent="0.25"/>
    <row r="5775" ht="12" customHeight="1" x14ac:dyDescent="0.25"/>
    <row r="5776" ht="12" customHeight="1" x14ac:dyDescent="0.25"/>
    <row r="5777" ht="12" customHeight="1" x14ac:dyDescent="0.25"/>
    <row r="5778" ht="12" customHeight="1" x14ac:dyDescent="0.25"/>
    <row r="5779" ht="12" customHeight="1" x14ac:dyDescent="0.25"/>
    <row r="5780" ht="12" customHeight="1" x14ac:dyDescent="0.25"/>
    <row r="5781" ht="12" customHeight="1" x14ac:dyDescent="0.25"/>
    <row r="5782" ht="12" customHeight="1" x14ac:dyDescent="0.25"/>
    <row r="5783" ht="12" customHeight="1" x14ac:dyDescent="0.25"/>
    <row r="5784" ht="12" customHeight="1" x14ac:dyDescent="0.25"/>
    <row r="5785" ht="12" customHeight="1" x14ac:dyDescent="0.25"/>
    <row r="5786" ht="12" customHeight="1" x14ac:dyDescent="0.25"/>
    <row r="5787" ht="12" customHeight="1" x14ac:dyDescent="0.25"/>
    <row r="5788" ht="12" customHeight="1" x14ac:dyDescent="0.25"/>
    <row r="5789" ht="12" customHeight="1" x14ac:dyDescent="0.25"/>
    <row r="5790" ht="12" customHeight="1" x14ac:dyDescent="0.25"/>
    <row r="5791" ht="12" customHeight="1" x14ac:dyDescent="0.25"/>
    <row r="5792" ht="12" customHeight="1" x14ac:dyDescent="0.25"/>
    <row r="5793" ht="12" customHeight="1" x14ac:dyDescent="0.25"/>
    <row r="5794" ht="12" customHeight="1" x14ac:dyDescent="0.25"/>
    <row r="5795" ht="12" customHeight="1" x14ac:dyDescent="0.25"/>
    <row r="5796" ht="12" customHeight="1" x14ac:dyDescent="0.25"/>
    <row r="5797" ht="12" customHeight="1" x14ac:dyDescent="0.25"/>
    <row r="5798" ht="12" customHeight="1" x14ac:dyDescent="0.25"/>
    <row r="5799" ht="12" customHeight="1" x14ac:dyDescent="0.25"/>
    <row r="5800" ht="12" customHeight="1" x14ac:dyDescent="0.25"/>
    <row r="5801" ht="12" customHeight="1" x14ac:dyDescent="0.25"/>
    <row r="5802" ht="12" customHeight="1" x14ac:dyDescent="0.25"/>
    <row r="5803" ht="12" customHeight="1" x14ac:dyDescent="0.25"/>
    <row r="5804" ht="12" customHeight="1" x14ac:dyDescent="0.25"/>
    <row r="5805" ht="12" customHeight="1" x14ac:dyDescent="0.25"/>
    <row r="5806" ht="12" customHeight="1" x14ac:dyDescent="0.25"/>
    <row r="5807" ht="12" customHeight="1" x14ac:dyDescent="0.25"/>
    <row r="5808" ht="12" customHeight="1" x14ac:dyDescent="0.25"/>
    <row r="5809" ht="12" customHeight="1" x14ac:dyDescent="0.25"/>
    <row r="5810" ht="12" customHeight="1" x14ac:dyDescent="0.25"/>
    <row r="5811" ht="12" customHeight="1" x14ac:dyDescent="0.25"/>
    <row r="5812" ht="12" customHeight="1" x14ac:dyDescent="0.25"/>
    <row r="5813" ht="12" customHeight="1" x14ac:dyDescent="0.25"/>
    <row r="5814" ht="12" customHeight="1" x14ac:dyDescent="0.25"/>
    <row r="5815" ht="12" customHeight="1" x14ac:dyDescent="0.25"/>
    <row r="5816" ht="12" customHeight="1" x14ac:dyDescent="0.25"/>
    <row r="5817" ht="12" customHeight="1" x14ac:dyDescent="0.25"/>
    <row r="5818" ht="12" customHeight="1" x14ac:dyDescent="0.25"/>
    <row r="5819" ht="12" customHeight="1" x14ac:dyDescent="0.25"/>
    <row r="5820" ht="12" customHeight="1" x14ac:dyDescent="0.25"/>
    <row r="5821" ht="12" customHeight="1" x14ac:dyDescent="0.25"/>
    <row r="5822" ht="12" customHeight="1" x14ac:dyDescent="0.25"/>
    <row r="5823" ht="12" customHeight="1" x14ac:dyDescent="0.25"/>
    <row r="5824" ht="12" customHeight="1" x14ac:dyDescent="0.25"/>
    <row r="5825" ht="12" customHeight="1" x14ac:dyDescent="0.25"/>
    <row r="5826" ht="12" customHeight="1" x14ac:dyDescent="0.25"/>
    <row r="5827" ht="12" customHeight="1" x14ac:dyDescent="0.25"/>
    <row r="5828" ht="12" customHeight="1" x14ac:dyDescent="0.25"/>
    <row r="5829" ht="12" customHeight="1" x14ac:dyDescent="0.25"/>
    <row r="5830" ht="12" customHeight="1" x14ac:dyDescent="0.25"/>
    <row r="5831" ht="12" customHeight="1" x14ac:dyDescent="0.25"/>
    <row r="5832" ht="12" customHeight="1" x14ac:dyDescent="0.25"/>
    <row r="5833" ht="12" customHeight="1" x14ac:dyDescent="0.25"/>
    <row r="5834" ht="12" customHeight="1" x14ac:dyDescent="0.25"/>
    <row r="5835" ht="12" customHeight="1" x14ac:dyDescent="0.25"/>
    <row r="5836" ht="12" customHeight="1" x14ac:dyDescent="0.25"/>
    <row r="5837" ht="12" customHeight="1" x14ac:dyDescent="0.25"/>
    <row r="5838" ht="12" customHeight="1" x14ac:dyDescent="0.25"/>
    <row r="5839" ht="12" customHeight="1" x14ac:dyDescent="0.25"/>
    <row r="5840" ht="12" customHeight="1" x14ac:dyDescent="0.25"/>
    <row r="5841" ht="12" customHeight="1" x14ac:dyDescent="0.25"/>
    <row r="5842" ht="12" customHeight="1" x14ac:dyDescent="0.25"/>
    <row r="5843" ht="12" customHeight="1" x14ac:dyDescent="0.25"/>
    <row r="5844" ht="12" customHeight="1" x14ac:dyDescent="0.25"/>
    <row r="5845" ht="12" customHeight="1" x14ac:dyDescent="0.25"/>
    <row r="5846" ht="12" customHeight="1" x14ac:dyDescent="0.25"/>
    <row r="5847" ht="12" customHeight="1" x14ac:dyDescent="0.25"/>
    <row r="5848" ht="12" customHeight="1" x14ac:dyDescent="0.25"/>
    <row r="5849" ht="12" customHeight="1" x14ac:dyDescent="0.25"/>
    <row r="5850" ht="12" customHeight="1" x14ac:dyDescent="0.25"/>
    <row r="5851" ht="12" customHeight="1" x14ac:dyDescent="0.25"/>
    <row r="5852" ht="12" customHeight="1" x14ac:dyDescent="0.25"/>
    <row r="5853" ht="12" customHeight="1" x14ac:dyDescent="0.25"/>
    <row r="5854" ht="12" customHeight="1" x14ac:dyDescent="0.25"/>
    <row r="5855" ht="12" customHeight="1" x14ac:dyDescent="0.25"/>
    <row r="5856" ht="12" customHeight="1" x14ac:dyDescent="0.25"/>
    <row r="5857" ht="12" customHeight="1" x14ac:dyDescent="0.25"/>
    <row r="5858" ht="12" customHeight="1" x14ac:dyDescent="0.25"/>
    <row r="5859" ht="12" customHeight="1" x14ac:dyDescent="0.25"/>
    <row r="5860" ht="12" customHeight="1" x14ac:dyDescent="0.25"/>
    <row r="5861" ht="12" customHeight="1" x14ac:dyDescent="0.25"/>
    <row r="5862" ht="12" customHeight="1" x14ac:dyDescent="0.25"/>
    <row r="5863" ht="12" customHeight="1" x14ac:dyDescent="0.25"/>
    <row r="5864" ht="12" customHeight="1" x14ac:dyDescent="0.25"/>
    <row r="5865" ht="12" customHeight="1" x14ac:dyDescent="0.25"/>
    <row r="5866" ht="12" customHeight="1" x14ac:dyDescent="0.25"/>
    <row r="5867" ht="12" customHeight="1" x14ac:dyDescent="0.25"/>
    <row r="5868" ht="12" customHeight="1" x14ac:dyDescent="0.25"/>
    <row r="5869" ht="12" customHeight="1" x14ac:dyDescent="0.25"/>
    <row r="5870" ht="12" customHeight="1" x14ac:dyDescent="0.25"/>
    <row r="5871" ht="12" customHeight="1" x14ac:dyDescent="0.25"/>
    <row r="5872" ht="12" customHeight="1" x14ac:dyDescent="0.25"/>
    <row r="5873" ht="12" customHeight="1" x14ac:dyDescent="0.25"/>
    <row r="5874" ht="12" customHeight="1" x14ac:dyDescent="0.25"/>
    <row r="5875" ht="12" customHeight="1" x14ac:dyDescent="0.25"/>
    <row r="5876" ht="12" customHeight="1" x14ac:dyDescent="0.25"/>
    <row r="5877" ht="12" customHeight="1" x14ac:dyDescent="0.25"/>
    <row r="5878" ht="12" customHeight="1" x14ac:dyDescent="0.25"/>
    <row r="5879" ht="12" customHeight="1" x14ac:dyDescent="0.25"/>
    <row r="5880" ht="12" customHeight="1" x14ac:dyDescent="0.25"/>
    <row r="5881" ht="12" customHeight="1" x14ac:dyDescent="0.25"/>
    <row r="5882" ht="12" customHeight="1" x14ac:dyDescent="0.25"/>
    <row r="5883" ht="12" customHeight="1" x14ac:dyDescent="0.25"/>
    <row r="5884" ht="12" customHeight="1" x14ac:dyDescent="0.25"/>
    <row r="5885" ht="12" customHeight="1" x14ac:dyDescent="0.25"/>
    <row r="5886" ht="12" customHeight="1" x14ac:dyDescent="0.25"/>
    <row r="5887" ht="12" customHeight="1" x14ac:dyDescent="0.25"/>
    <row r="5888" ht="12" customHeight="1" x14ac:dyDescent="0.25"/>
    <row r="5889" ht="12" customHeight="1" x14ac:dyDescent="0.25"/>
    <row r="5890" ht="12" customHeight="1" x14ac:dyDescent="0.25"/>
    <row r="5891" ht="12" customHeight="1" x14ac:dyDescent="0.25"/>
    <row r="5892" ht="12" customHeight="1" x14ac:dyDescent="0.25"/>
    <row r="5893" ht="12" customHeight="1" x14ac:dyDescent="0.25"/>
    <row r="5894" ht="12" customHeight="1" x14ac:dyDescent="0.25"/>
    <row r="5895" ht="12" customHeight="1" x14ac:dyDescent="0.25"/>
    <row r="5896" ht="12" customHeight="1" x14ac:dyDescent="0.25"/>
    <row r="5897" ht="12" customHeight="1" x14ac:dyDescent="0.25"/>
    <row r="5898" ht="12" customHeight="1" x14ac:dyDescent="0.25"/>
    <row r="5899" ht="12" customHeight="1" x14ac:dyDescent="0.25"/>
    <row r="5900" ht="12" customHeight="1" x14ac:dyDescent="0.25"/>
    <row r="5901" ht="12" customHeight="1" x14ac:dyDescent="0.25"/>
    <row r="5902" ht="12" customHeight="1" x14ac:dyDescent="0.25"/>
    <row r="5903" ht="12" customHeight="1" x14ac:dyDescent="0.25"/>
    <row r="5904" ht="12" customHeight="1" x14ac:dyDescent="0.25"/>
    <row r="5905" ht="12" customHeight="1" x14ac:dyDescent="0.25"/>
    <row r="5906" ht="12" customHeight="1" x14ac:dyDescent="0.25"/>
    <row r="5907" ht="12" customHeight="1" x14ac:dyDescent="0.25"/>
    <row r="5908" ht="12" customHeight="1" x14ac:dyDescent="0.25"/>
    <row r="5909" ht="12" customHeight="1" x14ac:dyDescent="0.25"/>
    <row r="5910" ht="12" customHeight="1" x14ac:dyDescent="0.25"/>
    <row r="5911" ht="12" customHeight="1" x14ac:dyDescent="0.25"/>
    <row r="5912" ht="12" customHeight="1" x14ac:dyDescent="0.25"/>
    <row r="5913" ht="12" customHeight="1" x14ac:dyDescent="0.25"/>
    <row r="5914" ht="12" customHeight="1" x14ac:dyDescent="0.25"/>
    <row r="5915" ht="12" customHeight="1" x14ac:dyDescent="0.25"/>
    <row r="5916" ht="12" customHeight="1" x14ac:dyDescent="0.25"/>
    <row r="5917" ht="12" customHeight="1" x14ac:dyDescent="0.25"/>
    <row r="5918" ht="12" customHeight="1" x14ac:dyDescent="0.25"/>
    <row r="5919" ht="12" customHeight="1" x14ac:dyDescent="0.25"/>
    <row r="5920" ht="12" customHeight="1" x14ac:dyDescent="0.25"/>
    <row r="5921" ht="12" customHeight="1" x14ac:dyDescent="0.25"/>
    <row r="5922" ht="12" customHeight="1" x14ac:dyDescent="0.25"/>
    <row r="5923" ht="12" customHeight="1" x14ac:dyDescent="0.25"/>
    <row r="5924" ht="12" customHeight="1" x14ac:dyDescent="0.25"/>
    <row r="5925" ht="12" customHeight="1" x14ac:dyDescent="0.25"/>
    <row r="5926" ht="12" customHeight="1" x14ac:dyDescent="0.25"/>
    <row r="5927" ht="12" customHeight="1" x14ac:dyDescent="0.25"/>
    <row r="5928" ht="12" customHeight="1" x14ac:dyDescent="0.25"/>
    <row r="5929" ht="12" customHeight="1" x14ac:dyDescent="0.25"/>
    <row r="5930" ht="12" customHeight="1" x14ac:dyDescent="0.25"/>
    <row r="5931" ht="12" customHeight="1" x14ac:dyDescent="0.25"/>
    <row r="5932" ht="12" customHeight="1" x14ac:dyDescent="0.25"/>
    <row r="5933" ht="12" customHeight="1" x14ac:dyDescent="0.25"/>
    <row r="5934" ht="12" customHeight="1" x14ac:dyDescent="0.25"/>
    <row r="5935" ht="12" customHeight="1" x14ac:dyDescent="0.25"/>
    <row r="5936" ht="12" customHeight="1" x14ac:dyDescent="0.25"/>
    <row r="5937" ht="12" customHeight="1" x14ac:dyDescent="0.25"/>
    <row r="5938" ht="12" customHeight="1" x14ac:dyDescent="0.25"/>
    <row r="5939" ht="12" customHeight="1" x14ac:dyDescent="0.25"/>
    <row r="5940" ht="12" customHeight="1" x14ac:dyDescent="0.25"/>
    <row r="5941" ht="12" customHeight="1" x14ac:dyDescent="0.25"/>
    <row r="5942" ht="12" customHeight="1" x14ac:dyDescent="0.25"/>
    <row r="5943" ht="12" customHeight="1" x14ac:dyDescent="0.25"/>
    <row r="5944" ht="12" customHeight="1" x14ac:dyDescent="0.25"/>
    <row r="5945" ht="12" customHeight="1" x14ac:dyDescent="0.25"/>
    <row r="5946" ht="12" customHeight="1" x14ac:dyDescent="0.25"/>
    <row r="5947" ht="12" customHeight="1" x14ac:dyDescent="0.25"/>
    <row r="5948" ht="12" customHeight="1" x14ac:dyDescent="0.25"/>
    <row r="5949" ht="12" customHeight="1" x14ac:dyDescent="0.25"/>
    <row r="5950" ht="12" customHeight="1" x14ac:dyDescent="0.25"/>
    <row r="5951" ht="12" customHeight="1" x14ac:dyDescent="0.25"/>
    <row r="5952" ht="12" customHeight="1" x14ac:dyDescent="0.25"/>
    <row r="5953" ht="12" customHeight="1" x14ac:dyDescent="0.25"/>
    <row r="5954" ht="12" customHeight="1" x14ac:dyDescent="0.25"/>
    <row r="5955" ht="12" customHeight="1" x14ac:dyDescent="0.25"/>
    <row r="5956" ht="12" customHeight="1" x14ac:dyDescent="0.25"/>
    <row r="5957" ht="12" customHeight="1" x14ac:dyDescent="0.25"/>
    <row r="5958" ht="12" customHeight="1" x14ac:dyDescent="0.25"/>
    <row r="5959" ht="12" customHeight="1" x14ac:dyDescent="0.25"/>
    <row r="5960" ht="12" customHeight="1" x14ac:dyDescent="0.25"/>
    <row r="5961" ht="12" customHeight="1" x14ac:dyDescent="0.25"/>
    <row r="5962" ht="12" customHeight="1" x14ac:dyDescent="0.25"/>
    <row r="5963" ht="12" customHeight="1" x14ac:dyDescent="0.25"/>
    <row r="5964" ht="12" customHeight="1" x14ac:dyDescent="0.25"/>
    <row r="5965" ht="12" customHeight="1" x14ac:dyDescent="0.25"/>
    <row r="5966" ht="12" customHeight="1" x14ac:dyDescent="0.25"/>
    <row r="5967" ht="12" customHeight="1" x14ac:dyDescent="0.25"/>
    <row r="5968" ht="12" customHeight="1" x14ac:dyDescent="0.25"/>
    <row r="5969" ht="12" customHeight="1" x14ac:dyDescent="0.25"/>
    <row r="5970" ht="12" customHeight="1" x14ac:dyDescent="0.25"/>
    <row r="5971" ht="12" customHeight="1" x14ac:dyDescent="0.25"/>
    <row r="5972" ht="12" customHeight="1" x14ac:dyDescent="0.25"/>
    <row r="5973" ht="12" customHeight="1" x14ac:dyDescent="0.25"/>
    <row r="5974" ht="12" customHeight="1" x14ac:dyDescent="0.25"/>
    <row r="5975" ht="12" customHeight="1" x14ac:dyDescent="0.25"/>
    <row r="5976" ht="12" customHeight="1" x14ac:dyDescent="0.25"/>
    <row r="5977" ht="12" customHeight="1" x14ac:dyDescent="0.25"/>
    <row r="5978" ht="12" customHeight="1" x14ac:dyDescent="0.25"/>
    <row r="5979" ht="12" customHeight="1" x14ac:dyDescent="0.25"/>
    <row r="5980" ht="12" customHeight="1" x14ac:dyDescent="0.25"/>
    <row r="5981" ht="12" customHeight="1" x14ac:dyDescent="0.25"/>
    <row r="5982" ht="12" customHeight="1" x14ac:dyDescent="0.25"/>
    <row r="5983" ht="12" customHeight="1" x14ac:dyDescent="0.25"/>
    <row r="5984" ht="12" customHeight="1" x14ac:dyDescent="0.25"/>
    <row r="5985" ht="12" customHeight="1" x14ac:dyDescent="0.25"/>
    <row r="5986" ht="12" customHeight="1" x14ac:dyDescent="0.25"/>
    <row r="5987" ht="12" customHeight="1" x14ac:dyDescent="0.25"/>
    <row r="5988" ht="12" customHeight="1" x14ac:dyDescent="0.25"/>
    <row r="5989" ht="12" customHeight="1" x14ac:dyDescent="0.25"/>
    <row r="5990" ht="12" customHeight="1" x14ac:dyDescent="0.25"/>
    <row r="5991" ht="12" customHeight="1" x14ac:dyDescent="0.25"/>
    <row r="5992" ht="12" customHeight="1" x14ac:dyDescent="0.25"/>
    <row r="5993" ht="12" customHeight="1" x14ac:dyDescent="0.25"/>
    <row r="5994" ht="12" customHeight="1" x14ac:dyDescent="0.25"/>
    <row r="5995" ht="12" customHeight="1" x14ac:dyDescent="0.25"/>
    <row r="5996" ht="12" customHeight="1" x14ac:dyDescent="0.25"/>
    <row r="5997" ht="12" customHeight="1" x14ac:dyDescent="0.25"/>
    <row r="5998" ht="12" customHeight="1" x14ac:dyDescent="0.25"/>
    <row r="5999" ht="12" customHeight="1" x14ac:dyDescent="0.25"/>
    <row r="6000" ht="12" customHeight="1" x14ac:dyDescent="0.25"/>
    <row r="6001" ht="12" customHeight="1" x14ac:dyDescent="0.25"/>
    <row r="6002" ht="12" customHeight="1" x14ac:dyDescent="0.25"/>
    <row r="6003" ht="12" customHeight="1" x14ac:dyDescent="0.25"/>
    <row r="6004" ht="12" customHeight="1" x14ac:dyDescent="0.25"/>
    <row r="6005" ht="12" customHeight="1" x14ac:dyDescent="0.25"/>
    <row r="6006" ht="12" customHeight="1" x14ac:dyDescent="0.25"/>
    <row r="6007" ht="12" customHeight="1" x14ac:dyDescent="0.25"/>
    <row r="6008" ht="12" customHeight="1" x14ac:dyDescent="0.25"/>
    <row r="6009" ht="12" customHeight="1" x14ac:dyDescent="0.25"/>
    <row r="6010" ht="12" customHeight="1" x14ac:dyDescent="0.25"/>
    <row r="6011" ht="12" customHeight="1" x14ac:dyDescent="0.25"/>
    <row r="6012" ht="12" customHeight="1" x14ac:dyDescent="0.25"/>
    <row r="6013" ht="12" customHeight="1" x14ac:dyDescent="0.25"/>
    <row r="6014" ht="12" customHeight="1" x14ac:dyDescent="0.25"/>
    <row r="6015" ht="12" customHeight="1" x14ac:dyDescent="0.25"/>
    <row r="6016" ht="12" customHeight="1" x14ac:dyDescent="0.25"/>
    <row r="6017" ht="12" customHeight="1" x14ac:dyDescent="0.25"/>
    <row r="6018" ht="12" customHeight="1" x14ac:dyDescent="0.25"/>
    <row r="6019" ht="12" customHeight="1" x14ac:dyDescent="0.25"/>
    <row r="6020" ht="12" customHeight="1" x14ac:dyDescent="0.25"/>
    <row r="6021" ht="12" customHeight="1" x14ac:dyDescent="0.25"/>
    <row r="6022" ht="12" customHeight="1" x14ac:dyDescent="0.25"/>
    <row r="6023" ht="12" customHeight="1" x14ac:dyDescent="0.25"/>
    <row r="6024" ht="12" customHeight="1" x14ac:dyDescent="0.25"/>
    <row r="6025" ht="12" customHeight="1" x14ac:dyDescent="0.25"/>
    <row r="6026" ht="12" customHeight="1" x14ac:dyDescent="0.25"/>
    <row r="6027" ht="12" customHeight="1" x14ac:dyDescent="0.25"/>
    <row r="6028" ht="12" customHeight="1" x14ac:dyDescent="0.25"/>
    <row r="6029" ht="12" customHeight="1" x14ac:dyDescent="0.25"/>
    <row r="6030" ht="12" customHeight="1" x14ac:dyDescent="0.25"/>
    <row r="6031" ht="12" customHeight="1" x14ac:dyDescent="0.25"/>
    <row r="6032" ht="12" customHeight="1" x14ac:dyDescent="0.25"/>
    <row r="6033" ht="12" customHeight="1" x14ac:dyDescent="0.25"/>
    <row r="6034" ht="12" customHeight="1" x14ac:dyDescent="0.25"/>
    <row r="6035" ht="12" customHeight="1" x14ac:dyDescent="0.25"/>
    <row r="6036" ht="12" customHeight="1" x14ac:dyDescent="0.25"/>
    <row r="6037" ht="12" customHeight="1" x14ac:dyDescent="0.25"/>
    <row r="6038" ht="12" customHeight="1" x14ac:dyDescent="0.25"/>
    <row r="6039" ht="12" customHeight="1" x14ac:dyDescent="0.25"/>
    <row r="6040" ht="12" customHeight="1" x14ac:dyDescent="0.25"/>
    <row r="6041" ht="12" customHeight="1" x14ac:dyDescent="0.25"/>
    <row r="6042" ht="12" customHeight="1" x14ac:dyDescent="0.25"/>
    <row r="6043" ht="12" customHeight="1" x14ac:dyDescent="0.25"/>
    <row r="6044" ht="12" customHeight="1" x14ac:dyDescent="0.25"/>
    <row r="6045" ht="12" customHeight="1" x14ac:dyDescent="0.25"/>
    <row r="6046" ht="12" customHeight="1" x14ac:dyDescent="0.25"/>
    <row r="6047" ht="12" customHeight="1" x14ac:dyDescent="0.25"/>
    <row r="6048" ht="12" customHeight="1" x14ac:dyDescent="0.25"/>
    <row r="6049" ht="12" customHeight="1" x14ac:dyDescent="0.25"/>
    <row r="6050" ht="12" customHeight="1" x14ac:dyDescent="0.25"/>
    <row r="6051" ht="12" customHeight="1" x14ac:dyDescent="0.25"/>
    <row r="6052" ht="12" customHeight="1" x14ac:dyDescent="0.25"/>
    <row r="6053" ht="12" customHeight="1" x14ac:dyDescent="0.25"/>
    <row r="6054" ht="12" customHeight="1" x14ac:dyDescent="0.25"/>
    <row r="6055" ht="12" customHeight="1" x14ac:dyDescent="0.25"/>
    <row r="6056" ht="12" customHeight="1" x14ac:dyDescent="0.25"/>
    <row r="6057" ht="12" customHeight="1" x14ac:dyDescent="0.25"/>
    <row r="6058" ht="12" customHeight="1" x14ac:dyDescent="0.25"/>
    <row r="6059" ht="12" customHeight="1" x14ac:dyDescent="0.25"/>
    <row r="6060" ht="12" customHeight="1" x14ac:dyDescent="0.25"/>
    <row r="6061" ht="12" customHeight="1" x14ac:dyDescent="0.25"/>
    <row r="6062" ht="12" customHeight="1" x14ac:dyDescent="0.25"/>
    <row r="6063" ht="12" customHeight="1" x14ac:dyDescent="0.25"/>
    <row r="6064" ht="12" customHeight="1" x14ac:dyDescent="0.25"/>
    <row r="6065" ht="12" customHeight="1" x14ac:dyDescent="0.25"/>
    <row r="6066" ht="12" customHeight="1" x14ac:dyDescent="0.25"/>
    <row r="6067" ht="12" customHeight="1" x14ac:dyDescent="0.25"/>
    <row r="6068" ht="12" customHeight="1" x14ac:dyDescent="0.25"/>
    <row r="6069" ht="12" customHeight="1" x14ac:dyDescent="0.25"/>
    <row r="6070" ht="12" customHeight="1" x14ac:dyDescent="0.25"/>
    <row r="6071" ht="12" customHeight="1" x14ac:dyDescent="0.25"/>
    <row r="6072" ht="12" customHeight="1" x14ac:dyDescent="0.25"/>
    <row r="6073" ht="12" customHeight="1" x14ac:dyDescent="0.25"/>
    <row r="6074" ht="12" customHeight="1" x14ac:dyDescent="0.25"/>
    <row r="6075" ht="12" customHeight="1" x14ac:dyDescent="0.25"/>
    <row r="6076" ht="12" customHeight="1" x14ac:dyDescent="0.25"/>
    <row r="6077" ht="12" customHeight="1" x14ac:dyDescent="0.25"/>
    <row r="6078" ht="12" customHeight="1" x14ac:dyDescent="0.25"/>
    <row r="6079" ht="12" customHeight="1" x14ac:dyDescent="0.25"/>
    <row r="6080" ht="12" customHeight="1" x14ac:dyDescent="0.25"/>
    <row r="6081" ht="12" customHeight="1" x14ac:dyDescent="0.25"/>
    <row r="6082" ht="12" customHeight="1" x14ac:dyDescent="0.25"/>
    <row r="6083" ht="12" customHeight="1" x14ac:dyDescent="0.25"/>
    <row r="6084" ht="12" customHeight="1" x14ac:dyDescent="0.25"/>
    <row r="6085" ht="12" customHeight="1" x14ac:dyDescent="0.25"/>
    <row r="6086" ht="12" customHeight="1" x14ac:dyDescent="0.25"/>
    <row r="6087" ht="12" customHeight="1" x14ac:dyDescent="0.25"/>
    <row r="6088" ht="12" customHeight="1" x14ac:dyDescent="0.25"/>
    <row r="6089" ht="12" customHeight="1" x14ac:dyDescent="0.25"/>
    <row r="6090" ht="12" customHeight="1" x14ac:dyDescent="0.25"/>
    <row r="6091" ht="12" customHeight="1" x14ac:dyDescent="0.25"/>
    <row r="6092" ht="12" customHeight="1" x14ac:dyDescent="0.25"/>
    <row r="6093" ht="12" customHeight="1" x14ac:dyDescent="0.25"/>
    <row r="6094" ht="12" customHeight="1" x14ac:dyDescent="0.25"/>
    <row r="6095" ht="12" customHeight="1" x14ac:dyDescent="0.25"/>
    <row r="6096" ht="12" customHeight="1" x14ac:dyDescent="0.25"/>
    <row r="6097" ht="12" customHeight="1" x14ac:dyDescent="0.25"/>
    <row r="6098" ht="12" customHeight="1" x14ac:dyDescent="0.25"/>
    <row r="6099" ht="12" customHeight="1" x14ac:dyDescent="0.25"/>
    <row r="6100" ht="12" customHeight="1" x14ac:dyDescent="0.25"/>
    <row r="6101" ht="12" customHeight="1" x14ac:dyDescent="0.25"/>
    <row r="6102" ht="12" customHeight="1" x14ac:dyDescent="0.25"/>
    <row r="6103" ht="12" customHeight="1" x14ac:dyDescent="0.25"/>
    <row r="6104" ht="12" customHeight="1" x14ac:dyDescent="0.25"/>
    <row r="6105" ht="12" customHeight="1" x14ac:dyDescent="0.25"/>
    <row r="6106" ht="12" customHeight="1" x14ac:dyDescent="0.25"/>
    <row r="6107" ht="12" customHeight="1" x14ac:dyDescent="0.25"/>
    <row r="6108" ht="12" customHeight="1" x14ac:dyDescent="0.25"/>
    <row r="6109" ht="12" customHeight="1" x14ac:dyDescent="0.25"/>
    <row r="6110" ht="12" customHeight="1" x14ac:dyDescent="0.25"/>
    <row r="6111" ht="12" customHeight="1" x14ac:dyDescent="0.25"/>
    <row r="6112" ht="12" customHeight="1" x14ac:dyDescent="0.25"/>
    <row r="6113" ht="12" customHeight="1" x14ac:dyDescent="0.25"/>
    <row r="6114" ht="12" customHeight="1" x14ac:dyDescent="0.25"/>
    <row r="6115" ht="12" customHeight="1" x14ac:dyDescent="0.25"/>
    <row r="6116" ht="12" customHeight="1" x14ac:dyDescent="0.25"/>
    <row r="6117" ht="12" customHeight="1" x14ac:dyDescent="0.25"/>
    <row r="6118" ht="12" customHeight="1" x14ac:dyDescent="0.25"/>
    <row r="6119" ht="12" customHeight="1" x14ac:dyDescent="0.25"/>
    <row r="6120" ht="12" customHeight="1" x14ac:dyDescent="0.25"/>
    <row r="6121" ht="12" customHeight="1" x14ac:dyDescent="0.25"/>
    <row r="6122" ht="12" customHeight="1" x14ac:dyDescent="0.25"/>
    <row r="6123" ht="12" customHeight="1" x14ac:dyDescent="0.25"/>
    <row r="6124" ht="12" customHeight="1" x14ac:dyDescent="0.25"/>
    <row r="6125" ht="12" customHeight="1" x14ac:dyDescent="0.25"/>
    <row r="6126" ht="12" customHeight="1" x14ac:dyDescent="0.25"/>
    <row r="6127" ht="12" customHeight="1" x14ac:dyDescent="0.25"/>
    <row r="6128" ht="12" customHeight="1" x14ac:dyDescent="0.25"/>
    <row r="6129" ht="12" customHeight="1" x14ac:dyDescent="0.25"/>
    <row r="6130" ht="12" customHeight="1" x14ac:dyDescent="0.25"/>
    <row r="6131" ht="12" customHeight="1" x14ac:dyDescent="0.25"/>
    <row r="6132" ht="12" customHeight="1" x14ac:dyDescent="0.25"/>
    <row r="6133" ht="12" customHeight="1" x14ac:dyDescent="0.25"/>
    <row r="6134" ht="12" customHeight="1" x14ac:dyDescent="0.25"/>
    <row r="6135" ht="12" customHeight="1" x14ac:dyDescent="0.25"/>
    <row r="6136" ht="12" customHeight="1" x14ac:dyDescent="0.25"/>
    <row r="6137" ht="12" customHeight="1" x14ac:dyDescent="0.25"/>
    <row r="6138" ht="12" customHeight="1" x14ac:dyDescent="0.25"/>
    <row r="6139" ht="12" customHeight="1" x14ac:dyDescent="0.25"/>
    <row r="6140" ht="12" customHeight="1" x14ac:dyDescent="0.25"/>
    <row r="6141" ht="12" customHeight="1" x14ac:dyDescent="0.25"/>
    <row r="6142" ht="12" customHeight="1" x14ac:dyDescent="0.25"/>
    <row r="6143" ht="12" customHeight="1" x14ac:dyDescent="0.25"/>
    <row r="6144" ht="12" customHeight="1" x14ac:dyDescent="0.25"/>
    <row r="6145" ht="12" customHeight="1" x14ac:dyDescent="0.25"/>
    <row r="6146" ht="12" customHeight="1" x14ac:dyDescent="0.25"/>
    <row r="6147" ht="12" customHeight="1" x14ac:dyDescent="0.25"/>
    <row r="6148" ht="12" customHeight="1" x14ac:dyDescent="0.25"/>
    <row r="6149" ht="12" customHeight="1" x14ac:dyDescent="0.25"/>
    <row r="6150" ht="12" customHeight="1" x14ac:dyDescent="0.25"/>
    <row r="6151" ht="12" customHeight="1" x14ac:dyDescent="0.25"/>
    <row r="6152" ht="12" customHeight="1" x14ac:dyDescent="0.25"/>
    <row r="6153" ht="12" customHeight="1" x14ac:dyDescent="0.25"/>
    <row r="6154" ht="12" customHeight="1" x14ac:dyDescent="0.25"/>
    <row r="6155" ht="12" customHeight="1" x14ac:dyDescent="0.25"/>
    <row r="6156" ht="12" customHeight="1" x14ac:dyDescent="0.25"/>
    <row r="6157" ht="12" customHeight="1" x14ac:dyDescent="0.25"/>
    <row r="6158" ht="12" customHeight="1" x14ac:dyDescent="0.25"/>
    <row r="6159" ht="12" customHeight="1" x14ac:dyDescent="0.25"/>
    <row r="6160" ht="12" customHeight="1" x14ac:dyDescent="0.25"/>
    <row r="6161" ht="12" customHeight="1" x14ac:dyDescent="0.25"/>
    <row r="6162" ht="12" customHeight="1" x14ac:dyDescent="0.25"/>
    <row r="6163" ht="12" customHeight="1" x14ac:dyDescent="0.25"/>
    <row r="6164" ht="12" customHeight="1" x14ac:dyDescent="0.25"/>
    <row r="6165" ht="12" customHeight="1" x14ac:dyDescent="0.25"/>
    <row r="6166" ht="12" customHeight="1" x14ac:dyDescent="0.25"/>
    <row r="6167" ht="12" customHeight="1" x14ac:dyDescent="0.25"/>
    <row r="6168" ht="12" customHeight="1" x14ac:dyDescent="0.25"/>
    <row r="6169" ht="12" customHeight="1" x14ac:dyDescent="0.25"/>
    <row r="6170" ht="12" customHeight="1" x14ac:dyDescent="0.25"/>
    <row r="6171" ht="12" customHeight="1" x14ac:dyDescent="0.25"/>
    <row r="6172" ht="12" customHeight="1" x14ac:dyDescent="0.25"/>
    <row r="6173" ht="12" customHeight="1" x14ac:dyDescent="0.25"/>
    <row r="6174" ht="12" customHeight="1" x14ac:dyDescent="0.25"/>
    <row r="6175" ht="12" customHeight="1" x14ac:dyDescent="0.25"/>
    <row r="6176" ht="12" customHeight="1" x14ac:dyDescent="0.25"/>
    <row r="6177" ht="12" customHeight="1" x14ac:dyDescent="0.25"/>
    <row r="6178" ht="12" customHeight="1" x14ac:dyDescent="0.25"/>
    <row r="6179" ht="12" customHeight="1" x14ac:dyDescent="0.25"/>
    <row r="6180" ht="12" customHeight="1" x14ac:dyDescent="0.25"/>
    <row r="6181" ht="12" customHeight="1" x14ac:dyDescent="0.25"/>
    <row r="6182" ht="12" customHeight="1" x14ac:dyDescent="0.25"/>
    <row r="6183" ht="12" customHeight="1" x14ac:dyDescent="0.25"/>
    <row r="6184" ht="12" customHeight="1" x14ac:dyDescent="0.25"/>
    <row r="6185" ht="12" customHeight="1" x14ac:dyDescent="0.25"/>
    <row r="6186" ht="12" customHeight="1" x14ac:dyDescent="0.25"/>
    <row r="6187" ht="12" customHeight="1" x14ac:dyDescent="0.25"/>
    <row r="6188" ht="12" customHeight="1" x14ac:dyDescent="0.25"/>
    <row r="6189" ht="12" customHeight="1" x14ac:dyDescent="0.25"/>
    <row r="6190" ht="12" customHeight="1" x14ac:dyDescent="0.25"/>
    <row r="6191" ht="12" customHeight="1" x14ac:dyDescent="0.25"/>
    <row r="6192" ht="12" customHeight="1" x14ac:dyDescent="0.25"/>
    <row r="6193" ht="12" customHeight="1" x14ac:dyDescent="0.25"/>
    <row r="6194" ht="12" customHeight="1" x14ac:dyDescent="0.25"/>
    <row r="6195" ht="12" customHeight="1" x14ac:dyDescent="0.25"/>
    <row r="6196" ht="12" customHeight="1" x14ac:dyDescent="0.25"/>
    <row r="6197" ht="12" customHeight="1" x14ac:dyDescent="0.25"/>
    <row r="6198" ht="12" customHeight="1" x14ac:dyDescent="0.25"/>
    <row r="6199" ht="12" customHeight="1" x14ac:dyDescent="0.25"/>
    <row r="6200" ht="12" customHeight="1" x14ac:dyDescent="0.25"/>
    <row r="6201" ht="12" customHeight="1" x14ac:dyDescent="0.25"/>
    <row r="6202" ht="12" customHeight="1" x14ac:dyDescent="0.25"/>
    <row r="6203" ht="12" customHeight="1" x14ac:dyDescent="0.25"/>
    <row r="6204" ht="12" customHeight="1" x14ac:dyDescent="0.25"/>
    <row r="6205" ht="12" customHeight="1" x14ac:dyDescent="0.25"/>
    <row r="6206" ht="12" customHeight="1" x14ac:dyDescent="0.25"/>
    <row r="6207" ht="12" customHeight="1" x14ac:dyDescent="0.25"/>
    <row r="6208" ht="12" customHeight="1" x14ac:dyDescent="0.25"/>
    <row r="6209" ht="12" customHeight="1" x14ac:dyDescent="0.25"/>
    <row r="6210" ht="12" customHeight="1" x14ac:dyDescent="0.25"/>
    <row r="6211" ht="12" customHeight="1" x14ac:dyDescent="0.25"/>
    <row r="6212" ht="12" customHeight="1" x14ac:dyDescent="0.25"/>
    <row r="6213" ht="12" customHeight="1" x14ac:dyDescent="0.25"/>
    <row r="6214" ht="12" customHeight="1" x14ac:dyDescent="0.25"/>
    <row r="6215" ht="12" customHeight="1" x14ac:dyDescent="0.25"/>
    <row r="6216" ht="12" customHeight="1" x14ac:dyDescent="0.25"/>
    <row r="6217" ht="12" customHeight="1" x14ac:dyDescent="0.25"/>
    <row r="6218" ht="12" customHeight="1" x14ac:dyDescent="0.25"/>
    <row r="6219" ht="12" customHeight="1" x14ac:dyDescent="0.25"/>
    <row r="6220" ht="12" customHeight="1" x14ac:dyDescent="0.25"/>
    <row r="6221" ht="12" customHeight="1" x14ac:dyDescent="0.25"/>
    <row r="6222" ht="12" customHeight="1" x14ac:dyDescent="0.25"/>
    <row r="6223" ht="12" customHeight="1" x14ac:dyDescent="0.25"/>
    <row r="6224" ht="12" customHeight="1" x14ac:dyDescent="0.25"/>
    <row r="6225" ht="12" customHeight="1" x14ac:dyDescent="0.25"/>
    <row r="6226" ht="12" customHeight="1" x14ac:dyDescent="0.25"/>
    <row r="6227" ht="12" customHeight="1" x14ac:dyDescent="0.25"/>
    <row r="6228" ht="12" customHeight="1" x14ac:dyDescent="0.25"/>
    <row r="6229" ht="12" customHeight="1" x14ac:dyDescent="0.25"/>
    <row r="6230" ht="12" customHeight="1" x14ac:dyDescent="0.25"/>
    <row r="6231" ht="12" customHeight="1" x14ac:dyDescent="0.25"/>
    <row r="6232" ht="12" customHeight="1" x14ac:dyDescent="0.25"/>
    <row r="6233" ht="12" customHeight="1" x14ac:dyDescent="0.25"/>
    <row r="6234" ht="12" customHeight="1" x14ac:dyDescent="0.25"/>
    <row r="6235" ht="12" customHeight="1" x14ac:dyDescent="0.25"/>
    <row r="6236" ht="12" customHeight="1" x14ac:dyDescent="0.25"/>
    <row r="6237" ht="12" customHeight="1" x14ac:dyDescent="0.25"/>
    <row r="6238" ht="12" customHeight="1" x14ac:dyDescent="0.25"/>
    <row r="6239" ht="12" customHeight="1" x14ac:dyDescent="0.25"/>
    <row r="6240" ht="12" customHeight="1" x14ac:dyDescent="0.25"/>
    <row r="6241" ht="12" customHeight="1" x14ac:dyDescent="0.25"/>
    <row r="6242" ht="12" customHeight="1" x14ac:dyDescent="0.25"/>
    <row r="6243" ht="12" customHeight="1" x14ac:dyDescent="0.25"/>
    <row r="6244" ht="12" customHeight="1" x14ac:dyDescent="0.25"/>
    <row r="6245" ht="12" customHeight="1" x14ac:dyDescent="0.25"/>
    <row r="6246" ht="12" customHeight="1" x14ac:dyDescent="0.25"/>
    <row r="6247" ht="12" customHeight="1" x14ac:dyDescent="0.25"/>
    <row r="6248" ht="12" customHeight="1" x14ac:dyDescent="0.25"/>
    <row r="6249" ht="12" customHeight="1" x14ac:dyDescent="0.25"/>
    <row r="6250" ht="12" customHeight="1" x14ac:dyDescent="0.25"/>
    <row r="6251" ht="12" customHeight="1" x14ac:dyDescent="0.25"/>
    <row r="6252" ht="12" customHeight="1" x14ac:dyDescent="0.25"/>
    <row r="6253" ht="12" customHeight="1" x14ac:dyDescent="0.25"/>
    <row r="6254" ht="12" customHeight="1" x14ac:dyDescent="0.25"/>
    <row r="6255" ht="12" customHeight="1" x14ac:dyDescent="0.25"/>
    <row r="6256" ht="12" customHeight="1" x14ac:dyDescent="0.25"/>
    <row r="6257" ht="12" customHeight="1" x14ac:dyDescent="0.25"/>
    <row r="6258" ht="12" customHeight="1" x14ac:dyDescent="0.25"/>
    <row r="6259" ht="12" customHeight="1" x14ac:dyDescent="0.25"/>
    <row r="6260" ht="12" customHeight="1" x14ac:dyDescent="0.25"/>
    <row r="6261" ht="12" customHeight="1" x14ac:dyDescent="0.25"/>
    <row r="6262" ht="12" customHeight="1" x14ac:dyDescent="0.25"/>
    <row r="6263" ht="12" customHeight="1" x14ac:dyDescent="0.25"/>
    <row r="6264" ht="12" customHeight="1" x14ac:dyDescent="0.25"/>
    <row r="6265" ht="12" customHeight="1" x14ac:dyDescent="0.25"/>
    <row r="6266" ht="12" customHeight="1" x14ac:dyDescent="0.25"/>
    <row r="6267" ht="12" customHeight="1" x14ac:dyDescent="0.25"/>
    <row r="6268" ht="12" customHeight="1" x14ac:dyDescent="0.25"/>
    <row r="6269" ht="12" customHeight="1" x14ac:dyDescent="0.25"/>
    <row r="6270" ht="12" customHeight="1" x14ac:dyDescent="0.25"/>
    <row r="6271" ht="12" customHeight="1" x14ac:dyDescent="0.25"/>
    <row r="6272" ht="12" customHeight="1" x14ac:dyDescent="0.25"/>
    <row r="6273" ht="12" customHeight="1" x14ac:dyDescent="0.25"/>
    <row r="6274" ht="12" customHeight="1" x14ac:dyDescent="0.25"/>
    <row r="6275" ht="12" customHeight="1" x14ac:dyDescent="0.25"/>
    <row r="6276" ht="12" customHeight="1" x14ac:dyDescent="0.25"/>
    <row r="6277" ht="12" customHeight="1" x14ac:dyDescent="0.25"/>
    <row r="6278" ht="12" customHeight="1" x14ac:dyDescent="0.25"/>
    <row r="6279" ht="12" customHeight="1" x14ac:dyDescent="0.25"/>
    <row r="6280" ht="12" customHeight="1" x14ac:dyDescent="0.25"/>
    <row r="6281" ht="12" customHeight="1" x14ac:dyDescent="0.25"/>
    <row r="6282" ht="12" customHeight="1" x14ac:dyDescent="0.25"/>
    <row r="6283" ht="12" customHeight="1" x14ac:dyDescent="0.25"/>
    <row r="6284" ht="12" customHeight="1" x14ac:dyDescent="0.25"/>
    <row r="6285" ht="12" customHeight="1" x14ac:dyDescent="0.25"/>
    <row r="6286" ht="12" customHeight="1" x14ac:dyDescent="0.25"/>
    <row r="6287" ht="12" customHeight="1" x14ac:dyDescent="0.25"/>
    <row r="6288" ht="12" customHeight="1" x14ac:dyDescent="0.25"/>
    <row r="6289" ht="12" customHeight="1" x14ac:dyDescent="0.25"/>
    <row r="6290" ht="12" customHeight="1" x14ac:dyDescent="0.25"/>
    <row r="6291" ht="12" customHeight="1" x14ac:dyDescent="0.25"/>
    <row r="6292" ht="12" customHeight="1" x14ac:dyDescent="0.25"/>
    <row r="6293" ht="12" customHeight="1" x14ac:dyDescent="0.25"/>
    <row r="6294" ht="12" customHeight="1" x14ac:dyDescent="0.25"/>
    <row r="6295" ht="12" customHeight="1" x14ac:dyDescent="0.25"/>
    <row r="6296" ht="12" customHeight="1" x14ac:dyDescent="0.25"/>
    <row r="6297" ht="12" customHeight="1" x14ac:dyDescent="0.25"/>
    <row r="6298" ht="12" customHeight="1" x14ac:dyDescent="0.25"/>
    <row r="6299" ht="12" customHeight="1" x14ac:dyDescent="0.25"/>
    <row r="6300" ht="12" customHeight="1" x14ac:dyDescent="0.25"/>
    <row r="6301" ht="12" customHeight="1" x14ac:dyDescent="0.25"/>
    <row r="6302" ht="12" customHeight="1" x14ac:dyDescent="0.25"/>
    <row r="6303" ht="12" customHeight="1" x14ac:dyDescent="0.25"/>
    <row r="6304" ht="12" customHeight="1" x14ac:dyDescent="0.25"/>
    <row r="6305" ht="12" customHeight="1" x14ac:dyDescent="0.25"/>
    <row r="6306" ht="12" customHeight="1" x14ac:dyDescent="0.25"/>
    <row r="6307" ht="12" customHeight="1" x14ac:dyDescent="0.25"/>
    <row r="6308" ht="12" customHeight="1" x14ac:dyDescent="0.25"/>
    <row r="6309" ht="12" customHeight="1" x14ac:dyDescent="0.25"/>
    <row r="6310" ht="12" customHeight="1" x14ac:dyDescent="0.25"/>
    <row r="6311" ht="12" customHeight="1" x14ac:dyDescent="0.25"/>
    <row r="6312" ht="12" customHeight="1" x14ac:dyDescent="0.25"/>
    <row r="6313" ht="12" customHeight="1" x14ac:dyDescent="0.25"/>
    <row r="6314" ht="12" customHeight="1" x14ac:dyDescent="0.25"/>
    <row r="6315" ht="12" customHeight="1" x14ac:dyDescent="0.25"/>
    <row r="6316" ht="12" customHeight="1" x14ac:dyDescent="0.25"/>
    <row r="6317" ht="12" customHeight="1" x14ac:dyDescent="0.25"/>
    <row r="6318" ht="12" customHeight="1" x14ac:dyDescent="0.25"/>
    <row r="6319" ht="12" customHeight="1" x14ac:dyDescent="0.25"/>
    <row r="6320" ht="12" customHeight="1" x14ac:dyDescent="0.25"/>
    <row r="6321" ht="12" customHeight="1" x14ac:dyDescent="0.25"/>
    <row r="6322" ht="12" customHeight="1" x14ac:dyDescent="0.25"/>
    <row r="6323" ht="12" customHeight="1" x14ac:dyDescent="0.25"/>
    <row r="6324" ht="12" customHeight="1" x14ac:dyDescent="0.25"/>
    <row r="6325" ht="12" customHeight="1" x14ac:dyDescent="0.25"/>
    <row r="6326" ht="12" customHeight="1" x14ac:dyDescent="0.25"/>
    <row r="6327" ht="12" customHeight="1" x14ac:dyDescent="0.25"/>
    <row r="6328" ht="12" customHeight="1" x14ac:dyDescent="0.25"/>
    <row r="6329" ht="12" customHeight="1" x14ac:dyDescent="0.25"/>
    <row r="6330" ht="12" customHeight="1" x14ac:dyDescent="0.25"/>
    <row r="6331" ht="12" customHeight="1" x14ac:dyDescent="0.25"/>
    <row r="6332" ht="12" customHeight="1" x14ac:dyDescent="0.25"/>
    <row r="6333" ht="12" customHeight="1" x14ac:dyDescent="0.25"/>
    <row r="6334" ht="12" customHeight="1" x14ac:dyDescent="0.25"/>
    <row r="6335" ht="12" customHeight="1" x14ac:dyDescent="0.25"/>
    <row r="6336" ht="12" customHeight="1" x14ac:dyDescent="0.25"/>
    <row r="6337" ht="12" customHeight="1" x14ac:dyDescent="0.25"/>
    <row r="6338" ht="12" customHeight="1" x14ac:dyDescent="0.25"/>
    <row r="6339" ht="12" customHeight="1" x14ac:dyDescent="0.25"/>
    <row r="6340" ht="12" customHeight="1" x14ac:dyDescent="0.25"/>
    <row r="6341" ht="12" customHeight="1" x14ac:dyDescent="0.25"/>
    <row r="6342" ht="12" customHeight="1" x14ac:dyDescent="0.25"/>
    <row r="6343" ht="12" customHeight="1" x14ac:dyDescent="0.25"/>
    <row r="6344" ht="12" customHeight="1" x14ac:dyDescent="0.25"/>
    <row r="6345" ht="12" customHeight="1" x14ac:dyDescent="0.25"/>
    <row r="6346" ht="12" customHeight="1" x14ac:dyDescent="0.25"/>
    <row r="6347" ht="12" customHeight="1" x14ac:dyDescent="0.25"/>
    <row r="6348" ht="12" customHeight="1" x14ac:dyDescent="0.25"/>
    <row r="6349" ht="12" customHeight="1" x14ac:dyDescent="0.25"/>
    <row r="6350" ht="12" customHeight="1" x14ac:dyDescent="0.25"/>
    <row r="6351" ht="12" customHeight="1" x14ac:dyDescent="0.25"/>
    <row r="6352" ht="12" customHeight="1" x14ac:dyDescent="0.25"/>
    <row r="6353" ht="12" customHeight="1" x14ac:dyDescent="0.25"/>
    <row r="6354" ht="12" customHeight="1" x14ac:dyDescent="0.25"/>
    <row r="6355" ht="12" customHeight="1" x14ac:dyDescent="0.25"/>
    <row r="6356" ht="12" customHeight="1" x14ac:dyDescent="0.25"/>
    <row r="6357" ht="12" customHeight="1" x14ac:dyDescent="0.25"/>
    <row r="6358" ht="12" customHeight="1" x14ac:dyDescent="0.25"/>
    <row r="6359" ht="12" customHeight="1" x14ac:dyDescent="0.25"/>
    <row r="6360" ht="12" customHeight="1" x14ac:dyDescent="0.25"/>
    <row r="6361" ht="12" customHeight="1" x14ac:dyDescent="0.25"/>
    <row r="6362" ht="12" customHeight="1" x14ac:dyDescent="0.25"/>
    <row r="6363" ht="12" customHeight="1" x14ac:dyDescent="0.25"/>
    <row r="6364" ht="12" customHeight="1" x14ac:dyDescent="0.25"/>
    <row r="6365" ht="12" customHeight="1" x14ac:dyDescent="0.25"/>
    <row r="6366" ht="12" customHeight="1" x14ac:dyDescent="0.25"/>
    <row r="6367" ht="12" customHeight="1" x14ac:dyDescent="0.25"/>
    <row r="6368" ht="12" customHeight="1" x14ac:dyDescent="0.25"/>
    <row r="6369" ht="12" customHeight="1" x14ac:dyDescent="0.25"/>
    <row r="6370" ht="12" customHeight="1" x14ac:dyDescent="0.25"/>
    <row r="6371" ht="12" customHeight="1" x14ac:dyDescent="0.25"/>
    <row r="6372" ht="12" customHeight="1" x14ac:dyDescent="0.25"/>
    <row r="6373" ht="12" customHeight="1" x14ac:dyDescent="0.25"/>
    <row r="6374" ht="12" customHeight="1" x14ac:dyDescent="0.25"/>
    <row r="6375" ht="12" customHeight="1" x14ac:dyDescent="0.25"/>
    <row r="6376" ht="12" customHeight="1" x14ac:dyDescent="0.25"/>
    <row r="6377" ht="12" customHeight="1" x14ac:dyDescent="0.25"/>
    <row r="6378" ht="12" customHeight="1" x14ac:dyDescent="0.25"/>
    <row r="6379" ht="12" customHeight="1" x14ac:dyDescent="0.25"/>
    <row r="6380" ht="12" customHeight="1" x14ac:dyDescent="0.25"/>
    <row r="6381" ht="12" customHeight="1" x14ac:dyDescent="0.25"/>
    <row r="6382" ht="12" customHeight="1" x14ac:dyDescent="0.25"/>
    <row r="6383" ht="12" customHeight="1" x14ac:dyDescent="0.25"/>
    <row r="6384" ht="12" customHeight="1" x14ac:dyDescent="0.25"/>
    <row r="6385" ht="12" customHeight="1" x14ac:dyDescent="0.25"/>
    <row r="6386" ht="12" customHeight="1" x14ac:dyDescent="0.25"/>
    <row r="6387" ht="12" customHeight="1" x14ac:dyDescent="0.25"/>
    <row r="6388" ht="12" customHeight="1" x14ac:dyDescent="0.25"/>
    <row r="6389" ht="12" customHeight="1" x14ac:dyDescent="0.25"/>
    <row r="6390" ht="12" customHeight="1" x14ac:dyDescent="0.25"/>
    <row r="6391" ht="12" customHeight="1" x14ac:dyDescent="0.25"/>
    <row r="6392" ht="12" customHeight="1" x14ac:dyDescent="0.25"/>
    <row r="6393" ht="12" customHeight="1" x14ac:dyDescent="0.25"/>
    <row r="6394" ht="12" customHeight="1" x14ac:dyDescent="0.25"/>
    <row r="6395" ht="12" customHeight="1" x14ac:dyDescent="0.25"/>
    <row r="6396" ht="12" customHeight="1" x14ac:dyDescent="0.25"/>
    <row r="6397" ht="12" customHeight="1" x14ac:dyDescent="0.25"/>
    <row r="6398" ht="12" customHeight="1" x14ac:dyDescent="0.25"/>
    <row r="6399" ht="12" customHeight="1" x14ac:dyDescent="0.25"/>
    <row r="6400" ht="12" customHeight="1" x14ac:dyDescent="0.25"/>
    <row r="6401" ht="12" customHeight="1" x14ac:dyDescent="0.25"/>
    <row r="6402" ht="12" customHeight="1" x14ac:dyDescent="0.25"/>
    <row r="6403" ht="12" customHeight="1" x14ac:dyDescent="0.25"/>
    <row r="6404" ht="12" customHeight="1" x14ac:dyDescent="0.25"/>
    <row r="6405" ht="12" customHeight="1" x14ac:dyDescent="0.25"/>
    <row r="6406" ht="12" customHeight="1" x14ac:dyDescent="0.25"/>
    <row r="6407" ht="12" customHeight="1" x14ac:dyDescent="0.25"/>
    <row r="6408" ht="12" customHeight="1" x14ac:dyDescent="0.25"/>
    <row r="6409" ht="12" customHeight="1" x14ac:dyDescent="0.25"/>
    <row r="6410" ht="12" customHeight="1" x14ac:dyDescent="0.25"/>
    <row r="6411" ht="12" customHeight="1" x14ac:dyDescent="0.25"/>
    <row r="6412" ht="12" customHeight="1" x14ac:dyDescent="0.25"/>
    <row r="6413" ht="12" customHeight="1" x14ac:dyDescent="0.25"/>
    <row r="6414" ht="12" customHeight="1" x14ac:dyDescent="0.25"/>
    <row r="6415" ht="12" customHeight="1" x14ac:dyDescent="0.25"/>
    <row r="6416" ht="12" customHeight="1" x14ac:dyDescent="0.25"/>
    <row r="6417" ht="12" customHeight="1" x14ac:dyDescent="0.25"/>
    <row r="6418" ht="12" customHeight="1" x14ac:dyDescent="0.25"/>
    <row r="6419" ht="12" customHeight="1" x14ac:dyDescent="0.25"/>
    <row r="6420" ht="12" customHeight="1" x14ac:dyDescent="0.25"/>
    <row r="6421" ht="12" customHeight="1" x14ac:dyDescent="0.25"/>
    <row r="6422" ht="12" customHeight="1" x14ac:dyDescent="0.25"/>
    <row r="6423" ht="12" customHeight="1" x14ac:dyDescent="0.25"/>
    <row r="6424" ht="12" customHeight="1" x14ac:dyDescent="0.25"/>
    <row r="6425" ht="12" customHeight="1" x14ac:dyDescent="0.25"/>
    <row r="6426" ht="12" customHeight="1" x14ac:dyDescent="0.25"/>
    <row r="6427" ht="12" customHeight="1" x14ac:dyDescent="0.25"/>
    <row r="6428" ht="12" customHeight="1" x14ac:dyDescent="0.25"/>
    <row r="6429" ht="12" customHeight="1" x14ac:dyDescent="0.25"/>
    <row r="6430" ht="12" customHeight="1" x14ac:dyDescent="0.25"/>
    <row r="6431" ht="12" customHeight="1" x14ac:dyDescent="0.25"/>
    <row r="6432" ht="12" customHeight="1" x14ac:dyDescent="0.25"/>
    <row r="6433" ht="12" customHeight="1" x14ac:dyDescent="0.25"/>
    <row r="6434" ht="12" customHeight="1" x14ac:dyDescent="0.25"/>
    <row r="6435" ht="12" customHeight="1" x14ac:dyDescent="0.25"/>
    <row r="6436" ht="12" customHeight="1" x14ac:dyDescent="0.25"/>
    <row r="6437" ht="12" customHeight="1" x14ac:dyDescent="0.25"/>
    <row r="6438" ht="12" customHeight="1" x14ac:dyDescent="0.25"/>
    <row r="6439" ht="12" customHeight="1" x14ac:dyDescent="0.25"/>
    <row r="6440" ht="12" customHeight="1" x14ac:dyDescent="0.25"/>
    <row r="6441" ht="12" customHeight="1" x14ac:dyDescent="0.25"/>
    <row r="6442" ht="12" customHeight="1" x14ac:dyDescent="0.25"/>
    <row r="6443" ht="12" customHeight="1" x14ac:dyDescent="0.25"/>
    <row r="6444" ht="12" customHeight="1" x14ac:dyDescent="0.25"/>
    <row r="6445" ht="12" customHeight="1" x14ac:dyDescent="0.25"/>
    <row r="6446" ht="12" customHeight="1" x14ac:dyDescent="0.25"/>
    <row r="6447" ht="12" customHeight="1" x14ac:dyDescent="0.25"/>
    <row r="6448" ht="12" customHeight="1" x14ac:dyDescent="0.25"/>
    <row r="6449" ht="12" customHeight="1" x14ac:dyDescent="0.25"/>
    <row r="6450" ht="12" customHeight="1" x14ac:dyDescent="0.25"/>
    <row r="6451" ht="12" customHeight="1" x14ac:dyDescent="0.25"/>
    <row r="6452" ht="12" customHeight="1" x14ac:dyDescent="0.25"/>
    <row r="6453" ht="12" customHeight="1" x14ac:dyDescent="0.25"/>
    <row r="6454" ht="12" customHeight="1" x14ac:dyDescent="0.25"/>
    <row r="6455" ht="12" customHeight="1" x14ac:dyDescent="0.25"/>
    <row r="6456" ht="12" customHeight="1" x14ac:dyDescent="0.25"/>
    <row r="6457" ht="12" customHeight="1" x14ac:dyDescent="0.25"/>
    <row r="6458" ht="12" customHeight="1" x14ac:dyDescent="0.25"/>
    <row r="6459" ht="12" customHeight="1" x14ac:dyDescent="0.25"/>
    <row r="6460" ht="12" customHeight="1" x14ac:dyDescent="0.25"/>
    <row r="6461" ht="12" customHeight="1" x14ac:dyDescent="0.25"/>
    <row r="6462" ht="12" customHeight="1" x14ac:dyDescent="0.25"/>
    <row r="6463" ht="12" customHeight="1" x14ac:dyDescent="0.25"/>
    <row r="6464" ht="12" customHeight="1" x14ac:dyDescent="0.25"/>
    <row r="6465" ht="12" customHeight="1" x14ac:dyDescent="0.25"/>
    <row r="6466" ht="12" customHeight="1" x14ac:dyDescent="0.25"/>
    <row r="6467" ht="12" customHeight="1" x14ac:dyDescent="0.25"/>
    <row r="6468" ht="12" customHeight="1" x14ac:dyDescent="0.25"/>
    <row r="6469" ht="12" customHeight="1" x14ac:dyDescent="0.25"/>
    <row r="6470" ht="12" customHeight="1" x14ac:dyDescent="0.25"/>
    <row r="6471" ht="12" customHeight="1" x14ac:dyDescent="0.25"/>
    <row r="6472" ht="12" customHeight="1" x14ac:dyDescent="0.25"/>
    <row r="6473" ht="12" customHeight="1" x14ac:dyDescent="0.25"/>
    <row r="6474" ht="12" customHeight="1" x14ac:dyDescent="0.25"/>
    <row r="6475" ht="12" customHeight="1" x14ac:dyDescent="0.25"/>
    <row r="6476" ht="12" customHeight="1" x14ac:dyDescent="0.25"/>
    <row r="6477" ht="12" customHeight="1" x14ac:dyDescent="0.25"/>
    <row r="6478" ht="12" customHeight="1" x14ac:dyDescent="0.25"/>
    <row r="6479" ht="12" customHeight="1" x14ac:dyDescent="0.25"/>
    <row r="6480" ht="12" customHeight="1" x14ac:dyDescent="0.25"/>
    <row r="6481" ht="12" customHeight="1" x14ac:dyDescent="0.25"/>
    <row r="6482" ht="12" customHeight="1" x14ac:dyDescent="0.25"/>
    <row r="6483" ht="12" customHeight="1" x14ac:dyDescent="0.25"/>
    <row r="6484" ht="12" customHeight="1" x14ac:dyDescent="0.25"/>
    <row r="6485" ht="12" customHeight="1" x14ac:dyDescent="0.25"/>
    <row r="6486" ht="12" customHeight="1" x14ac:dyDescent="0.25"/>
    <row r="6487" ht="12" customHeight="1" x14ac:dyDescent="0.25"/>
    <row r="6488" ht="12" customHeight="1" x14ac:dyDescent="0.25"/>
    <row r="6489" ht="12" customHeight="1" x14ac:dyDescent="0.25"/>
    <row r="6490" ht="12" customHeight="1" x14ac:dyDescent="0.25"/>
    <row r="6491" ht="12" customHeight="1" x14ac:dyDescent="0.25"/>
    <row r="6492" ht="12" customHeight="1" x14ac:dyDescent="0.25"/>
    <row r="6493" ht="12" customHeight="1" x14ac:dyDescent="0.25"/>
    <row r="6494" ht="12" customHeight="1" x14ac:dyDescent="0.25"/>
    <row r="6495" ht="12" customHeight="1" x14ac:dyDescent="0.25"/>
    <row r="6496" ht="12" customHeight="1" x14ac:dyDescent="0.25"/>
    <row r="6497" spans="1:12" ht="12" customHeight="1" x14ac:dyDescent="0.25"/>
    <row r="6498" spans="1:12" ht="12" customHeight="1" x14ac:dyDescent="0.25"/>
    <row r="6499" spans="1:12" ht="12" customHeight="1" x14ac:dyDescent="0.25"/>
    <row r="6500" spans="1:12" ht="12" customHeight="1" x14ac:dyDescent="0.25"/>
    <row r="6501" spans="1:12" ht="12" customHeight="1" x14ac:dyDescent="0.25"/>
    <row r="6502" spans="1:12" ht="12" customHeight="1" x14ac:dyDescent="0.25"/>
    <row r="6503" spans="1:12" ht="12" customHeight="1" x14ac:dyDescent="0.25">
      <c r="A6503" s="12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2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2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2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2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2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2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2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2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2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spans="1:12" ht="12" customHeight="1" x14ac:dyDescent="0.25">
      <c r="A6513" s="12"/>
      <c r="B6513" s="1"/>
      <c r="C6513" s="2"/>
      <c r="D6513" s="1"/>
      <c r="E6513" s="2"/>
      <c r="F6513" s="1"/>
      <c r="G6513" s="1"/>
      <c r="H6513" s="1"/>
      <c r="I6513" s="1"/>
      <c r="J6513" s="1"/>
      <c r="K6513" s="1"/>
      <c r="L6513" s="1"/>
    </row>
    <row r="6514" spans="1:12" ht="12" customHeight="1" x14ac:dyDescent="0.25">
      <c r="A6514" s="12"/>
      <c r="B6514" s="1"/>
      <c r="C6514" s="2"/>
      <c r="D6514" s="1"/>
      <c r="E6514" s="2"/>
      <c r="F6514" s="1"/>
      <c r="G6514" s="1"/>
      <c r="H6514" s="1"/>
      <c r="I6514" s="1"/>
      <c r="J6514" s="1"/>
      <c r="K6514" s="1"/>
      <c r="L6514" s="1"/>
    </row>
    <row r="6515" spans="1:12" ht="12" customHeight="1" x14ac:dyDescent="0.25">
      <c r="A6515" s="12"/>
      <c r="B6515" s="1"/>
      <c r="C6515" s="2"/>
      <c r="D6515" s="1"/>
      <c r="E6515" s="2"/>
      <c r="F6515" s="1"/>
      <c r="G6515" s="1"/>
      <c r="H6515" s="1"/>
      <c r="I6515" s="1"/>
      <c r="J6515" s="1"/>
      <c r="K6515" s="1"/>
      <c r="L6515" s="1"/>
    </row>
    <row r="6516" spans="1:12" ht="12" customHeight="1" x14ac:dyDescent="0.25">
      <c r="A6516" s="12"/>
      <c r="B6516" s="1"/>
      <c r="C6516" s="2"/>
      <c r="D6516" s="1"/>
      <c r="E6516" s="2"/>
      <c r="F6516" s="1"/>
      <c r="G6516" s="1"/>
      <c r="H6516" s="1"/>
      <c r="I6516" s="1"/>
      <c r="J6516" s="1"/>
      <c r="K6516" s="1"/>
      <c r="L6516" s="1"/>
    </row>
    <row r="6517" spans="1:12" ht="12" customHeight="1" x14ac:dyDescent="0.25">
      <c r="A6517" s="12"/>
      <c r="B6517" s="1"/>
      <c r="C6517" s="2"/>
      <c r="D6517" s="1"/>
      <c r="E6517" s="2"/>
      <c r="F6517" s="1"/>
      <c r="G6517" s="1"/>
      <c r="H6517" s="1"/>
      <c r="I6517" s="1"/>
      <c r="J6517" s="1"/>
      <c r="K6517" s="1"/>
      <c r="L6517" s="1"/>
    </row>
    <row r="6518" spans="1:12" ht="12" customHeight="1" x14ac:dyDescent="0.25">
      <c r="A6518" s="12"/>
      <c r="B6518" s="1"/>
      <c r="C6518" s="2"/>
      <c r="D6518" s="1"/>
      <c r="E6518" s="2"/>
      <c r="F6518" s="1"/>
      <c r="G6518" s="1"/>
      <c r="H6518" s="1"/>
      <c r="I6518" s="1"/>
      <c r="J6518" s="1"/>
      <c r="K6518" s="1"/>
      <c r="L6518" s="1"/>
    </row>
    <row r="6519" spans="1:12" ht="12" customHeight="1" x14ac:dyDescent="0.25">
      <c r="A6519" s="12"/>
      <c r="B6519" s="1"/>
      <c r="C6519" s="2"/>
      <c r="D6519" s="1"/>
      <c r="E6519" s="2"/>
      <c r="F6519" s="1"/>
      <c r="G6519" s="1"/>
      <c r="H6519" s="1"/>
      <c r="I6519" s="1"/>
      <c r="J6519" s="1"/>
      <c r="K6519" s="1"/>
      <c r="L6519" s="1"/>
    </row>
    <row r="6520" spans="1:12" ht="12" customHeight="1" x14ac:dyDescent="0.25">
      <c r="A6520" s="12"/>
      <c r="B6520" s="1"/>
      <c r="C6520" s="2"/>
      <c r="D6520" s="1"/>
      <c r="E6520" s="2"/>
      <c r="F6520" s="1"/>
      <c r="G6520" s="1"/>
      <c r="H6520" s="1"/>
      <c r="I6520" s="1"/>
      <c r="J6520" s="1"/>
      <c r="K6520" s="1"/>
      <c r="L6520" s="1"/>
    </row>
    <row r="6521" spans="1:12" ht="12" customHeight="1" x14ac:dyDescent="0.25">
      <c r="A6521" s="12"/>
      <c r="B6521" s="1"/>
      <c r="C6521" s="2"/>
      <c r="D6521" s="1"/>
      <c r="E6521" s="2"/>
      <c r="F6521" s="1"/>
      <c r="G6521" s="1"/>
      <c r="H6521" s="1"/>
      <c r="I6521" s="1"/>
      <c r="J6521" s="1"/>
      <c r="K6521" s="1"/>
      <c r="L6521" s="1"/>
    </row>
    <row r="6522" spans="1:12" ht="12" customHeight="1" x14ac:dyDescent="0.25">
      <c r="A6522" s="12"/>
      <c r="B6522" s="1"/>
      <c r="C6522" s="2"/>
      <c r="D6522" s="1"/>
      <c r="E6522" s="2"/>
      <c r="F6522" s="1"/>
      <c r="G6522" s="1"/>
      <c r="H6522" s="1"/>
      <c r="I6522" s="1"/>
      <c r="J6522" s="1"/>
      <c r="K6522" s="1"/>
      <c r="L6522" s="1"/>
    </row>
    <row r="6523" spans="1:12" ht="12" customHeight="1" x14ac:dyDescent="0.25">
      <c r="A6523" s="12"/>
      <c r="B6523" s="1"/>
      <c r="C6523" s="2"/>
      <c r="D6523" s="1"/>
      <c r="E6523" s="2"/>
      <c r="F6523" s="1"/>
      <c r="G6523" s="1"/>
      <c r="H6523" s="1"/>
      <c r="I6523" s="1"/>
      <c r="J6523" s="1"/>
      <c r="K6523" s="1"/>
      <c r="L6523" s="1"/>
    </row>
    <row r="6524" spans="1:12" ht="12" customHeight="1" x14ac:dyDescent="0.25">
      <c r="A6524" s="12"/>
      <c r="B6524" s="1"/>
      <c r="C6524" s="2"/>
      <c r="D6524" s="1"/>
      <c r="E6524" s="2"/>
      <c r="F6524" s="1"/>
      <c r="G6524" s="1"/>
      <c r="H6524" s="1"/>
      <c r="I6524" s="1"/>
      <c r="J6524" s="1"/>
      <c r="K6524" s="1"/>
      <c r="L6524" s="1"/>
    </row>
    <row r="6525" spans="1:12" ht="12" customHeight="1" x14ac:dyDescent="0.25">
      <c r="A6525" s="12"/>
      <c r="B6525" s="1"/>
      <c r="C6525" s="2"/>
      <c r="D6525" s="1"/>
      <c r="E6525" s="2"/>
      <c r="F6525" s="1"/>
      <c r="G6525" s="1"/>
      <c r="H6525" s="1"/>
      <c r="I6525" s="1"/>
      <c r="J6525" s="1"/>
      <c r="K6525" s="1"/>
      <c r="L6525" s="1"/>
    </row>
    <row r="6526" spans="1:12" ht="12" customHeight="1" x14ac:dyDescent="0.25">
      <c r="A6526" s="12"/>
      <c r="B6526" s="1"/>
      <c r="C6526" s="2"/>
      <c r="D6526" s="1"/>
      <c r="E6526" s="2"/>
      <c r="F6526" s="1"/>
      <c r="G6526" s="1"/>
      <c r="H6526" s="1"/>
      <c r="I6526" s="1"/>
      <c r="J6526" s="1"/>
      <c r="K6526" s="1"/>
      <c r="L6526" s="1"/>
    </row>
    <row r="6527" spans="1:12" ht="12" customHeight="1" x14ac:dyDescent="0.25">
      <c r="A6527" s="12"/>
      <c r="B6527" s="1"/>
      <c r="C6527" s="2"/>
      <c r="D6527" s="1"/>
      <c r="E6527" s="2"/>
      <c r="F6527" s="1"/>
      <c r="G6527" s="1"/>
      <c r="H6527" s="1"/>
      <c r="I6527" s="1"/>
      <c r="J6527" s="1"/>
      <c r="K6527" s="1"/>
      <c r="L6527" s="1"/>
    </row>
    <row r="6528" spans="1:12" ht="12" customHeight="1" x14ac:dyDescent="0.25">
      <c r="A6528" s="12"/>
      <c r="B6528" s="1"/>
      <c r="C6528" s="2"/>
      <c r="D6528" s="1"/>
      <c r="E6528" s="2"/>
      <c r="F6528" s="1"/>
      <c r="G6528" s="1"/>
      <c r="H6528" s="1"/>
      <c r="I6528" s="1"/>
      <c r="J6528" s="1"/>
      <c r="K6528" s="1"/>
      <c r="L6528" s="1"/>
    </row>
    <row r="6529" spans="1:12" ht="12" customHeight="1" x14ac:dyDescent="0.25">
      <c r="A6529" s="12"/>
      <c r="B6529" s="1"/>
      <c r="C6529" s="2"/>
      <c r="D6529" s="1"/>
      <c r="E6529" s="2"/>
      <c r="F6529" s="1"/>
      <c r="G6529" s="1"/>
      <c r="H6529" s="1"/>
      <c r="I6529" s="1"/>
      <c r="J6529" s="1"/>
      <c r="K6529" s="1"/>
      <c r="L6529" s="1"/>
    </row>
    <row r="6530" spans="1:12" ht="12" customHeight="1" x14ac:dyDescent="0.25">
      <c r="A6530" s="12"/>
      <c r="B6530" s="1"/>
      <c r="C6530" s="2"/>
      <c r="D6530" s="1"/>
      <c r="E6530" s="2"/>
      <c r="F6530" s="1"/>
      <c r="G6530" s="1"/>
      <c r="H6530" s="1"/>
      <c r="I6530" s="1"/>
      <c r="J6530" s="1"/>
      <c r="K6530" s="1"/>
      <c r="L6530" s="1"/>
    </row>
    <row r="6531" spans="1:12" ht="12" customHeight="1" x14ac:dyDescent="0.25">
      <c r="A6531" s="12"/>
      <c r="B6531" s="1"/>
      <c r="C6531" s="2"/>
      <c r="D6531" s="1"/>
      <c r="E6531" s="2"/>
      <c r="F6531" s="1"/>
      <c r="G6531" s="1"/>
      <c r="H6531" s="1"/>
      <c r="I6531" s="1"/>
      <c r="J6531" s="1"/>
      <c r="K6531" s="1"/>
      <c r="L6531" s="1"/>
    </row>
    <row r="6532" spans="1:12" ht="12" customHeight="1" x14ac:dyDescent="0.25">
      <c r="A6532" s="12"/>
      <c r="B6532" s="1"/>
      <c r="C6532" s="2"/>
      <c r="D6532" s="1"/>
      <c r="E6532" s="2"/>
      <c r="F6532" s="1"/>
      <c r="G6532" s="1"/>
      <c r="H6532" s="1"/>
      <c r="I6532" s="1"/>
      <c r="J6532" s="1"/>
      <c r="K6532" s="1"/>
      <c r="L6532" s="1"/>
    </row>
    <row r="6533" spans="1:12" ht="12" customHeight="1" x14ac:dyDescent="0.25">
      <c r="A6533" s="12"/>
      <c r="B6533" s="1"/>
      <c r="C6533" s="2"/>
      <c r="D6533" s="1"/>
      <c r="E6533" s="2"/>
      <c r="F6533" s="1"/>
      <c r="G6533" s="1"/>
      <c r="H6533" s="1"/>
      <c r="I6533" s="1"/>
      <c r="J6533" s="1"/>
      <c r="K6533" s="1"/>
      <c r="L6533" s="1"/>
    </row>
    <row r="6534" spans="1:12" ht="12" customHeight="1" x14ac:dyDescent="0.25">
      <c r="A6534" s="12"/>
      <c r="B6534" s="1"/>
      <c r="C6534" s="2"/>
      <c r="D6534" s="1"/>
      <c r="E6534" s="2"/>
      <c r="F6534" s="1"/>
      <c r="G6534" s="1"/>
      <c r="H6534" s="1"/>
      <c r="I6534" s="1"/>
      <c r="J6534" s="1"/>
      <c r="K6534" s="1"/>
      <c r="L6534" s="1"/>
    </row>
    <row r="6535" spans="1:12" ht="12" customHeight="1" x14ac:dyDescent="0.25">
      <c r="A6535" s="12"/>
      <c r="B6535" s="1"/>
      <c r="C6535" s="2"/>
      <c r="D6535" s="1"/>
      <c r="E6535" s="2"/>
      <c r="F6535" s="1"/>
      <c r="G6535" s="1"/>
      <c r="H6535" s="1"/>
      <c r="I6535" s="1"/>
      <c r="J6535" s="1"/>
      <c r="K6535" s="1"/>
      <c r="L6535" s="1"/>
    </row>
    <row r="6536" spans="1:12" ht="12" customHeight="1" x14ac:dyDescent="0.25">
      <c r="A6536" s="12"/>
      <c r="B6536" s="1"/>
      <c r="C6536" s="2"/>
      <c r="D6536" s="1"/>
      <c r="E6536" s="2"/>
      <c r="F6536" s="1"/>
      <c r="G6536" s="1"/>
      <c r="H6536" s="1"/>
      <c r="I6536" s="1"/>
      <c r="J6536" s="1"/>
      <c r="K6536" s="1"/>
      <c r="L6536" s="1"/>
    </row>
    <row r="6537" spans="1:12" ht="12" customHeight="1" x14ac:dyDescent="0.25">
      <c r="A6537" s="12"/>
      <c r="B6537" s="1"/>
      <c r="C6537" s="2"/>
      <c r="D6537" s="1"/>
      <c r="E6537" s="2"/>
      <c r="F6537" s="1"/>
      <c r="G6537" s="1"/>
      <c r="H6537" s="1"/>
      <c r="I6537" s="1"/>
      <c r="J6537" s="1"/>
      <c r="K6537" s="1"/>
      <c r="L6537" s="1"/>
    </row>
    <row r="6538" spans="1:12" ht="12" customHeight="1" x14ac:dyDescent="0.25">
      <c r="A6538" s="12"/>
      <c r="B6538" s="1"/>
      <c r="C6538" s="2"/>
      <c r="D6538" s="1"/>
      <c r="E6538" s="2"/>
      <c r="F6538" s="1"/>
      <c r="G6538" s="1"/>
      <c r="H6538" s="1"/>
      <c r="I6538" s="1"/>
      <c r="J6538" s="1"/>
      <c r="K6538" s="1"/>
      <c r="L6538" s="1"/>
    </row>
    <row r="6539" spans="1:12" ht="12" customHeight="1" x14ac:dyDescent="0.25">
      <c r="A6539" s="12"/>
      <c r="B6539" s="1"/>
      <c r="C6539" s="2"/>
      <c r="D6539" s="1"/>
      <c r="E6539" s="2"/>
      <c r="F6539" s="1"/>
      <c r="G6539" s="1"/>
      <c r="H6539" s="1"/>
      <c r="I6539" s="1"/>
      <c r="J6539" s="1"/>
      <c r="K6539" s="1"/>
      <c r="L6539" s="1"/>
    </row>
    <row r="6540" spans="1:12" ht="12" customHeight="1" x14ac:dyDescent="0.25">
      <c r="A6540" s="12"/>
      <c r="B6540" s="1"/>
      <c r="C6540" s="2"/>
      <c r="D6540" s="1"/>
      <c r="E6540" s="2"/>
      <c r="F6540" s="1"/>
      <c r="G6540" s="1"/>
      <c r="H6540" s="1"/>
      <c r="I6540" s="1"/>
      <c r="J6540" s="1"/>
      <c r="K6540" s="1"/>
      <c r="L6540" s="1"/>
    </row>
    <row r="6541" spans="1:12" ht="12" customHeight="1" x14ac:dyDescent="0.25">
      <c r="A6541" s="12"/>
      <c r="B6541" s="1"/>
      <c r="C6541" s="2"/>
      <c r="D6541" s="1"/>
      <c r="E6541" s="2"/>
      <c r="F6541" s="1"/>
      <c r="G6541" s="1"/>
      <c r="H6541" s="1"/>
      <c r="I6541" s="1"/>
      <c r="J6541" s="1"/>
      <c r="K6541" s="1"/>
      <c r="L6541" s="1"/>
    </row>
    <row r="6542" spans="1:12" ht="12" customHeight="1" x14ac:dyDescent="0.25">
      <c r="A6542" s="12"/>
      <c r="B6542" s="1"/>
      <c r="C6542" s="2"/>
      <c r="D6542" s="1"/>
      <c r="E6542" s="2"/>
      <c r="F6542" s="1"/>
      <c r="G6542" s="1"/>
      <c r="H6542" s="1"/>
      <c r="I6542" s="1"/>
      <c r="J6542" s="1"/>
      <c r="K6542" s="1"/>
      <c r="L6542" s="1"/>
    </row>
    <row r="6543" spans="1:12" ht="12" customHeight="1" x14ac:dyDescent="0.25">
      <c r="A6543" s="12"/>
      <c r="B6543" s="1"/>
      <c r="C6543" s="2"/>
      <c r="D6543" s="1"/>
      <c r="E6543" s="2"/>
      <c r="F6543" s="1"/>
      <c r="G6543" s="1"/>
      <c r="H6543" s="1"/>
      <c r="I6543" s="1"/>
      <c r="J6543" s="1"/>
      <c r="K6543" s="1"/>
      <c r="L6543" s="1"/>
    </row>
    <row r="6544" spans="1:12" ht="12" customHeight="1" x14ac:dyDescent="0.25">
      <c r="A6544" s="12"/>
      <c r="B6544" s="1"/>
      <c r="C6544" s="2"/>
      <c r="D6544" s="1"/>
      <c r="E6544" s="2"/>
      <c r="F6544" s="1"/>
      <c r="G6544" s="1"/>
      <c r="H6544" s="1"/>
      <c r="I6544" s="1"/>
      <c r="J6544" s="1"/>
      <c r="K6544" s="1"/>
      <c r="L6544" s="1"/>
    </row>
    <row r="6545" spans="1:12" ht="12" customHeight="1" x14ac:dyDescent="0.25">
      <c r="A6545" s="12"/>
      <c r="B6545" s="1"/>
      <c r="C6545" s="2"/>
      <c r="D6545" s="1"/>
      <c r="E6545" s="2"/>
      <c r="F6545" s="1"/>
      <c r="G6545" s="1"/>
      <c r="H6545" s="1"/>
      <c r="I6545" s="1"/>
      <c r="J6545" s="1"/>
      <c r="K6545" s="1"/>
      <c r="L6545" s="1"/>
    </row>
    <row r="6546" spans="1:12" ht="12" customHeight="1" x14ac:dyDescent="0.25">
      <c r="A6546" s="12"/>
      <c r="B6546" s="1"/>
      <c r="C6546" s="2"/>
      <c r="D6546" s="1"/>
      <c r="E6546" s="2"/>
      <c r="F6546" s="1"/>
      <c r="G6546" s="1"/>
      <c r="H6546" s="1"/>
      <c r="I6546" s="1"/>
      <c r="J6546" s="1"/>
      <c r="K6546" s="1"/>
      <c r="L6546" s="1"/>
    </row>
    <row r="6547" spans="1:12" ht="12" customHeight="1" x14ac:dyDescent="0.25">
      <c r="A6547" s="12"/>
      <c r="B6547" s="1"/>
      <c r="C6547" s="2"/>
      <c r="D6547" s="1"/>
      <c r="E6547" s="2"/>
      <c r="F6547" s="1"/>
      <c r="G6547" s="1"/>
      <c r="H6547" s="1"/>
      <c r="I6547" s="1"/>
      <c r="J6547" s="1"/>
      <c r="K6547" s="1"/>
      <c r="L6547" s="1"/>
    </row>
    <row r="6548" spans="1:12" ht="12" customHeight="1" x14ac:dyDescent="0.25">
      <c r="A6548" s="12"/>
      <c r="B6548" s="1"/>
      <c r="C6548" s="2"/>
      <c r="D6548" s="1"/>
      <c r="E6548" s="2"/>
      <c r="F6548" s="1"/>
      <c r="G6548" s="1"/>
      <c r="H6548" s="1"/>
      <c r="I6548" s="1"/>
      <c r="J6548" s="1"/>
      <c r="K6548" s="1"/>
      <c r="L6548" s="1"/>
    </row>
    <row r="6549" spans="1:12" ht="12" customHeight="1" x14ac:dyDescent="0.25">
      <c r="A6549" s="12"/>
      <c r="B6549" s="1"/>
      <c r="C6549" s="2"/>
      <c r="D6549" s="1"/>
      <c r="E6549" s="2"/>
      <c r="F6549" s="1"/>
      <c r="G6549" s="1"/>
      <c r="H6549" s="1"/>
      <c r="I6549" s="1"/>
      <c r="J6549" s="1"/>
      <c r="K6549" s="1"/>
      <c r="L6549" s="1"/>
    </row>
    <row r="6550" spans="1:12" ht="12" customHeight="1" x14ac:dyDescent="0.25">
      <c r="A6550" s="12"/>
      <c r="B6550" s="1"/>
      <c r="C6550" s="2"/>
      <c r="D6550" s="1"/>
      <c r="E6550" s="2"/>
      <c r="F6550" s="1"/>
      <c r="G6550" s="1"/>
      <c r="H6550" s="1"/>
      <c r="I6550" s="1"/>
      <c r="J6550" s="1"/>
      <c r="K6550" s="1"/>
      <c r="L6550" s="1"/>
    </row>
    <row r="6551" spans="1:12" ht="12" customHeight="1" x14ac:dyDescent="0.25">
      <c r="A6551" s="12"/>
      <c r="B6551" s="1"/>
      <c r="C6551" s="2"/>
      <c r="D6551" s="1"/>
      <c r="E6551" s="2"/>
      <c r="F6551" s="1"/>
      <c r="G6551" s="1"/>
      <c r="H6551" s="1"/>
      <c r="I6551" s="1"/>
      <c r="J6551" s="1"/>
      <c r="K6551" s="1"/>
      <c r="L6551" s="1"/>
    </row>
    <row r="6552" spans="1:12" ht="12" customHeight="1" x14ac:dyDescent="0.25">
      <c r="A6552" s="12"/>
      <c r="B6552" s="1"/>
      <c r="C6552" s="2"/>
      <c r="D6552" s="1"/>
      <c r="E6552" s="2"/>
      <c r="F6552" s="1"/>
      <c r="G6552" s="1"/>
      <c r="H6552" s="1"/>
      <c r="I6552" s="1"/>
      <c r="J6552" s="1"/>
      <c r="K6552" s="1"/>
      <c r="L6552" s="1"/>
    </row>
    <row r="6553" spans="1:12" ht="12" customHeight="1" x14ac:dyDescent="0.25">
      <c r="A6553" s="12"/>
      <c r="B6553" s="1"/>
      <c r="C6553" s="2"/>
      <c r="D6553" s="1"/>
      <c r="E6553" s="2"/>
      <c r="F6553" s="1"/>
      <c r="G6553" s="1"/>
      <c r="H6553" s="1"/>
      <c r="I6553" s="1"/>
      <c r="J6553" s="1"/>
      <c r="K6553" s="1"/>
      <c r="L6553" s="1"/>
    </row>
    <row r="6554" spans="1:12" ht="12" customHeight="1" x14ac:dyDescent="0.25">
      <c r="A6554" s="12"/>
      <c r="B6554" s="1"/>
      <c r="C6554" s="2"/>
      <c r="D6554" s="1"/>
      <c r="E6554" s="2"/>
      <c r="F6554" s="1"/>
      <c r="G6554" s="1"/>
      <c r="H6554" s="1"/>
      <c r="I6554" s="1"/>
      <c r="J6554" s="1"/>
      <c r="K6554" s="1"/>
      <c r="L6554" s="1"/>
    </row>
    <row r="6555" spans="1:12" ht="12" customHeight="1" x14ac:dyDescent="0.25">
      <c r="A6555" s="12"/>
      <c r="B6555" s="1"/>
      <c r="C6555" s="2"/>
      <c r="D6555" s="1"/>
      <c r="E6555" s="2"/>
      <c r="F6555" s="1"/>
      <c r="G6555" s="1"/>
      <c r="H6555" s="1"/>
      <c r="I6555" s="1"/>
      <c r="J6555" s="1"/>
      <c r="K6555" s="1"/>
      <c r="L6555" s="1"/>
    </row>
    <row r="6556" spans="1:12" ht="12" customHeight="1" x14ac:dyDescent="0.25">
      <c r="A6556" s="12"/>
      <c r="B6556" s="1"/>
      <c r="C6556" s="2"/>
      <c r="D6556" s="1"/>
      <c r="E6556" s="2"/>
      <c r="F6556" s="1"/>
      <c r="G6556" s="1"/>
      <c r="H6556" s="1"/>
      <c r="I6556" s="1"/>
      <c r="J6556" s="1"/>
      <c r="K6556" s="1"/>
      <c r="L6556" s="1"/>
    </row>
    <row r="6557" spans="1:12" ht="12" customHeight="1" x14ac:dyDescent="0.25">
      <c r="A6557" s="12"/>
      <c r="B6557" s="1"/>
      <c r="C6557" s="2"/>
      <c r="D6557" s="1"/>
      <c r="E6557" s="2"/>
      <c r="F6557" s="1"/>
      <c r="G6557" s="1"/>
      <c r="H6557" s="1"/>
      <c r="I6557" s="1"/>
      <c r="J6557" s="1"/>
      <c r="K6557" s="1"/>
      <c r="L6557" s="1"/>
    </row>
    <row r="6558" spans="1:12" ht="12" customHeight="1" x14ac:dyDescent="0.25">
      <c r="A6558" s="12"/>
      <c r="B6558" s="1"/>
      <c r="C6558" s="2"/>
      <c r="D6558" s="1"/>
      <c r="E6558" s="2"/>
      <c r="F6558" s="1"/>
      <c r="G6558" s="1"/>
      <c r="H6558" s="1"/>
      <c r="I6558" s="1"/>
      <c r="J6558" s="1"/>
      <c r="K6558" s="1"/>
      <c r="L6558" s="1"/>
    </row>
    <row r="6559" spans="1:12" ht="12" customHeight="1" x14ac:dyDescent="0.25">
      <c r="A6559" s="12"/>
      <c r="B6559" s="1"/>
      <c r="C6559" s="2"/>
      <c r="D6559" s="1"/>
      <c r="E6559" s="2"/>
      <c r="F6559" s="1"/>
      <c r="G6559" s="1"/>
      <c r="H6559" s="1"/>
      <c r="I6559" s="1"/>
      <c r="J6559" s="1"/>
      <c r="K6559" s="1"/>
      <c r="L6559" s="1"/>
    </row>
    <row r="6560" spans="1:12" ht="12" customHeight="1" x14ac:dyDescent="0.25">
      <c r="A6560" s="12"/>
      <c r="B6560" s="1"/>
      <c r="C6560" s="2"/>
      <c r="D6560" s="1"/>
      <c r="E6560" s="2"/>
      <c r="F6560" s="1"/>
      <c r="G6560" s="1"/>
      <c r="H6560" s="1"/>
      <c r="I6560" s="1"/>
      <c r="J6560" s="1"/>
      <c r="K6560" s="1"/>
      <c r="L6560" s="1"/>
    </row>
    <row r="6561" spans="1:12" ht="12" customHeight="1" x14ac:dyDescent="0.25">
      <c r="A6561" s="12"/>
      <c r="B6561" s="1"/>
      <c r="C6561" s="2"/>
      <c r="D6561" s="1"/>
      <c r="E6561" s="2"/>
      <c r="F6561" s="1"/>
      <c r="G6561" s="1"/>
      <c r="H6561" s="1"/>
      <c r="I6561" s="1"/>
      <c r="J6561" s="1"/>
      <c r="K6561" s="1"/>
      <c r="L6561" s="1"/>
    </row>
    <row r="6562" spans="1:12" ht="12" customHeight="1" x14ac:dyDescent="0.25">
      <c r="A6562" s="12"/>
      <c r="B6562" s="1"/>
      <c r="C6562" s="2"/>
      <c r="D6562" s="1"/>
      <c r="E6562" s="2"/>
      <c r="F6562" s="1"/>
      <c r="G6562" s="1"/>
      <c r="H6562" s="1"/>
      <c r="I6562" s="1"/>
      <c r="J6562" s="1"/>
      <c r="K6562" s="1"/>
      <c r="L6562" s="1"/>
    </row>
    <row r="6563" spans="1:12" ht="12" customHeight="1" x14ac:dyDescent="0.25">
      <c r="A6563" s="12"/>
      <c r="B6563" s="1"/>
      <c r="C6563" s="2"/>
      <c r="D6563" s="1"/>
      <c r="E6563" s="2"/>
      <c r="F6563" s="1"/>
      <c r="G6563" s="1"/>
      <c r="H6563" s="1"/>
      <c r="I6563" s="1"/>
      <c r="J6563" s="1"/>
      <c r="K6563" s="1"/>
      <c r="L6563" s="1"/>
    </row>
    <row r="6564" spans="1:12" ht="12" customHeight="1" x14ac:dyDescent="0.25">
      <c r="A6564" s="12"/>
      <c r="B6564" s="1"/>
      <c r="C6564" s="2"/>
      <c r="D6564" s="1"/>
      <c r="E6564" s="2"/>
      <c r="F6564" s="1"/>
      <c r="G6564" s="1"/>
      <c r="H6564" s="1"/>
      <c r="I6564" s="1"/>
      <c r="J6564" s="1"/>
      <c r="K6564" s="1"/>
      <c r="L6564" s="1"/>
    </row>
    <row r="6565" spans="1:12" ht="12" customHeight="1" x14ac:dyDescent="0.25">
      <c r="A6565" s="12"/>
      <c r="B6565" s="1"/>
      <c r="C6565" s="2"/>
      <c r="D6565" s="1"/>
      <c r="E6565" s="2"/>
      <c r="F6565" s="1"/>
      <c r="G6565" s="1"/>
      <c r="H6565" s="1"/>
      <c r="I6565" s="1"/>
      <c r="J6565" s="1"/>
      <c r="K6565" s="1"/>
      <c r="L6565" s="1"/>
    </row>
    <row r="6566" spans="1:12" ht="12" customHeight="1" x14ac:dyDescent="0.25">
      <c r="A6566" s="12"/>
      <c r="B6566" s="1"/>
      <c r="C6566" s="2"/>
      <c r="D6566" s="1"/>
      <c r="E6566" s="2"/>
      <c r="F6566" s="1"/>
      <c r="G6566" s="1"/>
      <c r="H6566" s="1"/>
      <c r="I6566" s="1"/>
      <c r="J6566" s="1"/>
      <c r="K6566" s="1"/>
      <c r="L6566" s="1"/>
    </row>
    <row r="6567" spans="1:12" ht="12" customHeight="1" x14ac:dyDescent="0.25">
      <c r="A6567" s="12"/>
      <c r="B6567" s="1"/>
      <c r="C6567" s="2"/>
      <c r="D6567" s="1"/>
      <c r="E6567" s="2"/>
      <c r="F6567" s="1"/>
      <c r="G6567" s="1"/>
      <c r="H6567" s="1"/>
      <c r="I6567" s="1"/>
      <c r="J6567" s="1"/>
      <c r="K6567" s="1"/>
      <c r="L6567" s="1"/>
    </row>
    <row r="6568" spans="1:12" ht="12" customHeight="1" x14ac:dyDescent="0.25">
      <c r="A6568" s="12"/>
      <c r="B6568" s="1"/>
      <c r="C6568" s="2"/>
      <c r="D6568" s="1"/>
      <c r="E6568" s="2"/>
      <c r="F6568" s="1"/>
      <c r="G6568" s="1"/>
      <c r="H6568" s="1"/>
      <c r="I6568" s="1"/>
      <c r="J6568" s="1"/>
      <c r="K6568" s="1"/>
      <c r="L6568" s="1"/>
    </row>
    <row r="6569" spans="1:12" ht="12" customHeight="1" x14ac:dyDescent="0.25">
      <c r="A6569" s="12"/>
      <c r="B6569" s="1"/>
      <c r="C6569" s="2"/>
      <c r="D6569" s="1"/>
      <c r="E6569" s="2"/>
      <c r="F6569" s="1"/>
      <c r="G6569" s="1"/>
      <c r="H6569" s="1"/>
      <c r="I6569" s="1"/>
      <c r="J6569" s="1"/>
      <c r="K6569" s="1"/>
      <c r="L6569" s="1"/>
    </row>
    <row r="6570" spans="1:12" ht="12" customHeight="1" x14ac:dyDescent="0.25">
      <c r="A6570" s="12"/>
      <c r="B6570" s="1"/>
      <c r="C6570" s="2"/>
      <c r="D6570" s="1"/>
      <c r="E6570" s="2"/>
      <c r="F6570" s="1"/>
      <c r="G6570" s="1"/>
      <c r="H6570" s="1"/>
      <c r="I6570" s="1"/>
      <c r="J6570" s="1"/>
      <c r="K6570" s="1"/>
      <c r="L6570" s="1"/>
    </row>
    <row r="6571" spans="1:12" ht="12" customHeight="1" x14ac:dyDescent="0.25">
      <c r="A6571" s="12"/>
      <c r="B6571" s="1"/>
      <c r="C6571" s="2"/>
      <c r="D6571" s="1"/>
      <c r="E6571" s="2"/>
      <c r="F6571" s="1"/>
      <c r="G6571" s="1"/>
      <c r="H6571" s="1"/>
      <c r="I6571" s="1"/>
      <c r="J6571" s="1"/>
      <c r="K6571" s="1"/>
      <c r="L6571" s="1"/>
    </row>
    <row r="6572" spans="1:12" ht="12" customHeight="1" x14ac:dyDescent="0.25">
      <c r="A6572" s="12"/>
      <c r="B6572" s="1"/>
      <c r="C6572" s="2"/>
      <c r="D6572" s="1"/>
      <c r="E6572" s="2"/>
      <c r="F6572" s="1"/>
      <c r="G6572" s="1"/>
      <c r="H6572" s="1"/>
      <c r="I6572" s="1"/>
      <c r="J6572" s="1"/>
      <c r="K6572" s="1"/>
      <c r="L6572" s="1"/>
    </row>
    <row r="6573" spans="1:12" ht="12" customHeight="1" x14ac:dyDescent="0.25">
      <c r="A6573" s="12"/>
      <c r="B6573" s="1"/>
      <c r="C6573" s="2"/>
      <c r="D6573" s="1"/>
      <c r="E6573" s="2"/>
      <c r="F6573" s="1"/>
      <c r="G6573" s="1"/>
      <c r="H6573" s="1"/>
      <c r="I6573" s="1"/>
      <c r="J6573" s="1"/>
      <c r="K6573" s="1"/>
      <c r="L6573" s="1"/>
    </row>
    <row r="6574" spans="1:12" ht="12" customHeight="1" x14ac:dyDescent="0.25">
      <c r="A6574" s="12"/>
      <c r="B6574" s="1"/>
      <c r="C6574" s="2"/>
      <c r="D6574" s="1"/>
      <c r="E6574" s="2"/>
      <c r="F6574" s="1"/>
      <c r="G6574" s="1"/>
      <c r="H6574" s="1"/>
      <c r="I6574" s="1"/>
      <c r="J6574" s="1"/>
      <c r="K6574" s="1"/>
      <c r="L6574" s="1"/>
    </row>
    <row r="6575" spans="1:12" ht="12" customHeight="1" x14ac:dyDescent="0.25">
      <c r="A6575" s="12"/>
      <c r="B6575" s="1"/>
      <c r="C6575" s="2"/>
      <c r="D6575" s="1"/>
      <c r="E6575" s="2"/>
      <c r="F6575" s="1"/>
      <c r="G6575" s="1"/>
      <c r="H6575" s="1"/>
      <c r="I6575" s="1"/>
      <c r="J6575" s="1"/>
      <c r="K6575" s="1"/>
      <c r="L6575" s="1"/>
    </row>
    <row r="6576" spans="1:12" ht="12" customHeight="1" x14ac:dyDescent="0.25">
      <c r="A6576" s="12"/>
      <c r="B6576" s="1"/>
      <c r="C6576" s="2"/>
      <c r="D6576" s="1"/>
      <c r="E6576" s="2"/>
      <c r="F6576" s="1"/>
      <c r="G6576" s="1"/>
      <c r="H6576" s="1"/>
      <c r="I6576" s="1"/>
      <c r="J6576" s="1"/>
      <c r="K6576" s="1"/>
      <c r="L6576" s="1"/>
    </row>
    <row r="6577" spans="1:12" ht="12" customHeight="1" x14ac:dyDescent="0.25">
      <c r="A6577" s="12"/>
      <c r="B6577" s="1"/>
      <c r="C6577" s="2"/>
      <c r="D6577" s="1"/>
      <c r="E6577" s="2"/>
      <c r="F6577" s="1"/>
      <c r="G6577" s="1"/>
      <c r="H6577" s="1"/>
      <c r="I6577" s="1"/>
      <c r="J6577" s="1"/>
      <c r="K6577" s="1"/>
      <c r="L6577" s="1"/>
    </row>
    <row r="6578" spans="1:12" ht="12" customHeight="1" x14ac:dyDescent="0.25">
      <c r="A6578" s="12"/>
      <c r="B6578" s="1"/>
      <c r="C6578" s="2"/>
      <c r="D6578" s="1"/>
      <c r="E6578" s="2"/>
      <c r="F6578" s="1"/>
      <c r="G6578" s="1"/>
      <c r="H6578" s="1"/>
      <c r="I6578" s="1"/>
      <c r="J6578" s="1"/>
      <c r="K6578" s="1"/>
      <c r="L6578" s="1"/>
    </row>
    <row r="6579" spans="1:12" ht="12" customHeight="1" x14ac:dyDescent="0.25">
      <c r="A6579" s="12"/>
      <c r="B6579" s="1"/>
      <c r="C6579" s="2"/>
      <c r="D6579" s="1"/>
      <c r="E6579" s="2"/>
      <c r="F6579" s="1"/>
      <c r="G6579" s="1"/>
      <c r="H6579" s="1"/>
      <c r="I6579" s="1"/>
      <c r="J6579" s="1"/>
      <c r="K6579" s="1"/>
      <c r="L6579" s="1"/>
    </row>
    <row r="6580" spans="1:12" ht="12" customHeight="1" x14ac:dyDescent="0.25">
      <c r="A6580" s="12"/>
      <c r="B6580" s="1"/>
      <c r="C6580" s="2"/>
      <c r="D6580" s="1"/>
      <c r="E6580" s="2"/>
      <c r="F6580" s="1"/>
      <c r="G6580" s="1"/>
      <c r="H6580" s="1"/>
      <c r="I6580" s="1"/>
      <c r="J6580" s="1"/>
      <c r="K6580" s="1"/>
      <c r="L6580" s="1"/>
    </row>
    <row r="6581" spans="1:12" ht="12" customHeight="1" x14ac:dyDescent="0.25">
      <c r="A6581" s="12"/>
      <c r="B6581" s="1"/>
      <c r="C6581" s="2"/>
      <c r="D6581" s="1"/>
      <c r="E6581" s="2"/>
      <c r="F6581" s="1"/>
      <c r="G6581" s="1"/>
      <c r="H6581" s="1"/>
      <c r="I6581" s="1"/>
      <c r="J6581" s="1"/>
      <c r="K6581" s="1"/>
      <c r="L6581" s="1"/>
    </row>
    <row r="6582" spans="1:12" ht="12" customHeight="1" x14ac:dyDescent="0.25">
      <c r="A6582" s="12"/>
      <c r="B6582" s="1"/>
      <c r="C6582" s="2"/>
      <c r="D6582" s="1"/>
      <c r="E6582" s="2"/>
      <c r="F6582" s="1"/>
      <c r="G6582" s="1"/>
      <c r="H6582" s="1"/>
      <c r="I6582" s="1"/>
      <c r="J6582" s="1"/>
      <c r="K6582" s="1"/>
      <c r="L6582" s="1"/>
    </row>
    <row r="6583" spans="1:12" ht="12" customHeight="1" x14ac:dyDescent="0.25">
      <c r="A6583" s="12"/>
      <c r="B6583" s="1"/>
      <c r="C6583" s="2"/>
      <c r="D6583" s="1"/>
      <c r="E6583" s="2"/>
      <c r="F6583" s="1"/>
      <c r="G6583" s="1"/>
      <c r="H6583" s="1"/>
      <c r="I6583" s="1"/>
      <c r="J6583" s="1"/>
      <c r="K6583" s="1"/>
      <c r="L6583" s="1"/>
    </row>
    <row r="6584" spans="1:12" ht="12" customHeight="1" x14ac:dyDescent="0.25">
      <c r="A6584" s="12"/>
      <c r="B6584" s="1"/>
      <c r="C6584" s="2"/>
      <c r="D6584" s="1"/>
      <c r="E6584" s="2"/>
      <c r="F6584" s="1"/>
      <c r="G6584" s="1"/>
      <c r="H6584" s="1"/>
      <c r="I6584" s="1"/>
      <c r="J6584" s="1"/>
      <c r="K6584" s="1"/>
      <c r="L6584" s="1"/>
    </row>
    <row r="6585" spans="1:12" ht="12" customHeight="1" x14ac:dyDescent="0.25">
      <c r="A6585" s="12"/>
      <c r="B6585" s="1"/>
      <c r="C6585" s="2"/>
      <c r="D6585" s="1"/>
      <c r="E6585" s="2"/>
      <c r="F6585" s="1"/>
      <c r="G6585" s="1"/>
      <c r="H6585" s="1"/>
      <c r="I6585" s="1"/>
      <c r="J6585" s="1"/>
      <c r="K6585" s="1"/>
      <c r="L6585" s="1"/>
    </row>
    <row r="6586" spans="1:12" ht="12" customHeight="1" x14ac:dyDescent="0.25">
      <c r="A6586" s="12"/>
      <c r="B6586" s="1"/>
      <c r="C6586" s="2"/>
      <c r="D6586" s="1"/>
      <c r="E6586" s="2"/>
      <c r="F6586" s="1"/>
      <c r="G6586" s="1"/>
      <c r="H6586" s="1"/>
      <c r="I6586" s="1"/>
      <c r="J6586" s="1"/>
      <c r="K6586" s="1"/>
      <c r="L6586" s="1"/>
    </row>
    <row r="6587" spans="1:12" ht="12" customHeight="1" x14ac:dyDescent="0.25">
      <c r="A6587" s="12"/>
      <c r="B6587" s="1"/>
      <c r="C6587" s="2"/>
      <c r="D6587" s="1"/>
      <c r="E6587" s="2"/>
      <c r="F6587" s="1"/>
      <c r="G6587" s="1"/>
      <c r="H6587" s="1"/>
      <c r="I6587" s="1"/>
      <c r="J6587" s="1"/>
      <c r="K6587" s="1"/>
      <c r="L6587" s="1"/>
    </row>
    <row r="6588" spans="1:12" ht="12" customHeight="1" x14ac:dyDescent="0.25">
      <c r="A6588" s="12"/>
      <c r="B6588" s="1"/>
      <c r="C6588" s="2"/>
      <c r="D6588" s="1"/>
      <c r="E6588" s="2"/>
      <c r="F6588" s="1"/>
      <c r="G6588" s="1"/>
      <c r="H6588" s="1"/>
      <c r="I6588" s="1"/>
      <c r="J6588" s="1"/>
      <c r="K6588" s="1"/>
      <c r="L6588" s="1"/>
    </row>
    <row r="6589" spans="1:12" ht="12" customHeight="1" x14ac:dyDescent="0.25">
      <c r="A6589" s="12"/>
      <c r="B6589" s="1"/>
      <c r="C6589" s="2"/>
      <c r="D6589" s="1"/>
      <c r="E6589" s="2"/>
      <c r="F6589" s="1"/>
      <c r="G6589" s="1"/>
      <c r="H6589" s="1"/>
      <c r="I6589" s="1"/>
      <c r="J6589" s="1"/>
      <c r="K6589" s="1"/>
      <c r="L6589" s="1"/>
    </row>
    <row r="6590" spans="1:12" ht="12" customHeight="1" x14ac:dyDescent="0.25">
      <c r="A6590" s="12"/>
      <c r="B6590" s="1"/>
      <c r="C6590" s="2"/>
      <c r="D6590" s="1"/>
      <c r="E6590" s="2"/>
      <c r="F6590" s="1"/>
      <c r="G6590" s="1"/>
      <c r="H6590" s="1"/>
      <c r="I6590" s="1"/>
      <c r="J6590" s="1"/>
      <c r="K6590" s="1"/>
      <c r="L6590" s="1"/>
    </row>
    <row r="6591" spans="1:12" ht="12" customHeight="1" x14ac:dyDescent="0.25">
      <c r="A6591" s="12"/>
      <c r="B6591" s="1"/>
      <c r="C6591" s="2"/>
      <c r="D6591" s="1"/>
      <c r="E6591" s="2"/>
      <c r="F6591" s="1"/>
      <c r="G6591" s="1"/>
      <c r="H6591" s="1"/>
      <c r="I6591" s="1"/>
      <c r="J6591" s="1"/>
      <c r="K6591" s="1"/>
      <c r="L6591" s="1"/>
    </row>
    <row r="6592" spans="1:12" ht="12" customHeight="1" x14ac:dyDescent="0.25">
      <c r="A6592" s="12"/>
      <c r="B6592" s="1"/>
      <c r="C6592" s="2"/>
      <c r="D6592" s="1"/>
      <c r="E6592" s="2"/>
      <c r="F6592" s="1"/>
      <c r="G6592" s="1"/>
      <c r="H6592" s="1"/>
      <c r="I6592" s="1"/>
      <c r="J6592" s="1"/>
      <c r="K6592" s="1"/>
      <c r="L6592" s="1"/>
    </row>
    <row r="6593" spans="1:12" ht="12" customHeight="1" x14ac:dyDescent="0.25">
      <c r="A6593" s="12"/>
      <c r="B6593" s="1"/>
      <c r="C6593" s="2"/>
      <c r="D6593" s="1"/>
      <c r="E6593" s="2"/>
      <c r="F6593" s="1"/>
      <c r="G6593" s="1"/>
      <c r="H6593" s="1"/>
      <c r="I6593" s="1"/>
      <c r="J6593" s="1"/>
      <c r="K6593" s="1"/>
      <c r="L6593" s="1"/>
    </row>
    <row r="6594" spans="1:12" ht="12" customHeight="1" x14ac:dyDescent="0.25">
      <c r="A6594" s="12"/>
      <c r="B6594" s="1"/>
      <c r="C6594" s="2"/>
      <c r="D6594" s="1"/>
      <c r="E6594" s="2"/>
      <c r="F6594" s="1"/>
      <c r="G6594" s="1"/>
      <c r="H6594" s="1"/>
      <c r="I6594" s="1"/>
      <c r="J6594" s="1"/>
      <c r="K6594" s="1"/>
      <c r="L6594" s="1"/>
    </row>
    <row r="6595" spans="1:12" ht="12" customHeight="1" x14ac:dyDescent="0.25">
      <c r="A6595" s="12"/>
      <c r="B6595" s="1"/>
      <c r="C6595" s="2"/>
      <c r="D6595" s="1"/>
      <c r="E6595" s="2"/>
      <c r="F6595" s="1"/>
      <c r="G6595" s="1"/>
      <c r="H6595" s="1"/>
      <c r="I6595" s="1"/>
      <c r="J6595" s="1"/>
      <c r="K6595" s="1"/>
      <c r="L6595" s="1"/>
    </row>
    <row r="6596" spans="1:12" ht="12" customHeight="1" x14ac:dyDescent="0.25">
      <c r="A6596" s="12"/>
      <c r="B6596" s="1"/>
      <c r="C6596" s="2"/>
      <c r="D6596" s="1"/>
      <c r="E6596" s="2"/>
      <c r="F6596" s="1"/>
      <c r="G6596" s="1"/>
      <c r="H6596" s="1"/>
      <c r="I6596" s="1"/>
      <c r="J6596" s="1"/>
      <c r="K6596" s="1"/>
      <c r="L6596" s="1"/>
    </row>
    <row r="6597" spans="1:12" ht="12" customHeight="1" x14ac:dyDescent="0.25">
      <c r="A6597" s="12"/>
      <c r="B6597" s="1"/>
      <c r="C6597" s="2"/>
      <c r="D6597" s="1"/>
      <c r="E6597" s="2"/>
      <c r="F6597" s="1"/>
      <c r="G6597" s="1"/>
      <c r="H6597" s="1"/>
      <c r="I6597" s="1"/>
      <c r="J6597" s="1"/>
      <c r="K6597" s="1"/>
      <c r="L6597" s="1"/>
    </row>
    <row r="6598" spans="1:12" ht="12" customHeight="1" x14ac:dyDescent="0.25">
      <c r="A6598" s="12"/>
      <c r="B6598" s="1"/>
      <c r="C6598" s="2"/>
      <c r="D6598" s="1"/>
      <c r="E6598" s="2"/>
      <c r="F6598" s="1"/>
      <c r="G6598" s="1"/>
      <c r="H6598" s="1"/>
      <c r="I6598" s="1"/>
      <c r="J6598" s="1"/>
      <c r="K6598" s="1"/>
      <c r="L6598" s="1"/>
    </row>
    <row r="6599" spans="1:12" ht="12" customHeight="1" x14ac:dyDescent="0.25">
      <c r="A6599" s="12"/>
      <c r="B6599" s="1"/>
      <c r="C6599" s="2"/>
      <c r="D6599" s="1"/>
      <c r="E6599" s="2"/>
      <c r="F6599" s="1"/>
      <c r="G6599" s="1"/>
      <c r="H6599" s="1"/>
      <c r="I6599" s="1"/>
      <c r="J6599" s="1"/>
      <c r="K6599" s="1"/>
      <c r="L6599" s="1"/>
    </row>
    <row r="6600" spans="1:12" ht="12" customHeight="1" x14ac:dyDescent="0.25">
      <c r="A6600" s="12"/>
      <c r="B6600" s="1"/>
      <c r="C6600" s="2"/>
      <c r="D6600" s="1"/>
      <c r="E6600" s="2"/>
      <c r="F6600" s="1"/>
      <c r="G6600" s="1"/>
      <c r="H6600" s="1"/>
      <c r="I6600" s="1"/>
      <c r="J6600" s="1"/>
      <c r="K6600" s="1"/>
      <c r="L6600" s="1"/>
    </row>
    <row r="6601" spans="1:12" ht="12" customHeight="1" x14ac:dyDescent="0.25">
      <c r="A6601" s="12"/>
      <c r="B6601" s="1"/>
      <c r="C6601" s="2"/>
      <c r="D6601" s="1"/>
      <c r="E6601" s="2"/>
      <c r="F6601" s="1"/>
      <c r="G6601" s="1"/>
      <c r="H6601" s="1"/>
      <c r="I6601" s="1"/>
      <c r="J6601" s="1"/>
      <c r="K6601" s="1"/>
      <c r="L6601" s="1"/>
    </row>
    <row r="6602" spans="1:12" ht="12" customHeight="1" x14ac:dyDescent="0.25">
      <c r="A6602" s="12"/>
      <c r="B6602" s="1"/>
      <c r="C6602" s="2"/>
      <c r="D6602" s="1"/>
      <c r="E6602" s="2"/>
      <c r="F6602" s="1"/>
      <c r="G6602" s="1"/>
      <c r="H6602" s="1"/>
      <c r="I6602" s="1"/>
      <c r="J6602" s="1"/>
      <c r="K6602" s="1"/>
      <c r="L6602" s="1"/>
    </row>
    <row r="6603" spans="1:12" ht="12" customHeight="1" x14ac:dyDescent="0.25">
      <c r="A6603" s="12"/>
      <c r="B6603" s="1"/>
      <c r="C6603" s="2"/>
      <c r="D6603" s="1"/>
      <c r="E6603" s="2"/>
      <c r="F6603" s="1"/>
      <c r="G6603" s="1"/>
      <c r="H6603" s="1"/>
      <c r="I6603" s="1"/>
      <c r="J6603" s="1"/>
      <c r="K6603" s="1"/>
      <c r="L6603" s="1"/>
    </row>
    <row r="6604" spans="1:12" ht="12" customHeight="1" x14ac:dyDescent="0.25">
      <c r="A6604" s="12"/>
      <c r="B6604" s="1"/>
      <c r="C6604" s="2"/>
      <c r="D6604" s="1"/>
      <c r="E6604" s="2"/>
      <c r="F6604" s="1"/>
      <c r="G6604" s="1"/>
      <c r="H6604" s="1"/>
      <c r="I6604" s="1"/>
      <c r="J6604" s="1"/>
      <c r="K6604" s="1"/>
      <c r="L6604" s="1"/>
    </row>
    <row r="6605" spans="1:12" ht="12" customHeight="1" x14ac:dyDescent="0.25">
      <c r="A6605" s="12"/>
      <c r="B6605" s="1"/>
      <c r="C6605" s="2"/>
      <c r="D6605" s="1"/>
      <c r="E6605" s="2"/>
      <c r="F6605" s="1"/>
      <c r="G6605" s="1"/>
      <c r="H6605" s="1"/>
      <c r="I6605" s="1"/>
      <c r="J6605" s="1"/>
      <c r="K6605" s="1"/>
      <c r="L6605" s="1"/>
    </row>
    <row r="6606" spans="1:12" ht="12" customHeight="1" x14ac:dyDescent="0.25">
      <c r="A6606" s="12"/>
      <c r="B6606" s="1"/>
      <c r="C6606" s="2"/>
      <c r="D6606" s="1"/>
      <c r="E6606" s="2"/>
      <c r="F6606" s="1"/>
      <c r="G6606" s="1"/>
      <c r="H6606" s="1"/>
      <c r="I6606" s="1"/>
      <c r="J6606" s="1"/>
      <c r="K6606" s="1"/>
      <c r="L6606" s="1"/>
    </row>
    <row r="6607" spans="1:12" ht="12" customHeight="1" x14ac:dyDescent="0.25">
      <c r="A6607" s="12"/>
      <c r="B6607" s="1"/>
      <c r="C6607" s="2"/>
      <c r="D6607" s="1"/>
      <c r="E6607" s="2"/>
      <c r="F6607" s="1"/>
      <c r="G6607" s="1"/>
      <c r="H6607" s="1"/>
      <c r="I6607" s="1"/>
      <c r="J6607" s="1"/>
      <c r="K6607" s="1"/>
      <c r="L6607" s="1"/>
    </row>
    <row r="6608" spans="1:12" ht="12" customHeight="1" x14ac:dyDescent="0.25">
      <c r="A6608" s="12"/>
      <c r="B6608" s="1"/>
      <c r="C6608" s="2"/>
      <c r="D6608" s="1"/>
      <c r="E6608" s="2"/>
      <c r="F6608" s="1"/>
      <c r="G6608" s="1"/>
      <c r="H6608" s="1"/>
      <c r="I6608" s="1"/>
      <c r="J6608" s="1"/>
      <c r="K6608" s="1"/>
      <c r="L6608" s="1"/>
    </row>
    <row r="6609" spans="1:12" ht="12" customHeight="1" x14ac:dyDescent="0.25">
      <c r="A6609" s="12"/>
      <c r="B6609" s="1"/>
      <c r="C6609" s="2"/>
      <c r="D6609" s="1"/>
      <c r="E6609" s="2"/>
      <c r="F6609" s="1"/>
      <c r="G6609" s="1"/>
      <c r="H6609" s="1"/>
      <c r="I6609" s="1"/>
      <c r="J6609" s="1"/>
      <c r="K6609" s="1"/>
      <c r="L6609" s="1"/>
    </row>
    <row r="6610" spans="1:12" ht="12" customHeight="1" x14ac:dyDescent="0.25">
      <c r="A6610" s="12"/>
      <c r="B6610" s="1"/>
      <c r="C6610" s="2"/>
      <c r="D6610" s="1"/>
      <c r="E6610" s="2"/>
      <c r="F6610" s="1"/>
      <c r="G6610" s="1"/>
      <c r="H6610" s="1"/>
      <c r="I6610" s="1"/>
      <c r="J6610" s="1"/>
      <c r="K6610" s="1"/>
      <c r="L6610" s="1"/>
    </row>
    <row r="6611" spans="1:12" ht="12" customHeight="1" x14ac:dyDescent="0.25">
      <c r="A6611" s="12"/>
      <c r="B6611" s="1"/>
      <c r="C6611" s="2"/>
      <c r="D6611" s="1"/>
      <c r="E6611" s="2"/>
      <c r="F6611" s="1"/>
      <c r="G6611" s="1"/>
      <c r="H6611" s="1"/>
      <c r="I6611" s="1"/>
      <c r="J6611" s="1"/>
      <c r="K6611" s="1"/>
      <c r="L6611" s="1"/>
    </row>
    <row r="6612" spans="1:12" ht="12" customHeight="1" x14ac:dyDescent="0.25">
      <c r="A6612" s="12"/>
      <c r="B6612" s="1"/>
      <c r="C6612" s="2"/>
      <c r="D6612" s="1"/>
      <c r="E6612" s="2"/>
      <c r="F6612" s="1"/>
      <c r="G6612" s="1"/>
      <c r="H6612" s="1"/>
      <c r="I6612" s="1"/>
      <c r="J6612" s="1"/>
      <c r="K6612" s="1"/>
      <c r="L6612" s="1"/>
    </row>
    <row r="6613" spans="1:12" ht="12" customHeight="1" x14ac:dyDescent="0.25">
      <c r="A6613" s="12"/>
      <c r="B6613" s="1"/>
      <c r="C6613" s="2"/>
      <c r="D6613" s="1"/>
      <c r="E6613" s="2"/>
      <c r="F6613" s="1"/>
      <c r="G6613" s="1"/>
      <c r="H6613" s="1"/>
      <c r="I6613" s="1"/>
      <c r="J6613" s="1"/>
      <c r="K6613" s="1"/>
      <c r="L6613" s="1"/>
    </row>
    <row r="6614" spans="1:12" ht="12" customHeight="1" x14ac:dyDescent="0.25">
      <c r="A6614" s="12"/>
      <c r="B6614" s="1"/>
      <c r="C6614" s="2"/>
      <c r="D6614" s="1"/>
      <c r="E6614" s="2"/>
      <c r="F6614" s="1"/>
      <c r="G6614" s="1"/>
      <c r="H6614" s="1"/>
      <c r="I6614" s="1"/>
      <c r="J6614" s="1"/>
      <c r="K6614" s="1"/>
      <c r="L6614" s="1"/>
    </row>
    <row r="6615" spans="1:12" ht="12" customHeight="1" x14ac:dyDescent="0.25">
      <c r="A6615" s="12"/>
      <c r="B6615" s="1"/>
      <c r="C6615" s="2"/>
      <c r="D6615" s="1"/>
      <c r="E6615" s="2"/>
      <c r="F6615" s="1"/>
      <c r="G6615" s="1"/>
      <c r="H6615" s="1"/>
      <c r="I6615" s="1"/>
      <c r="J6615" s="1"/>
      <c r="K6615" s="1"/>
      <c r="L6615" s="1"/>
    </row>
    <row r="6616" spans="1:12" ht="12" customHeight="1" x14ac:dyDescent="0.25">
      <c r="A6616" s="12"/>
      <c r="B6616" s="1"/>
      <c r="C6616" s="2"/>
      <c r="D6616" s="1"/>
      <c r="E6616" s="2"/>
      <c r="F6616" s="1"/>
      <c r="G6616" s="1"/>
      <c r="H6616" s="1"/>
      <c r="I6616" s="1"/>
      <c r="J6616" s="1"/>
      <c r="K6616" s="1"/>
      <c r="L6616" s="1"/>
    </row>
    <row r="6617" spans="1:12" ht="12" customHeight="1" x14ac:dyDescent="0.25">
      <c r="A6617" s="12"/>
      <c r="B6617" s="1"/>
      <c r="C6617" s="2"/>
      <c r="D6617" s="1"/>
      <c r="E6617" s="2"/>
      <c r="F6617" s="1"/>
      <c r="G6617" s="1"/>
      <c r="H6617" s="1"/>
      <c r="I6617" s="1"/>
      <c r="J6617" s="1"/>
      <c r="K6617" s="1"/>
      <c r="L6617" s="1"/>
    </row>
    <row r="6618" spans="1:12" ht="12" customHeight="1" x14ac:dyDescent="0.25">
      <c r="A6618" s="12"/>
      <c r="B6618" s="1"/>
      <c r="C6618" s="2"/>
      <c r="D6618" s="1"/>
      <c r="E6618" s="2"/>
      <c r="F6618" s="1"/>
      <c r="G6618" s="1"/>
      <c r="H6618" s="1"/>
      <c r="I6618" s="1"/>
      <c r="J6618" s="1"/>
      <c r="K6618" s="1"/>
      <c r="L6618" s="1"/>
    </row>
    <row r="6619" spans="1:12" ht="12" customHeight="1" x14ac:dyDescent="0.25">
      <c r="A6619" s="12"/>
      <c r="B6619" s="1"/>
      <c r="C6619" s="2"/>
      <c r="D6619" s="1"/>
      <c r="E6619" s="2"/>
      <c r="F6619" s="1"/>
      <c r="G6619" s="1"/>
      <c r="H6619" s="1"/>
      <c r="I6619" s="1"/>
      <c r="J6619" s="1"/>
      <c r="K6619" s="1"/>
      <c r="L6619" s="1"/>
    </row>
    <row r="6620" spans="1:12" ht="12" customHeight="1" x14ac:dyDescent="0.25">
      <c r="A6620" s="12"/>
      <c r="B6620" s="1"/>
      <c r="C6620" s="2"/>
      <c r="D6620" s="1"/>
      <c r="E6620" s="2"/>
      <c r="F6620" s="1"/>
      <c r="G6620" s="1"/>
      <c r="H6620" s="1"/>
      <c r="I6620" s="1"/>
      <c r="J6620" s="1"/>
      <c r="K6620" s="1"/>
      <c r="L6620" s="1"/>
    </row>
    <row r="6621" spans="1:12" ht="12" customHeight="1" x14ac:dyDescent="0.25">
      <c r="A6621" s="12"/>
      <c r="B6621" s="1"/>
      <c r="C6621" s="2"/>
      <c r="D6621" s="1"/>
      <c r="E6621" s="2"/>
      <c r="F6621" s="1"/>
      <c r="G6621" s="1"/>
      <c r="H6621" s="1"/>
      <c r="I6621" s="1"/>
      <c r="J6621" s="1"/>
      <c r="K6621" s="1"/>
      <c r="L6621" s="1"/>
    </row>
    <row r="6622" spans="1:12" ht="12" customHeight="1" x14ac:dyDescent="0.25">
      <c r="A6622" s="12"/>
      <c r="B6622" s="1"/>
      <c r="C6622" s="2"/>
      <c r="D6622" s="1"/>
      <c r="E6622" s="2"/>
      <c r="F6622" s="1"/>
      <c r="G6622" s="1"/>
      <c r="H6622" s="1"/>
      <c r="I6622" s="1"/>
      <c r="J6622" s="1"/>
      <c r="K6622" s="1"/>
      <c r="L6622" s="1"/>
    </row>
    <row r="6623" spans="1:12" ht="12" customHeight="1" x14ac:dyDescent="0.25">
      <c r="A6623" s="12"/>
      <c r="B6623" s="1"/>
      <c r="C6623" s="2"/>
      <c r="D6623" s="1"/>
      <c r="E6623" s="2"/>
      <c r="F6623" s="1"/>
      <c r="G6623" s="1"/>
      <c r="H6623" s="1"/>
      <c r="I6623" s="1"/>
      <c r="J6623" s="1"/>
      <c r="K6623" s="1"/>
      <c r="L6623" s="1"/>
    </row>
    <row r="6624" spans="1:12" ht="12" customHeight="1" x14ac:dyDescent="0.25">
      <c r="A6624" s="12"/>
      <c r="B6624" s="1"/>
      <c r="C6624" s="2"/>
      <c r="D6624" s="1"/>
      <c r="E6624" s="2"/>
      <c r="F6624" s="1"/>
      <c r="G6624" s="1"/>
      <c r="H6624" s="1"/>
      <c r="I6624" s="1"/>
      <c r="J6624" s="1"/>
      <c r="K6624" s="1"/>
      <c r="L6624" s="1"/>
    </row>
    <row r="6625" spans="1:12" ht="12" customHeight="1" x14ac:dyDescent="0.25">
      <c r="A6625" s="12"/>
      <c r="B6625" s="1"/>
      <c r="C6625" s="2"/>
      <c r="D6625" s="1"/>
      <c r="E6625" s="2"/>
      <c r="F6625" s="1"/>
      <c r="G6625" s="1"/>
      <c r="H6625" s="1"/>
      <c r="I6625" s="1"/>
      <c r="J6625" s="1"/>
      <c r="K6625" s="1"/>
      <c r="L6625" s="1"/>
    </row>
    <row r="6626" spans="1:12" ht="12" customHeight="1" x14ac:dyDescent="0.25">
      <c r="A6626" s="12"/>
      <c r="B6626" s="1"/>
      <c r="C6626" s="2"/>
      <c r="D6626" s="1"/>
      <c r="E6626" s="2"/>
      <c r="F6626" s="1"/>
      <c r="G6626" s="1"/>
      <c r="H6626" s="1"/>
      <c r="I6626" s="1"/>
      <c r="J6626" s="1"/>
      <c r="K6626" s="1"/>
      <c r="L6626" s="1"/>
    </row>
    <row r="6627" spans="1:12" ht="12" customHeight="1" x14ac:dyDescent="0.25">
      <c r="A6627" s="12"/>
      <c r="B6627" s="1"/>
      <c r="C6627" s="2"/>
      <c r="D6627" s="1"/>
      <c r="E6627" s="2"/>
      <c r="F6627" s="1"/>
      <c r="G6627" s="1"/>
      <c r="H6627" s="1"/>
      <c r="I6627" s="1"/>
      <c r="J6627" s="1"/>
      <c r="K6627" s="1"/>
      <c r="L6627" s="1"/>
    </row>
    <row r="6628" spans="1:12" ht="12" customHeight="1" x14ac:dyDescent="0.25">
      <c r="A6628" s="12"/>
      <c r="B6628" s="1"/>
      <c r="C6628" s="2"/>
      <c r="D6628" s="1"/>
      <c r="E6628" s="2"/>
      <c r="F6628" s="1"/>
      <c r="G6628" s="1"/>
      <c r="H6628" s="1"/>
      <c r="I6628" s="1"/>
      <c r="J6628" s="1"/>
      <c r="K6628" s="1"/>
      <c r="L6628" s="1"/>
    </row>
    <row r="6629" spans="1:12" ht="12" customHeight="1" x14ac:dyDescent="0.25">
      <c r="A6629" s="12"/>
      <c r="B6629" s="1"/>
      <c r="C6629" s="2"/>
      <c r="D6629" s="1"/>
      <c r="E6629" s="2"/>
      <c r="F6629" s="1"/>
      <c r="G6629" s="1"/>
      <c r="H6629" s="1"/>
      <c r="I6629" s="1"/>
      <c r="J6629" s="1"/>
      <c r="K6629" s="1"/>
      <c r="L6629" s="1"/>
    </row>
    <row r="6630" spans="1:12" ht="12" customHeight="1" x14ac:dyDescent="0.25">
      <c r="A6630" s="12"/>
      <c r="B6630" s="1"/>
      <c r="C6630" s="2"/>
      <c r="D6630" s="1"/>
      <c r="E6630" s="2"/>
      <c r="F6630" s="1"/>
      <c r="G6630" s="1"/>
      <c r="H6630" s="1"/>
      <c r="I6630" s="1"/>
      <c r="J6630" s="1"/>
      <c r="K6630" s="1"/>
      <c r="L6630" s="1"/>
    </row>
    <row r="6631" spans="1:12" ht="12" customHeight="1" x14ac:dyDescent="0.25">
      <c r="A6631" s="12"/>
      <c r="B6631" s="1"/>
      <c r="C6631" s="2"/>
      <c r="D6631" s="1"/>
      <c r="E6631" s="2"/>
      <c r="F6631" s="1"/>
      <c r="G6631" s="1"/>
      <c r="H6631" s="1"/>
      <c r="I6631" s="1"/>
      <c r="J6631" s="1"/>
      <c r="K6631" s="1"/>
      <c r="L6631" s="1"/>
    </row>
    <row r="6632" spans="1:12" ht="12" customHeight="1" x14ac:dyDescent="0.25">
      <c r="A6632" s="12"/>
      <c r="B6632" s="1"/>
      <c r="C6632" s="2"/>
      <c r="D6632" s="1"/>
      <c r="E6632" s="2"/>
      <c r="F6632" s="1"/>
      <c r="G6632" s="1"/>
      <c r="H6632" s="1"/>
      <c r="I6632" s="1"/>
      <c r="J6632" s="1"/>
      <c r="K6632" s="1"/>
      <c r="L6632" s="1"/>
    </row>
    <row r="6633" spans="1:12" ht="12" customHeight="1" x14ac:dyDescent="0.25">
      <c r="A6633" s="12"/>
      <c r="B6633" s="1"/>
      <c r="C6633" s="2"/>
      <c r="D6633" s="1"/>
      <c r="E6633" s="2"/>
      <c r="F6633" s="1"/>
      <c r="G6633" s="1"/>
      <c r="H6633" s="1"/>
      <c r="I6633" s="1"/>
      <c r="J6633" s="1"/>
      <c r="K6633" s="1"/>
      <c r="L6633" s="1"/>
    </row>
    <row r="6634" spans="1:12" ht="12" customHeight="1" x14ac:dyDescent="0.25">
      <c r="A6634" s="12"/>
      <c r="B6634" s="1"/>
      <c r="C6634" s="2"/>
      <c r="D6634" s="1"/>
      <c r="E6634" s="2"/>
      <c r="F6634" s="1"/>
      <c r="G6634" s="1"/>
      <c r="H6634" s="1"/>
      <c r="I6634" s="1"/>
      <c r="J6634" s="1"/>
      <c r="K6634" s="1"/>
      <c r="L6634" s="1"/>
    </row>
    <row r="6635" spans="1:12" ht="12" customHeight="1" x14ac:dyDescent="0.25">
      <c r="A6635" s="12"/>
      <c r="B6635" s="1"/>
      <c r="C6635" s="2"/>
      <c r="D6635" s="1"/>
      <c r="E6635" s="2"/>
      <c r="F6635" s="1"/>
      <c r="G6635" s="1"/>
      <c r="H6635" s="1"/>
      <c r="I6635" s="1"/>
      <c r="J6635" s="1"/>
      <c r="K6635" s="1"/>
      <c r="L6635" s="1"/>
    </row>
    <row r="6636" spans="1:12" ht="12" customHeight="1" x14ac:dyDescent="0.25">
      <c r="A6636" s="12"/>
      <c r="B6636" s="1"/>
      <c r="C6636" s="2"/>
      <c r="D6636" s="1"/>
      <c r="E6636" s="2"/>
      <c r="F6636" s="1"/>
      <c r="G6636" s="1"/>
      <c r="H6636" s="1"/>
      <c r="I6636" s="1"/>
      <c r="J6636" s="1"/>
      <c r="K6636" s="1"/>
      <c r="L6636" s="1"/>
    </row>
    <row r="6637" spans="1:12" ht="12" customHeight="1" x14ac:dyDescent="0.25">
      <c r="A6637" s="12"/>
      <c r="B6637" s="1"/>
      <c r="C6637" s="2"/>
      <c r="D6637" s="1"/>
      <c r="E6637" s="2"/>
      <c r="F6637" s="1"/>
      <c r="G6637" s="1"/>
      <c r="H6637" s="1"/>
      <c r="I6637" s="1"/>
      <c r="J6637" s="1"/>
      <c r="K6637" s="1"/>
      <c r="L6637" s="1"/>
    </row>
    <row r="6638" spans="1:12" ht="12" customHeight="1" x14ac:dyDescent="0.25">
      <c r="A6638" s="12"/>
      <c r="B6638" s="1"/>
      <c r="C6638" s="2"/>
      <c r="D6638" s="1"/>
      <c r="E6638" s="2"/>
      <c r="F6638" s="1"/>
      <c r="G6638" s="1"/>
      <c r="H6638" s="1"/>
      <c r="I6638" s="1"/>
      <c r="J6638" s="1"/>
      <c r="K6638" s="1"/>
      <c r="L6638" s="1"/>
    </row>
    <row r="6639" spans="1:12" ht="12" customHeight="1" x14ac:dyDescent="0.25">
      <c r="A6639" s="12"/>
      <c r="B6639" s="1"/>
      <c r="C6639" s="2"/>
      <c r="D6639" s="1"/>
      <c r="E6639" s="2"/>
      <c r="F6639" s="1"/>
      <c r="G6639" s="1"/>
      <c r="H6639" s="1"/>
      <c r="I6639" s="1"/>
      <c r="J6639" s="1"/>
      <c r="K6639" s="1"/>
      <c r="L6639" s="1"/>
    </row>
    <row r="6640" spans="1:12" ht="12" customHeight="1" x14ac:dyDescent="0.25">
      <c r="A6640" s="12"/>
      <c r="B6640" s="1"/>
      <c r="C6640" s="2"/>
      <c r="D6640" s="1"/>
      <c r="E6640" s="2"/>
      <c r="F6640" s="1"/>
      <c r="G6640" s="1"/>
      <c r="H6640" s="1"/>
      <c r="I6640" s="1"/>
      <c r="J6640" s="1"/>
      <c r="K6640" s="1"/>
      <c r="L6640" s="1"/>
    </row>
    <row r="6641" spans="1:12" ht="12" customHeight="1" x14ac:dyDescent="0.25">
      <c r="A6641" s="12"/>
      <c r="B6641" s="1"/>
      <c r="C6641" s="2"/>
      <c r="D6641" s="1"/>
      <c r="E6641" s="2"/>
      <c r="F6641" s="1"/>
      <c r="G6641" s="1"/>
      <c r="H6641" s="1"/>
      <c r="I6641" s="1"/>
      <c r="J6641" s="1"/>
      <c r="K6641" s="1"/>
      <c r="L6641" s="1"/>
    </row>
    <row r="6642" spans="1:12" ht="12" customHeight="1" x14ac:dyDescent="0.25">
      <c r="A6642" s="12"/>
      <c r="B6642" s="1"/>
      <c r="C6642" s="2"/>
      <c r="D6642" s="1"/>
      <c r="E6642" s="2"/>
      <c r="F6642" s="1"/>
      <c r="G6642" s="1"/>
      <c r="H6642" s="1"/>
      <c r="I6642" s="1"/>
      <c r="J6642" s="1"/>
      <c r="K6642" s="1"/>
      <c r="L6642" s="1"/>
    </row>
    <row r="6643" spans="1:12" ht="12" customHeight="1" x14ac:dyDescent="0.25">
      <c r="A6643" s="12"/>
      <c r="B6643" s="1"/>
      <c r="C6643" s="2"/>
      <c r="D6643" s="1"/>
      <c r="E6643" s="2"/>
      <c r="F6643" s="1"/>
      <c r="G6643" s="1"/>
      <c r="H6643" s="1"/>
      <c r="I6643" s="1"/>
      <c r="J6643" s="1"/>
      <c r="K6643" s="1"/>
      <c r="L6643" s="1"/>
    </row>
    <row r="6644" spans="1:12" ht="12" customHeight="1" x14ac:dyDescent="0.25">
      <c r="A6644" s="12"/>
      <c r="B6644" s="1"/>
      <c r="C6644" s="2"/>
      <c r="D6644" s="1"/>
      <c r="E6644" s="2"/>
      <c r="F6644" s="1"/>
      <c r="G6644" s="1"/>
      <c r="H6644" s="1"/>
      <c r="I6644" s="1"/>
      <c r="J6644" s="1"/>
      <c r="K6644" s="1"/>
      <c r="L6644" s="1"/>
    </row>
    <row r="6645" spans="1:12" ht="12" customHeight="1" x14ac:dyDescent="0.25">
      <c r="A6645" s="12"/>
      <c r="B6645" s="1"/>
      <c r="C6645" s="2"/>
      <c r="D6645" s="1"/>
      <c r="E6645" s="2"/>
      <c r="F6645" s="1"/>
      <c r="G6645" s="1"/>
      <c r="H6645" s="1"/>
      <c r="I6645" s="1"/>
      <c r="J6645" s="1"/>
      <c r="K6645" s="1"/>
      <c r="L6645" s="1"/>
    </row>
    <row r="6646" spans="1:12" ht="12" customHeight="1" x14ac:dyDescent="0.25">
      <c r="A6646" s="12"/>
      <c r="B6646" s="1"/>
      <c r="C6646" s="2"/>
      <c r="D6646" s="1"/>
      <c r="E6646" s="2"/>
      <c r="F6646" s="1"/>
      <c r="G6646" s="1"/>
      <c r="H6646" s="1"/>
      <c r="I6646" s="1"/>
      <c r="J6646" s="1"/>
      <c r="K6646" s="1"/>
      <c r="L6646" s="1"/>
    </row>
    <row r="6647" spans="1:12" ht="12" customHeight="1" x14ac:dyDescent="0.25">
      <c r="A6647" s="12"/>
      <c r="B6647" s="1"/>
      <c r="C6647" s="2"/>
      <c r="D6647" s="1"/>
      <c r="E6647" s="2"/>
      <c r="F6647" s="1"/>
      <c r="G6647" s="1"/>
      <c r="H6647" s="1"/>
      <c r="I6647" s="1"/>
      <c r="J6647" s="1"/>
      <c r="K6647" s="1"/>
      <c r="L6647" s="1"/>
    </row>
    <row r="6648" spans="1:12" ht="12" customHeight="1" x14ac:dyDescent="0.25">
      <c r="A6648" s="12"/>
      <c r="B6648" s="1"/>
      <c r="C6648" s="2"/>
      <c r="D6648" s="1"/>
      <c r="E6648" s="2"/>
      <c r="F6648" s="1"/>
      <c r="G6648" s="1"/>
      <c r="H6648" s="1"/>
      <c r="I6648" s="1"/>
      <c r="J6648" s="1"/>
      <c r="K6648" s="1"/>
      <c r="L6648" s="1"/>
    </row>
    <row r="6649" spans="1:12" ht="12" customHeight="1" x14ac:dyDescent="0.25">
      <c r="A6649" s="12"/>
      <c r="B6649" s="1"/>
      <c r="C6649" s="2"/>
      <c r="D6649" s="1"/>
      <c r="E6649" s="2"/>
      <c r="F6649" s="1"/>
      <c r="G6649" s="1"/>
      <c r="H6649" s="1"/>
      <c r="I6649" s="1"/>
      <c r="J6649" s="1"/>
      <c r="K6649" s="1"/>
      <c r="L6649" s="1"/>
    </row>
    <row r="6650" spans="1:12" ht="12" customHeight="1" x14ac:dyDescent="0.25">
      <c r="A6650" s="12"/>
      <c r="B6650" s="1"/>
      <c r="C6650" s="2"/>
      <c r="D6650" s="1"/>
      <c r="E6650" s="2"/>
      <c r="F6650" s="1"/>
      <c r="G6650" s="1"/>
      <c r="H6650" s="1"/>
      <c r="I6650" s="1"/>
      <c r="J6650" s="1"/>
      <c r="K6650" s="1"/>
      <c r="L6650" s="1"/>
    </row>
    <row r="6651" spans="1:12" ht="12" customHeight="1" x14ac:dyDescent="0.25">
      <c r="A6651" s="12"/>
      <c r="B6651" s="1"/>
      <c r="C6651" s="2"/>
      <c r="D6651" s="1"/>
      <c r="E6651" s="2"/>
      <c r="F6651" s="1"/>
      <c r="G6651" s="1"/>
      <c r="H6651" s="1"/>
      <c r="I6651" s="1"/>
      <c r="J6651" s="1"/>
      <c r="K6651" s="1"/>
      <c r="L6651" s="1"/>
    </row>
    <row r="6652" spans="1:12" ht="12" customHeight="1" x14ac:dyDescent="0.25">
      <c r="A6652" s="12"/>
      <c r="B6652" s="1"/>
      <c r="C6652" s="2"/>
      <c r="D6652" s="1"/>
      <c r="E6652" s="2"/>
      <c r="F6652" s="1"/>
      <c r="G6652" s="1"/>
      <c r="H6652" s="1"/>
      <c r="I6652" s="1"/>
      <c r="J6652" s="1"/>
      <c r="K6652" s="1"/>
      <c r="L6652" s="1"/>
    </row>
    <row r="6653" spans="1:12" ht="12" customHeight="1" x14ac:dyDescent="0.25">
      <c r="A6653" s="12"/>
      <c r="B6653" s="1"/>
      <c r="C6653" s="2"/>
      <c r="D6653" s="1"/>
      <c r="E6653" s="2"/>
      <c r="F6653" s="1"/>
      <c r="G6653" s="1"/>
      <c r="H6653" s="1"/>
      <c r="I6653" s="1"/>
      <c r="J6653" s="1"/>
      <c r="K6653" s="1"/>
      <c r="L6653" s="1"/>
    </row>
    <row r="6654" spans="1:12" ht="12" customHeight="1" x14ac:dyDescent="0.25">
      <c r="A6654" s="12"/>
      <c r="B6654" s="1"/>
      <c r="C6654" s="2"/>
      <c r="D6654" s="1"/>
      <c r="E6654" s="2"/>
      <c r="F6654" s="1"/>
      <c r="G6654" s="1"/>
      <c r="H6654" s="1"/>
      <c r="I6654" s="1"/>
      <c r="J6654" s="1"/>
      <c r="K6654" s="1"/>
      <c r="L6654" s="1"/>
    </row>
    <row r="6655" spans="1:12" ht="12" customHeight="1" x14ac:dyDescent="0.25">
      <c r="A6655" s="12"/>
      <c r="B6655" s="1"/>
      <c r="C6655" s="2"/>
      <c r="D6655" s="1"/>
      <c r="E6655" s="2"/>
      <c r="F6655" s="1"/>
      <c r="G6655" s="1"/>
      <c r="H6655" s="1"/>
      <c r="I6655" s="1"/>
      <c r="J6655" s="1"/>
      <c r="K6655" s="1"/>
      <c r="L6655" s="1"/>
    </row>
    <row r="6656" spans="1:12" ht="12" customHeight="1" x14ac:dyDescent="0.25">
      <c r="A6656" s="12"/>
      <c r="B6656" s="1"/>
      <c r="C6656" s="2"/>
      <c r="D6656" s="1"/>
      <c r="E6656" s="2"/>
      <c r="F6656" s="1"/>
      <c r="G6656" s="1"/>
      <c r="H6656" s="1"/>
      <c r="I6656" s="1"/>
      <c r="J6656" s="1"/>
      <c r="K6656" s="1"/>
      <c r="L6656" s="1"/>
    </row>
    <row r="6657" spans="1:12" ht="12" customHeight="1" x14ac:dyDescent="0.25">
      <c r="A6657" s="12"/>
      <c r="B6657" s="1"/>
      <c r="C6657" s="2"/>
      <c r="D6657" s="1"/>
      <c r="E6657" s="2"/>
      <c r="F6657" s="1"/>
      <c r="G6657" s="1"/>
      <c r="H6657" s="1"/>
      <c r="I6657" s="1"/>
      <c r="J6657" s="1"/>
      <c r="K6657" s="1"/>
      <c r="L6657" s="1"/>
    </row>
    <row r="6658" spans="1:12" ht="12" customHeight="1" x14ac:dyDescent="0.25">
      <c r="A6658" s="12"/>
      <c r="B6658" s="1"/>
      <c r="C6658" s="2"/>
      <c r="D6658" s="1"/>
      <c r="E6658" s="2"/>
      <c r="F6658" s="1"/>
      <c r="G6658" s="1"/>
      <c r="H6658" s="1"/>
      <c r="I6658" s="1"/>
      <c r="J6658" s="1"/>
      <c r="K6658" s="1"/>
      <c r="L6658" s="1"/>
    </row>
    <row r="6659" spans="1:12" ht="12" customHeight="1" x14ac:dyDescent="0.25">
      <c r="A6659" s="12"/>
      <c r="B6659" s="1"/>
      <c r="C6659" s="2"/>
      <c r="D6659" s="1"/>
      <c r="E6659" s="2"/>
      <c r="F6659" s="1"/>
      <c r="G6659" s="1"/>
      <c r="H6659" s="1"/>
      <c r="I6659" s="1"/>
      <c r="J6659" s="1"/>
      <c r="K6659" s="1"/>
      <c r="L6659" s="1"/>
    </row>
    <row r="6660" spans="1:12" ht="12" customHeight="1" x14ac:dyDescent="0.25">
      <c r="A6660" s="12"/>
      <c r="B6660" s="1"/>
      <c r="C6660" s="2"/>
      <c r="D6660" s="1"/>
      <c r="E6660" s="2"/>
      <c r="F6660" s="1"/>
      <c r="G6660" s="1"/>
      <c r="H6660" s="1"/>
      <c r="I6660" s="1"/>
      <c r="J6660" s="1"/>
      <c r="K6660" s="1"/>
      <c r="L6660" s="1"/>
    </row>
    <row r="6661" spans="1:12" ht="12" customHeight="1" x14ac:dyDescent="0.25">
      <c r="A6661" s="12"/>
      <c r="B6661" s="1"/>
      <c r="C6661" s="2"/>
      <c r="D6661" s="1"/>
      <c r="E6661" s="2"/>
      <c r="F6661" s="1"/>
      <c r="G6661" s="1"/>
      <c r="H6661" s="1"/>
      <c r="I6661" s="1"/>
      <c r="J6661" s="1"/>
      <c r="K6661" s="1"/>
      <c r="L6661" s="1"/>
    </row>
    <row r="6662" spans="1:12" ht="12" customHeight="1" x14ac:dyDescent="0.25">
      <c r="A6662" s="12"/>
      <c r="B6662" s="1"/>
      <c r="C6662" s="2"/>
      <c r="D6662" s="1"/>
      <c r="E6662" s="2"/>
      <c r="F6662" s="1"/>
      <c r="G6662" s="1"/>
      <c r="H6662" s="1"/>
      <c r="I6662" s="1"/>
      <c r="J6662" s="1"/>
      <c r="K6662" s="1"/>
      <c r="L6662" s="1"/>
    </row>
    <row r="6663" spans="1:12" ht="12" customHeight="1" x14ac:dyDescent="0.25">
      <c r="A6663" s="12"/>
      <c r="B6663" s="1"/>
      <c r="C6663" s="2"/>
      <c r="D6663" s="1"/>
      <c r="E6663" s="2"/>
      <c r="F6663" s="1"/>
      <c r="G6663" s="1"/>
      <c r="H6663" s="1"/>
      <c r="I6663" s="1"/>
      <c r="J6663" s="1"/>
      <c r="K6663" s="1"/>
      <c r="L6663" s="1"/>
    </row>
    <row r="6664" spans="1:12" ht="12" customHeight="1" x14ac:dyDescent="0.25">
      <c r="A6664" s="12"/>
      <c r="B6664" s="1"/>
      <c r="C6664" s="2"/>
      <c r="D6664" s="1"/>
      <c r="E6664" s="2"/>
      <c r="F6664" s="1"/>
      <c r="G6664" s="1"/>
      <c r="H6664" s="1"/>
      <c r="I6664" s="1"/>
      <c r="J6664" s="1"/>
      <c r="K6664" s="1"/>
      <c r="L6664" s="1"/>
    </row>
    <row r="6665" spans="1:12" ht="12" customHeight="1" x14ac:dyDescent="0.25">
      <c r="A6665" s="12"/>
      <c r="B6665" s="1"/>
      <c r="C6665" s="2"/>
      <c r="D6665" s="1"/>
      <c r="E6665" s="2"/>
      <c r="F6665" s="1"/>
      <c r="G6665" s="1"/>
      <c r="H6665" s="1"/>
      <c r="I6665" s="1"/>
      <c r="J6665" s="1"/>
      <c r="K6665" s="1"/>
      <c r="L6665" s="1"/>
    </row>
    <row r="6666" spans="1:12" ht="12" customHeight="1" x14ac:dyDescent="0.25">
      <c r="A6666" s="12"/>
      <c r="B6666" s="1"/>
      <c r="C6666" s="2"/>
      <c r="D6666" s="1"/>
      <c r="E6666" s="2"/>
      <c r="F6666" s="1"/>
      <c r="G6666" s="1"/>
      <c r="H6666" s="1"/>
      <c r="I6666" s="1"/>
      <c r="J6666" s="1"/>
      <c r="K6666" s="1"/>
      <c r="L6666" s="1"/>
    </row>
    <row r="6667" spans="1:12" ht="12" customHeight="1" x14ac:dyDescent="0.25">
      <c r="A6667" s="12"/>
      <c r="B6667" s="1"/>
      <c r="C6667" s="2"/>
      <c r="D6667" s="1"/>
      <c r="E6667" s="2"/>
      <c r="F6667" s="1"/>
      <c r="G6667" s="1"/>
      <c r="H6667" s="1"/>
      <c r="I6667" s="1"/>
      <c r="J6667" s="1"/>
      <c r="K6667" s="1"/>
      <c r="L6667" s="1"/>
    </row>
    <row r="6668" spans="1:12" ht="12" customHeight="1" x14ac:dyDescent="0.25">
      <c r="A6668" s="12"/>
      <c r="B6668" s="1"/>
      <c r="C6668" s="2"/>
      <c r="D6668" s="1"/>
      <c r="E6668" s="2"/>
      <c r="F6668" s="1"/>
      <c r="G6668" s="1"/>
      <c r="H6668" s="1"/>
      <c r="I6668" s="1"/>
      <c r="J6668" s="1"/>
      <c r="K6668" s="1"/>
      <c r="L6668" s="1"/>
    </row>
    <row r="6669" spans="1:12" ht="12" customHeight="1" x14ac:dyDescent="0.25">
      <c r="A6669" s="12"/>
      <c r="B6669" s="1"/>
      <c r="C6669" s="2"/>
      <c r="D6669" s="1"/>
      <c r="E6669" s="2"/>
      <c r="F6669" s="1"/>
      <c r="G6669" s="1"/>
      <c r="H6669" s="1"/>
      <c r="I6669" s="1"/>
      <c r="J6669" s="1"/>
      <c r="K6669" s="1"/>
      <c r="L6669" s="1"/>
    </row>
    <row r="6670" spans="1:12" ht="12" customHeight="1" x14ac:dyDescent="0.25">
      <c r="A6670" s="12"/>
      <c r="B6670" s="1"/>
      <c r="C6670" s="2"/>
      <c r="D6670" s="1"/>
      <c r="E6670" s="2"/>
      <c r="F6670" s="1"/>
      <c r="G6670" s="1"/>
      <c r="H6670" s="1"/>
      <c r="I6670" s="1"/>
      <c r="J6670" s="1"/>
      <c r="K6670" s="1"/>
      <c r="L6670" s="1"/>
    </row>
    <row r="6671" spans="1:12" ht="12" customHeight="1" x14ac:dyDescent="0.25">
      <c r="A6671" s="12"/>
      <c r="B6671" s="1"/>
      <c r="C6671" s="2"/>
      <c r="D6671" s="1"/>
      <c r="E6671" s="2"/>
      <c r="F6671" s="1"/>
      <c r="G6671" s="1"/>
      <c r="H6671" s="1"/>
      <c r="I6671" s="1"/>
      <c r="J6671" s="1"/>
      <c r="K6671" s="1"/>
      <c r="L6671" s="1"/>
    </row>
    <row r="6672" spans="1:12" ht="12" customHeight="1" x14ac:dyDescent="0.25">
      <c r="A6672" s="12"/>
      <c r="B6672" s="1"/>
      <c r="C6672" s="2"/>
      <c r="D6672" s="1"/>
      <c r="E6672" s="2"/>
      <c r="F6672" s="1"/>
      <c r="G6672" s="1"/>
      <c r="H6672" s="1"/>
      <c r="I6672" s="1"/>
      <c r="J6672" s="1"/>
      <c r="K6672" s="1"/>
      <c r="L6672" s="1"/>
    </row>
    <row r="6673" spans="1:12" ht="12" customHeight="1" x14ac:dyDescent="0.25">
      <c r="A6673" s="12"/>
      <c r="B6673" s="1"/>
      <c r="C6673" s="2"/>
      <c r="D6673" s="1"/>
      <c r="E6673" s="2"/>
      <c r="F6673" s="1"/>
      <c r="G6673" s="1"/>
      <c r="H6673" s="1"/>
      <c r="I6673" s="1"/>
      <c r="J6673" s="1"/>
      <c r="K6673" s="1"/>
      <c r="L6673" s="1"/>
    </row>
    <row r="6674" spans="1:12" ht="12" customHeight="1" x14ac:dyDescent="0.25">
      <c r="A6674" s="12"/>
      <c r="B6674" s="1"/>
      <c r="C6674" s="2"/>
      <c r="D6674" s="1"/>
      <c r="E6674" s="2"/>
      <c r="F6674" s="1"/>
      <c r="G6674" s="1"/>
      <c r="H6674" s="1"/>
      <c r="I6674" s="1"/>
      <c r="J6674" s="1"/>
      <c r="K6674" s="1"/>
      <c r="L6674" s="1"/>
    </row>
    <row r="6675" spans="1:12" ht="12" customHeight="1" x14ac:dyDescent="0.25">
      <c r="A6675" s="12"/>
      <c r="B6675" s="1"/>
      <c r="C6675" s="2"/>
      <c r="D6675" s="1"/>
      <c r="E6675" s="2"/>
      <c r="F6675" s="1"/>
      <c r="G6675" s="1"/>
      <c r="H6675" s="1"/>
      <c r="I6675" s="1"/>
      <c r="J6675" s="1"/>
      <c r="K6675" s="1"/>
      <c r="L6675" s="1"/>
    </row>
    <row r="6676" spans="1:12" ht="12" customHeight="1" x14ac:dyDescent="0.25">
      <c r="A6676" s="12"/>
      <c r="B6676" s="1"/>
      <c r="C6676" s="2"/>
      <c r="D6676" s="1"/>
      <c r="E6676" s="2"/>
      <c r="F6676" s="1"/>
      <c r="G6676" s="1"/>
      <c r="H6676" s="1"/>
      <c r="I6676" s="1"/>
      <c r="J6676" s="1"/>
      <c r="K6676" s="1"/>
      <c r="L6676" s="1"/>
    </row>
    <row r="6677" spans="1:12" ht="12" customHeight="1" x14ac:dyDescent="0.25">
      <c r="A6677" s="12"/>
      <c r="B6677" s="1"/>
      <c r="C6677" s="2"/>
      <c r="D6677" s="1"/>
      <c r="E6677" s="2"/>
      <c r="F6677" s="1"/>
      <c r="G6677" s="1"/>
      <c r="H6677" s="1"/>
      <c r="I6677" s="1"/>
      <c r="J6677" s="1"/>
      <c r="K6677" s="1"/>
      <c r="L6677" s="1"/>
    </row>
    <row r="6678" spans="1:12" ht="12" customHeight="1" x14ac:dyDescent="0.25">
      <c r="A6678" s="12"/>
      <c r="B6678" s="1"/>
      <c r="C6678" s="2"/>
      <c r="D6678" s="1"/>
      <c r="E6678" s="2"/>
      <c r="F6678" s="1"/>
      <c r="G6678" s="1"/>
      <c r="H6678" s="1"/>
      <c r="I6678" s="1"/>
      <c r="J6678" s="1"/>
      <c r="K6678" s="1"/>
      <c r="L6678" s="1"/>
    </row>
    <row r="6679" spans="1:12" ht="12" customHeight="1" x14ac:dyDescent="0.25">
      <c r="A6679" s="12"/>
      <c r="B6679" s="1"/>
      <c r="C6679" s="2"/>
      <c r="D6679" s="1"/>
      <c r="E6679" s="2"/>
      <c r="F6679" s="1"/>
      <c r="G6679" s="1"/>
      <c r="H6679" s="1"/>
      <c r="I6679" s="1"/>
      <c r="J6679" s="1"/>
      <c r="K6679" s="1"/>
      <c r="L6679" s="1"/>
    </row>
    <row r="6680" spans="1:12" ht="12" customHeight="1" x14ac:dyDescent="0.25">
      <c r="A6680" s="12"/>
      <c r="B6680" s="1"/>
      <c r="C6680" s="2"/>
      <c r="D6680" s="1"/>
      <c r="E6680" s="2"/>
      <c r="F6680" s="1"/>
      <c r="G6680" s="1"/>
      <c r="H6680" s="1"/>
      <c r="I6680" s="1"/>
      <c r="J6680" s="1"/>
      <c r="K6680" s="1"/>
      <c r="L6680" s="1"/>
    </row>
    <row r="6681" spans="1:12" ht="12" customHeight="1" x14ac:dyDescent="0.25">
      <c r="A6681" s="12"/>
      <c r="B6681" s="1"/>
      <c r="C6681" s="2"/>
      <c r="D6681" s="1"/>
      <c r="E6681" s="2"/>
      <c r="F6681" s="1"/>
      <c r="G6681" s="1"/>
      <c r="H6681" s="1"/>
      <c r="I6681" s="1"/>
      <c r="J6681" s="1"/>
      <c r="K6681" s="1"/>
      <c r="L6681" s="1"/>
    </row>
    <row r="6682" spans="1:12" ht="12" customHeight="1" x14ac:dyDescent="0.25">
      <c r="A6682" s="12"/>
      <c r="B6682" s="1"/>
      <c r="C6682" s="2"/>
      <c r="D6682" s="1"/>
      <c r="E6682" s="2"/>
      <c r="F6682" s="1"/>
      <c r="G6682" s="1"/>
      <c r="H6682" s="1"/>
      <c r="I6682" s="1"/>
      <c r="J6682" s="1"/>
      <c r="K6682" s="1"/>
      <c r="L6682" s="1"/>
    </row>
    <row r="6683" spans="1:12" ht="12" customHeight="1" x14ac:dyDescent="0.25">
      <c r="A6683" s="12"/>
      <c r="B6683" s="1"/>
      <c r="C6683" s="2"/>
      <c r="D6683" s="1"/>
      <c r="E6683" s="2"/>
      <c r="F6683" s="1"/>
      <c r="G6683" s="1"/>
      <c r="H6683" s="1"/>
      <c r="I6683" s="1"/>
      <c r="J6683" s="1"/>
      <c r="K6683" s="1"/>
      <c r="L6683" s="1"/>
    </row>
    <row r="6684" spans="1:12" ht="12" customHeight="1" x14ac:dyDescent="0.25">
      <c r="A6684" s="12"/>
      <c r="B6684" s="1"/>
      <c r="C6684" s="2"/>
      <c r="D6684" s="1"/>
      <c r="E6684" s="2"/>
      <c r="F6684" s="1"/>
      <c r="G6684" s="1"/>
      <c r="H6684" s="1"/>
      <c r="I6684" s="1"/>
      <c r="J6684" s="1"/>
      <c r="K6684" s="1"/>
      <c r="L6684" s="1"/>
    </row>
    <row r="6685" spans="1:12" ht="12" customHeight="1" x14ac:dyDescent="0.25">
      <c r="A6685" s="12"/>
      <c r="B6685" s="1"/>
      <c r="C6685" s="2"/>
      <c r="D6685" s="1"/>
      <c r="E6685" s="2"/>
      <c r="F6685" s="1"/>
      <c r="G6685" s="1"/>
      <c r="H6685" s="1"/>
      <c r="I6685" s="1"/>
      <c r="J6685" s="1"/>
      <c r="K6685" s="1"/>
      <c r="L6685" s="1"/>
    </row>
    <row r="6686" spans="1:12" ht="12" customHeight="1" x14ac:dyDescent="0.25">
      <c r="A6686" s="12"/>
      <c r="B6686" s="1"/>
      <c r="C6686" s="2"/>
      <c r="D6686" s="1"/>
      <c r="E6686" s="2"/>
      <c r="F6686" s="1"/>
      <c r="G6686" s="1"/>
      <c r="H6686" s="1"/>
      <c r="I6686" s="1"/>
      <c r="J6686" s="1"/>
      <c r="K6686" s="1"/>
      <c r="L6686" s="1"/>
    </row>
    <row r="6687" spans="1:12" ht="12" customHeight="1" x14ac:dyDescent="0.25">
      <c r="A6687" s="12"/>
      <c r="B6687" s="1"/>
      <c r="C6687" s="2"/>
      <c r="D6687" s="1"/>
      <c r="E6687" s="2"/>
      <c r="F6687" s="1"/>
      <c r="G6687" s="1"/>
      <c r="H6687" s="1"/>
      <c r="I6687" s="1"/>
      <c r="J6687" s="1"/>
      <c r="K6687" s="1"/>
      <c r="L6687" s="1"/>
    </row>
    <row r="6688" spans="1:12" ht="12" customHeight="1" x14ac:dyDescent="0.25">
      <c r="A6688" s="12"/>
      <c r="B6688" s="1"/>
      <c r="C6688" s="2"/>
      <c r="D6688" s="1"/>
      <c r="E6688" s="2"/>
      <c r="F6688" s="1"/>
      <c r="G6688" s="1"/>
      <c r="H6688" s="1"/>
      <c r="I6688" s="1"/>
      <c r="J6688" s="1"/>
      <c r="K6688" s="1"/>
      <c r="L6688" s="1"/>
    </row>
    <row r="6689" spans="1:12" ht="12" customHeight="1" x14ac:dyDescent="0.25">
      <c r="A6689" s="12"/>
      <c r="B6689" s="1"/>
      <c r="C6689" s="2"/>
      <c r="D6689" s="1"/>
      <c r="E6689" s="2"/>
      <c r="F6689" s="1"/>
      <c r="G6689" s="1"/>
      <c r="H6689" s="1"/>
      <c r="I6689" s="1"/>
      <c r="J6689" s="1"/>
      <c r="K6689" s="1"/>
      <c r="L6689" s="1"/>
    </row>
    <row r="6690" spans="1:12" ht="12" customHeight="1" x14ac:dyDescent="0.25">
      <c r="A6690" s="12"/>
      <c r="B6690" s="1"/>
      <c r="C6690" s="2"/>
      <c r="D6690" s="1"/>
      <c r="E6690" s="2"/>
      <c r="F6690" s="1"/>
      <c r="G6690" s="1"/>
      <c r="H6690" s="1"/>
      <c r="I6690" s="1"/>
      <c r="J6690" s="1"/>
      <c r="K6690" s="1"/>
      <c r="L6690" s="1"/>
    </row>
    <row r="6691" spans="1:12" ht="12" customHeight="1" x14ac:dyDescent="0.25">
      <c r="A6691" s="12"/>
      <c r="B6691" s="1"/>
      <c r="C6691" s="2"/>
      <c r="D6691" s="1"/>
      <c r="E6691" s="2"/>
      <c r="F6691" s="1"/>
      <c r="G6691" s="1"/>
      <c r="H6691" s="1"/>
      <c r="I6691" s="1"/>
      <c r="J6691" s="1"/>
      <c r="K6691" s="1"/>
      <c r="L6691" s="1"/>
    </row>
    <row r="6692" spans="1:12" ht="12" customHeight="1" x14ac:dyDescent="0.25">
      <c r="A6692" s="12"/>
      <c r="B6692" s="1"/>
      <c r="C6692" s="2"/>
      <c r="D6692" s="1"/>
      <c r="E6692" s="2"/>
      <c r="F6692" s="1"/>
      <c r="G6692" s="1"/>
      <c r="H6692" s="1"/>
      <c r="I6692" s="1"/>
      <c r="J6692" s="1"/>
      <c r="K6692" s="1"/>
      <c r="L6692" s="1"/>
    </row>
    <row r="6693" spans="1:12" ht="12" customHeight="1" x14ac:dyDescent="0.25">
      <c r="A6693" s="12"/>
      <c r="B6693" s="1"/>
      <c r="C6693" s="2"/>
      <c r="D6693" s="1"/>
      <c r="E6693" s="2"/>
      <c r="F6693" s="1"/>
      <c r="G6693" s="1"/>
      <c r="H6693" s="1"/>
      <c r="I6693" s="1"/>
      <c r="J6693" s="1"/>
      <c r="K6693" s="1"/>
      <c r="L6693" s="1"/>
    </row>
    <row r="6694" spans="1:12" ht="12" customHeight="1" x14ac:dyDescent="0.25">
      <c r="A6694" s="12"/>
      <c r="B6694" s="1"/>
      <c r="C6694" s="2"/>
      <c r="D6694" s="1"/>
      <c r="E6694" s="2"/>
      <c r="F6694" s="1"/>
      <c r="G6694" s="1"/>
      <c r="H6694" s="1"/>
      <c r="I6694" s="1"/>
      <c r="J6694" s="1"/>
      <c r="K6694" s="1"/>
      <c r="L6694" s="1"/>
    </row>
    <row r="6695" spans="1:12" ht="12" customHeight="1" x14ac:dyDescent="0.25">
      <c r="A6695" s="12"/>
      <c r="B6695" s="1"/>
      <c r="C6695" s="2"/>
      <c r="D6695" s="1"/>
      <c r="E6695" s="2"/>
      <c r="F6695" s="1"/>
      <c r="G6695" s="1"/>
      <c r="H6695" s="1"/>
      <c r="I6695" s="1"/>
      <c r="J6695" s="1"/>
      <c r="K6695" s="1"/>
      <c r="L6695" s="1"/>
    </row>
    <row r="6696" spans="1:12" ht="12" customHeight="1" x14ac:dyDescent="0.25">
      <c r="A6696" s="12"/>
      <c r="B6696" s="1"/>
      <c r="C6696" s="2"/>
      <c r="D6696" s="1"/>
      <c r="E6696" s="2"/>
      <c r="F6696" s="1"/>
      <c r="G6696" s="1"/>
      <c r="H6696" s="1"/>
      <c r="I6696" s="1"/>
      <c r="J6696" s="1"/>
      <c r="K6696" s="1"/>
      <c r="L6696" s="1"/>
    </row>
    <row r="6697" spans="1:12" ht="12" customHeight="1" x14ac:dyDescent="0.25">
      <c r="A6697" s="12"/>
      <c r="B6697" s="1"/>
      <c r="C6697" s="2"/>
      <c r="D6697" s="1"/>
      <c r="E6697" s="2"/>
      <c r="F6697" s="1"/>
      <c r="G6697" s="1"/>
      <c r="H6697" s="1"/>
      <c r="I6697" s="1"/>
      <c r="J6697" s="1"/>
      <c r="K6697" s="1"/>
      <c r="L6697" s="1"/>
    </row>
    <row r="6698" spans="1:12" ht="12" customHeight="1" x14ac:dyDescent="0.25">
      <c r="A6698" s="12"/>
      <c r="B6698" s="1"/>
      <c r="C6698" s="2"/>
      <c r="D6698" s="1"/>
      <c r="E6698" s="2"/>
      <c r="F6698" s="1"/>
      <c r="G6698" s="1"/>
      <c r="H6698" s="1"/>
      <c r="I6698" s="1"/>
      <c r="J6698" s="1"/>
      <c r="K6698" s="1"/>
      <c r="L6698" s="1"/>
    </row>
    <row r="6699" spans="1:12" ht="12" customHeight="1" x14ac:dyDescent="0.25">
      <c r="A6699" s="12"/>
      <c r="B6699" s="1"/>
      <c r="C6699" s="2"/>
      <c r="D6699" s="1"/>
      <c r="E6699" s="2"/>
      <c r="F6699" s="1"/>
      <c r="G6699" s="1"/>
      <c r="H6699" s="1"/>
      <c r="I6699" s="1"/>
      <c r="J6699" s="1"/>
      <c r="K6699" s="1"/>
      <c r="L6699" s="1"/>
    </row>
    <row r="6700" spans="1:12" ht="12" customHeight="1" x14ac:dyDescent="0.25">
      <c r="A6700" s="12"/>
      <c r="B6700" s="1"/>
      <c r="C6700" s="2"/>
      <c r="D6700" s="1"/>
      <c r="E6700" s="2"/>
      <c r="F6700" s="1"/>
      <c r="G6700" s="1"/>
      <c r="H6700" s="1"/>
      <c r="I6700" s="1"/>
      <c r="J6700" s="1"/>
      <c r="K6700" s="1"/>
      <c r="L6700" s="1"/>
    </row>
    <row r="6701" spans="1:12" ht="12" customHeight="1" x14ac:dyDescent="0.25">
      <c r="A6701" s="12"/>
      <c r="B6701" s="1"/>
      <c r="C6701" s="2"/>
      <c r="D6701" s="1"/>
      <c r="E6701" s="2"/>
      <c r="F6701" s="1"/>
      <c r="G6701" s="1"/>
      <c r="H6701" s="1"/>
      <c r="I6701" s="1"/>
      <c r="J6701" s="1"/>
      <c r="K6701" s="1"/>
      <c r="L6701" s="1"/>
    </row>
    <row r="6702" spans="1:12" ht="12" customHeight="1" x14ac:dyDescent="0.25">
      <c r="A6702" s="12"/>
      <c r="B6702" s="1"/>
      <c r="C6702" s="2"/>
      <c r="D6702" s="1"/>
      <c r="E6702" s="2"/>
      <c r="F6702" s="1"/>
      <c r="G6702" s="1"/>
      <c r="H6702" s="1"/>
      <c r="I6702" s="1"/>
      <c r="J6702" s="1"/>
      <c r="K6702" s="1"/>
      <c r="L6702" s="1"/>
    </row>
    <row r="6703" spans="1:12" ht="12" customHeight="1" x14ac:dyDescent="0.25">
      <c r="A6703" s="12"/>
      <c r="B6703" s="1"/>
      <c r="C6703" s="2"/>
      <c r="D6703" s="1"/>
      <c r="E6703" s="2"/>
      <c r="F6703" s="1"/>
      <c r="G6703" s="1"/>
      <c r="H6703" s="1"/>
      <c r="I6703" s="1"/>
      <c r="J6703" s="1"/>
      <c r="K6703" s="1"/>
      <c r="L6703" s="1"/>
    </row>
    <row r="6704" spans="1:12" ht="12" customHeight="1" x14ac:dyDescent="0.25">
      <c r="A6704" s="12"/>
      <c r="B6704" s="1"/>
      <c r="C6704" s="2"/>
      <c r="D6704" s="1"/>
      <c r="E6704" s="2"/>
      <c r="F6704" s="1"/>
      <c r="G6704" s="1"/>
      <c r="H6704" s="1"/>
      <c r="I6704" s="1"/>
      <c r="J6704" s="1"/>
      <c r="K6704" s="1"/>
      <c r="L6704" s="1"/>
    </row>
    <row r="6705" spans="1:12" ht="12" customHeight="1" x14ac:dyDescent="0.25">
      <c r="A6705" s="12"/>
      <c r="B6705" s="1"/>
      <c r="C6705" s="2"/>
      <c r="D6705" s="1"/>
      <c r="E6705" s="2"/>
      <c r="F6705" s="1"/>
      <c r="G6705" s="1"/>
      <c r="H6705" s="1"/>
      <c r="I6705" s="1"/>
      <c r="J6705" s="1"/>
      <c r="K6705" s="1"/>
      <c r="L6705" s="1"/>
    </row>
    <row r="6706" spans="1:12" ht="12" customHeight="1" x14ac:dyDescent="0.25">
      <c r="A6706" s="12"/>
      <c r="B6706" s="1"/>
      <c r="C6706" s="2"/>
      <c r="D6706" s="1"/>
      <c r="E6706" s="2"/>
      <c r="F6706" s="1"/>
      <c r="G6706" s="1"/>
      <c r="H6706" s="1"/>
      <c r="I6706" s="1"/>
      <c r="J6706" s="1"/>
      <c r="K6706" s="1"/>
      <c r="L6706" s="1"/>
    </row>
    <row r="6707" spans="1:12" ht="12" customHeight="1" x14ac:dyDescent="0.25">
      <c r="A6707" s="12"/>
      <c r="B6707" s="1"/>
      <c r="C6707" s="2"/>
      <c r="D6707" s="1"/>
      <c r="E6707" s="2"/>
      <c r="F6707" s="1"/>
      <c r="G6707" s="1"/>
      <c r="H6707" s="1"/>
      <c r="I6707" s="1"/>
      <c r="J6707" s="1"/>
      <c r="K6707" s="1"/>
      <c r="L6707" s="1"/>
    </row>
    <row r="6708" spans="1:12" ht="12" customHeight="1" x14ac:dyDescent="0.25">
      <c r="A6708" s="12"/>
      <c r="B6708" s="1"/>
      <c r="C6708" s="2"/>
      <c r="D6708" s="1"/>
      <c r="E6708" s="2"/>
      <c r="F6708" s="1"/>
      <c r="G6708" s="1"/>
      <c r="H6708" s="1"/>
      <c r="I6708" s="1"/>
      <c r="J6708" s="1"/>
      <c r="K6708" s="1"/>
      <c r="L6708" s="1"/>
    </row>
    <row r="6709" spans="1:12" ht="12" customHeight="1" x14ac:dyDescent="0.25">
      <c r="A6709" s="12"/>
      <c r="B6709" s="1"/>
      <c r="C6709" s="2"/>
      <c r="D6709" s="1"/>
      <c r="E6709" s="2"/>
      <c r="F6709" s="1"/>
      <c r="G6709" s="1"/>
      <c r="H6709" s="1"/>
      <c r="I6709" s="1"/>
      <c r="J6709" s="1"/>
      <c r="K6709" s="1"/>
      <c r="L6709" s="1"/>
    </row>
    <row r="6710" spans="1:12" ht="12" customHeight="1" x14ac:dyDescent="0.25">
      <c r="A6710" s="12"/>
      <c r="B6710" s="1"/>
      <c r="C6710" s="2"/>
      <c r="D6710" s="1"/>
      <c r="E6710" s="2"/>
      <c r="F6710" s="1"/>
      <c r="G6710" s="1"/>
      <c r="H6710" s="1"/>
      <c r="I6710" s="1"/>
      <c r="J6710" s="1"/>
      <c r="K6710" s="1"/>
      <c r="L6710" s="1"/>
    </row>
    <row r="6711" spans="1:12" ht="12" customHeight="1" x14ac:dyDescent="0.25">
      <c r="A6711" s="12"/>
      <c r="B6711" s="1"/>
      <c r="C6711" s="2"/>
      <c r="D6711" s="1"/>
      <c r="E6711" s="2"/>
      <c r="F6711" s="1"/>
      <c r="G6711" s="1"/>
      <c r="H6711" s="1"/>
      <c r="I6711" s="1"/>
      <c r="J6711" s="1"/>
      <c r="K6711" s="1"/>
      <c r="L6711" s="1"/>
    </row>
    <row r="6712" spans="1:12" ht="12" customHeight="1" x14ac:dyDescent="0.25">
      <c r="A6712" s="12"/>
      <c r="B6712" s="1"/>
      <c r="C6712" s="2"/>
      <c r="D6712" s="1"/>
      <c r="E6712" s="2"/>
      <c r="F6712" s="1"/>
      <c r="G6712" s="1"/>
      <c r="H6712" s="1"/>
      <c r="I6712" s="1"/>
      <c r="J6712" s="1"/>
      <c r="K6712" s="1"/>
      <c r="L6712" s="1"/>
    </row>
    <row r="6713" spans="1:12" ht="12" customHeight="1" x14ac:dyDescent="0.25">
      <c r="A6713" s="12"/>
      <c r="B6713" s="1"/>
      <c r="C6713" s="2"/>
      <c r="D6713" s="1"/>
      <c r="E6713" s="2"/>
      <c r="F6713" s="1"/>
      <c r="G6713" s="1"/>
      <c r="H6713" s="1"/>
      <c r="I6713" s="1"/>
      <c r="J6713" s="1"/>
      <c r="K6713" s="1"/>
      <c r="L6713" s="1"/>
    </row>
    <row r="6714" spans="1:12" ht="12" customHeight="1" x14ac:dyDescent="0.25">
      <c r="A6714" s="12"/>
      <c r="B6714" s="1"/>
      <c r="C6714" s="2"/>
      <c r="D6714" s="1"/>
      <c r="E6714" s="2"/>
      <c r="F6714" s="1"/>
      <c r="G6714" s="1"/>
      <c r="H6714" s="1"/>
      <c r="I6714" s="1"/>
      <c r="J6714" s="1"/>
      <c r="K6714" s="1"/>
      <c r="L6714" s="1"/>
    </row>
    <row r="6715" spans="1:12" ht="12" customHeight="1" x14ac:dyDescent="0.25">
      <c r="A6715" s="12"/>
      <c r="B6715" s="1"/>
      <c r="C6715" s="2"/>
      <c r="D6715" s="1"/>
      <c r="E6715" s="2"/>
      <c r="F6715" s="1"/>
      <c r="G6715" s="1"/>
      <c r="H6715" s="1"/>
      <c r="I6715" s="1"/>
      <c r="J6715" s="1"/>
      <c r="K6715" s="1"/>
      <c r="L6715" s="1"/>
    </row>
    <row r="6716" spans="1:12" ht="12" customHeight="1" x14ac:dyDescent="0.25">
      <c r="A6716" s="12"/>
      <c r="B6716" s="1"/>
      <c r="C6716" s="2"/>
      <c r="D6716" s="1"/>
      <c r="E6716" s="2"/>
      <c r="F6716" s="1"/>
      <c r="G6716" s="1"/>
      <c r="H6716" s="1"/>
      <c r="I6716" s="1"/>
      <c r="J6716" s="1"/>
      <c r="K6716" s="1"/>
      <c r="L6716" s="1"/>
    </row>
    <row r="6717" spans="1:12" ht="12" customHeight="1" x14ac:dyDescent="0.25">
      <c r="A6717" s="12"/>
      <c r="B6717" s="1"/>
      <c r="C6717" s="2"/>
      <c r="D6717" s="1"/>
      <c r="E6717" s="2"/>
      <c r="F6717" s="1"/>
      <c r="G6717" s="1"/>
      <c r="H6717" s="1"/>
      <c r="I6717" s="1"/>
      <c r="J6717" s="1"/>
      <c r="K6717" s="1"/>
      <c r="L6717" s="1"/>
    </row>
    <row r="6718" spans="1:12" ht="12" customHeight="1" x14ac:dyDescent="0.25">
      <c r="A6718" s="12"/>
      <c r="B6718" s="1"/>
      <c r="C6718" s="2"/>
      <c r="D6718" s="1"/>
      <c r="E6718" s="2"/>
      <c r="F6718" s="1"/>
      <c r="G6718" s="1"/>
      <c r="H6718" s="1"/>
      <c r="I6718" s="1"/>
      <c r="J6718" s="1"/>
      <c r="K6718" s="1"/>
      <c r="L6718" s="1"/>
    </row>
    <row r="6719" spans="1:12" ht="12" customHeight="1" x14ac:dyDescent="0.25">
      <c r="A6719" s="12"/>
      <c r="B6719" s="1"/>
      <c r="C6719" s="2"/>
      <c r="D6719" s="1"/>
      <c r="E6719" s="2"/>
      <c r="F6719" s="1"/>
      <c r="G6719" s="1"/>
      <c r="H6719" s="1"/>
      <c r="I6719" s="1"/>
      <c r="J6719" s="1"/>
      <c r="K6719" s="1"/>
      <c r="L6719" s="1"/>
    </row>
    <row r="6720" spans="1:12" ht="12" customHeight="1" x14ac:dyDescent="0.25">
      <c r="A6720" s="12"/>
      <c r="B6720" s="1"/>
      <c r="C6720" s="2"/>
      <c r="D6720" s="1"/>
      <c r="E6720" s="2"/>
      <c r="F6720" s="1"/>
      <c r="G6720" s="1"/>
      <c r="H6720" s="1"/>
      <c r="I6720" s="1"/>
      <c r="J6720" s="1"/>
      <c r="K6720" s="1"/>
      <c r="L6720" s="1"/>
    </row>
    <row r="6721" spans="1:12" ht="12" customHeight="1" x14ac:dyDescent="0.25">
      <c r="A6721" s="12"/>
      <c r="B6721" s="1"/>
      <c r="C6721" s="2"/>
      <c r="D6721" s="1"/>
      <c r="E6721" s="2"/>
      <c r="F6721" s="1"/>
      <c r="G6721" s="1"/>
      <c r="H6721" s="1"/>
      <c r="I6721" s="1"/>
      <c r="J6721" s="1"/>
      <c r="K6721" s="1"/>
      <c r="L6721" s="1"/>
    </row>
    <row r="6722" spans="1:12" ht="12" customHeight="1" x14ac:dyDescent="0.25">
      <c r="A6722" s="12"/>
      <c r="B6722" s="1"/>
      <c r="C6722" s="2"/>
      <c r="D6722" s="1"/>
      <c r="E6722" s="2"/>
      <c r="F6722" s="1"/>
      <c r="G6722" s="1"/>
      <c r="H6722" s="1"/>
      <c r="I6722" s="1"/>
      <c r="J6722" s="1"/>
      <c r="K6722" s="1"/>
      <c r="L6722" s="1"/>
    </row>
    <row r="6723" spans="1:12" ht="12" customHeight="1" x14ac:dyDescent="0.25">
      <c r="A6723" s="12"/>
      <c r="B6723" s="1"/>
      <c r="C6723" s="2"/>
      <c r="D6723" s="1"/>
      <c r="E6723" s="2"/>
      <c r="F6723" s="1"/>
      <c r="G6723" s="1"/>
      <c r="H6723" s="1"/>
      <c r="I6723" s="1"/>
      <c r="J6723" s="1"/>
      <c r="K6723" s="1"/>
      <c r="L6723" s="1"/>
    </row>
    <row r="6724" spans="1:12" ht="12" customHeight="1" x14ac:dyDescent="0.25">
      <c r="A6724" s="12"/>
      <c r="B6724" s="1"/>
      <c r="C6724" s="2"/>
      <c r="D6724" s="1"/>
      <c r="E6724" s="2"/>
      <c r="F6724" s="1"/>
      <c r="G6724" s="1"/>
      <c r="H6724" s="1"/>
      <c r="I6724" s="1"/>
      <c r="J6724" s="1"/>
      <c r="K6724" s="1"/>
      <c r="L6724" s="1"/>
    </row>
    <row r="6725" spans="1:12" ht="12" customHeight="1" x14ac:dyDescent="0.25">
      <c r="A6725" s="12"/>
      <c r="B6725" s="1"/>
      <c r="C6725" s="2"/>
      <c r="D6725" s="1"/>
      <c r="E6725" s="2"/>
      <c r="F6725" s="1"/>
      <c r="G6725" s="1"/>
      <c r="H6725" s="1"/>
      <c r="I6725" s="1"/>
      <c r="J6725" s="1"/>
      <c r="K6725" s="1"/>
      <c r="L6725" s="1"/>
    </row>
    <row r="6726" spans="1:12" ht="12" customHeight="1" x14ac:dyDescent="0.25">
      <c r="A6726" s="12"/>
      <c r="B6726" s="1"/>
      <c r="C6726" s="2"/>
      <c r="D6726" s="1"/>
      <c r="E6726" s="2"/>
      <c r="F6726" s="1"/>
      <c r="G6726" s="1"/>
      <c r="H6726" s="1"/>
      <c r="I6726" s="1"/>
      <c r="J6726" s="1"/>
      <c r="K6726" s="1"/>
      <c r="L6726" s="1"/>
    </row>
    <row r="6727" spans="1:12" ht="12" customHeight="1" x14ac:dyDescent="0.25">
      <c r="A6727" s="12"/>
      <c r="B6727" s="1"/>
      <c r="C6727" s="2"/>
      <c r="D6727" s="1"/>
      <c r="E6727" s="2"/>
      <c r="F6727" s="1"/>
      <c r="G6727" s="1"/>
      <c r="H6727" s="1"/>
      <c r="I6727" s="1"/>
      <c r="J6727" s="1"/>
      <c r="K6727" s="1"/>
      <c r="L6727" s="1"/>
    </row>
    <row r="6728" spans="1:12" ht="12" customHeight="1" x14ac:dyDescent="0.25">
      <c r="A6728" s="12"/>
      <c r="B6728" s="1"/>
      <c r="C6728" s="2"/>
      <c r="D6728" s="1"/>
      <c r="E6728" s="2"/>
      <c r="F6728" s="1"/>
      <c r="G6728" s="1"/>
      <c r="H6728" s="1"/>
      <c r="I6728" s="1"/>
      <c r="J6728" s="1"/>
      <c r="K6728" s="1"/>
      <c r="L6728" s="1"/>
    </row>
    <row r="6729" spans="1:12" ht="12" customHeight="1" x14ac:dyDescent="0.25">
      <c r="A6729" s="12"/>
      <c r="B6729" s="1"/>
      <c r="C6729" s="2"/>
      <c r="D6729" s="1"/>
      <c r="E6729" s="2"/>
      <c r="F6729" s="1"/>
      <c r="G6729" s="1"/>
      <c r="H6729" s="1"/>
      <c r="I6729" s="1"/>
      <c r="J6729" s="1"/>
      <c r="K6729" s="1"/>
      <c r="L6729" s="1"/>
    </row>
    <row r="6730" spans="1:12" ht="12" customHeight="1" x14ac:dyDescent="0.25">
      <c r="A6730" s="12"/>
      <c r="B6730" s="1"/>
      <c r="C6730" s="2"/>
      <c r="D6730" s="1"/>
      <c r="E6730" s="2"/>
      <c r="F6730" s="1"/>
      <c r="G6730" s="1"/>
      <c r="H6730" s="1"/>
      <c r="I6730" s="1"/>
      <c r="J6730" s="1"/>
      <c r="K6730" s="1"/>
      <c r="L6730" s="1"/>
    </row>
    <row r="6731" spans="1:12" ht="12" customHeight="1" x14ac:dyDescent="0.25">
      <c r="A6731" s="12"/>
      <c r="B6731" s="1"/>
      <c r="C6731" s="2"/>
      <c r="D6731" s="1"/>
      <c r="E6731" s="2"/>
      <c r="F6731" s="1"/>
      <c r="G6731" s="1"/>
      <c r="H6731" s="1"/>
      <c r="I6731" s="1"/>
      <c r="J6731" s="1"/>
      <c r="K6731" s="1"/>
      <c r="L6731" s="1"/>
    </row>
    <row r="6732" spans="1:12" ht="12" customHeight="1" x14ac:dyDescent="0.25">
      <c r="A6732" s="12"/>
      <c r="B6732" s="1"/>
      <c r="C6732" s="2"/>
      <c r="D6732" s="1"/>
      <c r="E6732" s="2"/>
      <c r="F6732" s="1"/>
      <c r="G6732" s="1"/>
      <c r="H6732" s="1"/>
      <c r="I6732" s="1"/>
      <c r="J6732" s="1"/>
      <c r="K6732" s="1"/>
      <c r="L6732" s="1"/>
    </row>
    <row r="6733" spans="1:12" ht="12" customHeight="1" x14ac:dyDescent="0.25">
      <c r="A6733" s="12"/>
      <c r="B6733" s="1"/>
      <c r="C6733" s="2"/>
      <c r="D6733" s="1"/>
      <c r="E6733" s="2"/>
      <c r="F6733" s="1"/>
      <c r="G6733" s="1"/>
      <c r="H6733" s="1"/>
      <c r="I6733" s="1"/>
      <c r="J6733" s="1"/>
      <c r="K6733" s="1"/>
      <c r="L6733" s="1"/>
    </row>
    <row r="6734" spans="1:12" ht="12" customHeight="1" x14ac:dyDescent="0.25">
      <c r="A6734" s="12"/>
      <c r="B6734" s="1"/>
      <c r="C6734" s="2"/>
      <c r="D6734" s="1"/>
      <c r="E6734" s="2"/>
      <c r="F6734" s="1"/>
      <c r="G6734" s="1"/>
      <c r="H6734" s="1"/>
      <c r="I6734" s="1"/>
      <c r="J6734" s="1"/>
      <c r="K6734" s="1"/>
      <c r="L6734" s="1"/>
    </row>
    <row r="6735" spans="1:12" ht="12" customHeight="1" x14ac:dyDescent="0.25">
      <c r="A6735" s="12"/>
      <c r="B6735" s="1"/>
      <c r="C6735" s="2"/>
      <c r="D6735" s="1"/>
      <c r="E6735" s="2"/>
      <c r="F6735" s="1"/>
      <c r="G6735" s="1"/>
      <c r="H6735" s="1"/>
      <c r="I6735" s="1"/>
      <c r="J6735" s="1"/>
      <c r="K6735" s="1"/>
      <c r="L6735" s="1"/>
    </row>
    <row r="6736" spans="1:12" ht="12" customHeight="1" x14ac:dyDescent="0.25">
      <c r="A6736" s="12"/>
      <c r="B6736" s="1"/>
      <c r="C6736" s="2"/>
      <c r="D6736" s="1"/>
      <c r="E6736" s="2"/>
      <c r="F6736" s="1"/>
      <c r="G6736" s="1"/>
      <c r="H6736" s="1"/>
      <c r="I6736" s="1"/>
      <c r="J6736" s="1"/>
      <c r="K6736" s="1"/>
      <c r="L6736" s="1"/>
    </row>
    <row r="6737" spans="1:12" ht="12" customHeight="1" x14ac:dyDescent="0.25">
      <c r="A6737" s="12"/>
      <c r="B6737" s="1"/>
      <c r="C6737" s="2"/>
      <c r="D6737" s="1"/>
      <c r="E6737" s="2"/>
      <c r="F6737" s="1"/>
      <c r="G6737" s="1"/>
      <c r="H6737" s="1"/>
      <c r="I6737" s="1"/>
      <c r="J6737" s="1"/>
      <c r="K6737" s="1"/>
      <c r="L6737" s="1"/>
    </row>
    <row r="6738" spans="1:12" ht="12" customHeight="1" x14ac:dyDescent="0.25">
      <c r="A6738" s="12"/>
      <c r="B6738" s="1"/>
      <c r="C6738" s="2"/>
      <c r="D6738" s="1"/>
      <c r="E6738" s="2"/>
      <c r="F6738" s="1"/>
      <c r="G6738" s="1"/>
      <c r="H6738" s="1"/>
      <c r="I6738" s="1"/>
      <c r="J6738" s="1"/>
      <c r="K6738" s="1"/>
      <c r="L6738" s="1"/>
    </row>
    <row r="6739" spans="1:12" ht="12" customHeight="1" x14ac:dyDescent="0.25">
      <c r="A6739" s="12"/>
      <c r="B6739" s="1"/>
      <c r="C6739" s="2"/>
      <c r="D6739" s="1"/>
      <c r="E6739" s="2"/>
      <c r="F6739" s="1"/>
      <c r="G6739" s="1"/>
      <c r="H6739" s="1"/>
      <c r="I6739" s="1"/>
      <c r="J6739" s="1"/>
      <c r="K6739" s="1"/>
      <c r="L6739" s="1"/>
    </row>
    <row r="6740" spans="1:12" ht="12" customHeight="1" x14ac:dyDescent="0.25">
      <c r="A6740" s="12"/>
      <c r="B6740" s="1"/>
      <c r="C6740" s="2"/>
      <c r="D6740" s="1"/>
      <c r="E6740" s="2"/>
      <c r="F6740" s="1"/>
      <c r="G6740" s="1"/>
      <c r="H6740" s="1"/>
      <c r="I6740" s="1"/>
      <c r="J6740" s="1"/>
      <c r="K6740" s="1"/>
      <c r="L6740" s="1"/>
    </row>
    <row r="6741" spans="1:12" ht="12" customHeight="1" x14ac:dyDescent="0.25">
      <c r="A6741" s="12"/>
      <c r="B6741" s="1"/>
      <c r="C6741" s="2"/>
      <c r="D6741" s="1"/>
      <c r="E6741" s="2"/>
      <c r="F6741" s="1"/>
      <c r="G6741" s="1"/>
      <c r="H6741" s="1"/>
      <c r="I6741" s="1"/>
      <c r="J6741" s="1"/>
      <c r="K6741" s="1"/>
      <c r="L6741" s="1"/>
    </row>
    <row r="6742" spans="1:12" ht="12" customHeight="1" x14ac:dyDescent="0.25">
      <c r="A6742" s="12"/>
      <c r="B6742" s="1"/>
      <c r="C6742" s="2"/>
      <c r="D6742" s="1"/>
      <c r="E6742" s="2"/>
      <c r="F6742" s="1"/>
      <c r="G6742" s="1"/>
      <c r="H6742" s="1"/>
      <c r="I6742" s="1"/>
      <c r="J6742" s="1"/>
      <c r="K6742" s="1"/>
      <c r="L6742" s="1"/>
    </row>
    <row r="6743" spans="1:12" ht="12" customHeight="1" x14ac:dyDescent="0.25">
      <c r="A6743" s="12"/>
      <c r="B6743" s="1"/>
      <c r="C6743" s="2"/>
      <c r="D6743" s="1"/>
      <c r="E6743" s="2"/>
      <c r="F6743" s="1"/>
      <c r="G6743" s="1"/>
      <c r="H6743" s="1"/>
      <c r="I6743" s="1"/>
      <c r="J6743" s="1"/>
      <c r="K6743" s="1"/>
      <c r="L6743" s="1"/>
    </row>
    <row r="6744" spans="1:12" ht="12" customHeight="1" x14ac:dyDescent="0.25">
      <c r="A6744" s="12"/>
      <c r="B6744" s="1"/>
      <c r="C6744" s="2"/>
      <c r="D6744" s="1"/>
      <c r="E6744" s="2"/>
      <c r="F6744" s="1"/>
      <c r="G6744" s="1"/>
      <c r="H6744" s="1"/>
      <c r="I6744" s="1"/>
      <c r="J6744" s="1"/>
      <c r="K6744" s="1"/>
      <c r="L6744" s="1"/>
    </row>
    <row r="6745" spans="1:12" ht="12" customHeight="1" x14ac:dyDescent="0.25">
      <c r="A6745" s="12"/>
      <c r="B6745" s="1"/>
      <c r="C6745" s="2"/>
      <c r="D6745" s="1"/>
      <c r="E6745" s="2"/>
      <c r="F6745" s="1"/>
      <c r="G6745" s="1"/>
      <c r="H6745" s="1"/>
      <c r="I6745" s="1"/>
      <c r="J6745" s="1"/>
      <c r="K6745" s="1"/>
      <c r="L6745" s="1"/>
    </row>
    <row r="6746" spans="1:12" ht="12" customHeight="1" x14ac:dyDescent="0.25">
      <c r="A6746" s="12"/>
      <c r="B6746" s="1"/>
      <c r="C6746" s="2"/>
      <c r="D6746" s="1"/>
      <c r="E6746" s="2"/>
      <c r="F6746" s="1"/>
      <c r="G6746" s="1"/>
      <c r="H6746" s="1"/>
      <c r="I6746" s="1"/>
      <c r="J6746" s="1"/>
      <c r="K6746" s="1"/>
      <c r="L6746" s="1"/>
    </row>
    <row r="6747" spans="1:12" ht="12" customHeight="1" x14ac:dyDescent="0.25">
      <c r="A6747" s="12"/>
      <c r="B6747" s="1"/>
      <c r="C6747" s="2"/>
      <c r="D6747" s="1"/>
      <c r="E6747" s="2"/>
      <c r="F6747" s="1"/>
      <c r="G6747" s="1"/>
      <c r="H6747" s="1"/>
      <c r="I6747" s="1"/>
      <c r="J6747" s="1"/>
      <c r="K6747" s="1"/>
      <c r="L6747" s="1"/>
    </row>
    <row r="6748" spans="1:12" ht="12" customHeight="1" x14ac:dyDescent="0.25">
      <c r="A6748" s="12"/>
      <c r="B6748" s="1"/>
      <c r="C6748" s="2"/>
      <c r="D6748" s="1"/>
      <c r="E6748" s="2"/>
      <c r="F6748" s="1"/>
      <c r="G6748" s="1"/>
      <c r="H6748" s="1"/>
      <c r="I6748" s="1"/>
      <c r="J6748" s="1"/>
      <c r="K6748" s="1"/>
      <c r="L6748" s="1"/>
    </row>
    <row r="6749" spans="1:12" ht="12" customHeight="1" x14ac:dyDescent="0.25">
      <c r="A6749" s="12"/>
      <c r="B6749" s="1"/>
      <c r="C6749" s="2"/>
      <c r="D6749" s="1"/>
      <c r="E6749" s="2"/>
      <c r="F6749" s="1"/>
      <c r="G6749" s="1"/>
      <c r="H6749" s="1"/>
      <c r="I6749" s="1"/>
      <c r="J6749" s="1"/>
      <c r="K6749" s="1"/>
      <c r="L6749" s="1"/>
    </row>
    <row r="6750" spans="1:12" ht="12" customHeight="1" x14ac:dyDescent="0.25">
      <c r="A6750" s="12"/>
      <c r="B6750" s="1"/>
      <c r="C6750" s="2"/>
      <c r="D6750" s="1"/>
      <c r="E6750" s="2"/>
      <c r="F6750" s="1"/>
      <c r="G6750" s="1"/>
      <c r="H6750" s="1"/>
      <c r="I6750" s="1"/>
      <c r="J6750" s="1"/>
      <c r="K6750" s="1"/>
      <c r="L6750" s="1"/>
    </row>
    <row r="6751" spans="1:12" ht="12" customHeight="1" x14ac:dyDescent="0.25">
      <c r="A6751" s="12"/>
      <c r="B6751" s="1"/>
      <c r="C6751" s="2"/>
      <c r="D6751" s="1"/>
      <c r="E6751" s="2"/>
      <c r="F6751" s="1"/>
      <c r="G6751" s="1"/>
      <c r="H6751" s="1"/>
      <c r="I6751" s="1"/>
      <c r="J6751" s="1"/>
      <c r="K6751" s="1"/>
      <c r="L6751" s="1"/>
    </row>
    <row r="6752" spans="1:12" ht="12" customHeight="1" x14ac:dyDescent="0.25">
      <c r="A6752" s="12"/>
      <c r="B6752" s="1"/>
      <c r="C6752" s="2"/>
      <c r="D6752" s="1"/>
      <c r="E6752" s="2"/>
      <c r="F6752" s="1"/>
      <c r="G6752" s="1"/>
      <c r="H6752" s="1"/>
      <c r="I6752" s="1"/>
      <c r="J6752" s="1"/>
      <c r="K6752" s="1"/>
      <c r="L6752" s="1"/>
    </row>
    <row r="6753" spans="1:12" ht="12" customHeight="1" x14ac:dyDescent="0.25">
      <c r="A6753" s="12"/>
      <c r="B6753" s="1"/>
      <c r="C6753" s="2"/>
      <c r="D6753" s="1"/>
      <c r="E6753" s="2"/>
      <c r="F6753" s="1"/>
      <c r="G6753" s="1"/>
      <c r="H6753" s="1"/>
      <c r="I6753" s="1"/>
      <c r="J6753" s="1"/>
      <c r="K6753" s="1"/>
      <c r="L6753" s="1"/>
    </row>
    <row r="6754" spans="1:12" ht="12" customHeight="1" x14ac:dyDescent="0.25">
      <c r="A6754" s="12"/>
      <c r="B6754" s="1"/>
      <c r="C6754" s="2"/>
      <c r="D6754" s="1"/>
      <c r="E6754" s="2"/>
      <c r="F6754" s="1"/>
      <c r="G6754" s="1"/>
      <c r="H6754" s="1"/>
      <c r="I6754" s="1"/>
      <c r="J6754" s="1"/>
      <c r="K6754" s="1"/>
      <c r="L6754" s="1"/>
    </row>
    <row r="6755" spans="1:12" ht="12" customHeight="1" x14ac:dyDescent="0.25">
      <c r="A6755" s="12"/>
      <c r="B6755" s="1"/>
      <c r="C6755" s="2"/>
      <c r="D6755" s="1"/>
      <c r="E6755" s="2"/>
      <c r="F6755" s="1"/>
      <c r="G6755" s="1"/>
      <c r="H6755" s="1"/>
      <c r="I6755" s="1"/>
      <c r="J6755" s="1"/>
      <c r="K6755" s="1"/>
      <c r="L6755" s="1"/>
    </row>
    <row r="6756" spans="1:12" ht="12" customHeight="1" x14ac:dyDescent="0.25">
      <c r="A6756" s="12"/>
      <c r="B6756" s="1"/>
      <c r="C6756" s="2"/>
      <c r="D6756" s="1"/>
      <c r="E6756" s="2"/>
      <c r="F6756" s="1"/>
      <c r="G6756" s="1"/>
      <c r="H6756" s="1"/>
      <c r="I6756" s="1"/>
      <c r="J6756" s="1"/>
      <c r="K6756" s="1"/>
      <c r="L6756" s="1"/>
    </row>
    <row r="6757" spans="1:12" ht="12" customHeight="1" x14ac:dyDescent="0.25">
      <c r="A6757" s="12"/>
      <c r="B6757" s="1"/>
      <c r="C6757" s="2"/>
      <c r="D6757" s="1"/>
      <c r="E6757" s="2"/>
      <c r="F6757" s="1"/>
      <c r="G6757" s="1"/>
      <c r="H6757" s="1"/>
      <c r="I6757" s="1"/>
      <c r="J6757" s="1"/>
      <c r="K6757" s="1"/>
      <c r="L6757" s="1"/>
    </row>
    <row r="6758" spans="1:12" ht="12" customHeight="1" x14ac:dyDescent="0.25">
      <c r="A6758" s="12"/>
      <c r="B6758" s="1"/>
      <c r="C6758" s="2"/>
      <c r="D6758" s="1"/>
      <c r="E6758" s="2"/>
      <c r="F6758" s="1"/>
      <c r="G6758" s="1"/>
      <c r="H6758" s="1"/>
      <c r="I6758" s="1"/>
      <c r="J6758" s="1"/>
      <c r="K6758" s="1"/>
      <c r="L6758" s="1"/>
    </row>
    <row r="6759" spans="1:12" ht="12" customHeight="1" x14ac:dyDescent="0.25">
      <c r="A6759" s="12"/>
      <c r="B6759" s="1"/>
      <c r="C6759" s="2"/>
      <c r="D6759" s="1"/>
      <c r="E6759" s="2"/>
      <c r="F6759" s="1"/>
      <c r="G6759" s="1"/>
      <c r="H6759" s="1"/>
      <c r="I6759" s="1"/>
      <c r="J6759" s="1"/>
      <c r="K6759" s="1"/>
      <c r="L6759" s="1"/>
    </row>
    <row r="6760" spans="1:12" ht="12" customHeight="1" x14ac:dyDescent="0.25">
      <c r="A6760" s="12"/>
      <c r="B6760" s="1"/>
      <c r="C6760" s="2"/>
      <c r="D6760" s="1"/>
      <c r="E6760" s="2"/>
      <c r="F6760" s="1"/>
      <c r="G6760" s="1"/>
      <c r="H6760" s="1"/>
      <c r="I6760" s="1"/>
      <c r="J6760" s="1"/>
      <c r="K6760" s="1"/>
      <c r="L6760" s="1"/>
    </row>
    <row r="6761" spans="1:12" ht="12" customHeight="1" x14ac:dyDescent="0.25">
      <c r="A6761" s="12"/>
      <c r="B6761" s="1"/>
      <c r="C6761" s="2"/>
      <c r="D6761" s="1"/>
      <c r="E6761" s="2"/>
      <c r="F6761" s="1"/>
      <c r="G6761" s="1"/>
      <c r="H6761" s="1"/>
      <c r="I6761" s="1"/>
      <c r="J6761" s="1"/>
      <c r="K6761" s="1"/>
      <c r="L6761" s="1"/>
    </row>
    <row r="6762" spans="1:12" ht="12" customHeight="1" x14ac:dyDescent="0.25">
      <c r="A6762" s="12"/>
      <c r="B6762" s="1"/>
      <c r="C6762" s="2"/>
      <c r="D6762" s="1"/>
      <c r="E6762" s="2"/>
      <c r="F6762" s="1"/>
      <c r="G6762" s="1"/>
      <c r="H6762" s="1"/>
      <c r="I6762" s="1"/>
      <c r="J6762" s="1"/>
      <c r="K6762" s="1"/>
      <c r="L6762" s="1"/>
    </row>
    <row r="6763" spans="1:12" ht="12" customHeight="1" x14ac:dyDescent="0.25">
      <c r="A6763" s="12"/>
      <c r="B6763" s="1"/>
      <c r="C6763" s="2"/>
      <c r="D6763" s="1"/>
      <c r="E6763" s="2"/>
      <c r="F6763" s="1"/>
      <c r="G6763" s="1"/>
      <c r="H6763" s="1"/>
      <c r="I6763" s="1"/>
      <c r="J6763" s="1"/>
      <c r="K6763" s="1"/>
      <c r="L6763" s="1"/>
    </row>
    <row r="6764" spans="1:12" ht="12" customHeight="1" x14ac:dyDescent="0.25">
      <c r="A6764" s="12"/>
      <c r="B6764" s="1"/>
      <c r="C6764" s="2"/>
      <c r="D6764" s="1"/>
      <c r="E6764" s="2"/>
      <c r="F6764" s="1"/>
      <c r="G6764" s="1"/>
      <c r="H6764" s="1"/>
      <c r="I6764" s="1"/>
      <c r="J6764" s="1"/>
      <c r="K6764" s="1"/>
      <c r="L6764" s="1"/>
    </row>
    <row r="6765" spans="1:12" ht="12" customHeight="1" x14ac:dyDescent="0.25">
      <c r="A6765" s="12"/>
      <c r="B6765" s="1"/>
      <c r="C6765" s="2"/>
      <c r="D6765" s="1"/>
      <c r="E6765" s="2"/>
      <c r="F6765" s="1"/>
      <c r="G6765" s="1"/>
      <c r="H6765" s="1"/>
      <c r="I6765" s="1"/>
      <c r="J6765" s="1"/>
      <c r="K6765" s="1"/>
      <c r="L6765" s="1"/>
    </row>
    <row r="6766" spans="1:12" ht="12" customHeight="1" x14ac:dyDescent="0.25">
      <c r="A6766" s="12"/>
      <c r="B6766" s="1"/>
      <c r="C6766" s="2"/>
      <c r="D6766" s="1"/>
      <c r="E6766" s="2"/>
      <c r="F6766" s="1"/>
      <c r="G6766" s="1"/>
      <c r="H6766" s="1"/>
      <c r="I6766" s="1"/>
      <c r="J6766" s="1"/>
      <c r="K6766" s="1"/>
      <c r="L6766" s="1"/>
    </row>
    <row r="6767" spans="1:12" ht="12" customHeight="1" x14ac:dyDescent="0.25">
      <c r="A6767" s="12"/>
      <c r="B6767" s="1"/>
      <c r="C6767" s="2"/>
      <c r="D6767" s="1"/>
      <c r="E6767" s="2"/>
      <c r="F6767" s="1"/>
      <c r="G6767" s="1"/>
      <c r="H6767" s="1"/>
      <c r="I6767" s="1"/>
      <c r="J6767" s="1"/>
      <c r="K6767" s="1"/>
      <c r="L6767" s="1"/>
    </row>
    <row r="6768" spans="1:12" ht="12" customHeight="1" x14ac:dyDescent="0.25">
      <c r="A6768" s="12"/>
      <c r="B6768" s="1"/>
      <c r="C6768" s="2"/>
      <c r="D6768" s="1"/>
      <c r="E6768" s="2"/>
      <c r="F6768" s="1"/>
      <c r="G6768" s="1"/>
      <c r="H6768" s="1"/>
      <c r="I6768" s="1"/>
      <c r="J6768" s="1"/>
      <c r="K6768" s="1"/>
      <c r="L6768" s="1"/>
    </row>
    <row r="6769" spans="1:12" ht="12" customHeight="1" x14ac:dyDescent="0.25">
      <c r="A6769" s="12"/>
      <c r="B6769" s="1"/>
      <c r="C6769" s="2"/>
      <c r="D6769" s="1"/>
      <c r="E6769" s="2"/>
      <c r="F6769" s="1"/>
      <c r="G6769" s="1"/>
      <c r="H6769" s="1"/>
      <c r="I6769" s="1"/>
      <c r="J6769" s="1"/>
      <c r="K6769" s="1"/>
      <c r="L6769" s="1"/>
    </row>
    <row r="6770" spans="1:12" ht="12" customHeight="1" x14ac:dyDescent="0.25">
      <c r="A6770" s="12"/>
      <c r="B6770" s="1"/>
      <c r="C6770" s="2"/>
      <c r="D6770" s="1"/>
      <c r="E6770" s="2"/>
      <c r="F6770" s="1"/>
      <c r="G6770" s="1"/>
      <c r="H6770" s="1"/>
      <c r="I6770" s="1"/>
      <c r="J6770" s="1"/>
      <c r="K6770" s="1"/>
      <c r="L6770" s="1"/>
    </row>
    <row r="6771" spans="1:12" ht="12" customHeight="1" x14ac:dyDescent="0.25">
      <c r="A6771" s="12"/>
      <c r="B6771" s="1"/>
      <c r="C6771" s="2"/>
      <c r="D6771" s="1"/>
      <c r="E6771" s="2"/>
      <c r="F6771" s="1"/>
      <c r="G6771" s="1"/>
      <c r="H6771" s="1"/>
      <c r="I6771" s="1"/>
      <c r="J6771" s="1"/>
      <c r="K6771" s="1"/>
      <c r="L6771" s="1"/>
    </row>
    <row r="6772" spans="1:12" ht="12" customHeight="1" x14ac:dyDescent="0.25">
      <c r="A6772" s="12"/>
      <c r="B6772" s="1"/>
      <c r="C6772" s="2"/>
      <c r="D6772" s="1"/>
      <c r="E6772" s="2"/>
      <c r="F6772" s="1"/>
      <c r="G6772" s="1"/>
      <c r="H6772" s="1"/>
      <c r="I6772" s="1"/>
      <c r="J6772" s="1"/>
      <c r="K6772" s="1"/>
      <c r="L6772" s="1"/>
    </row>
    <row r="6773" spans="1:12" ht="12" customHeight="1" x14ac:dyDescent="0.25">
      <c r="A6773" s="12"/>
      <c r="B6773" s="1"/>
      <c r="C6773" s="2"/>
      <c r="D6773" s="1"/>
      <c r="E6773" s="2"/>
      <c r="F6773" s="1"/>
      <c r="G6773" s="1"/>
      <c r="H6773" s="1"/>
      <c r="I6773" s="1"/>
      <c r="J6773" s="1"/>
      <c r="K6773" s="1"/>
      <c r="L6773" s="1"/>
    </row>
    <row r="6774" spans="1:12" ht="12" customHeight="1" x14ac:dyDescent="0.25">
      <c r="A6774" s="12"/>
      <c r="B6774" s="1"/>
      <c r="C6774" s="2"/>
      <c r="D6774" s="1"/>
      <c r="E6774" s="2"/>
      <c r="F6774" s="1"/>
      <c r="G6774" s="1"/>
      <c r="H6774" s="1"/>
      <c r="I6774" s="1"/>
      <c r="J6774" s="1"/>
      <c r="K6774" s="1"/>
      <c r="L6774" s="1"/>
    </row>
    <row r="6775" spans="1:12" ht="12" customHeight="1" x14ac:dyDescent="0.25">
      <c r="A6775" s="12"/>
      <c r="B6775" s="1"/>
      <c r="C6775" s="2"/>
      <c r="D6775" s="1"/>
      <c r="E6775" s="2"/>
      <c r="F6775" s="1"/>
      <c r="G6775" s="1"/>
      <c r="H6775" s="1"/>
      <c r="I6775" s="1"/>
      <c r="J6775" s="1"/>
      <c r="K6775" s="1"/>
      <c r="L6775" s="1"/>
    </row>
    <row r="6776" spans="1:12" ht="12" customHeight="1" x14ac:dyDescent="0.25">
      <c r="A6776" s="12"/>
      <c r="B6776" s="1"/>
      <c r="C6776" s="2"/>
      <c r="D6776" s="1"/>
      <c r="E6776" s="2"/>
      <c r="F6776" s="1"/>
      <c r="G6776" s="1"/>
      <c r="H6776" s="1"/>
      <c r="I6776" s="1"/>
      <c r="J6776" s="1"/>
      <c r="K6776" s="1"/>
      <c r="L6776" s="1"/>
    </row>
    <row r="6777" spans="1:12" ht="12" customHeight="1" x14ac:dyDescent="0.25">
      <c r="A6777" s="12"/>
      <c r="B6777" s="1"/>
      <c r="C6777" s="2"/>
      <c r="D6777" s="1"/>
      <c r="E6777" s="2"/>
      <c r="F6777" s="1"/>
      <c r="G6777" s="1"/>
      <c r="H6777" s="1"/>
      <c r="I6777" s="1"/>
      <c r="J6777" s="1"/>
      <c r="K6777" s="1"/>
      <c r="L6777" s="1"/>
    </row>
    <row r="6778" spans="1:12" ht="12" customHeight="1" x14ac:dyDescent="0.25">
      <c r="A6778" s="12"/>
      <c r="B6778" s="1"/>
      <c r="C6778" s="2"/>
      <c r="D6778" s="1"/>
      <c r="E6778" s="2"/>
      <c r="F6778" s="1"/>
      <c r="G6778" s="1"/>
      <c r="H6778" s="1"/>
      <c r="I6778" s="1"/>
      <c r="J6778" s="1"/>
      <c r="K6778" s="1"/>
      <c r="L6778" s="1"/>
    </row>
    <row r="6779" spans="1:12" ht="12" customHeight="1" x14ac:dyDescent="0.25">
      <c r="A6779" s="12"/>
      <c r="B6779" s="1"/>
      <c r="C6779" s="2"/>
      <c r="D6779" s="1"/>
      <c r="E6779" s="2"/>
      <c r="F6779" s="1"/>
      <c r="G6779" s="1"/>
      <c r="H6779" s="1"/>
      <c r="I6779" s="1"/>
      <c r="J6779" s="1"/>
      <c r="K6779" s="1"/>
      <c r="L6779" s="1"/>
    </row>
    <row r="6780" spans="1:12" ht="12" customHeight="1" x14ac:dyDescent="0.25">
      <c r="A6780" s="12"/>
      <c r="B6780" s="1"/>
      <c r="C6780" s="2"/>
      <c r="D6780" s="1"/>
      <c r="E6780" s="2"/>
      <c r="F6780" s="1"/>
      <c r="G6780" s="1"/>
      <c r="H6780" s="1"/>
      <c r="I6780" s="1"/>
      <c r="J6780" s="1"/>
      <c r="K6780" s="1"/>
      <c r="L6780" s="1"/>
    </row>
    <row r="6781" spans="1:12" ht="12" customHeight="1" x14ac:dyDescent="0.25">
      <c r="A6781" s="12"/>
      <c r="B6781" s="1"/>
      <c r="C6781" s="2"/>
      <c r="D6781" s="1"/>
      <c r="E6781" s="2"/>
      <c r="F6781" s="1"/>
      <c r="G6781" s="1"/>
      <c r="H6781" s="1"/>
      <c r="I6781" s="1"/>
      <c r="J6781" s="1"/>
      <c r="K6781" s="1"/>
      <c r="L6781" s="1"/>
    </row>
    <row r="6782" spans="1:12" ht="12" customHeight="1" x14ac:dyDescent="0.25">
      <c r="A6782" s="12"/>
      <c r="B6782" s="1"/>
      <c r="C6782" s="2"/>
      <c r="D6782" s="1"/>
      <c r="E6782" s="2"/>
      <c r="F6782" s="1"/>
      <c r="G6782" s="1"/>
      <c r="H6782" s="1"/>
      <c r="I6782" s="1"/>
      <c r="J6782" s="1"/>
      <c r="K6782" s="1"/>
      <c r="L6782" s="1"/>
    </row>
    <row r="6783" spans="1:12" ht="12" customHeight="1" x14ac:dyDescent="0.25">
      <c r="A6783" s="12"/>
      <c r="B6783" s="1"/>
      <c r="C6783" s="2"/>
      <c r="D6783" s="1"/>
      <c r="E6783" s="2"/>
      <c r="F6783" s="1"/>
      <c r="G6783" s="1"/>
      <c r="H6783" s="1"/>
      <c r="I6783" s="1"/>
      <c r="J6783" s="1"/>
      <c r="K6783" s="1"/>
      <c r="L6783" s="1"/>
    </row>
    <row r="6784" spans="1:12" ht="12" customHeight="1" x14ac:dyDescent="0.25">
      <c r="A6784" s="12"/>
      <c r="B6784" s="1"/>
      <c r="C6784" s="2"/>
      <c r="D6784" s="1"/>
      <c r="E6784" s="2"/>
      <c r="F6784" s="1"/>
      <c r="G6784" s="1"/>
      <c r="H6784" s="1"/>
      <c r="I6784" s="1"/>
      <c r="J6784" s="1"/>
      <c r="K6784" s="1"/>
      <c r="L6784" s="1"/>
    </row>
    <row r="6785" spans="1:12" ht="12" customHeight="1" x14ac:dyDescent="0.25">
      <c r="A6785" s="12"/>
      <c r="B6785" s="1"/>
      <c r="C6785" s="2"/>
      <c r="D6785" s="1"/>
      <c r="E6785" s="2"/>
      <c r="F6785" s="1"/>
      <c r="G6785" s="1"/>
      <c r="H6785" s="1"/>
      <c r="I6785" s="1"/>
      <c r="J6785" s="1"/>
      <c r="K6785" s="1"/>
      <c r="L6785" s="1"/>
    </row>
    <row r="6786" spans="1:12" ht="12" customHeight="1" x14ac:dyDescent="0.25">
      <c r="A6786" s="12"/>
      <c r="B6786" s="1"/>
      <c r="C6786" s="2"/>
      <c r="D6786" s="1"/>
      <c r="E6786" s="2"/>
      <c r="F6786" s="1"/>
      <c r="G6786" s="1"/>
      <c r="H6786" s="1"/>
      <c r="I6786" s="1"/>
      <c r="J6786" s="1"/>
      <c r="K6786" s="1"/>
      <c r="L6786" s="1"/>
    </row>
    <row r="6787" spans="1:12" ht="12" customHeight="1" x14ac:dyDescent="0.25">
      <c r="A6787" s="12"/>
      <c r="B6787" s="1"/>
      <c r="C6787" s="2"/>
      <c r="D6787" s="1"/>
      <c r="E6787" s="2"/>
      <c r="F6787" s="1"/>
      <c r="G6787" s="1"/>
      <c r="H6787" s="1"/>
      <c r="I6787" s="1"/>
      <c r="J6787" s="1"/>
      <c r="K6787" s="1"/>
      <c r="L6787" s="1"/>
    </row>
    <row r="6788" spans="1:12" ht="12" customHeight="1" x14ac:dyDescent="0.25">
      <c r="A6788" s="12"/>
      <c r="B6788" s="1"/>
      <c r="C6788" s="2"/>
      <c r="D6788" s="1"/>
      <c r="E6788" s="2"/>
      <c r="F6788" s="1"/>
      <c r="G6788" s="1"/>
      <c r="H6788" s="1"/>
      <c r="I6788" s="1"/>
      <c r="J6788" s="1"/>
      <c r="K6788" s="1"/>
      <c r="L6788" s="1"/>
    </row>
    <row r="6789" spans="1:12" ht="12" customHeight="1" x14ac:dyDescent="0.25">
      <c r="A6789" s="12"/>
      <c r="B6789" s="1"/>
      <c r="C6789" s="2"/>
      <c r="D6789" s="1"/>
      <c r="E6789" s="2"/>
      <c r="F6789" s="1"/>
      <c r="G6789" s="1"/>
      <c r="H6789" s="1"/>
      <c r="I6789" s="1"/>
      <c r="J6789" s="1"/>
      <c r="K6789" s="1"/>
      <c r="L6789" s="1"/>
    </row>
    <row r="6790" spans="1:12" ht="12" customHeight="1" x14ac:dyDescent="0.25">
      <c r="A6790" s="12"/>
      <c r="B6790" s="1"/>
      <c r="C6790" s="2"/>
      <c r="D6790" s="1"/>
      <c r="E6790" s="2"/>
      <c r="F6790" s="1"/>
      <c r="G6790" s="1"/>
      <c r="H6790" s="1"/>
      <c r="I6790" s="1"/>
      <c r="J6790" s="1"/>
      <c r="K6790" s="1"/>
      <c r="L6790" s="1"/>
    </row>
    <row r="6791" spans="1:12" ht="12" customHeight="1" x14ac:dyDescent="0.25">
      <c r="A6791" s="12"/>
      <c r="B6791" s="1"/>
      <c r="C6791" s="2"/>
      <c r="D6791" s="1"/>
      <c r="E6791" s="2"/>
      <c r="F6791" s="1"/>
      <c r="G6791" s="1"/>
      <c r="H6791" s="1"/>
      <c r="I6791" s="1"/>
      <c r="J6791" s="1"/>
      <c r="K6791" s="1"/>
      <c r="L6791" s="1"/>
    </row>
    <row r="6792" spans="1:12" ht="12" customHeight="1" x14ac:dyDescent="0.25">
      <c r="A6792" s="12"/>
      <c r="B6792" s="1"/>
      <c r="C6792" s="2"/>
      <c r="D6792" s="1"/>
      <c r="E6792" s="2"/>
      <c r="F6792" s="1"/>
      <c r="G6792" s="1"/>
      <c r="H6792" s="1"/>
      <c r="I6792" s="1"/>
      <c r="J6792" s="1"/>
      <c r="K6792" s="1"/>
      <c r="L6792" s="1"/>
    </row>
    <row r="6793" spans="1:12" ht="12" customHeight="1" x14ac:dyDescent="0.25">
      <c r="A6793" s="12"/>
      <c r="B6793" s="1"/>
      <c r="C6793" s="2"/>
      <c r="D6793" s="1"/>
      <c r="E6793" s="2"/>
      <c r="F6793" s="1"/>
      <c r="G6793" s="1"/>
      <c r="H6793" s="1"/>
      <c r="I6793" s="1"/>
      <c r="J6793" s="1"/>
      <c r="K6793" s="1"/>
      <c r="L6793" s="1"/>
    </row>
    <row r="6794" spans="1:12" ht="12" customHeight="1" x14ac:dyDescent="0.25">
      <c r="A6794" s="12"/>
      <c r="B6794" s="1"/>
      <c r="C6794" s="2"/>
      <c r="D6794" s="1"/>
      <c r="E6794" s="2"/>
      <c r="F6794" s="1"/>
      <c r="G6794" s="1"/>
      <c r="H6794" s="1"/>
      <c r="I6794" s="1"/>
      <c r="J6794" s="1"/>
      <c r="K6794" s="1"/>
      <c r="L6794" s="1"/>
    </row>
    <row r="6795" spans="1:12" ht="12" customHeight="1" x14ac:dyDescent="0.25">
      <c r="A6795" s="12"/>
      <c r="B6795" s="1"/>
      <c r="C6795" s="2"/>
      <c r="D6795" s="1"/>
      <c r="E6795" s="2"/>
      <c r="F6795" s="1"/>
      <c r="G6795" s="1"/>
      <c r="H6795" s="1"/>
      <c r="I6795" s="1"/>
      <c r="J6795" s="1"/>
      <c r="K6795" s="1"/>
      <c r="L6795" s="1"/>
    </row>
    <row r="6796" spans="1:12" ht="12" customHeight="1" x14ac:dyDescent="0.25">
      <c r="A6796" s="12"/>
      <c r="B6796" s="1"/>
      <c r="C6796" s="2"/>
      <c r="D6796" s="1"/>
      <c r="E6796" s="2"/>
      <c r="F6796" s="1"/>
      <c r="G6796" s="1"/>
      <c r="H6796" s="1"/>
      <c r="I6796" s="1"/>
      <c r="J6796" s="1"/>
      <c r="K6796" s="1"/>
      <c r="L6796" s="1"/>
    </row>
    <row r="6797" spans="1:12" ht="12" customHeight="1" x14ac:dyDescent="0.25">
      <c r="A6797" s="12"/>
      <c r="B6797" s="1"/>
      <c r="C6797" s="2"/>
      <c r="D6797" s="1"/>
      <c r="E6797" s="2"/>
      <c r="F6797" s="1"/>
      <c r="G6797" s="1"/>
      <c r="H6797" s="1"/>
      <c r="I6797" s="1"/>
      <c r="J6797" s="1"/>
      <c r="K6797" s="1"/>
      <c r="L6797" s="1"/>
    </row>
    <row r="6798" spans="1:12" ht="12" customHeight="1" x14ac:dyDescent="0.25">
      <c r="A6798" s="12"/>
      <c r="B6798" s="1"/>
      <c r="C6798" s="2"/>
      <c r="D6798" s="1"/>
      <c r="E6798" s="2"/>
      <c r="F6798" s="1"/>
      <c r="G6798" s="1"/>
      <c r="H6798" s="1"/>
      <c r="I6798" s="1"/>
      <c r="J6798" s="1"/>
      <c r="K6798" s="1"/>
      <c r="L6798" s="1"/>
    </row>
    <row r="6799" spans="1:12" ht="12" customHeight="1" x14ac:dyDescent="0.25">
      <c r="A6799" s="12"/>
      <c r="B6799" s="1"/>
      <c r="C6799" s="2"/>
      <c r="D6799" s="1"/>
      <c r="E6799" s="2"/>
      <c r="F6799" s="1"/>
      <c r="G6799" s="1"/>
      <c r="H6799" s="1"/>
      <c r="I6799" s="1"/>
      <c r="J6799" s="1"/>
      <c r="K6799" s="1"/>
      <c r="L6799" s="1"/>
    </row>
    <row r="6800" spans="1:12" ht="12" customHeight="1" x14ac:dyDescent="0.25">
      <c r="A6800" s="12"/>
      <c r="B6800" s="1"/>
      <c r="C6800" s="2"/>
      <c r="D6800" s="1"/>
      <c r="E6800" s="2"/>
      <c r="F6800" s="1"/>
      <c r="G6800" s="1"/>
      <c r="H6800" s="1"/>
      <c r="I6800" s="1"/>
      <c r="J6800" s="1"/>
      <c r="K6800" s="1"/>
      <c r="L6800" s="1"/>
    </row>
    <row r="6801" spans="1:12" ht="12" customHeight="1" x14ac:dyDescent="0.25">
      <c r="A6801" s="12"/>
      <c r="B6801" s="1"/>
      <c r="C6801" s="2"/>
      <c r="D6801" s="1"/>
      <c r="E6801" s="2"/>
      <c r="F6801" s="1"/>
      <c r="G6801" s="1"/>
      <c r="H6801" s="1"/>
      <c r="I6801" s="1"/>
      <c r="J6801" s="1"/>
      <c r="K6801" s="1"/>
      <c r="L6801" s="1"/>
    </row>
    <row r="6802" spans="1:12" ht="12" customHeight="1" x14ac:dyDescent="0.25">
      <c r="A6802" s="12"/>
      <c r="B6802" s="1"/>
      <c r="C6802" s="2"/>
      <c r="D6802" s="1"/>
      <c r="E6802" s="2"/>
      <c r="F6802" s="1"/>
      <c r="G6802" s="1"/>
      <c r="H6802" s="1"/>
      <c r="I6802" s="1"/>
      <c r="J6802" s="1"/>
      <c r="K6802" s="1"/>
      <c r="L6802" s="1"/>
    </row>
    <row r="6803" spans="1:12" ht="12" customHeight="1" x14ac:dyDescent="0.25">
      <c r="A6803" s="12"/>
      <c r="B6803" s="1"/>
      <c r="C6803" s="2"/>
      <c r="D6803" s="1"/>
      <c r="E6803" s="2"/>
      <c r="F6803" s="1"/>
      <c r="G6803" s="1"/>
      <c r="H6803" s="1"/>
      <c r="I6803" s="1"/>
      <c r="J6803" s="1"/>
      <c r="K6803" s="1"/>
      <c r="L6803" s="1"/>
    </row>
    <row r="6804" spans="1:12" ht="12" customHeight="1" x14ac:dyDescent="0.25">
      <c r="A6804" s="12"/>
      <c r="B6804" s="1"/>
      <c r="C6804" s="2"/>
      <c r="D6804" s="1"/>
      <c r="E6804" s="2"/>
      <c r="F6804" s="1"/>
      <c r="G6804" s="1"/>
      <c r="H6804" s="1"/>
      <c r="I6804" s="1"/>
      <c r="J6804" s="1"/>
      <c r="K6804" s="1"/>
      <c r="L6804" s="1"/>
    </row>
    <row r="6805" spans="1:12" ht="12" customHeight="1" x14ac:dyDescent="0.25">
      <c r="A6805" s="12"/>
      <c r="B6805" s="1"/>
      <c r="C6805" s="2"/>
      <c r="D6805" s="1"/>
      <c r="E6805" s="2"/>
      <c r="F6805" s="1"/>
      <c r="G6805" s="1"/>
      <c r="H6805" s="1"/>
      <c r="I6805" s="1"/>
      <c r="J6805" s="1"/>
      <c r="K6805" s="1"/>
      <c r="L6805" s="1"/>
    </row>
    <row r="6806" spans="1:12" ht="12" customHeight="1" x14ac:dyDescent="0.25">
      <c r="A6806" s="12"/>
      <c r="B6806" s="1"/>
      <c r="C6806" s="2"/>
      <c r="D6806" s="1"/>
      <c r="E6806" s="2"/>
      <c r="F6806" s="1"/>
      <c r="G6806" s="1"/>
      <c r="H6806" s="1"/>
      <c r="I6806" s="1"/>
      <c r="J6806" s="1"/>
      <c r="K6806" s="1"/>
      <c r="L6806" s="1"/>
    </row>
    <row r="6807" spans="1:12" ht="12" customHeight="1" x14ac:dyDescent="0.25">
      <c r="A6807" s="12"/>
      <c r="B6807" s="1"/>
      <c r="C6807" s="2"/>
      <c r="D6807" s="1"/>
      <c r="E6807" s="2"/>
      <c r="F6807" s="1"/>
      <c r="G6807" s="1"/>
      <c r="H6807" s="1"/>
      <c r="I6807" s="1"/>
      <c r="J6807" s="1"/>
      <c r="K6807" s="1"/>
      <c r="L6807" s="1"/>
    </row>
    <row r="6808" spans="1:12" ht="12" customHeight="1" x14ac:dyDescent="0.25">
      <c r="A6808" s="12"/>
      <c r="B6808" s="1"/>
      <c r="C6808" s="2"/>
      <c r="D6808" s="1"/>
      <c r="E6808" s="2"/>
      <c r="F6808" s="1"/>
      <c r="G6808" s="1"/>
      <c r="H6808" s="1"/>
      <c r="I6808" s="1"/>
      <c r="J6808" s="1"/>
      <c r="K6808" s="1"/>
      <c r="L6808" s="1"/>
    </row>
    <row r="6809" spans="1:12" ht="12" customHeight="1" x14ac:dyDescent="0.25">
      <c r="A6809" s="12"/>
      <c r="B6809" s="1"/>
      <c r="C6809" s="2"/>
      <c r="D6809" s="1"/>
      <c r="E6809" s="2"/>
      <c r="F6809" s="1"/>
      <c r="G6809" s="1"/>
      <c r="H6809" s="1"/>
      <c r="I6809" s="1"/>
      <c r="J6809" s="1"/>
      <c r="K6809" s="1"/>
      <c r="L6809" s="1"/>
    </row>
    <row r="6810" spans="1:12" ht="12" customHeight="1" x14ac:dyDescent="0.25">
      <c r="A6810" s="12"/>
      <c r="B6810" s="1"/>
      <c r="C6810" s="2"/>
      <c r="D6810" s="1"/>
      <c r="E6810" s="2"/>
      <c r="F6810" s="1"/>
      <c r="G6810" s="1"/>
      <c r="H6810" s="1"/>
      <c r="I6810" s="1"/>
      <c r="J6810" s="1"/>
      <c r="K6810" s="1"/>
      <c r="L6810" s="1"/>
    </row>
    <row r="6811" spans="1:12" ht="12" customHeight="1" x14ac:dyDescent="0.25">
      <c r="A6811" s="12"/>
      <c r="B6811" s="1"/>
      <c r="C6811" s="2"/>
      <c r="D6811" s="1"/>
      <c r="E6811" s="2"/>
      <c r="F6811" s="1"/>
      <c r="G6811" s="1"/>
      <c r="H6811" s="1"/>
      <c r="I6811" s="1"/>
      <c r="J6811" s="1"/>
      <c r="K6811" s="1"/>
      <c r="L6811" s="1"/>
    </row>
    <row r="6812" spans="1:12" ht="12" customHeight="1" x14ac:dyDescent="0.25">
      <c r="A6812" s="12"/>
      <c r="B6812" s="1"/>
      <c r="C6812" s="2"/>
      <c r="D6812" s="1"/>
      <c r="E6812" s="2"/>
      <c r="F6812" s="1"/>
      <c r="G6812" s="1"/>
      <c r="H6812" s="1"/>
      <c r="I6812" s="1"/>
      <c r="J6812" s="1"/>
      <c r="K6812" s="1"/>
      <c r="L6812" s="1"/>
    </row>
    <row r="6813" spans="1:12" ht="12" customHeight="1" x14ac:dyDescent="0.25">
      <c r="A6813" s="12"/>
      <c r="B6813" s="1"/>
      <c r="C6813" s="2"/>
      <c r="D6813" s="1"/>
      <c r="E6813" s="2"/>
      <c r="F6813" s="1"/>
      <c r="G6813" s="1"/>
      <c r="H6813" s="1"/>
      <c r="I6813" s="1"/>
      <c r="J6813" s="1"/>
      <c r="K6813" s="1"/>
      <c r="L6813" s="1"/>
    </row>
    <row r="6814" spans="1:12" ht="12" customHeight="1" x14ac:dyDescent="0.25">
      <c r="A6814" s="12"/>
      <c r="B6814" s="1"/>
      <c r="C6814" s="2"/>
      <c r="D6814" s="1"/>
      <c r="E6814" s="2"/>
      <c r="F6814" s="1"/>
      <c r="G6814" s="1"/>
      <c r="H6814" s="1"/>
      <c r="I6814" s="1"/>
      <c r="J6814" s="1"/>
      <c r="K6814" s="1"/>
      <c r="L6814" s="1"/>
    </row>
    <row r="6815" spans="1:12" ht="12" customHeight="1" x14ac:dyDescent="0.25">
      <c r="A6815" s="12"/>
      <c r="B6815" s="1"/>
      <c r="C6815" s="2"/>
      <c r="D6815" s="1"/>
      <c r="E6815" s="2"/>
      <c r="F6815" s="1"/>
      <c r="G6815" s="1"/>
      <c r="H6815" s="1"/>
      <c r="I6815" s="1"/>
      <c r="J6815" s="1"/>
      <c r="K6815" s="1"/>
      <c r="L6815" s="1"/>
    </row>
    <row r="6816" spans="1:12" ht="12" customHeight="1" x14ac:dyDescent="0.25">
      <c r="A6816" s="12"/>
      <c r="B6816" s="1"/>
      <c r="C6816" s="2"/>
      <c r="D6816" s="1"/>
      <c r="E6816" s="2"/>
      <c r="F6816" s="1"/>
      <c r="G6816" s="1"/>
      <c r="H6816" s="1"/>
      <c r="I6816" s="1"/>
      <c r="J6816" s="1"/>
      <c r="K6816" s="1"/>
      <c r="L6816" s="1"/>
    </row>
    <row r="6817" spans="1:12" ht="12" customHeight="1" x14ac:dyDescent="0.25">
      <c r="A6817" s="12"/>
      <c r="B6817" s="1"/>
      <c r="C6817" s="2"/>
      <c r="D6817" s="1"/>
      <c r="E6817" s="2"/>
      <c r="F6817" s="1"/>
      <c r="G6817" s="1"/>
      <c r="H6817" s="1"/>
      <c r="I6817" s="1"/>
      <c r="J6817" s="1"/>
      <c r="K6817" s="1"/>
      <c r="L6817" s="1"/>
    </row>
    <row r="6818" spans="1:12" ht="12" customHeight="1" x14ac:dyDescent="0.25">
      <c r="A6818" s="12"/>
      <c r="B6818" s="1"/>
      <c r="C6818" s="2"/>
      <c r="D6818" s="1"/>
      <c r="E6818" s="2"/>
      <c r="F6818" s="1"/>
      <c r="G6818" s="1"/>
      <c r="H6818" s="1"/>
      <c r="I6818" s="1"/>
      <c r="J6818" s="1"/>
      <c r="K6818" s="1"/>
      <c r="L6818" s="1"/>
    </row>
    <row r="6819" spans="1:12" ht="12" customHeight="1" x14ac:dyDescent="0.25">
      <c r="A6819" s="12"/>
      <c r="B6819" s="1"/>
      <c r="C6819" s="2"/>
      <c r="D6819" s="1"/>
      <c r="E6819" s="2"/>
      <c r="F6819" s="1"/>
      <c r="G6819" s="1"/>
      <c r="H6819" s="1"/>
      <c r="I6819" s="1"/>
      <c r="J6819" s="1"/>
      <c r="K6819" s="1"/>
      <c r="L6819" s="1"/>
    </row>
    <row r="6820" spans="1:12" ht="12" customHeight="1" x14ac:dyDescent="0.25">
      <c r="A6820" s="12"/>
      <c r="B6820" s="1"/>
      <c r="C6820" s="2"/>
      <c r="D6820" s="1"/>
      <c r="E6820" s="2"/>
      <c r="F6820" s="1"/>
      <c r="G6820" s="1"/>
      <c r="H6820" s="1"/>
      <c r="I6820" s="1"/>
      <c r="J6820" s="1"/>
      <c r="K6820" s="1"/>
      <c r="L6820" s="1"/>
    </row>
    <row r="6821" spans="1:12" ht="12" customHeight="1" x14ac:dyDescent="0.25">
      <c r="A6821" s="12"/>
      <c r="B6821" s="1"/>
      <c r="C6821" s="2"/>
      <c r="D6821" s="1"/>
      <c r="E6821" s="2"/>
      <c r="F6821" s="1"/>
      <c r="G6821" s="1"/>
      <c r="H6821" s="1"/>
      <c r="I6821" s="1"/>
      <c r="J6821" s="1"/>
      <c r="K6821" s="1"/>
      <c r="L6821" s="1"/>
    </row>
    <row r="6822" spans="1:12" ht="12" customHeight="1" x14ac:dyDescent="0.25">
      <c r="A6822" s="12"/>
      <c r="B6822" s="1"/>
      <c r="C6822" s="2"/>
      <c r="D6822" s="1"/>
      <c r="E6822" s="2"/>
      <c r="F6822" s="1"/>
      <c r="G6822" s="1"/>
      <c r="H6822" s="1"/>
      <c r="I6822" s="1"/>
      <c r="J6822" s="1"/>
      <c r="K6822" s="1"/>
      <c r="L6822" s="1"/>
    </row>
    <row r="6823" spans="1:12" ht="12" customHeight="1" x14ac:dyDescent="0.25">
      <c r="A6823" s="12"/>
      <c r="B6823" s="1"/>
      <c r="C6823" s="2"/>
      <c r="D6823" s="1"/>
      <c r="E6823" s="2"/>
      <c r="F6823" s="1"/>
      <c r="G6823" s="1"/>
      <c r="H6823" s="1"/>
      <c r="I6823" s="1"/>
      <c r="J6823" s="1"/>
      <c r="K6823" s="1"/>
      <c r="L6823" s="1"/>
    </row>
    <row r="6824" spans="1:12" ht="12" customHeight="1" x14ac:dyDescent="0.25">
      <c r="A6824" s="12"/>
      <c r="B6824" s="1"/>
      <c r="C6824" s="2"/>
      <c r="D6824" s="1"/>
      <c r="E6824" s="2"/>
      <c r="F6824" s="1"/>
      <c r="G6824" s="1"/>
      <c r="H6824" s="1"/>
      <c r="I6824" s="1"/>
      <c r="J6824" s="1"/>
      <c r="K6824" s="1"/>
      <c r="L6824" s="1"/>
    </row>
    <row r="6825" spans="1:12" ht="12" customHeight="1" x14ac:dyDescent="0.25">
      <c r="A6825" s="12"/>
      <c r="B6825" s="1"/>
      <c r="C6825" s="2"/>
      <c r="D6825" s="1"/>
      <c r="E6825" s="2"/>
      <c r="F6825" s="1"/>
      <c r="G6825" s="1"/>
      <c r="H6825" s="1"/>
      <c r="I6825" s="1"/>
      <c r="J6825" s="1"/>
      <c r="K6825" s="1"/>
      <c r="L6825" s="1"/>
    </row>
    <row r="6826" spans="1:12" ht="12" customHeight="1" x14ac:dyDescent="0.25">
      <c r="A6826" s="12"/>
      <c r="B6826" s="1"/>
      <c r="C6826" s="2"/>
      <c r="D6826" s="1"/>
      <c r="E6826" s="2"/>
      <c r="F6826" s="1"/>
      <c r="G6826" s="1"/>
      <c r="H6826" s="1"/>
      <c r="I6826" s="1"/>
      <c r="J6826" s="1"/>
      <c r="K6826" s="1"/>
      <c r="L6826" s="1"/>
    </row>
    <row r="6827" spans="1:12" ht="12" customHeight="1" x14ac:dyDescent="0.25">
      <c r="A6827" s="12"/>
      <c r="B6827" s="1"/>
      <c r="C6827" s="2"/>
      <c r="D6827" s="1"/>
      <c r="E6827" s="2"/>
      <c r="F6827" s="1"/>
      <c r="G6827" s="1"/>
      <c r="H6827" s="1"/>
      <c r="I6827" s="1"/>
      <c r="J6827" s="1"/>
      <c r="K6827" s="1"/>
      <c r="L6827" s="1"/>
    </row>
    <row r="6828" spans="1:12" ht="12" customHeight="1" x14ac:dyDescent="0.25">
      <c r="A6828" s="12"/>
      <c r="B6828" s="1"/>
      <c r="C6828" s="2"/>
      <c r="D6828" s="1"/>
      <c r="E6828" s="2"/>
      <c r="F6828" s="1"/>
      <c r="G6828" s="1"/>
      <c r="H6828" s="1"/>
      <c r="I6828" s="1"/>
      <c r="J6828" s="1"/>
      <c r="K6828" s="1"/>
      <c r="L6828" s="1"/>
    </row>
    <row r="6829" spans="1:12" ht="12" customHeight="1" x14ac:dyDescent="0.25">
      <c r="A6829" s="12"/>
      <c r="B6829" s="1"/>
      <c r="C6829" s="2"/>
      <c r="D6829" s="1"/>
      <c r="E6829" s="2"/>
      <c r="F6829" s="1"/>
      <c r="G6829" s="1"/>
      <c r="H6829" s="1"/>
      <c r="I6829" s="1"/>
      <c r="J6829" s="1"/>
      <c r="K6829" s="1"/>
      <c r="L6829" s="1"/>
    </row>
    <row r="6830" spans="1:12" ht="12" customHeight="1" x14ac:dyDescent="0.25">
      <c r="A6830" s="12"/>
      <c r="B6830" s="1"/>
      <c r="C6830" s="2"/>
      <c r="D6830" s="1"/>
      <c r="E6830" s="2"/>
      <c r="F6830" s="1"/>
      <c r="G6830" s="1"/>
      <c r="H6830" s="1"/>
      <c r="I6830" s="1"/>
      <c r="J6830" s="1"/>
      <c r="K6830" s="1"/>
      <c r="L6830" s="1"/>
    </row>
    <row r="6831" spans="1:12" ht="12" customHeight="1" x14ac:dyDescent="0.25">
      <c r="A6831" s="12"/>
      <c r="B6831" s="1"/>
      <c r="C6831" s="2"/>
      <c r="D6831" s="1"/>
      <c r="E6831" s="2"/>
      <c r="F6831" s="1"/>
      <c r="G6831" s="1"/>
      <c r="H6831" s="1"/>
      <c r="I6831" s="1"/>
      <c r="J6831" s="1"/>
      <c r="K6831" s="1"/>
      <c r="L6831" s="1"/>
    </row>
    <row r="6832" spans="1:12" ht="12" customHeight="1" x14ac:dyDescent="0.25">
      <c r="A6832" s="12"/>
      <c r="B6832" s="1"/>
      <c r="C6832" s="2"/>
      <c r="D6832" s="1"/>
      <c r="E6832" s="2"/>
      <c r="F6832" s="1"/>
      <c r="G6832" s="1"/>
      <c r="H6832" s="1"/>
      <c r="I6832" s="1"/>
      <c r="J6832" s="1"/>
      <c r="K6832" s="1"/>
      <c r="L6832" s="1"/>
    </row>
    <row r="6833" spans="1:12" ht="12" customHeight="1" x14ac:dyDescent="0.25">
      <c r="A6833" s="12"/>
      <c r="B6833" s="1"/>
      <c r="C6833" s="2"/>
      <c r="D6833" s="1"/>
      <c r="E6833" s="2"/>
      <c r="F6833" s="1"/>
      <c r="G6833" s="1"/>
      <c r="H6833" s="1"/>
      <c r="I6833" s="1"/>
      <c r="J6833" s="1"/>
      <c r="K6833" s="1"/>
      <c r="L6833" s="1"/>
    </row>
    <row r="6834" spans="1:12" ht="12" customHeight="1" x14ac:dyDescent="0.25">
      <c r="A6834" s="12"/>
      <c r="B6834" s="1"/>
      <c r="C6834" s="2"/>
      <c r="D6834" s="1"/>
      <c r="E6834" s="2"/>
      <c r="F6834" s="1"/>
      <c r="G6834" s="1"/>
      <c r="H6834" s="1"/>
      <c r="I6834" s="1"/>
      <c r="J6834" s="1"/>
      <c r="K6834" s="1"/>
      <c r="L6834" s="1"/>
    </row>
    <row r="6835" spans="1:12" ht="12" customHeight="1" x14ac:dyDescent="0.25">
      <c r="A6835" s="12"/>
      <c r="B6835" s="1"/>
      <c r="C6835" s="2"/>
      <c r="D6835" s="1"/>
      <c r="E6835" s="2"/>
      <c r="F6835" s="1"/>
      <c r="G6835" s="1"/>
      <c r="H6835" s="1"/>
      <c r="I6835" s="1"/>
      <c r="J6835" s="1"/>
      <c r="K6835" s="1"/>
      <c r="L6835" s="1"/>
    </row>
    <row r="6836" spans="1:12" ht="12" customHeight="1" x14ac:dyDescent="0.25">
      <c r="A6836" s="12"/>
      <c r="B6836" s="1"/>
      <c r="C6836" s="2"/>
      <c r="D6836" s="1"/>
      <c r="E6836" s="2"/>
      <c r="F6836" s="1"/>
      <c r="G6836" s="1"/>
      <c r="H6836" s="1"/>
      <c r="I6836" s="1"/>
      <c r="J6836" s="1"/>
      <c r="K6836" s="1"/>
      <c r="L6836" s="1"/>
    </row>
    <row r="6837" spans="1:12" ht="12" customHeight="1" x14ac:dyDescent="0.25">
      <c r="A6837" s="12"/>
      <c r="B6837" s="1"/>
      <c r="C6837" s="2"/>
      <c r="D6837" s="1"/>
      <c r="E6837" s="2"/>
      <c r="F6837" s="1"/>
      <c r="G6837" s="1"/>
      <c r="H6837" s="1"/>
      <c r="I6837" s="1"/>
      <c r="J6837" s="1"/>
      <c r="K6837" s="1"/>
      <c r="L6837" s="1"/>
    </row>
    <row r="6838" spans="1:12" ht="12" customHeight="1" x14ac:dyDescent="0.25">
      <c r="A6838" s="12"/>
      <c r="B6838" s="1"/>
      <c r="C6838" s="2"/>
      <c r="D6838" s="1"/>
      <c r="E6838" s="2"/>
      <c r="F6838" s="1"/>
      <c r="G6838" s="1"/>
      <c r="H6838" s="1"/>
      <c r="I6838" s="1"/>
      <c r="J6838" s="1"/>
      <c r="K6838" s="1"/>
      <c r="L6838" s="1"/>
    </row>
    <row r="6839" spans="1:12" ht="12" customHeight="1" x14ac:dyDescent="0.25">
      <c r="A6839" s="12"/>
      <c r="B6839" s="1"/>
      <c r="C6839" s="2"/>
      <c r="D6839" s="1"/>
      <c r="E6839" s="2"/>
      <c r="F6839" s="1"/>
      <c r="G6839" s="1"/>
      <c r="H6839" s="1"/>
      <c r="I6839" s="1"/>
      <c r="J6839" s="1"/>
      <c r="K6839" s="1"/>
      <c r="L6839" s="1"/>
    </row>
    <row r="6840" spans="1:12" ht="12" customHeight="1" x14ac:dyDescent="0.25">
      <c r="A6840" s="12"/>
      <c r="B6840" s="1"/>
      <c r="C6840" s="2"/>
      <c r="D6840" s="1"/>
      <c r="E6840" s="2"/>
      <c r="F6840" s="1"/>
      <c r="G6840" s="1"/>
      <c r="H6840" s="1"/>
      <c r="I6840" s="1"/>
      <c r="J6840" s="1"/>
      <c r="K6840" s="1"/>
      <c r="L6840" s="1"/>
    </row>
    <row r="6841" spans="1:12" ht="12" customHeight="1" x14ac:dyDescent="0.25">
      <c r="A6841" s="12"/>
      <c r="B6841" s="1"/>
      <c r="C6841" s="2"/>
      <c r="D6841" s="1"/>
      <c r="E6841" s="2"/>
      <c r="F6841" s="1"/>
      <c r="G6841" s="1"/>
      <c r="H6841" s="1"/>
      <c r="I6841" s="1"/>
      <c r="J6841" s="1"/>
      <c r="K6841" s="1"/>
      <c r="L6841" s="1"/>
    </row>
    <row r="6842" spans="1:12" ht="12" customHeight="1" x14ac:dyDescent="0.25">
      <c r="A6842" s="12"/>
      <c r="B6842" s="1"/>
      <c r="C6842" s="2"/>
      <c r="D6842" s="1"/>
      <c r="E6842" s="2"/>
      <c r="F6842" s="1"/>
      <c r="G6842" s="1"/>
      <c r="H6842" s="1"/>
      <c r="I6842" s="1"/>
      <c r="J6842" s="1"/>
      <c r="K6842" s="1"/>
      <c r="L6842" s="1"/>
    </row>
    <row r="6843" spans="1:12" ht="12" customHeight="1" x14ac:dyDescent="0.25">
      <c r="A6843" s="12"/>
      <c r="B6843" s="1"/>
      <c r="C6843" s="2"/>
      <c r="D6843" s="1"/>
      <c r="E6843" s="2"/>
      <c r="F6843" s="1"/>
      <c r="G6843" s="1"/>
      <c r="H6843" s="1"/>
      <c r="I6843" s="1"/>
      <c r="J6843" s="1"/>
      <c r="K6843" s="1"/>
      <c r="L6843" s="1"/>
    </row>
    <row r="6844" spans="1:12" ht="12" customHeight="1" x14ac:dyDescent="0.25">
      <c r="A6844" s="12"/>
      <c r="B6844" s="1"/>
      <c r="C6844" s="2"/>
      <c r="D6844" s="1"/>
      <c r="E6844" s="2"/>
      <c r="F6844" s="1"/>
      <c r="G6844" s="1"/>
      <c r="H6844" s="1"/>
      <c r="I6844" s="1"/>
      <c r="J6844" s="1"/>
      <c r="K6844" s="1"/>
      <c r="L6844" s="1"/>
    </row>
    <row r="6845" spans="1:12" ht="12" customHeight="1" x14ac:dyDescent="0.25">
      <c r="A6845" s="12"/>
      <c r="B6845" s="1"/>
      <c r="C6845" s="2"/>
      <c r="D6845" s="1"/>
      <c r="E6845" s="2"/>
      <c r="F6845" s="1"/>
      <c r="G6845" s="1"/>
      <c r="H6845" s="1"/>
      <c r="I6845" s="1"/>
      <c r="J6845" s="1"/>
      <c r="K6845" s="1"/>
      <c r="L6845" s="1"/>
    </row>
    <row r="6846" spans="1:12" ht="12" customHeight="1" x14ac:dyDescent="0.25">
      <c r="A6846" s="12"/>
      <c r="B6846" s="1"/>
      <c r="C6846" s="2"/>
      <c r="D6846" s="1"/>
      <c r="E6846" s="2"/>
      <c r="F6846" s="1"/>
      <c r="G6846" s="1"/>
      <c r="H6846" s="1"/>
      <c r="I6846" s="1"/>
      <c r="J6846" s="1"/>
      <c r="K6846" s="1"/>
      <c r="L6846" s="1"/>
    </row>
    <row r="6847" spans="1:12" ht="12" customHeight="1" x14ac:dyDescent="0.25">
      <c r="A6847" s="12"/>
      <c r="B6847" s="1"/>
      <c r="C6847" s="2"/>
      <c r="D6847" s="1"/>
      <c r="E6847" s="2"/>
      <c r="F6847" s="1"/>
      <c r="G6847" s="1"/>
      <c r="H6847" s="1"/>
      <c r="I6847" s="1"/>
      <c r="J6847" s="1"/>
      <c r="K6847" s="1"/>
      <c r="L6847" s="1"/>
    </row>
    <row r="6848" spans="1:12" ht="12" customHeight="1" x14ac:dyDescent="0.25">
      <c r="A6848" s="12"/>
      <c r="B6848" s="1"/>
      <c r="C6848" s="2"/>
      <c r="D6848" s="1"/>
      <c r="E6848" s="2"/>
      <c r="F6848" s="1"/>
      <c r="G6848" s="1"/>
      <c r="H6848" s="1"/>
      <c r="I6848" s="1"/>
      <c r="J6848" s="1"/>
      <c r="K6848" s="1"/>
      <c r="L6848" s="1"/>
    </row>
    <row r="6849" spans="1:12" ht="12" customHeight="1" x14ac:dyDescent="0.25">
      <c r="A6849" s="12"/>
      <c r="B6849" s="1"/>
      <c r="C6849" s="2"/>
      <c r="D6849" s="1"/>
      <c r="E6849" s="2"/>
      <c r="F6849" s="1"/>
      <c r="G6849" s="1"/>
      <c r="H6849" s="1"/>
      <c r="I6849" s="1"/>
      <c r="J6849" s="1"/>
      <c r="K6849" s="1"/>
      <c r="L6849" s="1"/>
    </row>
    <row r="6850" spans="1:12" ht="12" customHeight="1" x14ac:dyDescent="0.25">
      <c r="A6850" s="12"/>
      <c r="B6850" s="1"/>
      <c r="C6850" s="2"/>
      <c r="D6850" s="1"/>
      <c r="E6850" s="2"/>
      <c r="F6850" s="1"/>
      <c r="G6850" s="1"/>
      <c r="H6850" s="1"/>
      <c r="I6850" s="1"/>
      <c r="J6850" s="1"/>
      <c r="K6850" s="1"/>
      <c r="L6850" s="1"/>
    </row>
    <row r="6851" spans="1:12" ht="12" customHeight="1" x14ac:dyDescent="0.25">
      <c r="A6851" s="12"/>
      <c r="B6851" s="1"/>
      <c r="C6851" s="2"/>
      <c r="D6851" s="1"/>
      <c r="E6851" s="2"/>
      <c r="F6851" s="1"/>
      <c r="G6851" s="1"/>
      <c r="H6851" s="1"/>
      <c r="I6851" s="1"/>
      <c r="J6851" s="1"/>
      <c r="K6851" s="1"/>
      <c r="L6851" s="1"/>
    </row>
    <row r="6852" spans="1:12" ht="12" customHeight="1" x14ac:dyDescent="0.25">
      <c r="A6852" s="12"/>
      <c r="B6852" s="1"/>
      <c r="C6852" s="2"/>
      <c r="D6852" s="1"/>
      <c r="E6852" s="2"/>
      <c r="F6852" s="1"/>
      <c r="G6852" s="1"/>
      <c r="H6852" s="1"/>
      <c r="I6852" s="1"/>
      <c r="J6852" s="1"/>
      <c r="K6852" s="1"/>
      <c r="L6852" s="1"/>
    </row>
    <row r="6853" spans="1:12" ht="12" customHeight="1" x14ac:dyDescent="0.25">
      <c r="A6853" s="12"/>
      <c r="B6853" s="1"/>
      <c r="C6853" s="2"/>
      <c r="D6853" s="1"/>
      <c r="E6853" s="2"/>
      <c r="F6853" s="1"/>
      <c r="G6853" s="1"/>
      <c r="H6853" s="1"/>
      <c r="I6853" s="1"/>
      <c r="J6853" s="1"/>
      <c r="K6853" s="1"/>
      <c r="L6853" s="1"/>
    </row>
    <row r="6854" spans="1:12" ht="12" customHeight="1" x14ac:dyDescent="0.25">
      <c r="A6854" s="12"/>
      <c r="B6854" s="1"/>
      <c r="C6854" s="2"/>
      <c r="D6854" s="1"/>
      <c r="E6854" s="2"/>
      <c r="F6854" s="1"/>
      <c r="G6854" s="1"/>
      <c r="H6854" s="1"/>
      <c r="I6854" s="1"/>
      <c r="J6854" s="1"/>
      <c r="K6854" s="1"/>
      <c r="L6854" s="1"/>
    </row>
    <row r="6855" spans="1:12" ht="12" customHeight="1" x14ac:dyDescent="0.25">
      <c r="A6855" s="12"/>
      <c r="B6855" s="1"/>
      <c r="C6855" s="2"/>
      <c r="D6855" s="1"/>
      <c r="E6855" s="2"/>
      <c r="F6855" s="1"/>
      <c r="G6855" s="1"/>
      <c r="H6855" s="1"/>
      <c r="I6855" s="1"/>
      <c r="J6855" s="1"/>
      <c r="K6855" s="1"/>
      <c r="L6855" s="1"/>
    </row>
    <row r="6856" spans="1:12" ht="12" customHeight="1" x14ac:dyDescent="0.25">
      <c r="A6856" s="12"/>
      <c r="B6856" s="1"/>
      <c r="C6856" s="2"/>
      <c r="D6856" s="1"/>
      <c r="E6856" s="2"/>
      <c r="F6856" s="1"/>
      <c r="G6856" s="1"/>
      <c r="H6856" s="1"/>
      <c r="I6856" s="1"/>
      <c r="J6856" s="1"/>
      <c r="K6856" s="1"/>
      <c r="L6856" s="1"/>
    </row>
    <row r="6857" spans="1:12" ht="12" customHeight="1" x14ac:dyDescent="0.25">
      <c r="A6857" s="12"/>
      <c r="B6857" s="1"/>
      <c r="C6857" s="2"/>
      <c r="D6857" s="1"/>
      <c r="E6857" s="2"/>
      <c r="F6857" s="1"/>
      <c r="G6857" s="1"/>
      <c r="H6857" s="1"/>
      <c r="I6857" s="1"/>
      <c r="J6857" s="1"/>
      <c r="K6857" s="1"/>
      <c r="L6857" s="1"/>
    </row>
    <row r="6858" spans="1:12" ht="12" customHeight="1" x14ac:dyDescent="0.25">
      <c r="A6858" s="12"/>
      <c r="B6858" s="1"/>
      <c r="C6858" s="2"/>
      <c r="D6858" s="1"/>
      <c r="E6858" s="2"/>
      <c r="F6858" s="1"/>
      <c r="G6858" s="1"/>
      <c r="H6858" s="1"/>
      <c r="I6858" s="1"/>
      <c r="J6858" s="1"/>
      <c r="K6858" s="1"/>
      <c r="L6858" s="1"/>
    </row>
    <row r="6859" spans="1:12" ht="12" customHeight="1" x14ac:dyDescent="0.25">
      <c r="A6859" s="12"/>
      <c r="B6859" s="1"/>
      <c r="C6859" s="2"/>
      <c r="D6859" s="1"/>
      <c r="E6859" s="2"/>
      <c r="F6859" s="1"/>
      <c r="G6859" s="1"/>
      <c r="H6859" s="1"/>
      <c r="I6859" s="1"/>
      <c r="J6859" s="1"/>
      <c r="K6859" s="1"/>
      <c r="L6859" s="1"/>
    </row>
    <row r="6860" spans="1:12" ht="12" customHeight="1" x14ac:dyDescent="0.25">
      <c r="A6860" s="12"/>
      <c r="B6860" s="1"/>
      <c r="C6860" s="2"/>
      <c r="D6860" s="1"/>
      <c r="E6860" s="2"/>
      <c r="F6860" s="1"/>
      <c r="G6860" s="1"/>
      <c r="H6860" s="1"/>
      <c r="I6860" s="1"/>
      <c r="J6860" s="1"/>
      <c r="K6860" s="1"/>
      <c r="L6860" s="1"/>
    </row>
    <row r="6861" spans="1:12" ht="12" customHeight="1" x14ac:dyDescent="0.25">
      <c r="A6861" s="12"/>
      <c r="B6861" s="1"/>
      <c r="C6861" s="2"/>
      <c r="D6861" s="1"/>
      <c r="E6861" s="2"/>
      <c r="F6861" s="1"/>
      <c r="G6861" s="1"/>
      <c r="H6861" s="1"/>
      <c r="I6861" s="1"/>
      <c r="J6861" s="1"/>
      <c r="K6861" s="1"/>
      <c r="L6861" s="1"/>
    </row>
    <row r="6862" spans="1:12" ht="12" customHeight="1" x14ac:dyDescent="0.25">
      <c r="A6862" s="12"/>
      <c r="B6862" s="1"/>
      <c r="C6862" s="2"/>
      <c r="D6862" s="1"/>
      <c r="E6862" s="2"/>
      <c r="F6862" s="1"/>
      <c r="G6862" s="1"/>
      <c r="H6862" s="1"/>
      <c r="I6862" s="1"/>
      <c r="J6862" s="1"/>
      <c r="K6862" s="1"/>
      <c r="L6862" s="1"/>
    </row>
    <row r="6863" spans="1:12" ht="12" customHeight="1" x14ac:dyDescent="0.25">
      <c r="A6863" s="12"/>
      <c r="B6863" s="1"/>
      <c r="C6863" s="2"/>
      <c r="D6863" s="1"/>
      <c r="E6863" s="2"/>
      <c r="F6863" s="1"/>
      <c r="G6863" s="1"/>
      <c r="H6863" s="1"/>
      <c r="I6863" s="1"/>
      <c r="J6863" s="1"/>
      <c r="K6863" s="1"/>
      <c r="L6863" s="1"/>
    </row>
    <row r="6864" spans="1:12" ht="12" customHeight="1" x14ac:dyDescent="0.25">
      <c r="A6864" s="12"/>
      <c r="B6864" s="1"/>
      <c r="C6864" s="2"/>
      <c r="D6864" s="1"/>
      <c r="E6864" s="2"/>
      <c r="F6864" s="1"/>
      <c r="G6864" s="1"/>
      <c r="H6864" s="1"/>
      <c r="I6864" s="1"/>
      <c r="J6864" s="1"/>
      <c r="K6864" s="1"/>
      <c r="L6864" s="1"/>
    </row>
    <row r="6865" spans="1:12" ht="12" customHeight="1" x14ac:dyDescent="0.25">
      <c r="A6865" s="12"/>
      <c r="B6865" s="1"/>
      <c r="C6865" s="2"/>
      <c r="D6865" s="1"/>
      <c r="E6865" s="2"/>
      <c r="F6865" s="1"/>
      <c r="G6865" s="1"/>
      <c r="H6865" s="1"/>
      <c r="I6865" s="1"/>
      <c r="J6865" s="1"/>
      <c r="K6865" s="1"/>
      <c r="L6865" s="1"/>
    </row>
    <row r="6866" spans="1:12" ht="12" customHeight="1" x14ac:dyDescent="0.25">
      <c r="A6866" s="12"/>
      <c r="B6866" s="1"/>
      <c r="C6866" s="2"/>
      <c r="D6866" s="1"/>
      <c r="E6866" s="2"/>
      <c r="F6866" s="1"/>
      <c r="G6866" s="1"/>
      <c r="H6866" s="1"/>
      <c r="I6866" s="1"/>
      <c r="J6866" s="1"/>
      <c r="K6866" s="1"/>
      <c r="L6866" s="1"/>
    </row>
    <row r="6867" spans="1:12" ht="12" customHeight="1" x14ac:dyDescent="0.25">
      <c r="A6867" s="12"/>
      <c r="B6867" s="1"/>
      <c r="C6867" s="2"/>
      <c r="D6867" s="1"/>
      <c r="E6867" s="2"/>
      <c r="F6867" s="1"/>
      <c r="G6867" s="1"/>
      <c r="H6867" s="1"/>
      <c r="I6867" s="1"/>
      <c r="J6867" s="1"/>
      <c r="K6867" s="1"/>
      <c r="L6867" s="1"/>
    </row>
    <row r="6868" spans="1:12" ht="12" customHeight="1" x14ac:dyDescent="0.25">
      <c r="A6868" s="12"/>
      <c r="B6868" s="1"/>
      <c r="C6868" s="2"/>
      <c r="D6868" s="1"/>
      <c r="E6868" s="2"/>
      <c r="F6868" s="1"/>
      <c r="G6868" s="1"/>
      <c r="H6868" s="1"/>
      <c r="I6868" s="1"/>
      <c r="J6868" s="1"/>
      <c r="K6868" s="1"/>
      <c r="L6868" s="1"/>
    </row>
    <row r="6869" spans="1:12" ht="12" customHeight="1" x14ac:dyDescent="0.25">
      <c r="A6869" s="12"/>
      <c r="B6869" s="1"/>
      <c r="C6869" s="2"/>
      <c r="D6869" s="1"/>
      <c r="E6869" s="2"/>
      <c r="F6869" s="1"/>
      <c r="G6869" s="1"/>
      <c r="H6869" s="1"/>
      <c r="I6869" s="1"/>
      <c r="J6869" s="1"/>
      <c r="K6869" s="1"/>
      <c r="L6869" s="1"/>
    </row>
    <row r="6870" spans="1:12" ht="12" customHeight="1" x14ac:dyDescent="0.25">
      <c r="A6870" s="12"/>
      <c r="B6870" s="1"/>
      <c r="C6870" s="2"/>
      <c r="D6870" s="1"/>
      <c r="E6870" s="2"/>
      <c r="F6870" s="1"/>
      <c r="G6870" s="1"/>
      <c r="H6870" s="1"/>
      <c r="I6870" s="1"/>
      <c r="J6870" s="1"/>
      <c r="K6870" s="1"/>
      <c r="L6870" s="1"/>
    </row>
    <row r="6871" spans="1:12" ht="12" customHeight="1" x14ac:dyDescent="0.25">
      <c r="A6871" s="12"/>
      <c r="B6871" s="1"/>
      <c r="C6871" s="2"/>
      <c r="D6871" s="1"/>
      <c r="E6871" s="2"/>
      <c r="F6871" s="1"/>
      <c r="G6871" s="1"/>
      <c r="H6871" s="1"/>
      <c r="I6871" s="1"/>
      <c r="J6871" s="1"/>
      <c r="K6871" s="1"/>
      <c r="L6871" s="1"/>
    </row>
    <row r="6872" spans="1:12" ht="12" customHeight="1" x14ac:dyDescent="0.25">
      <c r="A6872" s="12"/>
      <c r="B6872" s="1"/>
      <c r="C6872" s="2"/>
      <c r="D6872" s="1"/>
      <c r="E6872" s="2"/>
      <c r="F6872" s="1"/>
      <c r="G6872" s="1"/>
      <c r="H6872" s="1"/>
      <c r="I6872" s="1"/>
      <c r="J6872" s="1"/>
      <c r="K6872" s="1"/>
      <c r="L6872" s="1"/>
    </row>
    <row r="6873" spans="1:12" ht="12" customHeight="1" x14ac:dyDescent="0.25">
      <c r="A6873" s="12"/>
      <c r="B6873" s="1"/>
      <c r="C6873" s="2"/>
      <c r="D6873" s="1"/>
      <c r="E6873" s="2"/>
      <c r="F6873" s="1"/>
      <c r="G6873" s="1"/>
      <c r="H6873" s="1"/>
      <c r="I6873" s="1"/>
      <c r="J6873" s="1"/>
      <c r="K6873" s="1"/>
      <c r="L6873" s="1"/>
    </row>
    <row r="6874" spans="1:12" ht="12" customHeight="1" x14ac:dyDescent="0.25">
      <c r="A6874" s="12"/>
      <c r="B6874" s="1"/>
      <c r="C6874" s="2"/>
      <c r="D6874" s="1"/>
      <c r="E6874" s="2"/>
      <c r="F6874" s="1"/>
      <c r="G6874" s="1"/>
      <c r="H6874" s="1"/>
      <c r="I6874" s="1"/>
      <c r="J6874" s="1"/>
      <c r="K6874" s="1"/>
      <c r="L6874" s="1"/>
    </row>
    <row r="6875" spans="1:12" ht="12" customHeight="1" x14ac:dyDescent="0.25">
      <c r="A6875" s="12"/>
      <c r="B6875" s="1"/>
      <c r="C6875" s="2"/>
      <c r="D6875" s="1"/>
      <c r="E6875" s="2"/>
      <c r="F6875" s="1"/>
      <c r="G6875" s="1"/>
      <c r="H6875" s="1"/>
      <c r="I6875" s="1"/>
      <c r="J6875" s="1"/>
      <c r="K6875" s="1"/>
      <c r="L6875" s="1"/>
    </row>
    <row r="6876" spans="1:12" ht="12" customHeight="1" x14ac:dyDescent="0.25">
      <c r="A6876" s="12"/>
      <c r="B6876" s="1"/>
      <c r="C6876" s="2"/>
      <c r="D6876" s="1"/>
      <c r="E6876" s="2"/>
      <c r="F6876" s="1"/>
      <c r="G6876" s="1"/>
      <c r="H6876" s="1"/>
      <c r="I6876" s="1"/>
      <c r="J6876" s="1"/>
      <c r="K6876" s="1"/>
      <c r="L6876" s="1"/>
    </row>
    <row r="6877" spans="1:12" ht="12" customHeight="1" x14ac:dyDescent="0.25">
      <c r="A6877" s="12"/>
      <c r="B6877" s="1"/>
      <c r="C6877" s="2"/>
      <c r="D6877" s="1"/>
      <c r="E6877" s="2"/>
      <c r="F6877" s="1"/>
      <c r="G6877" s="1"/>
      <c r="H6877" s="1"/>
      <c r="I6877" s="1"/>
      <c r="J6877" s="1"/>
      <c r="K6877" s="1"/>
      <c r="L6877" s="1"/>
    </row>
    <row r="6878" spans="1:12" ht="12" customHeight="1" x14ac:dyDescent="0.25">
      <c r="A6878" s="12"/>
      <c r="B6878" s="1"/>
      <c r="C6878" s="2"/>
      <c r="D6878" s="1"/>
      <c r="E6878" s="2"/>
      <c r="F6878" s="1"/>
      <c r="G6878" s="1"/>
      <c r="H6878" s="1"/>
      <c r="I6878" s="1"/>
      <c r="J6878" s="1"/>
      <c r="K6878" s="1"/>
      <c r="L6878" s="1"/>
    </row>
    <row r="6879" spans="1:12" ht="12" customHeight="1" x14ac:dyDescent="0.25">
      <c r="A6879" s="12"/>
      <c r="B6879" s="1"/>
      <c r="C6879" s="2"/>
      <c r="D6879" s="1"/>
      <c r="E6879" s="2"/>
      <c r="F6879" s="1"/>
      <c r="G6879" s="1"/>
      <c r="H6879" s="1"/>
      <c r="I6879" s="1"/>
      <c r="J6879" s="1"/>
      <c r="K6879" s="1"/>
      <c r="L6879" s="1"/>
    </row>
    <row r="6880" spans="1:12" ht="12" customHeight="1" x14ac:dyDescent="0.25">
      <c r="A6880" s="12"/>
      <c r="B6880" s="1"/>
      <c r="C6880" s="2"/>
      <c r="D6880" s="1"/>
      <c r="E6880" s="2"/>
      <c r="F6880" s="1"/>
      <c r="G6880" s="1"/>
      <c r="H6880" s="1"/>
      <c r="I6880" s="1"/>
      <c r="J6880" s="1"/>
      <c r="K6880" s="1"/>
      <c r="L6880" s="1"/>
    </row>
    <row r="6881" spans="1:12" ht="12" customHeight="1" x14ac:dyDescent="0.25">
      <c r="A6881" s="12"/>
      <c r="B6881" s="1"/>
      <c r="C6881" s="2"/>
      <c r="D6881" s="1"/>
      <c r="E6881" s="2"/>
      <c r="F6881" s="1"/>
      <c r="G6881" s="1"/>
      <c r="H6881" s="1"/>
      <c r="I6881" s="1"/>
      <c r="J6881" s="1"/>
      <c r="K6881" s="1"/>
      <c r="L6881" s="1"/>
    </row>
    <row r="6882" spans="1:12" ht="12" customHeight="1" x14ac:dyDescent="0.25">
      <c r="A6882" s="12"/>
      <c r="B6882" s="1"/>
      <c r="C6882" s="2"/>
      <c r="D6882" s="1"/>
      <c r="E6882" s="2"/>
      <c r="F6882" s="1"/>
      <c r="G6882" s="1"/>
      <c r="H6882" s="1"/>
      <c r="I6882" s="1"/>
      <c r="J6882" s="1"/>
      <c r="K6882" s="1"/>
      <c r="L6882" s="1"/>
    </row>
    <row r="6883" spans="1:12" ht="12" customHeight="1" x14ac:dyDescent="0.25">
      <c r="A6883" s="12"/>
      <c r="B6883" s="1"/>
      <c r="C6883" s="2"/>
      <c r="D6883" s="1"/>
      <c r="E6883" s="2"/>
      <c r="F6883" s="1"/>
      <c r="G6883" s="1"/>
      <c r="H6883" s="1"/>
      <c r="I6883" s="1"/>
      <c r="J6883" s="1"/>
      <c r="K6883" s="1"/>
      <c r="L6883" s="1"/>
    </row>
    <row r="6884" spans="1:12" ht="12" customHeight="1" x14ac:dyDescent="0.25">
      <c r="A6884" s="12"/>
      <c r="B6884" s="1"/>
      <c r="C6884" s="2"/>
      <c r="D6884" s="1"/>
      <c r="E6884" s="2"/>
      <c r="F6884" s="1"/>
      <c r="G6884" s="1"/>
      <c r="H6884" s="1"/>
      <c r="I6884" s="1"/>
      <c r="J6884" s="1"/>
      <c r="K6884" s="1"/>
      <c r="L6884" s="1"/>
    </row>
    <row r="6885" spans="1:12" ht="12" customHeight="1" x14ac:dyDescent="0.25">
      <c r="A6885" s="12"/>
      <c r="B6885" s="1"/>
      <c r="C6885" s="2"/>
      <c r="D6885" s="1"/>
      <c r="E6885" s="2"/>
      <c r="F6885" s="1"/>
      <c r="G6885" s="1"/>
      <c r="H6885" s="1"/>
      <c r="I6885" s="1"/>
      <c r="J6885" s="1"/>
      <c r="K6885" s="1"/>
      <c r="L6885" s="1"/>
    </row>
    <row r="6886" spans="1:12" ht="12" customHeight="1" x14ac:dyDescent="0.25">
      <c r="A6886" s="12"/>
      <c r="B6886" s="1"/>
      <c r="C6886" s="2"/>
      <c r="D6886" s="1"/>
      <c r="E6886" s="2"/>
      <c r="F6886" s="1"/>
      <c r="G6886" s="1"/>
      <c r="H6886" s="1"/>
      <c r="I6886" s="1"/>
      <c r="J6886" s="1"/>
      <c r="K6886" s="1"/>
      <c r="L6886" s="1"/>
    </row>
    <row r="6887" spans="1:12" ht="12" customHeight="1" x14ac:dyDescent="0.25">
      <c r="A6887" s="12"/>
      <c r="B6887" s="1"/>
      <c r="C6887" s="2"/>
      <c r="D6887" s="1"/>
      <c r="E6887" s="2"/>
      <c r="F6887" s="1"/>
      <c r="G6887" s="1"/>
      <c r="H6887" s="1"/>
      <c r="I6887" s="1"/>
      <c r="J6887" s="1"/>
      <c r="K6887" s="1"/>
      <c r="L6887" s="1"/>
    </row>
    <row r="6888" spans="1:12" ht="12" customHeight="1" x14ac:dyDescent="0.25">
      <c r="A6888" s="12"/>
      <c r="B6888" s="1"/>
      <c r="C6888" s="2"/>
      <c r="D6888" s="1"/>
      <c r="E6888" s="2"/>
      <c r="F6888" s="1"/>
      <c r="G6888" s="1"/>
      <c r="H6888" s="1"/>
      <c r="I6888" s="1"/>
      <c r="J6888" s="1"/>
      <c r="K6888" s="1"/>
      <c r="L6888" s="1"/>
    </row>
    <row r="6889" spans="1:12" ht="12" customHeight="1" x14ac:dyDescent="0.25">
      <c r="A6889" s="12"/>
      <c r="B6889" s="1"/>
      <c r="C6889" s="2"/>
      <c r="D6889" s="1"/>
      <c r="E6889" s="2"/>
      <c r="F6889" s="1"/>
      <c r="G6889" s="1"/>
      <c r="H6889" s="1"/>
      <c r="I6889" s="1"/>
      <c r="J6889" s="1"/>
      <c r="K6889" s="1"/>
      <c r="L6889" s="1"/>
    </row>
    <row r="6890" spans="1:12" ht="12" customHeight="1" x14ac:dyDescent="0.25">
      <c r="A6890" s="12"/>
      <c r="B6890" s="1"/>
      <c r="C6890" s="2"/>
      <c r="D6890" s="1"/>
      <c r="E6890" s="2"/>
      <c r="F6890" s="1"/>
      <c r="G6890" s="1"/>
      <c r="H6890" s="1"/>
      <c r="I6890" s="1"/>
      <c r="J6890" s="1"/>
      <c r="K6890" s="1"/>
      <c r="L6890" s="1"/>
    </row>
    <row r="6891" spans="1:12" ht="12" customHeight="1" x14ac:dyDescent="0.25">
      <c r="A6891" s="12"/>
      <c r="B6891" s="1"/>
      <c r="C6891" s="2"/>
      <c r="D6891" s="1"/>
      <c r="E6891" s="2"/>
      <c r="F6891" s="1"/>
      <c r="G6891" s="1"/>
      <c r="H6891" s="1"/>
      <c r="I6891" s="1"/>
      <c r="J6891" s="1"/>
      <c r="K6891" s="1"/>
      <c r="L6891" s="1"/>
    </row>
    <row r="6892" spans="1:12" ht="12" customHeight="1" x14ac:dyDescent="0.25">
      <c r="A6892" s="12"/>
      <c r="B6892" s="1"/>
      <c r="C6892" s="2"/>
      <c r="D6892" s="1"/>
      <c r="E6892" s="2"/>
      <c r="F6892" s="1"/>
      <c r="G6892" s="1"/>
      <c r="H6892" s="1"/>
      <c r="I6892" s="1"/>
      <c r="J6892" s="1"/>
      <c r="K6892" s="1"/>
      <c r="L6892" s="1"/>
    </row>
    <row r="6893" spans="1:12" ht="12" customHeight="1" x14ac:dyDescent="0.25">
      <c r="A6893" s="12"/>
      <c r="B6893" s="1"/>
      <c r="C6893" s="2"/>
      <c r="D6893" s="1"/>
      <c r="E6893" s="2"/>
      <c r="F6893" s="1"/>
      <c r="G6893" s="1"/>
      <c r="H6893" s="1"/>
      <c r="I6893" s="1"/>
      <c r="J6893" s="1"/>
      <c r="K6893" s="1"/>
      <c r="L6893" s="1"/>
    </row>
    <row r="6894" spans="1:12" ht="12" customHeight="1" x14ac:dyDescent="0.25">
      <c r="A6894" s="12"/>
      <c r="B6894" s="1"/>
      <c r="C6894" s="2"/>
      <c r="D6894" s="1"/>
      <c r="E6894" s="2"/>
      <c r="F6894" s="1"/>
      <c r="G6894" s="1"/>
      <c r="H6894" s="1"/>
      <c r="I6894" s="1"/>
      <c r="J6894" s="1"/>
      <c r="K6894" s="1"/>
      <c r="L6894" s="1"/>
    </row>
    <row r="6895" spans="1:12" ht="12" customHeight="1" x14ac:dyDescent="0.25">
      <c r="A6895" s="12"/>
      <c r="B6895" s="1"/>
      <c r="C6895" s="2"/>
      <c r="D6895" s="1"/>
      <c r="E6895" s="2"/>
      <c r="F6895" s="1"/>
      <c r="G6895" s="1"/>
      <c r="H6895" s="1"/>
      <c r="I6895" s="1"/>
      <c r="J6895" s="1"/>
      <c r="K6895" s="1"/>
      <c r="L6895" s="1"/>
    </row>
    <row r="6896" spans="1:12" ht="12" customHeight="1" x14ac:dyDescent="0.25">
      <c r="A6896" s="12"/>
      <c r="B6896" s="1"/>
      <c r="C6896" s="2"/>
      <c r="D6896" s="1"/>
      <c r="E6896" s="2"/>
      <c r="F6896" s="1"/>
      <c r="G6896" s="1"/>
      <c r="H6896" s="1"/>
      <c r="I6896" s="1"/>
      <c r="J6896" s="1"/>
      <c r="K6896" s="1"/>
      <c r="L6896" s="1"/>
    </row>
    <row r="6897" spans="1:12" ht="12" customHeight="1" x14ac:dyDescent="0.25">
      <c r="A6897" s="12"/>
      <c r="B6897" s="1"/>
      <c r="C6897" s="2"/>
      <c r="D6897" s="1"/>
      <c r="E6897" s="2"/>
      <c r="F6897" s="1"/>
      <c r="G6897" s="1"/>
      <c r="H6897" s="1"/>
      <c r="I6897" s="1"/>
      <c r="J6897" s="1"/>
      <c r="K6897" s="1"/>
      <c r="L6897" s="1"/>
    </row>
    <row r="6898" spans="1:12" ht="12" customHeight="1" x14ac:dyDescent="0.25">
      <c r="A6898" s="12"/>
      <c r="B6898" s="1"/>
      <c r="C6898" s="2"/>
      <c r="D6898" s="1"/>
      <c r="E6898" s="2"/>
      <c r="F6898" s="1"/>
      <c r="G6898" s="1"/>
      <c r="H6898" s="1"/>
      <c r="I6898" s="1"/>
      <c r="J6898" s="1"/>
      <c r="K6898" s="1"/>
      <c r="L6898" s="1"/>
    </row>
    <row r="6899" spans="1:12" ht="12" customHeight="1" x14ac:dyDescent="0.25">
      <c r="A6899" s="12"/>
      <c r="B6899" s="1"/>
      <c r="C6899" s="2"/>
      <c r="D6899" s="1"/>
      <c r="E6899" s="2"/>
      <c r="F6899" s="1"/>
      <c r="G6899" s="1"/>
      <c r="H6899" s="1"/>
      <c r="I6899" s="1"/>
      <c r="J6899" s="1"/>
      <c r="K6899" s="1"/>
      <c r="L6899" s="1"/>
    </row>
    <row r="6900" spans="1:12" ht="12" customHeight="1" x14ac:dyDescent="0.25">
      <c r="A6900" s="12"/>
      <c r="B6900" s="1"/>
      <c r="C6900" s="2"/>
      <c r="D6900" s="1"/>
      <c r="E6900" s="2"/>
      <c r="F6900" s="1"/>
      <c r="G6900" s="1"/>
      <c r="H6900" s="1"/>
      <c r="I6900" s="1"/>
      <c r="J6900" s="1"/>
      <c r="K6900" s="1"/>
      <c r="L6900" s="1"/>
    </row>
    <row r="6901" spans="1:12" ht="12" customHeight="1" x14ac:dyDescent="0.25">
      <c r="A6901" s="12"/>
      <c r="B6901" s="1"/>
      <c r="C6901" s="2"/>
      <c r="D6901" s="1"/>
      <c r="E6901" s="2"/>
      <c r="F6901" s="1"/>
      <c r="G6901" s="1"/>
      <c r="H6901" s="1"/>
      <c r="I6901" s="1"/>
      <c r="J6901" s="1"/>
      <c r="K6901" s="1"/>
      <c r="L6901" s="1"/>
    </row>
    <row r="6902" spans="1:12" ht="12" customHeight="1" x14ac:dyDescent="0.25">
      <c r="A6902" s="12"/>
      <c r="B6902" s="1"/>
      <c r="C6902" s="2"/>
      <c r="D6902" s="1"/>
      <c r="E6902" s="2"/>
      <c r="F6902" s="1"/>
      <c r="G6902" s="1"/>
      <c r="H6902" s="1"/>
      <c r="I6902" s="1"/>
      <c r="J6902" s="1"/>
      <c r="K6902" s="1"/>
      <c r="L6902" s="1"/>
    </row>
    <row r="6903" spans="1:12" ht="12" customHeight="1" x14ac:dyDescent="0.25">
      <c r="A6903" s="12"/>
      <c r="B6903" s="1"/>
      <c r="C6903" s="2"/>
      <c r="D6903" s="1"/>
      <c r="E6903" s="2"/>
      <c r="F6903" s="1"/>
      <c r="G6903" s="1"/>
      <c r="H6903" s="1"/>
      <c r="I6903" s="1"/>
      <c r="J6903" s="1"/>
      <c r="K6903" s="1"/>
      <c r="L6903" s="1"/>
    </row>
    <row r="6904" spans="1:12" ht="12" customHeight="1" x14ac:dyDescent="0.25">
      <c r="A6904" s="12"/>
      <c r="B6904" s="1"/>
      <c r="C6904" s="2"/>
      <c r="D6904" s="1"/>
      <c r="E6904" s="2"/>
      <c r="F6904" s="1"/>
      <c r="G6904" s="1"/>
      <c r="H6904" s="1"/>
      <c r="I6904" s="1"/>
      <c r="J6904" s="1"/>
      <c r="K6904" s="1"/>
      <c r="L6904" s="1"/>
    </row>
    <row r="6905" spans="1:12" ht="12" customHeight="1" x14ac:dyDescent="0.25">
      <c r="A6905" s="12"/>
      <c r="B6905" s="1"/>
      <c r="C6905" s="2"/>
      <c r="D6905" s="1"/>
      <c r="E6905" s="2"/>
      <c r="F6905" s="1"/>
      <c r="G6905" s="1"/>
      <c r="H6905" s="1"/>
      <c r="I6905" s="1"/>
      <c r="J6905" s="1"/>
      <c r="K6905" s="1"/>
      <c r="L6905" s="1"/>
    </row>
    <row r="6906" spans="1:12" ht="12" customHeight="1" x14ac:dyDescent="0.25">
      <c r="A6906" s="12"/>
      <c r="B6906" s="1"/>
      <c r="C6906" s="2"/>
      <c r="D6906" s="1"/>
      <c r="E6906" s="2"/>
      <c r="F6906" s="1"/>
      <c r="G6906" s="1"/>
      <c r="H6906" s="1"/>
      <c r="I6906" s="1"/>
      <c r="J6906" s="1"/>
      <c r="K6906" s="1"/>
      <c r="L6906" s="1"/>
    </row>
    <row r="6907" spans="1:12" ht="12" customHeight="1" x14ac:dyDescent="0.25">
      <c r="A6907" s="12"/>
      <c r="B6907" s="1"/>
      <c r="C6907" s="2"/>
      <c r="D6907" s="1"/>
      <c r="E6907" s="2"/>
      <c r="F6907" s="1"/>
      <c r="G6907" s="1"/>
      <c r="H6907" s="1"/>
      <c r="I6907" s="1"/>
      <c r="J6907" s="1"/>
      <c r="K6907" s="1"/>
      <c r="L6907" s="1"/>
    </row>
    <row r="6908" spans="1:12" ht="12" customHeight="1" x14ac:dyDescent="0.25">
      <c r="A6908" s="12"/>
      <c r="B6908" s="1"/>
      <c r="C6908" s="2"/>
      <c r="D6908" s="1"/>
      <c r="E6908" s="2"/>
      <c r="F6908" s="1"/>
      <c r="G6908" s="1"/>
      <c r="H6908" s="1"/>
      <c r="I6908" s="1"/>
      <c r="J6908" s="1"/>
      <c r="K6908" s="1"/>
      <c r="L6908" s="1"/>
    </row>
    <row r="6909" spans="1:12" ht="12" customHeight="1" x14ac:dyDescent="0.25">
      <c r="A6909" s="12"/>
      <c r="B6909" s="1"/>
      <c r="C6909" s="2"/>
      <c r="D6909" s="1"/>
      <c r="E6909" s="2"/>
      <c r="F6909" s="1"/>
      <c r="G6909" s="1"/>
      <c r="H6909" s="1"/>
      <c r="I6909" s="1"/>
      <c r="J6909" s="1"/>
      <c r="K6909" s="1"/>
      <c r="L6909" s="1"/>
    </row>
    <row r="6910" spans="1:12" ht="12" customHeight="1" x14ac:dyDescent="0.25">
      <c r="A6910" s="12"/>
      <c r="B6910" s="1"/>
      <c r="C6910" s="2"/>
      <c r="D6910" s="1"/>
      <c r="E6910" s="2"/>
      <c r="F6910" s="1"/>
      <c r="G6910" s="1"/>
      <c r="H6910" s="1"/>
      <c r="I6910" s="1"/>
      <c r="J6910" s="1"/>
      <c r="K6910" s="1"/>
      <c r="L6910" s="1"/>
    </row>
    <row r="6911" spans="1:12" ht="12" customHeight="1" x14ac:dyDescent="0.25">
      <c r="A6911" s="12"/>
      <c r="B6911" s="1"/>
      <c r="C6911" s="2"/>
      <c r="D6911" s="1"/>
      <c r="E6911" s="2"/>
      <c r="F6911" s="1"/>
      <c r="G6911" s="1"/>
      <c r="H6911" s="1"/>
      <c r="I6911" s="1"/>
      <c r="J6911" s="1"/>
      <c r="K6911" s="1"/>
      <c r="L6911" s="1"/>
    </row>
    <row r="6912" spans="1:12" ht="12" customHeight="1" x14ac:dyDescent="0.25">
      <c r="A6912" s="12"/>
      <c r="B6912" s="1"/>
      <c r="C6912" s="2"/>
      <c r="D6912" s="1"/>
      <c r="E6912" s="2"/>
      <c r="F6912" s="1"/>
      <c r="G6912" s="1"/>
      <c r="H6912" s="1"/>
      <c r="I6912" s="1"/>
      <c r="J6912" s="1"/>
      <c r="K6912" s="1"/>
      <c r="L6912" s="1"/>
    </row>
    <row r="6913" spans="1:12" ht="12" customHeight="1" x14ac:dyDescent="0.25">
      <c r="A6913" s="12"/>
      <c r="B6913" s="1"/>
      <c r="C6913" s="2"/>
      <c r="D6913" s="1"/>
      <c r="E6913" s="2"/>
      <c r="F6913" s="1"/>
      <c r="G6913" s="1"/>
      <c r="H6913" s="1"/>
      <c r="I6913" s="1"/>
      <c r="J6913" s="1"/>
      <c r="K6913" s="1"/>
      <c r="L6913" s="1"/>
    </row>
    <row r="6914" spans="1:12" ht="12" customHeight="1" x14ac:dyDescent="0.25">
      <c r="A6914" s="12"/>
      <c r="B6914" s="1"/>
      <c r="C6914" s="2"/>
      <c r="D6914" s="1"/>
      <c r="E6914" s="2"/>
      <c r="F6914" s="1"/>
      <c r="G6914" s="1"/>
      <c r="H6914" s="1"/>
      <c r="I6914" s="1"/>
      <c r="J6914" s="1"/>
      <c r="K6914" s="1"/>
      <c r="L6914" s="1"/>
    </row>
    <row r="6915" spans="1:12" ht="12" customHeight="1" x14ac:dyDescent="0.25">
      <c r="A6915" s="12"/>
      <c r="B6915" s="1"/>
      <c r="C6915" s="2"/>
      <c r="D6915" s="1"/>
      <c r="E6915" s="2"/>
      <c r="F6915" s="1"/>
      <c r="G6915" s="1"/>
      <c r="H6915" s="1"/>
      <c r="I6915" s="1"/>
      <c r="J6915" s="1"/>
      <c r="K6915" s="1"/>
      <c r="L6915" s="1"/>
    </row>
    <row r="6916" spans="1:12" ht="12" customHeight="1" x14ac:dyDescent="0.25">
      <c r="A6916" s="12"/>
      <c r="B6916" s="1"/>
      <c r="C6916" s="2"/>
      <c r="D6916" s="1"/>
      <c r="E6916" s="2"/>
      <c r="F6916" s="1"/>
      <c r="G6916" s="1"/>
      <c r="H6916" s="1"/>
      <c r="I6916" s="1"/>
      <c r="J6916" s="1"/>
      <c r="K6916" s="1"/>
      <c r="L6916" s="1"/>
    </row>
    <row r="6917" spans="1:12" ht="12" customHeight="1" x14ac:dyDescent="0.25">
      <c r="A6917" s="12"/>
      <c r="B6917" s="1"/>
      <c r="C6917" s="2"/>
      <c r="D6917" s="1"/>
      <c r="E6917" s="2"/>
      <c r="F6917" s="1"/>
      <c r="G6917" s="1"/>
      <c r="H6917" s="1"/>
      <c r="I6917" s="1"/>
      <c r="J6917" s="1"/>
      <c r="K6917" s="1"/>
      <c r="L6917" s="1"/>
    </row>
    <row r="6918" spans="1:12" ht="12" customHeight="1" x14ac:dyDescent="0.25">
      <c r="A6918" s="12"/>
      <c r="B6918" s="1"/>
      <c r="C6918" s="2"/>
      <c r="D6918" s="1"/>
      <c r="E6918" s="2"/>
      <c r="F6918" s="1"/>
      <c r="G6918" s="1"/>
      <c r="H6918" s="1"/>
      <c r="I6918" s="1"/>
      <c r="J6918" s="1"/>
      <c r="K6918" s="1"/>
      <c r="L6918" s="1"/>
    </row>
    <row r="6919" spans="1:12" ht="12" customHeight="1" x14ac:dyDescent="0.25">
      <c r="A6919" s="12"/>
      <c r="B6919" s="1"/>
      <c r="C6919" s="2"/>
      <c r="D6919" s="1"/>
      <c r="E6919" s="2"/>
      <c r="F6919" s="1"/>
      <c r="G6919" s="1"/>
      <c r="H6919" s="1"/>
      <c r="I6919" s="1"/>
      <c r="J6919" s="1"/>
      <c r="K6919" s="1"/>
      <c r="L6919" s="1"/>
    </row>
    <row r="6920" spans="1:12" ht="12" customHeight="1" x14ac:dyDescent="0.25">
      <c r="A6920" s="12"/>
      <c r="B6920" s="1"/>
      <c r="C6920" s="2"/>
      <c r="D6920" s="1"/>
      <c r="E6920" s="2"/>
      <c r="F6920" s="1"/>
      <c r="G6920" s="1"/>
      <c r="H6920" s="1"/>
      <c r="I6920" s="1"/>
      <c r="J6920" s="1"/>
      <c r="K6920" s="1"/>
      <c r="L6920" s="1"/>
    </row>
    <row r="6921" spans="1:12" ht="12" customHeight="1" x14ac:dyDescent="0.25">
      <c r="A6921" s="12"/>
      <c r="B6921" s="1"/>
      <c r="C6921" s="2"/>
      <c r="D6921" s="1"/>
      <c r="E6921" s="2"/>
      <c r="F6921" s="1"/>
      <c r="G6921" s="1"/>
      <c r="H6921" s="1"/>
      <c r="I6921" s="1"/>
      <c r="J6921" s="1"/>
      <c r="K6921" s="1"/>
      <c r="L6921" s="1"/>
    </row>
    <row r="6922" spans="1:12" ht="12" customHeight="1" x14ac:dyDescent="0.25">
      <c r="A6922" s="12"/>
      <c r="B6922" s="1"/>
      <c r="C6922" s="2"/>
      <c r="D6922" s="1"/>
      <c r="E6922" s="2"/>
      <c r="F6922" s="1"/>
      <c r="G6922" s="1"/>
      <c r="H6922" s="1"/>
      <c r="I6922" s="1"/>
      <c r="J6922" s="1"/>
      <c r="K6922" s="1"/>
      <c r="L6922" s="1"/>
    </row>
    <row r="6923" spans="1:12" ht="12" customHeight="1" x14ac:dyDescent="0.25">
      <c r="A6923" s="12"/>
      <c r="B6923" s="1"/>
      <c r="C6923" s="2"/>
      <c r="D6923" s="1"/>
      <c r="E6923" s="2"/>
      <c r="F6923" s="1"/>
      <c r="G6923" s="1"/>
      <c r="H6923" s="1"/>
      <c r="I6923" s="1"/>
      <c r="J6923" s="1"/>
      <c r="K6923" s="1"/>
      <c r="L6923" s="1"/>
    </row>
    <row r="6924" spans="1:12" ht="12" customHeight="1" x14ac:dyDescent="0.25">
      <c r="A6924" s="12"/>
      <c r="B6924" s="1"/>
      <c r="C6924" s="2"/>
      <c r="D6924" s="1"/>
      <c r="E6924" s="2"/>
      <c r="F6924" s="1"/>
      <c r="G6924" s="1"/>
      <c r="H6924" s="1"/>
      <c r="I6924" s="1"/>
      <c r="J6924" s="1"/>
      <c r="K6924" s="1"/>
      <c r="L6924" s="1"/>
    </row>
    <row r="6925" spans="1:12" ht="12" customHeight="1" x14ac:dyDescent="0.25">
      <c r="A6925" s="12"/>
      <c r="B6925" s="1"/>
      <c r="C6925" s="2"/>
      <c r="D6925" s="1"/>
      <c r="E6925" s="2"/>
      <c r="F6925" s="1"/>
      <c r="G6925" s="1"/>
      <c r="H6925" s="1"/>
      <c r="I6925" s="1"/>
      <c r="J6925" s="1"/>
      <c r="K6925" s="1"/>
      <c r="L6925" s="1"/>
    </row>
    <row r="6926" spans="1:12" ht="12" customHeight="1" x14ac:dyDescent="0.25">
      <c r="A6926" s="12"/>
      <c r="B6926" s="1"/>
      <c r="C6926" s="2"/>
      <c r="D6926" s="1"/>
      <c r="E6926" s="2"/>
      <c r="F6926" s="1"/>
      <c r="G6926" s="1"/>
      <c r="H6926" s="1"/>
      <c r="I6926" s="1"/>
      <c r="J6926" s="1"/>
      <c r="K6926" s="1"/>
      <c r="L6926" s="1"/>
    </row>
    <row r="6927" spans="1:12" ht="12" customHeight="1" x14ac:dyDescent="0.25">
      <c r="A6927" s="12"/>
      <c r="B6927" s="1"/>
      <c r="C6927" s="2"/>
      <c r="D6927" s="1"/>
      <c r="E6927" s="2"/>
      <c r="F6927" s="1"/>
      <c r="G6927" s="1"/>
      <c r="H6927" s="1"/>
      <c r="I6927" s="1"/>
      <c r="J6927" s="1"/>
      <c r="K6927" s="1"/>
      <c r="L6927" s="1"/>
    </row>
    <row r="6928" spans="1:12" ht="12" customHeight="1" x14ac:dyDescent="0.25">
      <c r="A6928" s="12"/>
      <c r="B6928" s="1"/>
      <c r="C6928" s="2"/>
      <c r="D6928" s="1"/>
      <c r="E6928" s="2"/>
      <c r="F6928" s="1"/>
      <c r="G6928" s="1"/>
      <c r="H6928" s="1"/>
      <c r="I6928" s="1"/>
      <c r="J6928" s="1"/>
      <c r="K6928" s="1"/>
      <c r="L6928" s="1"/>
    </row>
    <row r="6929" spans="1:12" ht="12" customHeight="1" x14ac:dyDescent="0.25">
      <c r="A6929" s="12"/>
      <c r="B6929" s="1"/>
      <c r="C6929" s="2"/>
      <c r="D6929" s="1"/>
      <c r="E6929" s="2"/>
      <c r="F6929" s="1"/>
      <c r="G6929" s="1"/>
      <c r="H6929" s="1"/>
      <c r="I6929" s="1"/>
      <c r="J6929" s="1"/>
      <c r="K6929" s="1"/>
      <c r="L6929" s="1"/>
    </row>
    <row r="6930" spans="1:12" ht="12" customHeight="1" x14ac:dyDescent="0.25">
      <c r="A6930" s="12"/>
      <c r="B6930" s="1"/>
      <c r="C6930" s="2"/>
      <c r="D6930" s="1"/>
      <c r="E6930" s="2"/>
      <c r="F6930" s="1"/>
      <c r="G6930" s="1"/>
      <c r="H6930" s="1"/>
      <c r="I6930" s="1"/>
      <c r="J6930" s="1"/>
      <c r="K6930" s="1"/>
      <c r="L6930" s="1"/>
    </row>
    <row r="6931" spans="1:12" ht="12" customHeight="1" x14ac:dyDescent="0.25">
      <c r="A6931" s="12"/>
      <c r="B6931" s="1"/>
      <c r="C6931" s="2"/>
      <c r="D6931" s="1"/>
      <c r="E6931" s="2"/>
      <c r="F6931" s="1"/>
      <c r="G6931" s="1"/>
      <c r="H6931" s="1"/>
      <c r="I6931" s="1"/>
      <c r="J6931" s="1"/>
      <c r="K6931" s="1"/>
      <c r="L6931" s="1"/>
    </row>
    <row r="6932" spans="1:12" ht="12" customHeight="1" x14ac:dyDescent="0.25">
      <c r="A6932" s="12"/>
      <c r="B6932" s="1"/>
      <c r="C6932" s="2"/>
      <c r="D6932" s="1"/>
      <c r="E6932" s="2"/>
      <c r="F6932" s="1"/>
      <c r="G6932" s="1"/>
      <c r="H6932" s="1"/>
      <c r="I6932" s="1"/>
      <c r="J6932" s="1"/>
      <c r="K6932" s="1"/>
      <c r="L6932" s="1"/>
    </row>
    <row r="6933" spans="1:12" ht="12" customHeight="1" x14ac:dyDescent="0.25">
      <c r="A6933" s="12"/>
      <c r="B6933" s="1"/>
      <c r="C6933" s="2"/>
      <c r="D6933" s="1"/>
      <c r="E6933" s="2"/>
      <c r="F6933" s="1"/>
      <c r="G6933" s="1"/>
      <c r="H6933" s="1"/>
      <c r="I6933" s="1"/>
      <c r="J6933" s="1"/>
      <c r="K6933" s="1"/>
      <c r="L6933" s="1"/>
    </row>
    <row r="6934" spans="1:12" ht="12" customHeight="1" x14ac:dyDescent="0.25">
      <c r="A6934" s="12"/>
      <c r="B6934" s="1"/>
      <c r="C6934" s="2"/>
      <c r="D6934" s="1"/>
      <c r="E6934" s="2"/>
      <c r="F6934" s="1"/>
      <c r="G6934" s="1"/>
      <c r="H6934" s="1"/>
      <c r="I6934" s="1"/>
      <c r="J6934" s="1"/>
      <c r="K6934" s="1"/>
      <c r="L6934" s="1"/>
    </row>
    <row r="6935" spans="1:12" ht="12" customHeight="1" x14ac:dyDescent="0.25">
      <c r="A6935" s="12"/>
      <c r="B6935" s="1"/>
      <c r="C6935" s="2"/>
      <c r="D6935" s="1"/>
      <c r="E6935" s="2"/>
      <c r="F6935" s="1"/>
      <c r="G6935" s="1"/>
      <c r="H6935" s="1"/>
      <c r="I6935" s="1"/>
      <c r="J6935" s="1"/>
      <c r="K6935" s="1"/>
      <c r="L6935" s="1"/>
    </row>
    <row r="6936" spans="1:12" ht="12" customHeight="1" x14ac:dyDescent="0.25">
      <c r="A6936" s="12"/>
      <c r="B6936" s="1"/>
      <c r="C6936" s="2"/>
      <c r="D6936" s="1"/>
      <c r="E6936" s="2"/>
      <c r="F6936" s="1"/>
      <c r="G6936" s="1"/>
      <c r="H6936" s="1"/>
      <c r="I6936" s="1"/>
      <c r="J6936" s="1"/>
      <c r="K6936" s="1"/>
      <c r="L6936" s="1"/>
    </row>
    <row r="6937" spans="1:12" ht="12" customHeight="1" x14ac:dyDescent="0.25">
      <c r="A6937" s="12"/>
      <c r="B6937" s="1"/>
      <c r="C6937" s="2"/>
      <c r="D6937" s="1"/>
      <c r="E6937" s="2"/>
      <c r="F6937" s="1"/>
      <c r="G6937" s="1"/>
      <c r="H6937" s="1"/>
      <c r="I6937" s="1"/>
      <c r="J6937" s="1"/>
      <c r="K6937" s="1"/>
      <c r="L6937" s="1"/>
    </row>
    <row r="6938" spans="1:12" ht="12" customHeight="1" x14ac:dyDescent="0.25">
      <c r="A6938" s="12"/>
      <c r="B6938" s="1"/>
      <c r="C6938" s="2"/>
      <c r="D6938" s="1"/>
      <c r="E6938" s="2"/>
      <c r="F6938" s="1"/>
      <c r="G6938" s="1"/>
      <c r="H6938" s="1"/>
      <c r="I6938" s="1"/>
      <c r="J6938" s="1"/>
      <c r="K6938" s="1"/>
      <c r="L6938" s="1"/>
    </row>
    <row r="6939" spans="1:12" ht="12" customHeight="1" x14ac:dyDescent="0.25">
      <c r="A6939" s="12"/>
      <c r="B6939" s="1"/>
      <c r="C6939" s="2"/>
      <c r="D6939" s="1"/>
      <c r="E6939" s="2"/>
      <c r="F6939" s="1"/>
      <c r="G6939" s="1"/>
      <c r="H6939" s="1"/>
      <c r="I6939" s="1"/>
      <c r="J6939" s="1"/>
      <c r="K6939" s="1"/>
      <c r="L6939" s="1"/>
    </row>
    <row r="6940" spans="1:12" ht="12" customHeight="1" x14ac:dyDescent="0.25">
      <c r="A6940" s="12"/>
      <c r="B6940" s="1"/>
      <c r="C6940" s="2"/>
      <c r="D6940" s="1"/>
      <c r="E6940" s="2"/>
      <c r="F6940" s="1"/>
      <c r="G6940" s="1"/>
      <c r="H6940" s="1"/>
      <c r="I6940" s="1"/>
      <c r="J6940" s="1"/>
      <c r="K6940" s="1"/>
      <c r="L6940" s="1"/>
    </row>
    <row r="6941" spans="1:12" ht="12" customHeight="1" x14ac:dyDescent="0.25">
      <c r="A6941" s="12"/>
      <c r="B6941" s="1"/>
      <c r="C6941" s="2"/>
      <c r="D6941" s="1"/>
      <c r="E6941" s="2"/>
      <c r="F6941" s="1"/>
      <c r="G6941" s="1"/>
      <c r="H6941" s="1"/>
      <c r="I6941" s="1"/>
      <c r="J6941" s="1"/>
      <c r="K6941" s="1"/>
      <c r="L6941" s="1"/>
    </row>
    <row r="6942" spans="1:12" ht="12" customHeight="1" x14ac:dyDescent="0.25">
      <c r="A6942" s="12"/>
      <c r="B6942" s="1"/>
      <c r="C6942" s="2"/>
      <c r="D6942" s="1"/>
      <c r="E6942" s="2"/>
      <c r="F6942" s="1"/>
      <c r="G6942" s="1"/>
      <c r="H6942" s="1"/>
      <c r="I6942" s="1"/>
      <c r="J6942" s="1"/>
      <c r="K6942" s="1"/>
      <c r="L6942" s="1"/>
    </row>
    <row r="6943" spans="1:12" ht="12" customHeight="1" x14ac:dyDescent="0.25">
      <c r="A6943" s="12"/>
      <c r="B6943" s="1"/>
      <c r="C6943" s="2"/>
      <c r="D6943" s="1"/>
      <c r="E6943" s="2"/>
      <c r="F6943" s="1"/>
      <c r="G6943" s="1"/>
      <c r="H6943" s="1"/>
      <c r="I6943" s="1"/>
      <c r="J6943" s="1"/>
      <c r="K6943" s="1"/>
      <c r="L6943" s="1"/>
    </row>
    <row r="6944" spans="1:12" ht="12" customHeight="1" x14ac:dyDescent="0.25">
      <c r="A6944" s="12"/>
      <c r="B6944" s="1"/>
      <c r="C6944" s="2"/>
      <c r="D6944" s="1"/>
      <c r="E6944" s="2"/>
      <c r="F6944" s="1"/>
      <c r="G6944" s="1"/>
      <c r="H6944" s="1"/>
      <c r="I6944" s="1"/>
      <c r="J6944" s="1"/>
      <c r="K6944" s="1"/>
      <c r="L6944" s="1"/>
    </row>
    <row r="6945" spans="1:12" ht="12" customHeight="1" x14ac:dyDescent="0.25">
      <c r="A6945" s="12"/>
      <c r="B6945" s="1"/>
      <c r="C6945" s="2"/>
      <c r="D6945" s="1"/>
      <c r="E6945" s="2"/>
      <c r="F6945" s="1"/>
      <c r="G6945" s="1"/>
      <c r="H6945" s="1"/>
      <c r="I6945" s="1"/>
      <c r="J6945" s="1"/>
      <c r="K6945" s="1"/>
      <c r="L6945" s="1"/>
    </row>
    <row r="6946" spans="1:12" ht="12" customHeight="1" x14ac:dyDescent="0.25">
      <c r="A6946" s="12"/>
      <c r="B6946" s="1"/>
      <c r="C6946" s="2"/>
      <c r="D6946" s="1"/>
      <c r="E6946" s="2"/>
      <c r="F6946" s="1"/>
      <c r="G6946" s="1"/>
      <c r="H6946" s="1"/>
      <c r="I6946" s="1"/>
      <c r="J6946" s="1"/>
      <c r="K6946" s="1"/>
      <c r="L6946" s="1"/>
    </row>
    <row r="6947" spans="1:12" ht="12" customHeight="1" x14ac:dyDescent="0.25">
      <c r="A6947" s="12"/>
      <c r="B6947" s="1"/>
      <c r="C6947" s="2"/>
      <c r="D6947" s="1"/>
      <c r="E6947" s="2"/>
      <c r="F6947" s="1"/>
      <c r="G6947" s="1"/>
      <c r="H6947" s="1"/>
      <c r="I6947" s="1"/>
      <c r="J6947" s="1"/>
      <c r="K6947" s="1"/>
      <c r="L6947" s="1"/>
    </row>
    <row r="6948" spans="1:12" ht="12" customHeight="1" x14ac:dyDescent="0.25">
      <c r="A6948" s="12"/>
      <c r="B6948" s="1"/>
      <c r="C6948" s="2"/>
      <c r="D6948" s="1"/>
      <c r="E6948" s="2"/>
      <c r="F6948" s="1"/>
      <c r="G6948" s="1"/>
      <c r="H6948" s="1"/>
      <c r="I6948" s="1"/>
      <c r="J6948" s="1"/>
      <c r="K6948" s="1"/>
      <c r="L6948" s="1"/>
    </row>
    <row r="6949" spans="1:12" ht="12" customHeight="1" x14ac:dyDescent="0.25">
      <c r="A6949" s="12"/>
      <c r="B6949" s="1"/>
      <c r="C6949" s="2"/>
      <c r="D6949" s="1"/>
      <c r="E6949" s="2"/>
      <c r="F6949" s="1"/>
      <c r="G6949" s="1"/>
      <c r="H6949" s="1"/>
      <c r="I6949" s="1"/>
      <c r="J6949" s="1"/>
      <c r="K6949" s="1"/>
      <c r="L6949" s="1"/>
    </row>
    <row r="6950" spans="1:12" ht="12" customHeight="1" x14ac:dyDescent="0.25">
      <c r="A6950" s="12"/>
      <c r="B6950" s="1"/>
      <c r="C6950" s="2"/>
      <c r="D6950" s="1"/>
      <c r="E6950" s="2"/>
      <c r="F6950" s="1"/>
      <c r="G6950" s="1"/>
      <c r="H6950" s="1"/>
      <c r="I6950" s="1"/>
      <c r="J6950" s="1"/>
      <c r="K6950" s="1"/>
      <c r="L6950" s="1"/>
    </row>
    <row r="6951" spans="1:12" ht="12" customHeight="1" x14ac:dyDescent="0.25">
      <c r="A6951" s="12"/>
      <c r="B6951" s="1"/>
      <c r="C6951" s="2"/>
      <c r="D6951" s="1"/>
      <c r="E6951" s="2"/>
      <c r="F6951" s="1"/>
      <c r="G6951" s="1"/>
      <c r="H6951" s="1"/>
      <c r="I6951" s="1"/>
      <c r="J6951" s="1"/>
      <c r="K6951" s="1"/>
      <c r="L6951" s="1"/>
    </row>
    <row r="6952" spans="1:12" ht="12" customHeight="1" x14ac:dyDescent="0.25">
      <c r="A6952" s="12"/>
      <c r="B6952" s="1"/>
      <c r="C6952" s="2"/>
      <c r="D6952" s="1"/>
      <c r="E6952" s="2"/>
      <c r="F6952" s="1"/>
      <c r="G6952" s="1"/>
      <c r="H6952" s="1"/>
      <c r="I6952" s="1"/>
      <c r="J6952" s="1"/>
      <c r="K6952" s="1"/>
      <c r="L6952" s="1"/>
    </row>
    <row r="6953" spans="1:12" ht="12" customHeight="1" x14ac:dyDescent="0.25">
      <c r="A6953" s="12"/>
      <c r="B6953" s="1"/>
      <c r="C6953" s="2"/>
      <c r="D6953" s="1"/>
      <c r="E6953" s="2"/>
      <c r="F6953" s="1"/>
      <c r="G6953" s="1"/>
      <c r="H6953" s="1"/>
      <c r="I6953" s="1"/>
      <c r="J6953" s="1"/>
      <c r="K6953" s="1"/>
      <c r="L6953" s="1"/>
    </row>
    <row r="6954" spans="1:12" ht="12" customHeight="1" x14ac:dyDescent="0.25">
      <c r="A6954" s="12"/>
      <c r="B6954" s="1"/>
      <c r="C6954" s="2"/>
      <c r="D6954" s="1"/>
      <c r="E6954" s="2"/>
      <c r="F6954" s="1"/>
      <c r="G6954" s="1"/>
      <c r="H6954" s="1"/>
      <c r="I6954" s="1"/>
      <c r="J6954" s="1"/>
      <c r="K6954" s="1"/>
      <c r="L6954" s="1"/>
    </row>
    <row r="6955" spans="1:12" ht="12" customHeight="1" x14ac:dyDescent="0.25">
      <c r="A6955" s="12"/>
      <c r="B6955" s="1"/>
      <c r="C6955" s="2"/>
      <c r="D6955" s="1"/>
      <c r="E6955" s="2"/>
      <c r="F6955" s="1"/>
      <c r="G6955" s="1"/>
      <c r="H6955" s="1"/>
      <c r="I6955" s="1"/>
      <c r="J6955" s="1"/>
      <c r="K6955" s="1"/>
      <c r="L6955" s="1"/>
    </row>
    <row r="6956" spans="1:12" ht="12" customHeight="1" x14ac:dyDescent="0.25">
      <c r="A6956" s="12"/>
      <c r="B6956" s="1"/>
      <c r="C6956" s="2"/>
      <c r="D6956" s="1"/>
      <c r="E6956" s="2"/>
      <c r="F6956" s="1"/>
      <c r="G6956" s="1"/>
      <c r="H6956" s="1"/>
      <c r="I6956" s="1"/>
      <c r="J6956" s="1"/>
      <c r="K6956" s="1"/>
      <c r="L6956" s="1"/>
    </row>
    <row r="6957" spans="1:12" ht="12" customHeight="1" x14ac:dyDescent="0.25">
      <c r="A6957" s="12"/>
      <c r="B6957" s="1"/>
      <c r="C6957" s="2"/>
      <c r="D6957" s="1"/>
      <c r="E6957" s="2"/>
      <c r="F6957" s="1"/>
      <c r="G6957" s="1"/>
      <c r="H6957" s="1"/>
      <c r="I6957" s="1"/>
      <c r="J6957" s="1"/>
      <c r="K6957" s="1"/>
      <c r="L6957" s="1"/>
    </row>
    <row r="6958" spans="1:12" ht="12" customHeight="1" x14ac:dyDescent="0.25">
      <c r="A6958" s="12"/>
      <c r="B6958" s="1"/>
      <c r="C6958" s="2"/>
      <c r="D6958" s="1"/>
      <c r="E6958" s="2"/>
      <c r="F6958" s="1"/>
      <c r="G6958" s="1"/>
      <c r="H6958" s="1"/>
      <c r="I6958" s="1"/>
      <c r="J6958" s="1"/>
      <c r="K6958" s="1"/>
      <c r="L6958" s="1"/>
    </row>
    <row r="6959" spans="1:12" ht="12" customHeight="1" x14ac:dyDescent="0.25">
      <c r="A6959" s="12"/>
      <c r="B6959" s="1"/>
      <c r="C6959" s="2"/>
      <c r="D6959" s="1"/>
      <c r="E6959" s="2"/>
      <c r="F6959" s="1"/>
      <c r="G6959" s="1"/>
      <c r="H6959" s="1"/>
      <c r="I6959" s="1"/>
      <c r="J6959" s="1"/>
      <c r="K6959" s="1"/>
      <c r="L6959" s="1"/>
    </row>
    <row r="6960" spans="1:12" ht="12" customHeight="1" x14ac:dyDescent="0.25">
      <c r="A6960" s="12"/>
      <c r="B6960" s="1"/>
      <c r="C6960" s="2"/>
      <c r="D6960" s="1"/>
      <c r="E6960" s="2"/>
      <c r="F6960" s="1"/>
      <c r="G6960" s="1"/>
      <c r="H6960" s="1"/>
      <c r="I6960" s="1"/>
      <c r="J6960" s="1"/>
      <c r="K6960" s="1"/>
      <c r="L6960" s="1"/>
    </row>
    <row r="6961" spans="1:12" ht="12" customHeight="1" x14ac:dyDescent="0.25">
      <c r="A6961" s="12"/>
      <c r="B6961" s="1"/>
      <c r="C6961" s="2"/>
      <c r="D6961" s="1"/>
      <c r="E6961" s="2"/>
      <c r="F6961" s="1"/>
      <c r="G6961" s="1"/>
      <c r="H6961" s="1"/>
      <c r="I6961" s="1"/>
      <c r="J6961" s="1"/>
      <c r="K6961" s="1"/>
      <c r="L6961" s="1"/>
    </row>
    <row r="6962" spans="1:12" ht="12" customHeight="1" x14ac:dyDescent="0.25">
      <c r="A6962" s="12"/>
      <c r="B6962" s="1"/>
      <c r="C6962" s="2"/>
      <c r="D6962" s="1"/>
      <c r="E6962" s="2"/>
      <c r="F6962" s="1"/>
      <c r="G6962" s="1"/>
      <c r="H6962" s="1"/>
      <c r="I6962" s="1"/>
      <c r="J6962" s="1"/>
      <c r="K6962" s="1"/>
      <c r="L6962" s="1"/>
    </row>
    <row r="6963" spans="1:12" ht="12" customHeight="1" x14ac:dyDescent="0.25">
      <c r="A6963" s="12"/>
      <c r="B6963" s="1"/>
      <c r="C6963" s="2"/>
      <c r="D6963" s="1"/>
      <c r="E6963" s="2"/>
      <c r="F6963" s="1"/>
      <c r="G6963" s="1"/>
      <c r="H6963" s="1"/>
      <c r="I6963" s="1"/>
      <c r="J6963" s="1"/>
      <c r="K6963" s="1"/>
      <c r="L6963" s="1"/>
    </row>
    <row r="6964" spans="1:12" ht="12" customHeight="1" x14ac:dyDescent="0.25">
      <c r="A6964" s="12"/>
      <c r="B6964" s="1"/>
      <c r="C6964" s="2"/>
      <c r="D6964" s="1"/>
      <c r="E6964" s="2"/>
      <c r="F6964" s="1"/>
      <c r="G6964" s="1"/>
      <c r="H6964" s="1"/>
      <c r="I6964" s="1"/>
      <c r="J6964" s="1"/>
      <c r="K6964" s="1"/>
      <c r="L6964" s="1"/>
    </row>
    <row r="6965" spans="1:12" ht="12" customHeight="1" x14ac:dyDescent="0.25">
      <c r="A6965" s="12"/>
      <c r="B6965" s="1"/>
      <c r="C6965" s="2"/>
      <c r="D6965" s="1"/>
      <c r="E6965" s="2"/>
      <c r="F6965" s="1"/>
      <c r="G6965" s="1"/>
      <c r="H6965" s="1"/>
      <c r="I6965" s="1"/>
      <c r="J6965" s="1"/>
      <c r="K6965" s="1"/>
      <c r="L6965" s="1"/>
    </row>
    <row r="6966" spans="1:12" ht="12" customHeight="1" x14ac:dyDescent="0.25">
      <c r="A6966" s="12"/>
      <c r="B6966" s="1"/>
      <c r="C6966" s="2"/>
      <c r="D6966" s="1"/>
      <c r="E6966" s="2"/>
      <c r="F6966" s="1"/>
      <c r="G6966" s="1"/>
      <c r="H6966" s="1"/>
      <c r="I6966" s="1"/>
      <c r="J6966" s="1"/>
      <c r="K6966" s="1"/>
      <c r="L6966" s="1"/>
    </row>
    <row r="6967" spans="1:12" ht="12" customHeight="1" x14ac:dyDescent="0.25">
      <c r="A6967" s="12"/>
      <c r="B6967" s="1"/>
      <c r="C6967" s="2"/>
      <c r="D6967" s="1"/>
      <c r="E6967" s="2"/>
      <c r="F6967" s="1"/>
      <c r="G6967" s="1"/>
      <c r="H6967" s="1"/>
      <c r="I6967" s="1"/>
      <c r="J6967" s="1"/>
      <c r="K6967" s="1"/>
      <c r="L6967" s="1"/>
    </row>
    <row r="6968" spans="1:12" ht="12" customHeight="1" x14ac:dyDescent="0.25">
      <c r="A6968" s="12"/>
      <c r="B6968" s="1"/>
      <c r="C6968" s="2"/>
      <c r="D6968" s="1"/>
      <c r="E6968" s="2"/>
      <c r="F6968" s="1"/>
      <c r="G6968" s="1"/>
      <c r="H6968" s="1"/>
      <c r="I6968" s="1"/>
      <c r="J6968" s="1"/>
      <c r="K6968" s="1"/>
      <c r="L6968" s="1"/>
    </row>
    <row r="6969" spans="1:12" ht="12" customHeight="1" x14ac:dyDescent="0.25">
      <c r="A6969" s="12"/>
      <c r="B6969" s="1"/>
      <c r="C6969" s="2"/>
      <c r="D6969" s="1"/>
      <c r="E6969" s="2"/>
      <c r="F6969" s="1"/>
      <c r="G6969" s="1"/>
      <c r="H6969" s="1"/>
      <c r="I6969" s="1"/>
      <c r="J6969" s="1"/>
      <c r="K6969" s="1"/>
      <c r="L6969" s="1"/>
    </row>
    <row r="6970" spans="1:12" ht="12" customHeight="1" x14ac:dyDescent="0.25">
      <c r="A6970" s="12"/>
      <c r="B6970" s="1"/>
      <c r="C6970" s="2"/>
      <c r="D6970" s="1"/>
      <c r="E6970" s="2"/>
      <c r="F6970" s="1"/>
      <c r="G6970" s="1"/>
      <c r="H6970" s="1"/>
      <c r="I6970" s="1"/>
      <c r="J6970" s="1"/>
      <c r="K6970" s="1"/>
      <c r="L6970" s="1"/>
    </row>
    <row r="6971" spans="1:12" ht="12" customHeight="1" x14ac:dyDescent="0.25">
      <c r="A6971" s="12"/>
      <c r="B6971" s="1"/>
      <c r="C6971" s="2"/>
      <c r="D6971" s="1"/>
      <c r="E6971" s="2"/>
      <c r="F6971" s="1"/>
      <c r="G6971" s="1"/>
      <c r="H6971" s="1"/>
      <c r="I6971" s="1"/>
      <c r="J6971" s="1"/>
      <c r="K6971" s="1"/>
      <c r="L6971" s="1"/>
    </row>
    <row r="6972" spans="1:12" ht="12" customHeight="1" x14ac:dyDescent="0.25">
      <c r="A6972" s="12"/>
      <c r="B6972" s="1"/>
      <c r="C6972" s="2"/>
      <c r="D6972" s="1"/>
      <c r="E6972" s="2"/>
      <c r="F6972" s="1"/>
      <c r="G6972" s="1"/>
      <c r="H6972" s="1"/>
      <c r="I6972" s="1"/>
      <c r="J6972" s="1"/>
      <c r="K6972" s="1"/>
      <c r="L6972" s="1"/>
    </row>
    <row r="6973" spans="1:12" ht="12" customHeight="1" x14ac:dyDescent="0.25">
      <c r="A6973" s="12"/>
      <c r="B6973" s="1"/>
      <c r="C6973" s="2"/>
      <c r="D6973" s="1"/>
      <c r="E6973" s="2"/>
      <c r="F6973" s="1"/>
      <c r="G6973" s="1"/>
      <c r="H6973" s="1"/>
      <c r="I6973" s="1"/>
      <c r="J6973" s="1"/>
      <c r="K6973" s="1"/>
      <c r="L6973" s="1"/>
    </row>
    <row r="6974" spans="1:12" ht="12" customHeight="1" x14ac:dyDescent="0.25">
      <c r="A6974" s="12"/>
      <c r="B6974" s="1"/>
      <c r="C6974" s="2"/>
      <c r="D6974" s="1"/>
      <c r="E6974" s="2"/>
      <c r="F6974" s="1"/>
      <c r="G6974" s="1"/>
      <c r="H6974" s="1"/>
      <c r="I6974" s="1"/>
      <c r="J6974" s="1"/>
      <c r="K6974" s="1"/>
      <c r="L6974" s="1"/>
    </row>
    <row r="6975" spans="1:12" ht="12" customHeight="1" x14ac:dyDescent="0.25">
      <c r="A6975" s="12"/>
      <c r="B6975" s="1"/>
      <c r="C6975" s="2"/>
      <c r="D6975" s="1"/>
      <c r="E6975" s="2"/>
      <c r="F6975" s="1"/>
      <c r="G6975" s="1"/>
      <c r="H6975" s="1"/>
      <c r="I6975" s="1"/>
      <c r="J6975" s="1"/>
      <c r="K6975" s="1"/>
      <c r="L6975" s="1"/>
    </row>
    <row r="6976" spans="1:12" ht="12" customHeight="1" x14ac:dyDescent="0.25">
      <c r="A6976" s="12"/>
      <c r="B6976" s="1"/>
      <c r="C6976" s="2"/>
      <c r="D6976" s="1"/>
      <c r="E6976" s="2"/>
      <c r="F6976" s="1"/>
      <c r="G6976" s="1"/>
      <c r="H6976" s="1"/>
      <c r="I6976" s="1"/>
      <c r="J6976" s="1"/>
      <c r="K6976" s="1"/>
      <c r="L6976" s="1"/>
    </row>
    <row r="6977" spans="1:12" ht="12" customHeight="1" x14ac:dyDescent="0.25">
      <c r="A6977" s="12"/>
      <c r="B6977" s="1"/>
      <c r="C6977" s="2"/>
      <c r="D6977" s="1"/>
      <c r="E6977" s="2"/>
      <c r="F6977" s="1"/>
      <c r="G6977" s="1"/>
      <c r="H6977" s="1"/>
      <c r="I6977" s="1"/>
      <c r="J6977" s="1"/>
      <c r="K6977" s="1"/>
      <c r="L6977" s="1"/>
    </row>
    <row r="6978" spans="1:12" ht="12" customHeight="1" x14ac:dyDescent="0.25">
      <c r="A6978" s="12"/>
      <c r="B6978" s="1"/>
      <c r="C6978" s="2"/>
      <c r="D6978" s="1"/>
      <c r="E6978" s="2"/>
      <c r="F6978" s="1"/>
      <c r="G6978" s="1"/>
      <c r="H6978" s="1"/>
      <c r="I6978" s="1"/>
      <c r="J6978" s="1"/>
      <c r="K6978" s="1"/>
      <c r="L6978" s="1"/>
    </row>
    <row r="6979" spans="1:12" ht="12" customHeight="1" x14ac:dyDescent="0.25">
      <c r="A6979" s="12"/>
      <c r="B6979" s="1"/>
      <c r="C6979" s="2"/>
      <c r="D6979" s="1"/>
      <c r="E6979" s="2"/>
      <c r="F6979" s="1"/>
      <c r="G6979" s="1"/>
      <c r="H6979" s="1"/>
      <c r="I6979" s="1"/>
      <c r="J6979" s="1"/>
      <c r="K6979" s="1"/>
      <c r="L6979" s="1"/>
    </row>
    <row r="6980" spans="1:12" ht="12" customHeight="1" x14ac:dyDescent="0.25">
      <c r="A6980" s="12"/>
      <c r="B6980" s="1"/>
      <c r="C6980" s="2"/>
      <c r="D6980" s="1"/>
      <c r="E6980" s="2"/>
      <c r="F6980" s="1"/>
      <c r="G6980" s="1"/>
      <c r="H6980" s="1"/>
      <c r="I6980" s="1"/>
      <c r="J6980" s="1"/>
      <c r="K6980" s="1"/>
      <c r="L6980" s="1"/>
    </row>
    <row r="6981" spans="1:12" ht="12" customHeight="1" x14ac:dyDescent="0.25">
      <c r="A6981" s="12"/>
      <c r="B6981" s="1"/>
      <c r="C6981" s="2"/>
      <c r="D6981" s="1"/>
      <c r="E6981" s="2"/>
      <c r="F6981" s="1"/>
      <c r="G6981" s="1"/>
      <c r="H6981" s="1"/>
      <c r="I6981" s="1"/>
      <c r="J6981" s="1"/>
      <c r="K6981" s="1"/>
      <c r="L6981" s="1"/>
    </row>
    <row r="6982" spans="1:12" ht="12" customHeight="1" x14ac:dyDescent="0.25">
      <c r="A6982" s="12"/>
      <c r="B6982" s="1"/>
      <c r="C6982" s="2"/>
      <c r="D6982" s="1"/>
      <c r="E6982" s="2"/>
      <c r="F6982" s="1"/>
      <c r="G6982" s="1"/>
      <c r="H6982" s="1"/>
      <c r="I6982" s="1"/>
      <c r="J6982" s="1"/>
      <c r="K6982" s="1"/>
      <c r="L6982" s="1"/>
    </row>
    <row r="6983" spans="1:12" ht="12" customHeight="1" x14ac:dyDescent="0.25">
      <c r="A6983" s="12"/>
      <c r="B6983" s="1"/>
      <c r="C6983" s="2"/>
      <c r="D6983" s="1"/>
      <c r="E6983" s="2"/>
      <c r="F6983" s="1"/>
      <c r="G6983" s="1"/>
      <c r="H6983" s="1"/>
      <c r="I6983" s="1"/>
      <c r="J6983" s="1"/>
      <c r="K6983" s="1"/>
      <c r="L6983" s="1"/>
    </row>
    <row r="6984" spans="1:12" ht="12" customHeight="1" x14ac:dyDescent="0.25">
      <c r="A6984" s="12"/>
      <c r="B6984" s="1"/>
      <c r="C6984" s="2"/>
      <c r="D6984" s="1"/>
      <c r="E6984" s="2"/>
      <c r="F6984" s="1"/>
      <c r="G6984" s="1"/>
      <c r="H6984" s="1"/>
      <c r="I6984" s="1"/>
      <c r="J6984" s="1"/>
      <c r="K6984" s="1"/>
      <c r="L6984" s="1"/>
    </row>
    <row r="6985" spans="1:12" ht="12" customHeight="1" x14ac:dyDescent="0.25">
      <c r="A6985" s="12"/>
      <c r="B6985" s="1"/>
      <c r="C6985" s="2"/>
      <c r="D6985" s="1"/>
      <c r="E6985" s="2"/>
      <c r="F6985" s="1"/>
      <c r="G6985" s="1"/>
      <c r="H6985" s="1"/>
      <c r="I6985" s="1"/>
      <c r="J6985" s="1"/>
      <c r="K6985" s="1"/>
      <c r="L6985" s="1"/>
    </row>
    <row r="6986" spans="1:12" ht="12" customHeight="1" x14ac:dyDescent="0.25">
      <c r="A6986" s="12"/>
      <c r="B6986" s="1"/>
      <c r="C6986" s="2"/>
      <c r="D6986" s="1"/>
      <c r="E6986" s="2"/>
      <c r="F6986" s="1"/>
      <c r="G6986" s="1"/>
      <c r="H6986" s="1"/>
      <c r="I6986" s="1"/>
      <c r="J6986" s="1"/>
      <c r="K6986" s="1"/>
      <c r="L6986" s="1"/>
    </row>
    <row r="6987" spans="1:12" ht="12" customHeight="1" x14ac:dyDescent="0.25">
      <c r="A6987" s="12"/>
      <c r="B6987" s="1"/>
      <c r="C6987" s="2"/>
      <c r="D6987" s="1"/>
      <c r="E6987" s="2"/>
      <c r="F6987" s="1"/>
      <c r="G6987" s="1"/>
      <c r="H6987" s="1"/>
      <c r="I6987" s="1"/>
      <c r="J6987" s="1"/>
      <c r="K6987" s="1"/>
      <c r="L6987" s="1"/>
    </row>
    <row r="6988" spans="1:12" ht="12" customHeight="1" x14ac:dyDescent="0.25">
      <c r="A6988" s="12"/>
      <c r="B6988" s="1"/>
      <c r="C6988" s="2"/>
      <c r="D6988" s="1"/>
      <c r="E6988" s="2"/>
      <c r="F6988" s="1"/>
      <c r="G6988" s="1"/>
      <c r="H6988" s="1"/>
      <c r="I6988" s="1"/>
      <c r="J6988" s="1"/>
      <c r="K6988" s="1"/>
      <c r="L6988" s="1"/>
    </row>
    <row r="6989" spans="1:12" ht="12" customHeight="1" x14ac:dyDescent="0.25">
      <c r="A6989" s="12"/>
      <c r="B6989" s="1"/>
      <c r="C6989" s="2"/>
      <c r="D6989" s="1"/>
      <c r="E6989" s="2"/>
      <c r="F6989" s="1"/>
      <c r="G6989" s="1"/>
      <c r="H6989" s="1"/>
      <c r="I6989" s="1"/>
      <c r="J6989" s="1"/>
      <c r="K6989" s="1"/>
      <c r="L6989" s="1"/>
    </row>
    <row r="6990" spans="1:12" ht="12" customHeight="1" x14ac:dyDescent="0.25">
      <c r="A6990" s="12"/>
      <c r="B6990" s="1"/>
      <c r="C6990" s="2"/>
      <c r="D6990" s="1"/>
      <c r="E6990" s="2"/>
      <c r="F6990" s="1"/>
      <c r="G6990" s="1"/>
      <c r="H6990" s="1"/>
      <c r="I6990" s="1"/>
      <c r="J6990" s="1"/>
      <c r="K6990" s="1"/>
      <c r="L6990" s="1"/>
    </row>
    <row r="6991" spans="1:12" ht="12" customHeight="1" x14ac:dyDescent="0.25">
      <c r="A6991" s="12"/>
      <c r="B6991" s="1"/>
      <c r="C6991" s="2"/>
      <c r="D6991" s="1"/>
      <c r="E6991" s="2"/>
      <c r="F6991" s="1"/>
      <c r="G6991" s="1"/>
      <c r="H6991" s="1"/>
      <c r="I6991" s="1"/>
      <c r="J6991" s="1"/>
      <c r="K6991" s="1"/>
      <c r="L6991" s="1"/>
    </row>
    <row r="6992" spans="1:12" ht="12" customHeight="1" x14ac:dyDescent="0.25">
      <c r="A6992" s="12"/>
      <c r="B6992" s="1"/>
      <c r="C6992" s="2"/>
      <c r="D6992" s="1"/>
      <c r="E6992" s="2"/>
      <c r="F6992" s="1"/>
      <c r="G6992" s="1"/>
      <c r="H6992" s="1"/>
      <c r="I6992" s="1"/>
      <c r="J6992" s="1"/>
      <c r="K6992" s="1"/>
      <c r="L6992" s="1"/>
    </row>
    <row r="6993" spans="1:12" ht="12" customHeight="1" x14ac:dyDescent="0.25">
      <c r="A6993" s="12"/>
      <c r="B6993" s="1"/>
      <c r="C6993" s="2"/>
      <c r="D6993" s="1"/>
      <c r="E6993" s="2"/>
      <c r="F6993" s="1"/>
      <c r="G6993" s="1"/>
      <c r="H6993" s="1"/>
      <c r="I6993" s="1"/>
      <c r="J6993" s="1"/>
      <c r="K6993" s="1"/>
      <c r="L6993" s="1"/>
    </row>
    <row r="6994" spans="1:12" ht="12" customHeight="1" x14ac:dyDescent="0.25">
      <c r="A6994" s="12"/>
      <c r="B6994" s="1"/>
      <c r="C6994" s="2"/>
      <c r="D6994" s="1"/>
      <c r="E6994" s="2"/>
      <c r="F6994" s="1"/>
      <c r="G6994" s="1"/>
      <c r="H6994" s="1"/>
      <c r="I6994" s="1"/>
      <c r="J6994" s="1"/>
      <c r="K6994" s="1"/>
      <c r="L6994" s="1"/>
    </row>
    <row r="6995" spans="1:12" ht="12" customHeight="1" x14ac:dyDescent="0.25">
      <c r="A6995" s="12"/>
      <c r="B6995" s="1"/>
      <c r="C6995" s="2"/>
      <c r="D6995" s="1"/>
      <c r="E6995" s="2"/>
      <c r="F6995" s="1"/>
      <c r="G6995" s="1"/>
      <c r="H6995" s="1"/>
      <c r="I6995" s="1"/>
      <c r="J6995" s="1"/>
      <c r="K6995" s="1"/>
      <c r="L6995" s="1"/>
    </row>
    <row r="6996" spans="1:12" ht="12" customHeight="1" x14ac:dyDescent="0.25">
      <c r="A6996" s="12"/>
      <c r="B6996" s="1"/>
      <c r="C6996" s="2"/>
      <c r="D6996" s="1"/>
      <c r="E6996" s="2"/>
      <c r="F6996" s="1"/>
      <c r="G6996" s="1"/>
      <c r="H6996" s="1"/>
      <c r="I6996" s="1"/>
      <c r="J6996" s="1"/>
      <c r="K6996" s="1"/>
      <c r="L6996" s="1"/>
    </row>
    <row r="6997" spans="1:12" ht="12" customHeight="1" x14ac:dyDescent="0.25">
      <c r="A6997" s="12"/>
      <c r="B6997" s="1"/>
      <c r="C6997" s="2"/>
      <c r="D6997" s="1"/>
      <c r="E6997" s="2"/>
      <c r="F6997" s="1"/>
      <c r="G6997" s="1"/>
      <c r="H6997" s="1"/>
      <c r="I6997" s="1"/>
      <c r="J6997" s="1"/>
      <c r="K6997" s="1"/>
      <c r="L6997" s="1"/>
    </row>
    <row r="6998" spans="1:12" ht="12" customHeight="1" x14ac:dyDescent="0.25">
      <c r="A6998" s="12"/>
      <c r="B6998" s="1"/>
      <c r="C6998" s="2"/>
      <c r="D6998" s="1"/>
      <c r="E6998" s="2"/>
      <c r="F6998" s="1"/>
      <c r="G6998" s="1"/>
      <c r="H6998" s="1"/>
      <c r="I6998" s="1"/>
      <c r="J6998" s="1"/>
      <c r="K6998" s="1"/>
      <c r="L6998" s="1"/>
    </row>
    <row r="6999" spans="1:12" ht="12" customHeight="1" x14ac:dyDescent="0.25">
      <c r="A6999" s="12"/>
      <c r="B6999" s="1"/>
      <c r="C6999" s="2"/>
      <c r="D6999" s="1"/>
      <c r="E6999" s="2"/>
      <c r="F6999" s="1"/>
      <c r="G6999" s="1"/>
      <c r="H6999" s="1"/>
      <c r="I6999" s="1"/>
      <c r="J6999" s="1"/>
      <c r="K6999" s="1"/>
      <c r="L6999" s="1"/>
    </row>
    <row r="7000" spans="1:12" ht="12" customHeight="1" x14ac:dyDescent="0.25">
      <c r="A7000" s="12"/>
      <c r="B7000" s="1"/>
      <c r="C7000" s="2"/>
      <c r="D7000" s="1"/>
      <c r="E7000" s="2"/>
      <c r="F7000" s="1"/>
      <c r="G7000" s="1"/>
      <c r="H7000" s="1"/>
      <c r="I7000" s="1"/>
      <c r="J7000" s="1"/>
      <c r="K7000" s="1"/>
      <c r="L7000" s="1"/>
    </row>
    <row r="7001" spans="1:12" ht="12" customHeight="1" x14ac:dyDescent="0.25">
      <c r="A7001" s="12"/>
      <c r="B7001" s="1"/>
      <c r="C7001" s="2"/>
      <c r="D7001" s="1"/>
      <c r="E7001" s="2"/>
      <c r="F7001" s="1"/>
      <c r="G7001" s="1"/>
      <c r="H7001" s="1"/>
      <c r="I7001" s="1"/>
      <c r="J7001" s="1"/>
      <c r="K7001" s="1"/>
      <c r="L7001" s="1"/>
    </row>
    <row r="7002" spans="1:12" ht="12" customHeight="1" x14ac:dyDescent="0.25">
      <c r="A7002" s="12"/>
      <c r="B7002" s="1"/>
      <c r="C7002" s="2"/>
      <c r="D7002" s="1"/>
      <c r="E7002" s="2"/>
      <c r="F7002" s="1"/>
      <c r="G7002" s="1"/>
      <c r="H7002" s="1"/>
      <c r="I7002" s="1"/>
      <c r="J7002" s="1"/>
      <c r="K7002" s="1"/>
      <c r="L7002" s="1"/>
    </row>
    <row r="7003" spans="1:12" ht="12" customHeight="1" x14ac:dyDescent="0.25">
      <c r="A7003" s="12"/>
      <c r="B7003" s="1"/>
      <c r="C7003" s="2"/>
      <c r="D7003" s="1"/>
      <c r="E7003" s="2"/>
      <c r="F7003" s="1"/>
      <c r="G7003" s="1"/>
      <c r="H7003" s="1"/>
      <c r="I7003" s="1"/>
      <c r="J7003" s="1"/>
      <c r="K7003" s="1"/>
      <c r="L7003" s="1"/>
    </row>
    <row r="7004" spans="1:12" ht="12" customHeight="1" x14ac:dyDescent="0.25">
      <c r="A7004" s="12"/>
      <c r="B7004" s="1"/>
      <c r="C7004" s="2"/>
      <c r="D7004" s="1"/>
      <c r="E7004" s="2"/>
      <c r="F7004" s="1"/>
      <c r="G7004" s="1"/>
      <c r="H7004" s="1"/>
      <c r="I7004" s="1"/>
      <c r="J7004" s="1"/>
      <c r="K7004" s="1"/>
      <c r="L7004" s="1"/>
    </row>
    <row r="7005" spans="1:12" ht="12" customHeight="1" x14ac:dyDescent="0.25">
      <c r="A7005" s="12"/>
      <c r="B7005" s="1"/>
      <c r="C7005" s="2"/>
      <c r="D7005" s="1"/>
      <c r="E7005" s="2"/>
      <c r="F7005" s="1"/>
      <c r="G7005" s="1"/>
      <c r="H7005" s="1"/>
      <c r="I7005" s="1"/>
      <c r="J7005" s="1"/>
      <c r="K7005" s="1"/>
      <c r="L7005" s="1"/>
    </row>
    <row r="7006" spans="1:12" ht="12" customHeight="1" x14ac:dyDescent="0.25">
      <c r="A7006" s="12"/>
      <c r="B7006" s="1"/>
      <c r="C7006" s="2"/>
      <c r="D7006" s="1"/>
      <c r="E7006" s="2"/>
      <c r="F7006" s="1"/>
      <c r="G7006" s="1"/>
      <c r="H7006" s="1"/>
      <c r="I7006" s="1"/>
      <c r="J7006" s="1"/>
      <c r="K7006" s="1"/>
      <c r="L7006" s="1"/>
    </row>
    <row r="7007" spans="1:12" ht="12" customHeight="1" x14ac:dyDescent="0.25">
      <c r="A7007" s="12"/>
      <c r="B7007" s="1"/>
      <c r="C7007" s="2"/>
      <c r="D7007" s="1"/>
      <c r="E7007" s="2"/>
      <c r="F7007" s="1"/>
      <c r="G7007" s="1"/>
      <c r="H7007" s="1"/>
      <c r="I7007" s="1"/>
      <c r="J7007" s="1"/>
      <c r="K7007" s="1"/>
      <c r="L7007" s="1"/>
    </row>
    <row r="7008" spans="1:12" ht="12" customHeight="1" x14ac:dyDescent="0.25">
      <c r="A7008" s="12"/>
      <c r="B7008" s="1"/>
      <c r="C7008" s="2"/>
      <c r="D7008" s="1"/>
      <c r="E7008" s="2"/>
      <c r="F7008" s="1"/>
      <c r="G7008" s="1"/>
      <c r="H7008" s="1"/>
      <c r="I7008" s="1"/>
      <c r="J7008" s="1"/>
      <c r="K7008" s="1"/>
      <c r="L7008" s="1"/>
    </row>
    <row r="7009" spans="1:12" ht="12" customHeight="1" x14ac:dyDescent="0.25">
      <c r="A7009" s="12"/>
      <c r="B7009" s="1"/>
      <c r="C7009" s="2"/>
      <c r="D7009" s="1"/>
      <c r="E7009" s="2"/>
      <c r="F7009" s="1"/>
      <c r="G7009" s="1"/>
      <c r="H7009" s="1"/>
      <c r="I7009" s="1"/>
      <c r="J7009" s="1"/>
      <c r="K7009" s="1"/>
      <c r="L7009" s="1"/>
    </row>
    <row r="7010" spans="1:12" ht="12" customHeight="1" x14ac:dyDescent="0.25">
      <c r="A7010" s="12"/>
      <c r="B7010" s="1"/>
      <c r="C7010" s="2"/>
      <c r="D7010" s="1"/>
      <c r="E7010" s="2"/>
      <c r="F7010" s="1"/>
      <c r="G7010" s="1"/>
      <c r="H7010" s="1"/>
      <c r="I7010" s="1"/>
      <c r="J7010" s="1"/>
      <c r="K7010" s="1"/>
      <c r="L7010" s="1"/>
    </row>
    <row r="7011" spans="1:12" ht="12" customHeight="1" x14ac:dyDescent="0.25">
      <c r="A7011" s="12"/>
      <c r="B7011" s="1"/>
      <c r="C7011" s="2"/>
      <c r="D7011" s="1"/>
      <c r="E7011" s="2"/>
      <c r="F7011" s="1"/>
      <c r="G7011" s="1"/>
      <c r="H7011" s="1"/>
      <c r="I7011" s="1"/>
      <c r="J7011" s="1"/>
      <c r="K7011" s="1"/>
      <c r="L7011" s="1"/>
    </row>
    <row r="7012" spans="1:12" ht="12" customHeight="1" x14ac:dyDescent="0.25">
      <c r="A7012" s="12"/>
      <c r="B7012" s="1"/>
      <c r="C7012" s="2"/>
      <c r="D7012" s="1"/>
      <c r="E7012" s="2"/>
      <c r="F7012" s="1"/>
      <c r="G7012" s="1"/>
      <c r="H7012" s="1"/>
      <c r="I7012" s="1"/>
      <c r="J7012" s="1"/>
      <c r="K7012" s="1"/>
      <c r="L7012" s="1"/>
    </row>
    <row r="7013" spans="1:12" ht="12" customHeight="1" x14ac:dyDescent="0.25">
      <c r="A7013" s="12"/>
      <c r="B7013" s="1"/>
      <c r="C7013" s="2"/>
      <c r="D7013" s="1"/>
      <c r="E7013" s="2"/>
      <c r="F7013" s="1"/>
      <c r="G7013" s="1"/>
      <c r="H7013" s="1"/>
      <c r="I7013" s="1"/>
      <c r="J7013" s="1"/>
      <c r="K7013" s="1"/>
      <c r="L7013" s="1"/>
    </row>
    <row r="7014" spans="1:12" ht="12" customHeight="1" x14ac:dyDescent="0.25">
      <c r="A7014" s="12"/>
      <c r="B7014" s="1"/>
      <c r="C7014" s="2"/>
      <c r="D7014" s="1"/>
      <c r="E7014" s="2"/>
      <c r="F7014" s="1"/>
      <c r="G7014" s="1"/>
      <c r="H7014" s="1"/>
      <c r="I7014" s="1"/>
      <c r="J7014" s="1"/>
      <c r="K7014" s="1"/>
      <c r="L7014" s="1"/>
    </row>
    <row r="7015" spans="1:12" ht="12" customHeight="1" x14ac:dyDescent="0.25">
      <c r="A7015" s="12"/>
      <c r="B7015" s="1"/>
      <c r="C7015" s="2"/>
      <c r="D7015" s="1"/>
      <c r="E7015" s="2"/>
      <c r="F7015" s="1"/>
      <c r="G7015" s="1"/>
      <c r="H7015" s="1"/>
      <c r="I7015" s="1"/>
      <c r="J7015" s="1"/>
      <c r="K7015" s="1"/>
      <c r="L7015" s="1"/>
    </row>
    <row r="7016" spans="1:12" ht="12" customHeight="1" x14ac:dyDescent="0.25">
      <c r="A7016" s="12"/>
      <c r="B7016" s="1"/>
      <c r="C7016" s="2"/>
      <c r="D7016" s="1"/>
      <c r="E7016" s="2"/>
      <c r="F7016" s="1"/>
      <c r="G7016" s="1"/>
      <c r="H7016" s="1"/>
      <c r="I7016" s="1"/>
      <c r="J7016" s="1"/>
      <c r="K7016" s="1"/>
      <c r="L7016" s="1"/>
    </row>
    <row r="7017" spans="1:12" ht="12" customHeight="1" x14ac:dyDescent="0.25">
      <c r="A7017" s="12"/>
      <c r="B7017" s="1"/>
      <c r="C7017" s="2"/>
      <c r="D7017" s="1"/>
      <c r="E7017" s="2"/>
      <c r="F7017" s="1"/>
      <c r="G7017" s="1"/>
      <c r="H7017" s="1"/>
      <c r="I7017" s="1"/>
      <c r="J7017" s="1"/>
      <c r="K7017" s="1"/>
      <c r="L7017" s="1"/>
    </row>
    <row r="7018" spans="1:12" ht="12" customHeight="1" x14ac:dyDescent="0.25">
      <c r="A7018" s="12"/>
      <c r="B7018" s="1"/>
      <c r="C7018" s="2"/>
      <c r="D7018" s="1"/>
      <c r="E7018" s="2"/>
      <c r="F7018" s="1"/>
      <c r="G7018" s="1"/>
      <c r="H7018" s="1"/>
      <c r="I7018" s="1"/>
      <c r="J7018" s="1"/>
      <c r="K7018" s="1"/>
      <c r="L7018" s="1"/>
    </row>
    <row r="7019" spans="1:12" ht="12" customHeight="1" x14ac:dyDescent="0.25">
      <c r="A7019" s="12"/>
      <c r="B7019" s="1"/>
      <c r="C7019" s="2"/>
      <c r="D7019" s="1"/>
      <c r="E7019" s="2"/>
      <c r="F7019" s="1"/>
      <c r="G7019" s="1"/>
      <c r="H7019" s="1"/>
      <c r="I7019" s="1"/>
      <c r="J7019" s="1"/>
      <c r="K7019" s="1"/>
      <c r="L7019" s="1"/>
    </row>
    <row r="7020" spans="1:12" ht="12" customHeight="1" x14ac:dyDescent="0.25">
      <c r="A7020" s="12"/>
      <c r="B7020" s="1"/>
      <c r="C7020" s="2"/>
      <c r="D7020" s="1"/>
      <c r="E7020" s="2"/>
      <c r="F7020" s="1"/>
      <c r="G7020" s="1"/>
      <c r="H7020" s="1"/>
      <c r="I7020" s="1"/>
      <c r="J7020" s="1"/>
      <c r="K7020" s="1"/>
      <c r="L7020" s="1"/>
    </row>
    <row r="7021" spans="1:12" ht="12" customHeight="1" x14ac:dyDescent="0.25">
      <c r="A7021" s="12"/>
      <c r="B7021" s="1"/>
      <c r="C7021" s="2"/>
      <c r="D7021" s="1"/>
      <c r="E7021" s="2"/>
      <c r="F7021" s="1"/>
      <c r="G7021" s="1"/>
      <c r="H7021" s="1"/>
      <c r="I7021" s="1"/>
      <c r="J7021" s="1"/>
      <c r="K7021" s="1"/>
      <c r="L7021" s="1"/>
    </row>
    <row r="7022" spans="1:12" ht="12" customHeight="1" x14ac:dyDescent="0.25">
      <c r="A7022" s="12"/>
      <c r="B7022" s="1"/>
      <c r="C7022" s="2"/>
      <c r="D7022" s="1"/>
      <c r="E7022" s="2"/>
      <c r="F7022" s="1"/>
      <c r="G7022" s="1"/>
      <c r="H7022" s="1"/>
      <c r="I7022" s="1"/>
      <c r="J7022" s="1"/>
      <c r="K7022" s="1"/>
      <c r="L7022" s="1"/>
    </row>
    <row r="7023" spans="1:12" ht="12" customHeight="1" x14ac:dyDescent="0.25">
      <c r="A7023" s="12"/>
      <c r="B7023" s="1"/>
      <c r="C7023" s="2"/>
      <c r="D7023" s="1"/>
      <c r="E7023" s="2"/>
      <c r="F7023" s="1"/>
      <c r="G7023" s="1"/>
      <c r="H7023" s="1"/>
      <c r="I7023" s="1"/>
      <c r="J7023" s="1"/>
      <c r="K7023" s="1"/>
      <c r="L7023" s="1"/>
    </row>
    <row r="7024" spans="1:12" ht="12" customHeight="1" x14ac:dyDescent="0.25">
      <c r="A7024" s="12"/>
      <c r="B7024" s="1"/>
      <c r="C7024" s="2"/>
      <c r="D7024" s="1"/>
      <c r="E7024" s="2"/>
      <c r="F7024" s="1"/>
      <c r="G7024" s="1"/>
      <c r="H7024" s="1"/>
      <c r="I7024" s="1"/>
      <c r="J7024" s="1"/>
      <c r="K7024" s="1"/>
      <c r="L7024" s="1"/>
    </row>
    <row r="7025" spans="1:12" ht="12" customHeight="1" x14ac:dyDescent="0.25">
      <c r="A7025" s="12"/>
      <c r="B7025" s="1"/>
      <c r="C7025" s="2"/>
      <c r="D7025" s="1"/>
      <c r="E7025" s="2"/>
      <c r="F7025" s="1"/>
      <c r="G7025" s="1"/>
      <c r="H7025" s="1"/>
      <c r="I7025" s="1"/>
      <c r="J7025" s="1"/>
      <c r="K7025" s="1"/>
      <c r="L7025" s="1"/>
    </row>
    <row r="7026" spans="1:12" ht="12" customHeight="1" x14ac:dyDescent="0.25">
      <c r="A7026" s="12"/>
      <c r="B7026" s="1"/>
      <c r="C7026" s="2"/>
      <c r="D7026" s="1"/>
      <c r="E7026" s="2"/>
      <c r="F7026" s="1"/>
      <c r="G7026" s="1"/>
      <c r="H7026" s="1"/>
      <c r="I7026" s="1"/>
      <c r="J7026" s="1"/>
      <c r="K7026" s="1"/>
      <c r="L7026" s="1"/>
    </row>
    <row r="7027" spans="1:12" ht="12" customHeight="1" x14ac:dyDescent="0.25">
      <c r="A7027" s="12"/>
      <c r="B7027" s="1"/>
      <c r="C7027" s="2"/>
      <c r="D7027" s="1"/>
      <c r="E7027" s="2"/>
      <c r="F7027" s="1"/>
      <c r="G7027" s="1"/>
      <c r="H7027" s="1"/>
      <c r="I7027" s="1"/>
      <c r="J7027" s="1"/>
      <c r="K7027" s="1"/>
      <c r="L7027" s="1"/>
    </row>
    <row r="7028" spans="1:12" ht="12" customHeight="1" x14ac:dyDescent="0.25">
      <c r="A7028" s="12"/>
      <c r="B7028" s="1"/>
      <c r="C7028" s="2"/>
      <c r="D7028" s="1"/>
      <c r="E7028" s="2"/>
      <c r="F7028" s="1"/>
      <c r="G7028" s="1"/>
      <c r="H7028" s="1"/>
      <c r="I7028" s="1"/>
      <c r="J7028" s="1"/>
      <c r="K7028" s="1"/>
      <c r="L7028" s="1"/>
    </row>
    <row r="7029" spans="1:12" ht="12" customHeight="1" x14ac:dyDescent="0.25">
      <c r="A7029" s="12"/>
      <c r="B7029" s="1"/>
      <c r="C7029" s="2"/>
      <c r="D7029" s="1"/>
      <c r="E7029" s="2"/>
      <c r="F7029" s="1"/>
      <c r="G7029" s="1"/>
      <c r="H7029" s="1"/>
      <c r="I7029" s="1"/>
      <c r="J7029" s="1"/>
      <c r="K7029" s="1"/>
      <c r="L7029" s="1"/>
    </row>
    <row r="7030" spans="1:12" ht="12" customHeight="1" x14ac:dyDescent="0.25">
      <c r="A7030" s="12"/>
      <c r="B7030" s="1"/>
      <c r="C7030" s="2"/>
      <c r="D7030" s="1"/>
      <c r="E7030" s="2"/>
      <c r="F7030" s="1"/>
      <c r="G7030" s="1"/>
      <c r="H7030" s="1"/>
      <c r="I7030" s="1"/>
      <c r="J7030" s="1"/>
      <c r="K7030" s="1"/>
      <c r="L7030" s="1"/>
    </row>
    <row r="7031" spans="1:12" ht="12" customHeight="1" x14ac:dyDescent="0.25">
      <c r="A7031" s="12"/>
      <c r="B7031" s="1"/>
      <c r="C7031" s="2"/>
      <c r="D7031" s="1"/>
      <c r="E7031" s="2"/>
      <c r="F7031" s="1"/>
      <c r="G7031" s="1"/>
      <c r="H7031" s="1"/>
      <c r="I7031" s="1"/>
      <c r="J7031" s="1"/>
      <c r="K7031" s="1"/>
      <c r="L7031" s="1"/>
    </row>
    <row r="7032" spans="1:12" ht="12" customHeight="1" x14ac:dyDescent="0.25">
      <c r="A7032" s="12"/>
      <c r="B7032" s="1"/>
      <c r="C7032" s="2"/>
      <c r="D7032" s="1"/>
      <c r="E7032" s="2"/>
      <c r="F7032" s="1"/>
      <c r="G7032" s="1"/>
      <c r="H7032" s="1"/>
      <c r="I7032" s="1"/>
      <c r="J7032" s="1"/>
      <c r="K7032" s="1"/>
      <c r="L7032" s="1"/>
    </row>
    <row r="7033" spans="1:12" ht="12" customHeight="1" x14ac:dyDescent="0.25">
      <c r="A7033" s="12"/>
      <c r="B7033" s="1"/>
      <c r="C7033" s="2"/>
      <c r="D7033" s="1"/>
      <c r="E7033" s="2"/>
      <c r="F7033" s="1"/>
      <c r="G7033" s="1"/>
      <c r="H7033" s="1"/>
      <c r="I7033" s="1"/>
      <c r="J7033" s="1"/>
      <c r="K7033" s="1"/>
      <c r="L7033" s="1"/>
    </row>
    <row r="7034" spans="1:12" ht="12" customHeight="1" x14ac:dyDescent="0.25">
      <c r="A7034" s="12"/>
      <c r="B7034" s="1"/>
      <c r="C7034" s="2"/>
      <c r="D7034" s="1"/>
      <c r="E7034" s="2"/>
      <c r="F7034" s="1"/>
      <c r="G7034" s="1"/>
      <c r="H7034" s="1"/>
      <c r="I7034" s="1"/>
      <c r="J7034" s="1"/>
      <c r="K7034" s="1"/>
      <c r="L7034" s="1"/>
    </row>
    <row r="7035" spans="1:12" ht="12" customHeight="1" x14ac:dyDescent="0.25">
      <c r="A7035" s="12"/>
      <c r="B7035" s="1"/>
      <c r="C7035" s="2"/>
      <c r="D7035" s="1"/>
      <c r="E7035" s="2"/>
      <c r="F7035" s="1"/>
      <c r="G7035" s="1"/>
      <c r="H7035" s="1"/>
      <c r="I7035" s="1"/>
      <c r="J7035" s="1"/>
      <c r="K7035" s="1"/>
      <c r="L7035" s="1"/>
    </row>
    <row r="7036" spans="1:12" ht="12" customHeight="1" x14ac:dyDescent="0.25">
      <c r="A7036" s="12"/>
      <c r="B7036" s="1"/>
      <c r="C7036" s="2"/>
      <c r="D7036" s="1"/>
      <c r="E7036" s="2"/>
      <c r="F7036" s="1"/>
      <c r="G7036" s="1"/>
      <c r="H7036" s="1"/>
      <c r="I7036" s="1"/>
      <c r="J7036" s="1"/>
      <c r="K7036" s="1"/>
      <c r="L7036" s="1"/>
    </row>
    <row r="7037" spans="1:12" ht="12" customHeight="1" x14ac:dyDescent="0.25">
      <c r="A7037" s="12"/>
      <c r="B7037" s="1"/>
      <c r="C7037" s="2"/>
      <c r="D7037" s="1"/>
      <c r="E7037" s="2"/>
      <c r="F7037" s="1"/>
      <c r="G7037" s="1"/>
      <c r="H7037" s="1"/>
      <c r="I7037" s="1"/>
      <c r="J7037" s="1"/>
      <c r="K7037" s="1"/>
      <c r="L7037" s="1"/>
    </row>
    <row r="7038" spans="1:12" ht="12" customHeight="1" x14ac:dyDescent="0.25">
      <c r="A7038" s="12"/>
      <c r="B7038" s="1"/>
      <c r="C7038" s="2"/>
      <c r="D7038" s="1"/>
      <c r="E7038" s="2"/>
      <c r="F7038" s="1"/>
      <c r="G7038" s="1"/>
      <c r="H7038" s="1"/>
      <c r="I7038" s="1"/>
      <c r="J7038" s="1"/>
      <c r="K7038" s="1"/>
      <c r="L7038" s="1"/>
    </row>
    <row r="7039" spans="1:12" ht="12" customHeight="1" x14ac:dyDescent="0.25">
      <c r="A7039" s="12"/>
      <c r="B7039" s="1"/>
      <c r="C7039" s="2"/>
      <c r="D7039" s="1"/>
      <c r="E7039" s="2"/>
      <c r="F7039" s="1"/>
      <c r="G7039" s="1"/>
      <c r="H7039" s="1"/>
      <c r="I7039" s="1"/>
      <c r="J7039" s="1"/>
      <c r="K7039" s="1"/>
      <c r="L7039" s="1"/>
    </row>
    <row r="7040" spans="1:12" ht="12" customHeight="1" x14ac:dyDescent="0.25">
      <c r="A7040" s="12"/>
      <c r="B7040" s="1"/>
      <c r="C7040" s="2"/>
      <c r="D7040" s="1"/>
      <c r="E7040" s="2"/>
      <c r="F7040" s="1"/>
      <c r="G7040" s="1"/>
      <c r="H7040" s="1"/>
      <c r="I7040" s="1"/>
      <c r="J7040" s="1"/>
      <c r="K7040" s="1"/>
      <c r="L7040" s="1"/>
    </row>
    <row r="7041" spans="1:12" ht="12" customHeight="1" x14ac:dyDescent="0.25">
      <c r="A7041" s="12"/>
      <c r="B7041" s="1"/>
      <c r="C7041" s="2"/>
      <c r="D7041" s="1"/>
      <c r="E7041" s="2"/>
      <c r="F7041" s="1"/>
      <c r="G7041" s="1"/>
      <c r="H7041" s="1"/>
      <c r="I7041" s="1"/>
      <c r="J7041" s="1"/>
      <c r="K7041" s="1"/>
      <c r="L7041" s="1"/>
    </row>
    <row r="7042" spans="1:12" ht="12" customHeight="1" x14ac:dyDescent="0.25">
      <c r="A7042" s="12"/>
      <c r="B7042" s="1"/>
      <c r="C7042" s="2"/>
      <c r="D7042" s="1"/>
      <c r="E7042" s="2"/>
      <c r="F7042" s="1"/>
      <c r="G7042" s="1"/>
      <c r="H7042" s="1"/>
      <c r="I7042" s="1"/>
      <c r="J7042" s="1"/>
      <c r="K7042" s="1"/>
      <c r="L7042" s="1"/>
    </row>
    <row r="7043" spans="1:12" ht="12" customHeight="1" x14ac:dyDescent="0.25">
      <c r="A7043" s="12"/>
      <c r="B7043" s="1"/>
      <c r="C7043" s="2"/>
      <c r="D7043" s="1"/>
      <c r="E7043" s="2"/>
      <c r="F7043" s="1"/>
      <c r="G7043" s="1"/>
      <c r="H7043" s="1"/>
      <c r="I7043" s="1"/>
      <c r="J7043" s="1"/>
      <c r="K7043" s="1"/>
      <c r="L7043" s="1"/>
    </row>
    <row r="7044" spans="1:12" ht="12" customHeight="1" x14ac:dyDescent="0.25">
      <c r="A7044" s="12"/>
      <c r="B7044" s="1"/>
      <c r="C7044" s="2"/>
      <c r="D7044" s="1"/>
      <c r="E7044" s="2"/>
      <c r="F7044" s="1"/>
      <c r="G7044" s="1"/>
      <c r="H7044" s="1"/>
      <c r="I7044" s="1"/>
      <c r="J7044" s="1"/>
      <c r="K7044" s="1"/>
      <c r="L7044" s="1"/>
    </row>
    <row r="7045" spans="1:12" ht="12" customHeight="1" x14ac:dyDescent="0.25">
      <c r="A7045" s="12"/>
      <c r="B7045" s="1"/>
      <c r="C7045" s="2"/>
      <c r="D7045" s="1"/>
      <c r="E7045" s="2"/>
      <c r="F7045" s="1"/>
      <c r="G7045" s="1"/>
      <c r="H7045" s="1"/>
      <c r="I7045" s="1"/>
      <c r="J7045" s="1"/>
      <c r="K7045" s="1"/>
      <c r="L7045" s="1"/>
    </row>
    <row r="7046" spans="1:12" ht="12" customHeight="1" x14ac:dyDescent="0.25">
      <c r="A7046" s="12"/>
      <c r="B7046" s="1"/>
      <c r="C7046" s="2"/>
      <c r="D7046" s="1"/>
      <c r="E7046" s="2"/>
      <c r="F7046" s="1"/>
      <c r="G7046" s="1"/>
      <c r="H7046" s="1"/>
      <c r="I7046" s="1"/>
      <c r="J7046" s="1"/>
      <c r="K7046" s="1"/>
      <c r="L7046" s="1"/>
    </row>
    <row r="7047" spans="1:12" ht="12" customHeight="1" x14ac:dyDescent="0.25">
      <c r="A7047" s="12"/>
      <c r="B7047" s="1"/>
      <c r="C7047" s="2"/>
      <c r="D7047" s="1"/>
      <c r="E7047" s="2"/>
      <c r="F7047" s="1"/>
      <c r="G7047" s="1"/>
      <c r="H7047" s="1"/>
      <c r="I7047" s="1"/>
      <c r="J7047" s="1"/>
      <c r="K7047" s="1"/>
      <c r="L7047" s="1"/>
    </row>
    <row r="7048" spans="1:12" ht="12" customHeight="1" x14ac:dyDescent="0.25">
      <c r="A7048" s="12"/>
      <c r="B7048" s="1"/>
      <c r="C7048" s="2"/>
      <c r="D7048" s="1"/>
      <c r="E7048" s="2"/>
      <c r="F7048" s="1"/>
      <c r="G7048" s="1"/>
      <c r="H7048" s="1"/>
      <c r="I7048" s="1"/>
      <c r="J7048" s="1"/>
      <c r="K7048" s="1"/>
      <c r="L7048" s="1"/>
    </row>
    <row r="7049" spans="1:12" ht="12" customHeight="1" x14ac:dyDescent="0.25">
      <c r="A7049" s="12"/>
      <c r="B7049" s="1"/>
      <c r="C7049" s="2"/>
      <c r="D7049" s="1"/>
      <c r="E7049" s="2"/>
      <c r="F7049" s="1"/>
      <c r="G7049" s="1"/>
      <c r="H7049" s="1"/>
      <c r="I7049" s="1"/>
      <c r="J7049" s="1"/>
      <c r="K7049" s="1"/>
      <c r="L7049" s="1"/>
    </row>
    <row r="7050" spans="1:12" ht="12" customHeight="1" x14ac:dyDescent="0.25">
      <c r="A7050" s="12"/>
      <c r="B7050" s="1"/>
      <c r="C7050" s="2"/>
      <c r="D7050" s="1"/>
      <c r="E7050" s="2"/>
      <c r="F7050" s="1"/>
      <c r="G7050" s="1"/>
      <c r="H7050" s="1"/>
      <c r="I7050" s="1"/>
      <c r="J7050" s="1"/>
      <c r="K7050" s="1"/>
      <c r="L7050" s="1"/>
    </row>
    <row r="7051" spans="1:12" ht="12" customHeight="1" x14ac:dyDescent="0.25">
      <c r="A7051" s="12"/>
      <c r="B7051" s="1"/>
      <c r="C7051" s="2"/>
      <c r="D7051" s="1"/>
      <c r="E7051" s="2"/>
      <c r="F7051" s="1"/>
      <c r="G7051" s="1"/>
      <c r="H7051" s="1"/>
      <c r="I7051" s="1"/>
      <c r="J7051" s="1"/>
      <c r="K7051" s="1"/>
      <c r="L7051" s="1"/>
    </row>
    <row r="7052" spans="1:12" ht="12" customHeight="1" x14ac:dyDescent="0.25">
      <c r="A7052" s="12"/>
      <c r="B7052" s="1"/>
      <c r="C7052" s="2"/>
      <c r="D7052" s="1"/>
      <c r="E7052" s="2"/>
      <c r="F7052" s="1"/>
      <c r="G7052" s="1"/>
      <c r="H7052" s="1"/>
      <c r="I7052" s="1"/>
      <c r="J7052" s="1"/>
      <c r="K7052" s="1"/>
      <c r="L7052" s="1"/>
    </row>
    <row r="7053" spans="1:12" ht="12" customHeight="1" x14ac:dyDescent="0.25">
      <c r="A7053" s="12"/>
      <c r="B7053" s="1"/>
      <c r="C7053" s="2"/>
      <c r="D7053" s="1"/>
      <c r="E7053" s="2"/>
      <c r="F7053" s="1"/>
      <c r="G7053" s="1"/>
      <c r="H7053" s="1"/>
      <c r="I7053" s="1"/>
      <c r="J7053" s="1"/>
      <c r="K7053" s="1"/>
      <c r="L7053" s="1"/>
    </row>
    <row r="7054" spans="1:12" ht="12" customHeight="1" x14ac:dyDescent="0.25">
      <c r="A7054" s="12"/>
      <c r="B7054" s="1"/>
      <c r="C7054" s="2"/>
      <c r="D7054" s="1"/>
      <c r="E7054" s="2"/>
      <c r="F7054" s="1"/>
      <c r="G7054" s="1"/>
      <c r="H7054" s="1"/>
      <c r="I7054" s="1"/>
      <c r="J7054" s="1"/>
      <c r="K7054" s="1"/>
      <c r="L7054" s="1"/>
    </row>
    <row r="7055" spans="1:12" ht="12" customHeight="1" x14ac:dyDescent="0.25">
      <c r="A7055" s="12"/>
      <c r="B7055" s="1"/>
      <c r="C7055" s="2"/>
      <c r="D7055" s="1"/>
      <c r="E7055" s="2"/>
      <c r="F7055" s="1"/>
      <c r="G7055" s="1"/>
      <c r="H7055" s="1"/>
      <c r="I7055" s="1"/>
      <c r="J7055" s="1"/>
      <c r="K7055" s="1"/>
      <c r="L7055" s="1"/>
    </row>
    <row r="7056" spans="1:12" ht="12" customHeight="1" x14ac:dyDescent="0.25">
      <c r="A7056" s="12"/>
      <c r="B7056" s="1"/>
      <c r="C7056" s="2"/>
      <c r="D7056" s="1"/>
      <c r="E7056" s="2"/>
      <c r="F7056" s="1"/>
      <c r="G7056" s="1"/>
      <c r="H7056" s="1"/>
      <c r="I7056" s="1"/>
      <c r="J7056" s="1"/>
      <c r="K7056" s="1"/>
      <c r="L7056" s="1"/>
    </row>
    <row r="7057" spans="1:12" ht="12" customHeight="1" x14ac:dyDescent="0.25">
      <c r="A7057" s="12"/>
      <c r="B7057" s="1"/>
      <c r="C7057" s="2"/>
      <c r="D7057" s="1"/>
      <c r="E7057" s="2"/>
      <c r="F7057" s="1"/>
      <c r="G7057" s="1"/>
      <c r="H7057" s="1"/>
      <c r="I7057" s="1"/>
      <c r="J7057" s="1"/>
      <c r="K7057" s="1"/>
      <c r="L7057" s="1"/>
    </row>
    <row r="7058" spans="1:12" ht="12" customHeight="1" x14ac:dyDescent="0.25">
      <c r="A7058" s="12"/>
      <c r="B7058" s="1"/>
      <c r="C7058" s="2"/>
      <c r="D7058" s="1"/>
      <c r="E7058" s="2"/>
      <c r="F7058" s="1"/>
      <c r="G7058" s="1"/>
      <c r="H7058" s="1"/>
      <c r="I7058" s="1"/>
      <c r="J7058" s="1"/>
      <c r="K7058" s="1"/>
      <c r="L7058" s="1"/>
    </row>
    <row r="7059" spans="1:12" ht="12" customHeight="1" x14ac:dyDescent="0.25">
      <c r="A7059" s="12"/>
      <c r="B7059" s="1"/>
      <c r="C7059" s="2"/>
      <c r="D7059" s="1"/>
      <c r="E7059" s="2"/>
      <c r="F7059" s="1"/>
      <c r="G7059" s="1"/>
      <c r="H7059" s="1"/>
      <c r="I7059" s="1"/>
      <c r="J7059" s="1"/>
      <c r="K7059" s="1"/>
      <c r="L7059" s="1"/>
    </row>
    <row r="7060" spans="1:12" ht="12" customHeight="1" x14ac:dyDescent="0.25">
      <c r="A7060" s="12"/>
      <c r="B7060" s="1"/>
      <c r="C7060" s="2"/>
      <c r="D7060" s="1"/>
      <c r="E7060" s="2"/>
      <c r="F7060" s="1"/>
      <c r="G7060" s="1"/>
      <c r="H7060" s="1"/>
      <c r="I7060" s="1"/>
      <c r="J7060" s="1"/>
      <c r="K7060" s="1"/>
      <c r="L7060" s="1"/>
    </row>
    <row r="7061" spans="1:12" ht="12" customHeight="1" x14ac:dyDescent="0.25">
      <c r="A7061" s="12"/>
      <c r="B7061" s="1"/>
      <c r="C7061" s="2"/>
      <c r="D7061" s="1"/>
      <c r="E7061" s="2"/>
      <c r="F7061" s="1"/>
      <c r="G7061" s="1"/>
      <c r="H7061" s="1"/>
      <c r="I7061" s="1"/>
      <c r="J7061" s="1"/>
      <c r="K7061" s="1"/>
      <c r="L7061" s="1"/>
    </row>
    <row r="7062" spans="1:12" ht="12" customHeight="1" x14ac:dyDescent="0.25">
      <c r="A7062" s="12"/>
      <c r="B7062" s="1"/>
      <c r="C7062" s="2"/>
      <c r="D7062" s="1"/>
      <c r="E7062" s="2"/>
      <c r="F7062" s="1"/>
      <c r="G7062" s="1"/>
      <c r="H7062" s="1"/>
      <c r="I7062" s="1"/>
      <c r="J7062" s="1"/>
      <c r="K7062" s="1"/>
      <c r="L7062" s="1"/>
    </row>
    <row r="7063" spans="1:12" ht="12" customHeight="1" x14ac:dyDescent="0.25">
      <c r="A7063" s="12"/>
      <c r="B7063" s="1"/>
      <c r="C7063" s="2"/>
      <c r="D7063" s="1"/>
      <c r="E7063" s="2"/>
      <c r="F7063" s="1"/>
      <c r="G7063" s="1"/>
      <c r="H7063" s="1"/>
      <c r="I7063" s="1"/>
      <c r="J7063" s="1"/>
      <c r="K7063" s="1"/>
      <c r="L7063" s="1"/>
    </row>
    <row r="7064" spans="1:12" ht="12" customHeight="1" x14ac:dyDescent="0.25">
      <c r="A7064" s="12"/>
      <c r="B7064" s="1"/>
      <c r="C7064" s="2"/>
      <c r="D7064" s="1"/>
      <c r="E7064" s="2"/>
      <c r="F7064" s="1"/>
      <c r="G7064" s="1"/>
      <c r="H7064" s="1"/>
      <c r="I7064" s="1"/>
      <c r="J7064" s="1"/>
      <c r="K7064" s="1"/>
      <c r="L7064" s="1"/>
    </row>
    <row r="7065" spans="1:12" ht="12" customHeight="1" x14ac:dyDescent="0.25">
      <c r="A7065" s="12"/>
      <c r="B7065" s="1"/>
      <c r="C7065" s="2"/>
      <c r="D7065" s="1"/>
      <c r="E7065" s="2"/>
      <c r="F7065" s="1"/>
      <c r="G7065" s="1"/>
      <c r="H7065" s="1"/>
      <c r="I7065" s="1"/>
      <c r="J7065" s="1"/>
      <c r="K7065" s="1"/>
      <c r="L7065" s="1"/>
    </row>
    <row r="7066" spans="1:12" ht="12" customHeight="1" x14ac:dyDescent="0.25">
      <c r="A7066" s="12"/>
      <c r="B7066" s="1"/>
      <c r="C7066" s="2"/>
      <c r="D7066" s="1"/>
      <c r="E7066" s="2"/>
      <c r="F7066" s="1"/>
      <c r="G7066" s="1"/>
      <c r="H7066" s="1"/>
      <c r="I7066" s="1"/>
      <c r="J7066" s="1"/>
      <c r="K7066" s="1"/>
      <c r="L7066" s="1"/>
    </row>
    <row r="7067" spans="1:12" ht="12" customHeight="1" x14ac:dyDescent="0.25">
      <c r="A7067" s="12"/>
      <c r="B7067" s="1"/>
      <c r="C7067" s="2"/>
      <c r="D7067" s="1"/>
      <c r="E7067" s="2"/>
      <c r="F7067" s="1"/>
      <c r="G7067" s="1"/>
      <c r="H7067" s="1"/>
      <c r="I7067" s="1"/>
      <c r="J7067" s="1"/>
      <c r="K7067" s="1"/>
      <c r="L7067" s="1"/>
    </row>
    <row r="7068" spans="1:12" ht="12" customHeight="1" x14ac:dyDescent="0.25">
      <c r="A7068" s="12"/>
      <c r="B7068" s="1"/>
      <c r="C7068" s="2"/>
      <c r="D7068" s="1"/>
      <c r="E7068" s="2"/>
      <c r="F7068" s="1"/>
      <c r="G7068" s="1"/>
      <c r="H7068" s="1"/>
      <c r="I7068" s="1"/>
      <c r="J7068" s="1"/>
      <c r="K7068" s="1"/>
      <c r="L7068" s="1"/>
    </row>
    <row r="7069" spans="1:12" ht="12" customHeight="1" x14ac:dyDescent="0.25">
      <c r="A7069" s="12"/>
      <c r="B7069" s="1"/>
      <c r="C7069" s="2"/>
      <c r="D7069" s="1"/>
      <c r="E7069" s="2"/>
      <c r="F7069" s="1"/>
      <c r="G7069" s="1"/>
      <c r="H7069" s="1"/>
      <c r="I7069" s="1"/>
      <c r="J7069" s="1"/>
      <c r="K7069" s="1"/>
      <c r="L7069" s="1"/>
    </row>
    <row r="7070" spans="1:12" ht="12" customHeight="1" x14ac:dyDescent="0.25">
      <c r="A7070" s="12"/>
      <c r="B7070" s="1"/>
      <c r="C7070" s="2"/>
      <c r="D7070" s="1"/>
      <c r="E7070" s="2"/>
      <c r="F7070" s="1"/>
      <c r="G7070" s="1"/>
      <c r="H7070" s="1"/>
      <c r="I7070" s="1"/>
      <c r="J7070" s="1"/>
      <c r="K7070" s="1"/>
      <c r="L7070" s="1"/>
    </row>
    <row r="7071" spans="1:12" ht="12" customHeight="1" x14ac:dyDescent="0.25">
      <c r="A7071" s="12"/>
      <c r="B7071" s="1"/>
      <c r="C7071" s="2"/>
      <c r="D7071" s="1"/>
      <c r="E7071" s="2"/>
      <c r="F7071" s="1"/>
      <c r="G7071" s="1"/>
      <c r="H7071" s="1"/>
      <c r="I7071" s="1"/>
      <c r="J7071" s="1"/>
      <c r="K7071" s="1"/>
      <c r="L7071" s="1"/>
    </row>
    <row r="7072" spans="1:12" ht="12" customHeight="1" x14ac:dyDescent="0.25">
      <c r="A7072" s="12"/>
      <c r="B7072" s="1"/>
      <c r="C7072" s="2"/>
      <c r="D7072" s="1"/>
      <c r="E7072" s="2"/>
      <c r="F7072" s="1"/>
      <c r="G7072" s="1"/>
      <c r="H7072" s="1"/>
      <c r="I7072" s="1"/>
      <c r="J7072" s="1"/>
      <c r="K7072" s="1"/>
      <c r="L7072" s="1"/>
    </row>
    <row r="7073" spans="1:12" ht="12" customHeight="1" x14ac:dyDescent="0.25">
      <c r="A7073" s="12"/>
      <c r="B7073" s="1"/>
      <c r="C7073" s="2"/>
      <c r="D7073" s="1"/>
      <c r="E7073" s="2"/>
      <c r="F7073" s="1"/>
      <c r="G7073" s="1"/>
      <c r="H7073" s="1"/>
      <c r="I7073" s="1"/>
      <c r="J7073" s="1"/>
      <c r="K7073" s="1"/>
      <c r="L7073" s="1"/>
    </row>
    <row r="7074" spans="1:12" ht="12" customHeight="1" x14ac:dyDescent="0.25">
      <c r="A7074" s="12"/>
      <c r="B7074" s="1"/>
      <c r="C7074" s="2"/>
      <c r="D7074" s="1"/>
      <c r="E7074" s="2"/>
      <c r="F7074" s="1"/>
      <c r="G7074" s="1"/>
      <c r="H7074" s="1"/>
      <c r="I7074" s="1"/>
      <c r="J7074" s="1"/>
      <c r="K7074" s="1"/>
      <c r="L7074" s="1"/>
    </row>
    <row r="7075" spans="1:12" ht="12" customHeight="1" x14ac:dyDescent="0.25">
      <c r="A7075" s="12"/>
      <c r="B7075" s="1"/>
      <c r="C7075" s="2"/>
      <c r="D7075" s="1"/>
      <c r="E7075" s="2"/>
      <c r="F7075" s="1"/>
      <c r="G7075" s="1"/>
      <c r="H7075" s="1"/>
      <c r="I7075" s="1"/>
      <c r="J7075" s="1"/>
      <c r="K7075" s="1"/>
      <c r="L7075" s="1"/>
    </row>
    <row r="7076" spans="1:12" ht="12" customHeight="1" x14ac:dyDescent="0.25">
      <c r="A7076" s="12"/>
      <c r="B7076" s="1"/>
      <c r="C7076" s="2"/>
      <c r="D7076" s="1"/>
      <c r="E7076" s="2"/>
      <c r="F7076" s="1"/>
      <c r="G7076" s="1"/>
      <c r="H7076" s="1"/>
      <c r="I7076" s="1"/>
      <c r="J7076" s="1"/>
      <c r="K7076" s="1"/>
      <c r="L7076" s="1"/>
    </row>
    <row r="7077" spans="1:12" ht="12" customHeight="1" x14ac:dyDescent="0.25">
      <c r="A7077" s="12"/>
      <c r="B7077" s="1"/>
      <c r="C7077" s="2"/>
      <c r="D7077" s="1"/>
      <c r="E7077" s="2"/>
      <c r="F7077" s="1"/>
      <c r="G7077" s="1"/>
      <c r="H7077" s="1"/>
      <c r="I7077" s="1"/>
      <c r="J7077" s="1"/>
      <c r="K7077" s="1"/>
      <c r="L7077" s="1"/>
    </row>
    <row r="7078" spans="1:12" ht="12" customHeight="1" x14ac:dyDescent="0.25">
      <c r="A7078" s="12"/>
      <c r="B7078" s="1"/>
      <c r="C7078" s="2"/>
      <c r="D7078" s="1"/>
      <c r="E7078" s="2"/>
      <c r="F7078" s="1"/>
      <c r="G7078" s="1"/>
      <c r="H7078" s="1"/>
      <c r="I7078" s="1"/>
      <c r="J7078" s="1"/>
      <c r="K7078" s="1"/>
      <c r="L7078" s="1"/>
    </row>
    <row r="7079" spans="1:12" ht="12" customHeight="1" x14ac:dyDescent="0.25">
      <c r="A7079" s="12"/>
      <c r="B7079" s="1"/>
      <c r="C7079" s="2"/>
      <c r="D7079" s="1"/>
      <c r="E7079" s="2"/>
      <c r="F7079" s="1"/>
      <c r="G7079" s="1"/>
      <c r="H7079" s="1"/>
      <c r="I7079" s="1"/>
      <c r="J7079" s="1"/>
      <c r="K7079" s="1"/>
      <c r="L7079" s="1"/>
    </row>
    <row r="7080" spans="1:12" ht="12" customHeight="1" x14ac:dyDescent="0.25">
      <c r="A7080" s="12"/>
      <c r="B7080" s="1"/>
      <c r="C7080" s="2"/>
      <c r="D7080" s="1"/>
      <c r="E7080" s="2"/>
      <c r="F7080" s="1"/>
      <c r="G7080" s="1"/>
      <c r="H7080" s="1"/>
      <c r="I7080" s="1"/>
      <c r="J7080" s="1"/>
      <c r="K7080" s="1"/>
      <c r="L7080" s="1"/>
    </row>
    <row r="7081" spans="1:12" ht="12" customHeight="1" x14ac:dyDescent="0.25">
      <c r="A7081" s="12"/>
      <c r="B7081" s="1"/>
      <c r="C7081" s="2"/>
      <c r="D7081" s="1"/>
      <c r="E7081" s="2"/>
      <c r="F7081" s="1"/>
      <c r="G7081" s="1"/>
      <c r="H7081" s="1"/>
      <c r="I7081" s="1"/>
      <c r="J7081" s="1"/>
      <c r="K7081" s="1"/>
      <c r="L7081" s="1"/>
    </row>
    <row r="7082" spans="1:12" ht="12" customHeight="1" x14ac:dyDescent="0.25">
      <c r="A7082" s="12"/>
      <c r="B7082" s="1"/>
      <c r="C7082" s="2"/>
      <c r="D7082" s="1"/>
      <c r="E7082" s="2"/>
      <c r="F7082" s="1"/>
      <c r="G7082" s="1"/>
      <c r="H7082" s="1"/>
      <c r="I7082" s="1"/>
      <c r="J7082" s="1"/>
      <c r="K7082" s="1"/>
      <c r="L7082" s="1"/>
    </row>
    <row r="7083" spans="1:12" ht="12" customHeight="1" x14ac:dyDescent="0.25">
      <c r="A7083" s="12"/>
      <c r="B7083" s="1"/>
      <c r="C7083" s="2"/>
      <c r="D7083" s="1"/>
      <c r="E7083" s="2"/>
      <c r="F7083" s="1"/>
      <c r="G7083" s="1"/>
      <c r="H7083" s="1"/>
      <c r="I7083" s="1"/>
      <c r="J7083" s="1"/>
      <c r="K7083" s="1"/>
      <c r="L7083" s="1"/>
    </row>
    <row r="7084" spans="1:12" ht="12" customHeight="1" x14ac:dyDescent="0.25">
      <c r="A7084" s="12"/>
      <c r="B7084" s="1"/>
      <c r="C7084" s="2"/>
      <c r="D7084" s="1"/>
      <c r="E7084" s="2"/>
      <c r="F7084" s="1"/>
      <c r="G7084" s="1"/>
      <c r="H7084" s="1"/>
      <c r="I7084" s="1"/>
      <c r="J7084" s="1"/>
      <c r="K7084" s="1"/>
      <c r="L7084" s="1"/>
    </row>
    <row r="7085" spans="1:12" ht="12" customHeight="1" x14ac:dyDescent="0.25">
      <c r="A7085" s="12"/>
      <c r="B7085" s="1"/>
      <c r="C7085" s="2"/>
      <c r="D7085" s="1"/>
      <c r="E7085" s="2"/>
      <c r="F7085" s="1"/>
      <c r="G7085" s="1"/>
      <c r="H7085" s="1"/>
      <c r="I7085" s="1"/>
      <c r="J7085" s="1"/>
      <c r="K7085" s="1"/>
      <c r="L7085" s="1"/>
    </row>
    <row r="7086" spans="1:12" ht="12" customHeight="1" x14ac:dyDescent="0.25">
      <c r="A7086" s="12"/>
      <c r="B7086" s="1"/>
      <c r="C7086" s="2"/>
      <c r="D7086" s="1"/>
      <c r="E7086" s="2"/>
      <c r="F7086" s="1"/>
      <c r="G7086" s="1"/>
      <c r="H7086" s="1"/>
      <c r="I7086" s="1"/>
      <c r="J7086" s="1"/>
      <c r="K7086" s="1"/>
      <c r="L7086" s="1"/>
    </row>
    <row r="7087" spans="1:12" ht="12" customHeight="1" x14ac:dyDescent="0.25">
      <c r="A7087" s="12"/>
      <c r="B7087" s="1"/>
      <c r="C7087" s="2"/>
      <c r="D7087" s="1"/>
      <c r="E7087" s="2"/>
      <c r="F7087" s="1"/>
      <c r="G7087" s="1"/>
      <c r="H7087" s="1"/>
      <c r="I7087" s="1"/>
      <c r="J7087" s="1"/>
      <c r="K7087" s="1"/>
      <c r="L7087" s="1"/>
    </row>
    <row r="7088" spans="1:12" ht="12" customHeight="1" x14ac:dyDescent="0.25">
      <c r="A7088" s="12"/>
      <c r="B7088" s="1"/>
      <c r="C7088" s="2"/>
      <c r="D7088" s="1"/>
      <c r="E7088" s="2"/>
      <c r="F7088" s="1"/>
      <c r="G7088" s="1"/>
      <c r="H7088" s="1"/>
      <c r="I7088" s="1"/>
      <c r="J7088" s="1"/>
      <c r="K7088" s="1"/>
      <c r="L7088" s="1"/>
    </row>
    <row r="7089" spans="1:12" ht="12" customHeight="1" x14ac:dyDescent="0.25">
      <c r="A7089" s="12"/>
      <c r="B7089" s="1"/>
      <c r="C7089" s="2"/>
      <c r="D7089" s="1"/>
      <c r="E7089" s="2"/>
      <c r="F7089" s="1"/>
      <c r="G7089" s="1"/>
      <c r="H7089" s="1"/>
      <c r="I7089" s="1"/>
      <c r="J7089" s="1"/>
      <c r="K7089" s="1"/>
      <c r="L7089" s="1"/>
    </row>
    <row r="7090" spans="1:12" ht="12" customHeight="1" x14ac:dyDescent="0.25">
      <c r="A7090" s="12"/>
      <c r="B7090" s="1"/>
      <c r="C7090" s="2"/>
      <c r="D7090" s="1"/>
      <c r="E7090" s="2"/>
      <c r="F7090" s="1"/>
      <c r="G7090" s="1"/>
      <c r="H7090" s="1"/>
      <c r="I7090" s="1"/>
      <c r="J7090" s="1"/>
      <c r="K7090" s="1"/>
      <c r="L7090" s="1"/>
    </row>
    <row r="7091" spans="1:12" ht="12" customHeight="1" x14ac:dyDescent="0.25">
      <c r="A7091" s="12"/>
      <c r="B7091" s="1"/>
      <c r="C7091" s="2"/>
      <c r="D7091" s="1"/>
      <c r="E7091" s="2"/>
      <c r="F7091" s="1"/>
      <c r="G7091" s="1"/>
      <c r="H7091" s="1"/>
      <c r="I7091" s="1"/>
      <c r="J7091" s="1"/>
      <c r="K7091" s="1"/>
      <c r="L7091" s="1"/>
    </row>
    <row r="7092" spans="1:12" ht="12" customHeight="1" x14ac:dyDescent="0.25">
      <c r="A7092" s="12"/>
      <c r="B7092" s="1"/>
      <c r="C7092" s="2"/>
      <c r="D7092" s="1"/>
      <c r="E7092" s="2"/>
      <c r="F7092" s="1"/>
      <c r="G7092" s="1"/>
      <c r="H7092" s="1"/>
      <c r="I7092" s="1"/>
      <c r="J7092" s="1"/>
      <c r="K7092" s="1"/>
      <c r="L7092" s="1"/>
    </row>
    <row r="7093" spans="1:12" ht="12" customHeight="1" x14ac:dyDescent="0.25">
      <c r="A7093" s="12"/>
      <c r="B7093" s="1"/>
      <c r="C7093" s="2"/>
      <c r="D7093" s="1"/>
      <c r="E7093" s="2"/>
      <c r="F7093" s="1"/>
      <c r="G7093" s="1"/>
      <c r="H7093" s="1"/>
      <c r="I7093" s="1"/>
      <c r="J7093" s="1"/>
      <c r="K7093" s="1"/>
      <c r="L7093" s="1"/>
    </row>
    <row r="7094" spans="1:12" ht="12" customHeight="1" x14ac:dyDescent="0.25">
      <c r="A7094" s="12"/>
      <c r="B7094" s="1"/>
      <c r="C7094" s="2"/>
      <c r="D7094" s="1"/>
      <c r="E7094" s="2"/>
      <c r="F7094" s="1"/>
      <c r="G7094" s="1"/>
      <c r="H7094" s="1"/>
      <c r="I7094" s="1"/>
      <c r="J7094" s="1"/>
      <c r="K7094" s="1"/>
      <c r="L7094" s="1"/>
    </row>
    <row r="7095" spans="1:12" ht="12" customHeight="1" x14ac:dyDescent="0.25">
      <c r="A7095" s="12"/>
      <c r="B7095" s="1"/>
      <c r="C7095" s="2"/>
      <c r="D7095" s="1"/>
      <c r="E7095" s="2"/>
      <c r="F7095" s="1"/>
      <c r="G7095" s="1"/>
      <c r="H7095" s="1"/>
      <c r="I7095" s="1"/>
      <c r="J7095" s="1"/>
      <c r="K7095" s="1"/>
      <c r="L7095" s="1"/>
    </row>
    <row r="7096" spans="1:12" ht="12" customHeight="1" x14ac:dyDescent="0.25">
      <c r="A7096" s="12"/>
      <c r="B7096" s="1"/>
      <c r="C7096" s="2"/>
      <c r="D7096" s="1"/>
      <c r="E7096" s="2"/>
      <c r="F7096" s="1"/>
      <c r="G7096" s="1"/>
      <c r="H7096" s="1"/>
      <c r="I7096" s="1"/>
      <c r="J7096" s="1"/>
      <c r="K7096" s="1"/>
      <c r="L7096" s="1"/>
    </row>
    <row r="7097" spans="1:12" ht="12" customHeight="1" x14ac:dyDescent="0.25">
      <c r="A7097" s="12"/>
      <c r="B7097" s="1"/>
      <c r="C7097" s="2"/>
      <c r="D7097" s="1"/>
      <c r="E7097" s="2"/>
      <c r="F7097" s="1"/>
      <c r="G7097" s="1"/>
      <c r="H7097" s="1"/>
      <c r="I7097" s="1"/>
      <c r="J7097" s="1"/>
      <c r="K7097" s="1"/>
      <c r="L7097" s="1"/>
    </row>
    <row r="7098" spans="1:12" ht="12" customHeight="1" x14ac:dyDescent="0.25">
      <c r="A7098" s="12"/>
      <c r="B7098" s="1"/>
      <c r="C7098" s="2"/>
      <c r="D7098" s="1"/>
      <c r="E7098" s="2"/>
      <c r="F7098" s="1"/>
      <c r="G7098" s="1"/>
      <c r="H7098" s="1"/>
      <c r="I7098" s="1"/>
      <c r="J7098" s="1"/>
      <c r="K7098" s="1"/>
      <c r="L7098" s="1"/>
    </row>
    <row r="7099" spans="1:12" ht="12" customHeight="1" x14ac:dyDescent="0.25">
      <c r="A7099" s="12"/>
      <c r="B7099" s="1"/>
      <c r="C7099" s="2"/>
      <c r="D7099" s="1"/>
      <c r="E7099" s="2"/>
      <c r="F7099" s="1"/>
      <c r="G7099" s="1"/>
      <c r="H7099" s="1"/>
      <c r="I7099" s="1"/>
      <c r="J7099" s="1"/>
      <c r="K7099" s="1"/>
      <c r="L7099" s="1"/>
    </row>
    <row r="7100" spans="1:12" ht="12" customHeight="1" x14ac:dyDescent="0.25">
      <c r="A7100" s="12"/>
      <c r="B7100" s="1"/>
      <c r="C7100" s="2"/>
      <c r="D7100" s="1"/>
      <c r="E7100" s="2"/>
      <c r="F7100" s="1"/>
      <c r="G7100" s="1"/>
      <c r="H7100" s="1"/>
      <c r="I7100" s="1"/>
      <c r="J7100" s="1"/>
      <c r="K7100" s="1"/>
      <c r="L7100" s="1"/>
    </row>
    <row r="7101" spans="1:12" ht="12" customHeight="1" x14ac:dyDescent="0.25">
      <c r="A7101" s="12"/>
      <c r="B7101" s="1"/>
      <c r="C7101" s="2"/>
      <c r="D7101" s="1"/>
      <c r="E7101" s="2"/>
      <c r="F7101" s="1"/>
      <c r="G7101" s="1"/>
      <c r="H7101" s="1"/>
      <c r="I7101" s="1"/>
      <c r="J7101" s="1"/>
      <c r="K7101" s="1"/>
      <c r="L7101" s="1"/>
    </row>
    <row r="7102" spans="1:12" ht="12" customHeight="1" x14ac:dyDescent="0.25">
      <c r="A7102" s="12"/>
      <c r="B7102" s="1"/>
      <c r="C7102" s="2"/>
      <c r="D7102" s="1"/>
      <c r="E7102" s="2"/>
      <c r="F7102" s="1"/>
      <c r="G7102" s="1"/>
      <c r="H7102" s="1"/>
      <c r="I7102" s="1"/>
      <c r="J7102" s="1"/>
      <c r="K7102" s="1"/>
      <c r="L7102" s="1"/>
    </row>
    <row r="7103" spans="1:12" ht="12" customHeight="1" x14ac:dyDescent="0.25">
      <c r="A7103" s="12"/>
      <c r="B7103" s="1"/>
      <c r="C7103" s="2"/>
      <c r="D7103" s="1"/>
      <c r="E7103" s="2"/>
      <c r="F7103" s="1"/>
      <c r="G7103" s="1"/>
      <c r="H7103" s="1"/>
      <c r="I7103" s="1"/>
      <c r="J7103" s="1"/>
      <c r="K7103" s="1"/>
      <c r="L7103" s="1"/>
    </row>
    <row r="7104" spans="1:12" ht="12" customHeight="1" x14ac:dyDescent="0.25">
      <c r="A7104" s="12"/>
      <c r="B7104" s="1"/>
      <c r="C7104" s="2"/>
      <c r="D7104" s="1"/>
      <c r="E7104" s="2"/>
      <c r="F7104" s="1"/>
      <c r="G7104" s="1"/>
      <c r="H7104" s="1"/>
      <c r="I7104" s="1"/>
      <c r="J7104" s="1"/>
      <c r="K7104" s="1"/>
      <c r="L7104" s="1"/>
    </row>
    <row r="7105" spans="1:12" ht="12" customHeight="1" x14ac:dyDescent="0.25">
      <c r="A7105" s="12"/>
      <c r="B7105" s="1"/>
      <c r="C7105" s="2"/>
      <c r="D7105" s="1"/>
      <c r="E7105" s="2"/>
      <c r="F7105" s="1"/>
      <c r="G7105" s="1"/>
      <c r="H7105" s="1"/>
      <c r="I7105" s="1"/>
      <c r="J7105" s="1"/>
      <c r="K7105" s="1"/>
      <c r="L7105" s="1"/>
    </row>
    <row r="7106" spans="1:12" ht="12" customHeight="1" x14ac:dyDescent="0.25">
      <c r="A7106" s="12"/>
      <c r="B7106" s="1"/>
      <c r="C7106" s="2"/>
      <c r="D7106" s="1"/>
      <c r="E7106" s="2"/>
      <c r="F7106" s="1"/>
      <c r="G7106" s="1"/>
      <c r="H7106" s="1"/>
      <c r="I7106" s="1"/>
      <c r="J7106" s="1"/>
      <c r="K7106" s="1"/>
      <c r="L7106" s="1"/>
    </row>
    <row r="7107" spans="1:12" ht="12" customHeight="1" x14ac:dyDescent="0.25">
      <c r="A7107" s="12"/>
      <c r="B7107" s="1"/>
      <c r="C7107" s="2"/>
      <c r="D7107" s="1"/>
      <c r="E7107" s="2"/>
      <c r="F7107" s="1"/>
      <c r="G7107" s="1"/>
      <c r="H7107" s="1"/>
      <c r="I7107" s="1"/>
      <c r="J7107" s="1"/>
      <c r="K7107" s="1"/>
      <c r="L7107" s="1"/>
    </row>
    <row r="7108" spans="1:12" ht="12" customHeight="1" x14ac:dyDescent="0.25">
      <c r="A7108" s="12"/>
      <c r="B7108" s="1"/>
      <c r="C7108" s="2"/>
      <c r="D7108" s="1"/>
      <c r="E7108" s="2"/>
      <c r="F7108" s="1"/>
      <c r="G7108" s="1"/>
      <c r="H7108" s="1"/>
      <c r="I7108" s="1"/>
      <c r="J7108" s="1"/>
      <c r="K7108" s="1"/>
      <c r="L7108" s="1"/>
    </row>
    <row r="7109" spans="1:12" ht="12" customHeight="1" x14ac:dyDescent="0.25">
      <c r="A7109" s="12"/>
      <c r="B7109" s="1"/>
      <c r="C7109" s="2"/>
      <c r="D7109" s="1"/>
      <c r="E7109" s="2"/>
      <c r="F7109" s="1"/>
      <c r="G7109" s="1"/>
      <c r="H7109" s="1"/>
      <c r="I7109" s="1"/>
      <c r="J7109" s="1"/>
      <c r="K7109" s="1"/>
      <c r="L7109" s="1"/>
    </row>
    <row r="7110" spans="1:12" ht="12" customHeight="1" x14ac:dyDescent="0.25">
      <c r="A7110" s="12"/>
      <c r="B7110" s="1"/>
      <c r="C7110" s="2"/>
      <c r="D7110" s="1"/>
      <c r="E7110" s="2"/>
      <c r="F7110" s="1"/>
      <c r="G7110" s="1"/>
      <c r="H7110" s="1"/>
      <c r="I7110" s="1"/>
      <c r="J7110" s="1"/>
      <c r="K7110" s="1"/>
      <c r="L7110" s="1"/>
    </row>
    <row r="7111" spans="1:12" ht="12" customHeight="1" x14ac:dyDescent="0.25">
      <c r="A7111" s="12"/>
      <c r="B7111" s="1"/>
      <c r="C7111" s="2"/>
      <c r="D7111" s="1"/>
      <c r="E7111" s="2"/>
      <c r="F7111" s="1"/>
      <c r="G7111" s="1"/>
      <c r="H7111" s="1"/>
      <c r="I7111" s="1"/>
      <c r="J7111" s="1"/>
      <c r="K7111" s="1"/>
      <c r="L7111" s="1"/>
    </row>
    <row r="7112" spans="1:12" ht="12" customHeight="1" x14ac:dyDescent="0.25">
      <c r="A7112" s="12"/>
      <c r="B7112" s="1"/>
      <c r="C7112" s="2"/>
      <c r="D7112" s="1"/>
      <c r="E7112" s="2"/>
      <c r="F7112" s="1"/>
      <c r="G7112" s="1"/>
      <c r="H7112" s="1"/>
      <c r="I7112" s="1"/>
      <c r="J7112" s="1"/>
      <c r="K7112" s="1"/>
      <c r="L7112" s="1"/>
    </row>
    <row r="7113" spans="1:12" ht="12" customHeight="1" x14ac:dyDescent="0.25">
      <c r="A7113" s="12"/>
      <c r="B7113" s="1"/>
      <c r="C7113" s="2"/>
      <c r="D7113" s="1"/>
      <c r="E7113" s="2"/>
      <c r="F7113" s="1"/>
      <c r="G7113" s="1"/>
      <c r="H7113" s="1"/>
      <c r="I7113" s="1"/>
      <c r="J7113" s="1"/>
      <c r="K7113" s="1"/>
      <c r="L7113" s="1"/>
    </row>
    <row r="7114" spans="1:12" ht="12" customHeight="1" x14ac:dyDescent="0.25">
      <c r="A7114" s="12"/>
      <c r="B7114" s="1"/>
      <c r="C7114" s="2"/>
      <c r="D7114" s="1"/>
      <c r="E7114" s="2"/>
      <c r="F7114" s="1"/>
      <c r="G7114" s="1"/>
      <c r="H7114" s="1"/>
      <c r="I7114" s="1"/>
      <c r="J7114" s="1"/>
      <c r="K7114" s="1"/>
      <c r="L7114" s="1"/>
    </row>
    <row r="7115" spans="1:12" ht="12" customHeight="1" x14ac:dyDescent="0.25">
      <c r="A7115" s="12"/>
      <c r="B7115" s="1"/>
      <c r="C7115" s="2"/>
      <c r="D7115" s="1"/>
      <c r="E7115" s="2"/>
      <c r="F7115" s="1"/>
      <c r="G7115" s="1"/>
      <c r="H7115" s="1"/>
      <c r="I7115" s="1"/>
      <c r="J7115" s="1"/>
      <c r="K7115" s="1"/>
      <c r="L7115" s="1"/>
    </row>
    <row r="7116" spans="1:12" ht="12" customHeight="1" x14ac:dyDescent="0.25">
      <c r="A7116" s="12"/>
      <c r="B7116" s="1"/>
      <c r="C7116" s="2"/>
      <c r="D7116" s="1"/>
      <c r="E7116" s="2"/>
      <c r="F7116" s="1"/>
      <c r="G7116" s="1"/>
      <c r="H7116" s="1"/>
      <c r="I7116" s="1"/>
      <c r="J7116" s="1"/>
      <c r="K7116" s="1"/>
      <c r="L7116" s="1"/>
    </row>
    <row r="7117" spans="1:12" ht="12" customHeight="1" x14ac:dyDescent="0.25">
      <c r="A7117" s="12"/>
      <c r="B7117" s="1"/>
      <c r="C7117" s="2"/>
      <c r="D7117" s="1"/>
      <c r="E7117" s="2"/>
      <c r="F7117" s="1"/>
      <c r="G7117" s="1"/>
      <c r="H7117" s="1"/>
      <c r="I7117" s="1"/>
      <c r="J7117" s="1"/>
      <c r="K7117" s="1"/>
      <c r="L7117" s="1"/>
    </row>
    <row r="7118" spans="1:12" ht="12" customHeight="1" x14ac:dyDescent="0.25">
      <c r="A7118" s="12"/>
      <c r="B7118" s="1"/>
      <c r="C7118" s="2"/>
      <c r="D7118" s="1"/>
      <c r="E7118" s="2"/>
      <c r="F7118" s="1"/>
      <c r="G7118" s="1"/>
      <c r="H7118" s="1"/>
      <c r="I7118" s="1"/>
      <c r="J7118" s="1"/>
      <c r="K7118" s="1"/>
      <c r="L7118" s="1"/>
    </row>
    <row r="7119" spans="1:12" ht="12" customHeight="1" x14ac:dyDescent="0.25">
      <c r="A7119" s="12"/>
      <c r="B7119" s="1"/>
      <c r="C7119" s="2"/>
      <c r="D7119" s="1"/>
      <c r="E7119" s="2"/>
      <c r="F7119" s="1"/>
      <c r="G7119" s="1"/>
      <c r="H7119" s="1"/>
      <c r="I7119" s="1"/>
      <c r="J7119" s="1"/>
      <c r="K7119" s="1"/>
      <c r="L7119" s="1"/>
    </row>
    <row r="7120" spans="1:12" ht="12" customHeight="1" x14ac:dyDescent="0.25">
      <c r="A7120" s="12"/>
      <c r="B7120" s="1"/>
      <c r="C7120" s="2"/>
      <c r="D7120" s="1"/>
      <c r="E7120" s="2"/>
      <c r="F7120" s="1"/>
      <c r="G7120" s="1"/>
      <c r="H7120" s="1"/>
      <c r="I7120" s="1"/>
      <c r="J7120" s="1"/>
      <c r="K7120" s="1"/>
      <c r="L7120" s="1"/>
    </row>
    <row r="7121" spans="1:12" ht="12" customHeight="1" x14ac:dyDescent="0.25">
      <c r="A7121" s="12"/>
      <c r="B7121" s="1"/>
      <c r="C7121" s="2"/>
      <c r="D7121" s="1"/>
      <c r="E7121" s="2"/>
      <c r="F7121" s="1"/>
      <c r="G7121" s="1"/>
      <c r="H7121" s="1"/>
      <c r="I7121" s="1"/>
      <c r="J7121" s="1"/>
      <c r="K7121" s="1"/>
      <c r="L7121" s="1"/>
    </row>
    <row r="7122" spans="1:12" ht="12" customHeight="1" x14ac:dyDescent="0.25">
      <c r="A7122" s="12"/>
      <c r="B7122" s="1"/>
      <c r="C7122" s="2"/>
      <c r="D7122" s="1"/>
      <c r="E7122" s="2"/>
      <c r="F7122" s="1"/>
      <c r="G7122" s="1"/>
      <c r="H7122" s="1"/>
      <c r="I7122" s="1"/>
      <c r="J7122" s="1"/>
      <c r="K7122" s="1"/>
      <c r="L7122" s="1"/>
    </row>
    <row r="7123" spans="1:12" ht="12" customHeight="1" x14ac:dyDescent="0.25">
      <c r="A7123" s="12"/>
      <c r="B7123" s="1"/>
      <c r="C7123" s="2"/>
      <c r="D7123" s="1"/>
      <c r="E7123" s="2"/>
      <c r="F7123" s="1"/>
      <c r="G7123" s="1"/>
      <c r="H7123" s="1"/>
      <c r="I7123" s="1"/>
      <c r="J7123" s="1"/>
      <c r="K7123" s="1"/>
      <c r="L7123" s="1"/>
    </row>
    <row r="7124" spans="1:12" ht="12" customHeight="1" x14ac:dyDescent="0.25">
      <c r="A7124" s="12"/>
      <c r="B7124" s="1"/>
      <c r="C7124" s="2"/>
      <c r="D7124" s="1"/>
      <c r="E7124" s="2"/>
      <c r="F7124" s="1"/>
      <c r="G7124" s="1"/>
      <c r="H7124" s="1"/>
      <c r="I7124" s="1"/>
      <c r="J7124" s="1"/>
      <c r="K7124" s="1"/>
      <c r="L7124" s="1"/>
    </row>
    <row r="7125" spans="1:12" ht="12" customHeight="1" x14ac:dyDescent="0.25">
      <c r="A7125" s="12"/>
      <c r="B7125" s="1"/>
      <c r="C7125" s="2"/>
      <c r="D7125" s="1"/>
      <c r="E7125" s="2"/>
      <c r="F7125" s="1"/>
      <c r="G7125" s="1"/>
      <c r="H7125" s="1"/>
      <c r="I7125" s="1"/>
      <c r="J7125" s="1"/>
      <c r="K7125" s="1"/>
      <c r="L7125" s="1"/>
    </row>
    <row r="7126" spans="1:12" ht="12" customHeight="1" x14ac:dyDescent="0.25">
      <c r="A7126" s="12"/>
      <c r="B7126" s="1"/>
      <c r="C7126" s="2"/>
      <c r="D7126" s="1"/>
      <c r="E7126" s="2"/>
      <c r="F7126" s="1"/>
      <c r="G7126" s="1"/>
      <c r="H7126" s="1"/>
      <c r="I7126" s="1"/>
      <c r="J7126" s="1"/>
      <c r="K7126" s="1"/>
      <c r="L7126" s="1"/>
    </row>
    <row r="7127" spans="1:12" ht="12" customHeight="1" x14ac:dyDescent="0.25">
      <c r="A7127" s="12"/>
      <c r="B7127" s="1"/>
      <c r="C7127" s="2"/>
      <c r="D7127" s="1"/>
      <c r="E7127" s="2"/>
      <c r="F7127" s="1"/>
      <c r="G7127" s="1"/>
      <c r="H7127" s="1"/>
      <c r="I7127" s="1"/>
      <c r="J7127" s="1"/>
      <c r="K7127" s="1"/>
      <c r="L7127" s="1"/>
    </row>
    <row r="7128" spans="1:12" ht="12" customHeight="1" x14ac:dyDescent="0.25">
      <c r="A7128" s="12"/>
      <c r="B7128" s="1"/>
      <c r="C7128" s="2"/>
      <c r="D7128" s="1"/>
      <c r="E7128" s="2"/>
      <c r="F7128" s="1"/>
      <c r="G7128" s="1"/>
      <c r="H7128" s="1"/>
      <c r="I7128" s="1"/>
      <c r="J7128" s="1"/>
      <c r="K7128" s="1"/>
      <c r="L7128" s="1"/>
    </row>
    <row r="7129" spans="1:12" ht="12" customHeight="1" x14ac:dyDescent="0.25">
      <c r="A7129" s="12"/>
      <c r="B7129" s="1"/>
      <c r="C7129" s="2"/>
      <c r="D7129" s="1"/>
      <c r="E7129" s="2"/>
      <c r="F7129" s="1"/>
      <c r="G7129" s="1"/>
      <c r="H7129" s="1"/>
      <c r="I7129" s="1"/>
      <c r="J7129" s="1"/>
      <c r="K7129" s="1"/>
      <c r="L7129" s="1"/>
    </row>
    <row r="7130" spans="1:12" ht="12" customHeight="1" x14ac:dyDescent="0.25">
      <c r="A7130" s="12"/>
      <c r="B7130" s="1"/>
      <c r="C7130" s="2"/>
      <c r="D7130" s="1"/>
      <c r="E7130" s="2"/>
      <c r="F7130" s="1"/>
      <c r="G7130" s="1"/>
      <c r="H7130" s="1"/>
      <c r="I7130" s="1"/>
      <c r="J7130" s="1"/>
      <c r="K7130" s="1"/>
      <c r="L7130" s="1"/>
    </row>
    <row r="7131" spans="1:12" ht="12" customHeight="1" x14ac:dyDescent="0.25">
      <c r="A7131" s="12"/>
      <c r="B7131" s="1"/>
      <c r="C7131" s="2"/>
      <c r="D7131" s="1"/>
      <c r="E7131" s="2"/>
      <c r="F7131" s="1"/>
      <c r="G7131" s="1"/>
      <c r="H7131" s="1"/>
      <c r="I7131" s="1"/>
      <c r="J7131" s="1"/>
      <c r="K7131" s="1"/>
      <c r="L7131" s="1"/>
    </row>
    <row r="7132" spans="1:12" ht="12" customHeight="1" x14ac:dyDescent="0.25">
      <c r="A7132" s="12"/>
      <c r="B7132" s="1"/>
      <c r="C7132" s="2"/>
      <c r="D7132" s="1"/>
      <c r="E7132" s="2"/>
      <c r="F7132" s="1"/>
      <c r="G7132" s="1"/>
      <c r="H7132" s="1"/>
      <c r="I7132" s="1"/>
      <c r="J7132" s="1"/>
      <c r="K7132" s="1"/>
      <c r="L7132" s="1"/>
    </row>
    <row r="7133" spans="1:12" ht="12" customHeight="1" x14ac:dyDescent="0.25">
      <c r="A7133" s="12"/>
      <c r="B7133" s="1"/>
      <c r="C7133" s="2"/>
      <c r="D7133" s="1"/>
      <c r="E7133" s="2"/>
      <c r="F7133" s="1"/>
      <c r="G7133" s="1"/>
      <c r="H7133" s="1"/>
      <c r="I7133" s="1"/>
      <c r="J7133" s="1"/>
      <c r="K7133" s="1"/>
      <c r="L7133" s="1"/>
    </row>
    <row r="7134" spans="1:12" ht="12" customHeight="1" x14ac:dyDescent="0.25">
      <c r="A7134" s="12"/>
      <c r="B7134" s="1"/>
      <c r="C7134" s="2"/>
      <c r="D7134" s="1"/>
      <c r="E7134" s="2"/>
      <c r="F7134" s="1"/>
      <c r="G7134" s="1"/>
      <c r="H7134" s="1"/>
      <c r="I7134" s="1"/>
      <c r="J7134" s="1"/>
      <c r="K7134" s="1"/>
      <c r="L7134" s="1"/>
    </row>
    <row r="7135" spans="1:12" ht="12" customHeight="1" x14ac:dyDescent="0.25">
      <c r="A7135" s="12"/>
      <c r="B7135" s="1"/>
      <c r="C7135" s="2"/>
      <c r="D7135" s="1"/>
      <c r="E7135" s="2"/>
      <c r="F7135" s="1"/>
      <c r="G7135" s="1"/>
      <c r="H7135" s="1"/>
      <c r="I7135" s="1"/>
      <c r="J7135" s="1"/>
      <c r="K7135" s="1"/>
      <c r="L7135" s="1"/>
    </row>
    <row r="7136" spans="1:12" ht="12" customHeight="1" x14ac:dyDescent="0.25">
      <c r="A7136" s="12"/>
      <c r="B7136" s="1"/>
      <c r="C7136" s="2"/>
      <c r="D7136" s="1"/>
      <c r="E7136" s="2"/>
      <c r="F7136" s="1"/>
      <c r="G7136" s="1"/>
      <c r="H7136" s="1"/>
      <c r="I7136" s="1"/>
      <c r="J7136" s="1"/>
      <c r="K7136" s="1"/>
      <c r="L7136" s="1"/>
    </row>
    <row r="7137" spans="1:12" ht="12" customHeight="1" x14ac:dyDescent="0.25">
      <c r="A7137" s="12"/>
      <c r="B7137" s="1"/>
      <c r="C7137" s="2"/>
      <c r="D7137" s="1"/>
      <c r="E7137" s="2"/>
      <c r="F7137" s="1"/>
      <c r="G7137" s="1"/>
      <c r="H7137" s="1"/>
      <c r="I7137" s="1"/>
      <c r="J7137" s="1"/>
      <c r="K7137" s="1"/>
      <c r="L7137" s="1"/>
    </row>
    <row r="7138" spans="1:12" ht="12" customHeight="1" x14ac:dyDescent="0.25">
      <c r="A7138" s="12"/>
      <c r="B7138" s="1"/>
      <c r="C7138" s="2"/>
      <c r="D7138" s="1"/>
      <c r="E7138" s="2"/>
      <c r="F7138" s="1"/>
      <c r="G7138" s="1"/>
      <c r="H7138" s="1"/>
      <c r="I7138" s="1"/>
      <c r="J7138" s="1"/>
      <c r="K7138" s="1"/>
      <c r="L7138" s="1"/>
    </row>
    <row r="7139" spans="1:12" ht="12" customHeight="1" x14ac:dyDescent="0.25">
      <c r="A7139" s="12"/>
      <c r="B7139" s="1"/>
      <c r="C7139" s="2"/>
      <c r="D7139" s="1"/>
      <c r="E7139" s="2"/>
      <c r="F7139" s="1"/>
      <c r="G7139" s="1"/>
      <c r="H7139" s="1"/>
      <c r="I7139" s="1"/>
      <c r="J7139" s="1"/>
      <c r="K7139" s="1"/>
      <c r="L7139" s="1"/>
    </row>
    <row r="7140" spans="1:12" ht="12" customHeight="1" x14ac:dyDescent="0.25">
      <c r="A7140" s="12"/>
      <c r="B7140" s="1"/>
      <c r="C7140" s="2"/>
      <c r="D7140" s="1"/>
      <c r="E7140" s="2"/>
      <c r="F7140" s="1"/>
      <c r="G7140" s="1"/>
      <c r="H7140" s="1"/>
      <c r="I7140" s="1"/>
      <c r="J7140" s="1"/>
      <c r="K7140" s="1"/>
      <c r="L7140" s="1"/>
    </row>
    <row r="7141" spans="1:12" ht="12" customHeight="1" x14ac:dyDescent="0.25">
      <c r="A7141" s="12"/>
      <c r="B7141" s="1"/>
      <c r="C7141" s="2"/>
      <c r="D7141" s="1"/>
      <c r="E7141" s="2"/>
      <c r="F7141" s="1"/>
      <c r="G7141" s="1"/>
      <c r="H7141" s="1"/>
      <c r="I7141" s="1"/>
      <c r="J7141" s="1"/>
      <c r="K7141" s="1"/>
      <c r="L7141" s="1"/>
    </row>
    <row r="7142" spans="1:12" ht="12" customHeight="1" x14ac:dyDescent="0.25">
      <c r="A7142" s="12"/>
      <c r="B7142" s="1"/>
      <c r="C7142" s="2"/>
      <c r="D7142" s="1"/>
      <c r="E7142" s="2"/>
      <c r="F7142" s="1"/>
      <c r="G7142" s="1"/>
      <c r="H7142" s="1"/>
      <c r="I7142" s="1"/>
      <c r="J7142" s="1"/>
      <c r="K7142" s="1"/>
      <c r="L7142" s="1"/>
    </row>
    <row r="7143" spans="1:12" ht="12" customHeight="1" x14ac:dyDescent="0.25">
      <c r="A7143" s="12"/>
      <c r="B7143" s="1"/>
      <c r="C7143" s="2"/>
      <c r="D7143" s="1"/>
      <c r="E7143" s="2"/>
      <c r="F7143" s="1"/>
      <c r="G7143" s="1"/>
      <c r="H7143" s="1"/>
      <c r="I7143" s="1"/>
      <c r="J7143" s="1"/>
      <c r="K7143" s="1"/>
      <c r="L7143" s="1"/>
    </row>
    <row r="7144" spans="1:12" ht="12" customHeight="1" x14ac:dyDescent="0.25">
      <c r="A7144" s="12"/>
      <c r="B7144" s="1"/>
      <c r="C7144" s="2"/>
      <c r="D7144" s="1"/>
      <c r="E7144" s="2"/>
      <c r="F7144" s="1"/>
      <c r="G7144" s="1"/>
      <c r="H7144" s="1"/>
      <c r="I7144" s="1"/>
      <c r="J7144" s="1"/>
      <c r="K7144" s="1"/>
      <c r="L7144" s="1"/>
    </row>
    <row r="7145" spans="1:12" ht="12" customHeight="1" x14ac:dyDescent="0.25">
      <c r="A7145" s="12"/>
      <c r="B7145" s="1"/>
      <c r="C7145" s="2"/>
      <c r="D7145" s="1"/>
      <c r="E7145" s="2"/>
      <c r="F7145" s="1"/>
      <c r="G7145" s="1"/>
      <c r="H7145" s="1"/>
      <c r="I7145" s="1"/>
      <c r="J7145" s="1"/>
      <c r="K7145" s="1"/>
      <c r="L7145" s="1"/>
    </row>
    <row r="7146" spans="1:12" ht="12" customHeight="1" x14ac:dyDescent="0.25">
      <c r="A7146" s="12"/>
      <c r="B7146" s="1"/>
      <c r="C7146" s="2"/>
      <c r="D7146" s="1"/>
      <c r="E7146" s="2"/>
      <c r="F7146" s="1"/>
      <c r="G7146" s="1"/>
      <c r="H7146" s="1"/>
      <c r="I7146" s="1"/>
      <c r="J7146" s="1"/>
      <c r="K7146" s="1"/>
      <c r="L7146" s="1"/>
    </row>
    <row r="7147" spans="1:12" ht="12" customHeight="1" x14ac:dyDescent="0.25">
      <c r="A7147" s="12"/>
      <c r="B7147" s="1"/>
      <c r="C7147" s="2"/>
      <c r="D7147" s="1"/>
      <c r="E7147" s="2"/>
      <c r="F7147" s="1"/>
      <c r="G7147" s="1"/>
      <c r="H7147" s="1"/>
      <c r="I7147" s="1"/>
      <c r="J7147" s="1"/>
      <c r="K7147" s="1"/>
      <c r="L7147" s="1"/>
    </row>
    <row r="7148" spans="1:12" ht="12" customHeight="1" x14ac:dyDescent="0.25">
      <c r="A7148" s="12"/>
      <c r="B7148" s="1"/>
      <c r="C7148" s="2"/>
      <c r="D7148" s="1"/>
      <c r="E7148" s="2"/>
      <c r="F7148" s="1"/>
      <c r="G7148" s="1"/>
      <c r="H7148" s="1"/>
      <c r="I7148" s="1"/>
      <c r="J7148" s="1"/>
      <c r="K7148" s="1"/>
      <c r="L7148" s="1"/>
    </row>
    <row r="7149" spans="1:12" ht="12" customHeight="1" x14ac:dyDescent="0.25">
      <c r="A7149" s="12"/>
      <c r="B7149" s="1"/>
      <c r="C7149" s="2"/>
      <c r="D7149" s="1"/>
      <c r="E7149" s="2"/>
      <c r="F7149" s="1"/>
      <c r="G7149" s="1"/>
      <c r="H7149" s="1"/>
      <c r="I7149" s="1"/>
      <c r="J7149" s="1"/>
      <c r="K7149" s="1"/>
      <c r="L7149" s="1"/>
    </row>
    <row r="7150" spans="1:12" ht="12" customHeight="1" x14ac:dyDescent="0.25">
      <c r="A7150" s="12"/>
      <c r="B7150" s="1"/>
      <c r="C7150" s="2"/>
      <c r="D7150" s="1"/>
      <c r="E7150" s="2"/>
      <c r="F7150" s="1"/>
      <c r="G7150" s="1"/>
      <c r="H7150" s="1"/>
      <c r="I7150" s="1"/>
      <c r="J7150" s="1"/>
      <c r="K7150" s="1"/>
      <c r="L7150" s="1"/>
    </row>
    <row r="7151" spans="1:12" ht="12" customHeight="1" x14ac:dyDescent="0.25">
      <c r="A7151" s="12"/>
      <c r="B7151" s="1"/>
      <c r="C7151" s="2"/>
      <c r="D7151" s="1"/>
      <c r="E7151" s="2"/>
      <c r="F7151" s="1"/>
      <c r="G7151" s="1"/>
      <c r="H7151" s="1"/>
      <c r="I7151" s="1"/>
      <c r="J7151" s="1"/>
      <c r="K7151" s="1"/>
      <c r="L7151" s="1"/>
    </row>
    <row r="7152" spans="1:12" ht="12" customHeight="1" x14ac:dyDescent="0.25">
      <c r="A7152" s="12"/>
      <c r="B7152" s="1"/>
      <c r="C7152" s="2"/>
      <c r="D7152" s="1"/>
      <c r="E7152" s="2"/>
      <c r="F7152" s="1"/>
      <c r="G7152" s="1"/>
      <c r="H7152" s="1"/>
      <c r="I7152" s="1"/>
      <c r="J7152" s="1"/>
      <c r="K7152" s="1"/>
      <c r="L7152" s="1"/>
    </row>
    <row r="7153" spans="1:12" ht="12" customHeight="1" x14ac:dyDescent="0.25">
      <c r="A7153" s="12"/>
      <c r="B7153" s="1"/>
      <c r="C7153" s="2"/>
      <c r="D7153" s="1"/>
      <c r="E7153" s="2"/>
      <c r="F7153" s="1"/>
      <c r="G7153" s="1"/>
      <c r="H7153" s="1"/>
      <c r="I7153" s="1"/>
      <c r="J7153" s="1"/>
      <c r="K7153" s="1"/>
      <c r="L7153" s="1"/>
    </row>
    <row r="7154" spans="1:12" ht="12" customHeight="1" x14ac:dyDescent="0.25">
      <c r="A7154" s="12"/>
      <c r="B7154" s="1"/>
      <c r="C7154" s="2"/>
      <c r="D7154" s="1"/>
      <c r="E7154" s="2"/>
      <c r="F7154" s="1"/>
      <c r="G7154" s="1"/>
      <c r="H7154" s="1"/>
      <c r="I7154" s="1"/>
      <c r="J7154" s="1"/>
      <c r="K7154" s="1"/>
      <c r="L7154" s="1"/>
    </row>
    <row r="7155" spans="1:12" ht="12" customHeight="1" x14ac:dyDescent="0.25">
      <c r="A7155" s="12"/>
      <c r="B7155" s="1"/>
      <c r="C7155" s="2"/>
      <c r="D7155" s="1"/>
      <c r="E7155" s="2"/>
      <c r="F7155" s="1"/>
      <c r="G7155" s="1"/>
      <c r="H7155" s="1"/>
      <c r="I7155" s="1"/>
      <c r="J7155" s="1"/>
      <c r="K7155" s="1"/>
      <c r="L7155" s="1"/>
    </row>
    <row r="7156" spans="1:12" ht="12" customHeight="1" x14ac:dyDescent="0.25">
      <c r="A7156" s="12"/>
      <c r="B7156" s="1"/>
      <c r="C7156" s="2"/>
      <c r="D7156" s="1"/>
      <c r="E7156" s="2"/>
      <c r="F7156" s="1"/>
      <c r="G7156" s="1"/>
      <c r="H7156" s="1"/>
      <c r="I7156" s="1"/>
      <c r="J7156" s="1"/>
      <c r="K7156" s="1"/>
      <c r="L7156" s="1"/>
    </row>
    <row r="7157" spans="1:12" ht="12" customHeight="1" x14ac:dyDescent="0.25">
      <c r="A7157" s="12"/>
      <c r="B7157" s="1"/>
      <c r="C7157" s="2"/>
      <c r="D7157" s="1"/>
      <c r="E7157" s="2"/>
      <c r="F7157" s="1"/>
      <c r="G7157" s="1"/>
      <c r="H7157" s="1"/>
      <c r="I7157" s="1"/>
      <c r="J7157" s="1"/>
      <c r="K7157" s="1"/>
      <c r="L7157" s="1"/>
    </row>
    <row r="7158" spans="1:12" ht="12" customHeight="1" x14ac:dyDescent="0.25">
      <c r="A7158" s="12"/>
      <c r="B7158" s="1"/>
      <c r="C7158" s="2"/>
      <c r="D7158" s="1"/>
      <c r="E7158" s="2"/>
      <c r="F7158" s="1"/>
      <c r="G7158" s="1"/>
      <c r="H7158" s="1"/>
      <c r="I7158" s="1"/>
      <c r="J7158" s="1"/>
      <c r="K7158" s="1"/>
      <c r="L7158" s="1"/>
    </row>
    <row r="7159" spans="1:12" ht="12" customHeight="1" x14ac:dyDescent="0.25">
      <c r="A7159" s="12"/>
      <c r="B7159" s="1"/>
      <c r="C7159" s="2"/>
      <c r="D7159" s="1"/>
      <c r="E7159" s="2"/>
      <c r="F7159" s="1"/>
      <c r="G7159" s="1"/>
      <c r="H7159" s="1"/>
      <c r="I7159" s="1"/>
      <c r="J7159" s="1"/>
      <c r="K7159" s="1"/>
      <c r="L7159" s="1"/>
    </row>
    <row r="7160" spans="1:12" ht="12" customHeight="1" x14ac:dyDescent="0.25">
      <c r="A7160" s="12"/>
      <c r="B7160" s="1"/>
      <c r="C7160" s="2"/>
      <c r="D7160" s="1"/>
      <c r="E7160" s="2"/>
      <c r="F7160" s="1"/>
      <c r="G7160" s="1"/>
      <c r="H7160" s="1"/>
      <c r="I7160" s="1"/>
      <c r="J7160" s="1"/>
      <c r="K7160" s="1"/>
      <c r="L7160" s="1"/>
    </row>
    <row r="7161" spans="1:12" ht="12" customHeight="1" x14ac:dyDescent="0.25">
      <c r="A7161" s="12"/>
      <c r="B7161" s="1"/>
      <c r="C7161" s="2"/>
      <c r="D7161" s="1"/>
      <c r="E7161" s="2"/>
      <c r="F7161" s="1"/>
      <c r="G7161" s="1"/>
      <c r="H7161" s="1"/>
      <c r="I7161" s="1"/>
      <c r="J7161" s="1"/>
      <c r="K7161" s="1"/>
      <c r="L7161" s="1"/>
    </row>
    <row r="7162" spans="1:12" ht="12" customHeight="1" x14ac:dyDescent="0.25">
      <c r="A7162" s="12"/>
      <c r="B7162" s="1"/>
      <c r="C7162" s="2"/>
      <c r="D7162" s="1"/>
      <c r="E7162" s="2"/>
      <c r="F7162" s="1"/>
      <c r="G7162" s="1"/>
      <c r="H7162" s="1"/>
      <c r="I7162" s="1"/>
      <c r="J7162" s="1"/>
      <c r="K7162" s="1"/>
      <c r="L7162" s="1"/>
    </row>
    <row r="7163" spans="1:12" ht="12" customHeight="1" x14ac:dyDescent="0.25">
      <c r="A7163" s="12"/>
      <c r="B7163" s="1"/>
      <c r="C7163" s="2"/>
      <c r="D7163" s="1"/>
      <c r="E7163" s="2"/>
      <c r="F7163" s="1"/>
      <c r="G7163" s="1"/>
      <c r="H7163" s="1"/>
      <c r="I7163" s="1"/>
      <c r="J7163" s="1"/>
      <c r="K7163" s="1"/>
      <c r="L7163" s="1"/>
    </row>
    <row r="7164" spans="1:12" ht="12" customHeight="1" x14ac:dyDescent="0.25">
      <c r="A7164" s="12"/>
      <c r="B7164" s="1"/>
      <c r="C7164" s="2"/>
      <c r="D7164" s="1"/>
      <c r="E7164" s="2"/>
      <c r="F7164" s="1"/>
      <c r="G7164" s="1"/>
      <c r="H7164" s="1"/>
      <c r="I7164" s="1"/>
      <c r="J7164" s="1"/>
      <c r="K7164" s="1"/>
      <c r="L7164" s="1"/>
    </row>
    <row r="7165" spans="1:12" ht="12" customHeight="1" x14ac:dyDescent="0.25">
      <c r="A7165" s="12"/>
      <c r="B7165" s="1"/>
      <c r="C7165" s="2"/>
      <c r="D7165" s="1"/>
      <c r="E7165" s="2"/>
      <c r="F7165" s="1"/>
      <c r="G7165" s="1"/>
      <c r="H7165" s="1"/>
      <c r="I7165" s="1"/>
      <c r="J7165" s="1"/>
      <c r="K7165" s="1"/>
      <c r="L7165" s="1"/>
    </row>
    <row r="7166" spans="1:12" ht="12" customHeight="1" x14ac:dyDescent="0.25">
      <c r="A7166" s="12"/>
      <c r="B7166" s="1"/>
      <c r="C7166" s="2"/>
      <c r="D7166" s="1"/>
      <c r="E7166" s="2"/>
      <c r="F7166" s="1"/>
      <c r="G7166" s="1"/>
      <c r="H7166" s="1"/>
      <c r="I7166" s="1"/>
      <c r="J7166" s="1"/>
      <c r="K7166" s="1"/>
      <c r="L7166" s="1"/>
    </row>
    <row r="7167" spans="1:12" ht="12" customHeight="1" x14ac:dyDescent="0.25">
      <c r="A7167" s="12"/>
      <c r="B7167" s="1"/>
      <c r="C7167" s="2"/>
      <c r="D7167" s="1"/>
      <c r="E7167" s="2"/>
      <c r="F7167" s="1"/>
      <c r="G7167" s="1"/>
      <c r="H7167" s="1"/>
      <c r="I7167" s="1"/>
      <c r="J7167" s="1"/>
      <c r="K7167" s="1"/>
      <c r="L7167" s="1"/>
    </row>
    <row r="7168" spans="1:12" ht="12" customHeight="1" x14ac:dyDescent="0.25">
      <c r="A7168" s="12"/>
      <c r="B7168" s="1"/>
      <c r="C7168" s="2"/>
      <c r="D7168" s="1"/>
      <c r="E7168" s="2"/>
      <c r="F7168" s="1"/>
      <c r="G7168" s="1"/>
      <c r="H7168" s="1"/>
      <c r="I7168" s="1"/>
      <c r="J7168" s="1"/>
      <c r="K7168" s="1"/>
      <c r="L7168" s="1"/>
    </row>
    <row r="7169" spans="1:12" ht="12" customHeight="1" x14ac:dyDescent="0.25">
      <c r="A7169" s="12"/>
      <c r="B7169" s="1"/>
      <c r="C7169" s="2"/>
      <c r="D7169" s="1"/>
      <c r="E7169" s="2"/>
      <c r="F7169" s="1"/>
      <c r="G7169" s="1"/>
      <c r="H7169" s="1"/>
      <c r="I7169" s="1"/>
      <c r="J7169" s="1"/>
      <c r="K7169" s="1"/>
      <c r="L7169" s="1"/>
    </row>
    <row r="7170" spans="1:12" ht="12" customHeight="1" x14ac:dyDescent="0.25">
      <c r="A7170" s="12"/>
      <c r="B7170" s="1"/>
      <c r="C7170" s="2"/>
      <c r="D7170" s="1"/>
      <c r="E7170" s="2"/>
      <c r="F7170" s="1"/>
      <c r="G7170" s="1"/>
      <c r="H7170" s="1"/>
      <c r="I7170" s="1"/>
      <c r="J7170" s="1"/>
      <c r="K7170" s="1"/>
      <c r="L7170" s="1"/>
    </row>
    <row r="7171" spans="1:12" ht="12" customHeight="1" x14ac:dyDescent="0.25">
      <c r="A7171" s="12"/>
      <c r="B7171" s="1"/>
      <c r="C7171" s="2"/>
      <c r="D7171" s="1"/>
      <c r="E7171" s="2"/>
      <c r="F7171" s="1"/>
      <c r="G7171" s="1"/>
      <c r="H7171" s="1"/>
      <c r="I7171" s="1"/>
      <c r="J7171" s="1"/>
      <c r="K7171" s="1"/>
      <c r="L7171" s="1"/>
    </row>
    <row r="7172" spans="1:12" ht="12" customHeight="1" x14ac:dyDescent="0.25">
      <c r="A7172" s="12"/>
      <c r="B7172" s="1"/>
      <c r="C7172" s="2"/>
      <c r="D7172" s="1"/>
      <c r="E7172" s="2"/>
      <c r="F7172" s="1"/>
      <c r="G7172" s="1"/>
      <c r="H7172" s="1"/>
      <c r="I7172" s="1"/>
      <c r="J7172" s="1"/>
      <c r="K7172" s="1"/>
      <c r="L7172" s="1"/>
    </row>
    <row r="7173" spans="1:12" ht="12" customHeight="1" x14ac:dyDescent="0.25">
      <c r="A7173" s="12"/>
      <c r="B7173" s="1"/>
      <c r="C7173" s="2"/>
      <c r="D7173" s="1"/>
      <c r="E7173" s="2"/>
      <c r="F7173" s="1"/>
      <c r="G7173" s="1"/>
      <c r="H7173" s="1"/>
      <c r="I7173" s="1"/>
      <c r="J7173" s="1"/>
      <c r="K7173" s="1"/>
      <c r="L7173" s="1"/>
    </row>
    <row r="7174" spans="1:12" ht="12" customHeight="1" x14ac:dyDescent="0.25">
      <c r="A7174" s="12"/>
      <c r="B7174" s="1"/>
      <c r="C7174" s="2"/>
      <c r="D7174" s="1"/>
      <c r="E7174" s="2"/>
      <c r="F7174" s="1"/>
      <c r="G7174" s="1"/>
      <c r="H7174" s="1"/>
      <c r="I7174" s="1"/>
      <c r="J7174" s="1"/>
      <c r="K7174" s="1"/>
      <c r="L7174" s="1"/>
    </row>
    <row r="7175" spans="1:12" ht="12" customHeight="1" x14ac:dyDescent="0.25">
      <c r="A7175" s="12"/>
      <c r="B7175" s="1"/>
      <c r="C7175" s="2"/>
      <c r="D7175" s="1"/>
      <c r="E7175" s="2"/>
      <c r="F7175" s="1"/>
      <c r="G7175" s="1"/>
      <c r="H7175" s="1"/>
      <c r="I7175" s="1"/>
      <c r="J7175" s="1"/>
      <c r="K7175" s="1"/>
      <c r="L7175" s="1"/>
    </row>
    <row r="7176" spans="1:12" ht="12" customHeight="1" x14ac:dyDescent="0.25">
      <c r="A7176" s="12"/>
      <c r="B7176" s="1"/>
      <c r="C7176" s="2"/>
      <c r="D7176" s="1"/>
      <c r="E7176" s="2"/>
      <c r="F7176" s="1"/>
      <c r="G7176" s="1"/>
      <c r="H7176" s="1"/>
      <c r="I7176" s="1"/>
      <c r="J7176" s="1"/>
      <c r="K7176" s="1"/>
      <c r="L7176" s="1"/>
    </row>
    <row r="7177" spans="1:12" ht="12" customHeight="1" x14ac:dyDescent="0.25">
      <c r="A7177" s="12"/>
      <c r="B7177" s="1"/>
      <c r="C7177" s="2"/>
      <c r="D7177" s="1"/>
      <c r="E7177" s="2"/>
      <c r="F7177" s="1"/>
      <c r="G7177" s="1"/>
      <c r="H7177" s="1"/>
      <c r="I7177" s="1"/>
      <c r="J7177" s="1"/>
      <c r="K7177" s="1"/>
      <c r="L7177" s="1"/>
    </row>
    <row r="7178" spans="1:12" ht="12" customHeight="1" x14ac:dyDescent="0.25">
      <c r="A7178" s="12"/>
      <c r="B7178" s="1"/>
      <c r="C7178" s="2"/>
      <c r="D7178" s="1"/>
      <c r="E7178" s="2"/>
      <c r="F7178" s="1"/>
      <c r="G7178" s="1"/>
      <c r="H7178" s="1"/>
      <c r="I7178" s="1"/>
      <c r="J7178" s="1"/>
      <c r="K7178" s="1"/>
      <c r="L7178" s="1"/>
    </row>
    <row r="7179" spans="1:12" ht="12" customHeight="1" x14ac:dyDescent="0.25">
      <c r="A7179" s="12"/>
      <c r="B7179" s="1"/>
      <c r="C7179" s="2"/>
      <c r="D7179" s="1"/>
      <c r="E7179" s="2"/>
      <c r="F7179" s="1"/>
      <c r="G7179" s="1"/>
      <c r="H7179" s="1"/>
      <c r="I7179" s="1"/>
      <c r="J7179" s="1"/>
      <c r="K7179" s="1"/>
      <c r="L7179" s="1"/>
    </row>
    <row r="7180" spans="1:12" ht="12" customHeight="1" x14ac:dyDescent="0.25">
      <c r="A7180" s="12"/>
      <c r="B7180" s="1"/>
      <c r="C7180" s="2"/>
      <c r="D7180" s="1"/>
      <c r="E7180" s="2"/>
      <c r="F7180" s="1"/>
      <c r="G7180" s="1"/>
      <c r="H7180" s="1"/>
      <c r="I7180" s="1"/>
      <c r="J7180" s="1"/>
      <c r="K7180" s="1"/>
      <c r="L7180" s="1"/>
    </row>
    <row r="7181" spans="1:12" ht="12" customHeight="1" x14ac:dyDescent="0.25">
      <c r="A7181" s="12"/>
      <c r="B7181" s="1"/>
      <c r="C7181" s="2"/>
      <c r="D7181" s="1"/>
      <c r="E7181" s="2"/>
      <c r="F7181" s="1"/>
      <c r="G7181" s="1"/>
      <c r="H7181" s="1"/>
      <c r="I7181" s="1"/>
      <c r="J7181" s="1"/>
      <c r="K7181" s="1"/>
      <c r="L7181" s="1"/>
    </row>
    <row r="7182" spans="1:12" ht="12" customHeight="1" x14ac:dyDescent="0.25">
      <c r="A7182" s="12"/>
      <c r="B7182" s="1"/>
      <c r="C7182" s="2"/>
      <c r="D7182" s="1"/>
      <c r="E7182" s="2"/>
      <c r="F7182" s="1"/>
      <c r="G7182" s="1"/>
      <c r="H7182" s="1"/>
      <c r="I7182" s="1"/>
      <c r="J7182" s="1"/>
      <c r="K7182" s="1"/>
      <c r="L7182" s="1"/>
    </row>
    <row r="7183" spans="1:12" ht="12" customHeight="1" x14ac:dyDescent="0.25">
      <c r="A7183" s="12"/>
      <c r="B7183" s="1"/>
      <c r="C7183" s="2"/>
      <c r="D7183" s="1"/>
      <c r="E7183" s="2"/>
      <c r="F7183" s="1"/>
      <c r="G7183" s="1"/>
      <c r="H7183" s="1"/>
      <c r="I7183" s="1"/>
      <c r="J7183" s="1"/>
      <c r="K7183" s="1"/>
      <c r="L7183" s="1"/>
    </row>
    <row r="7184" spans="1:12" ht="12" customHeight="1" x14ac:dyDescent="0.25">
      <c r="A7184" s="12"/>
      <c r="B7184" s="1"/>
      <c r="C7184" s="2"/>
      <c r="D7184" s="1"/>
      <c r="E7184" s="2"/>
      <c r="F7184" s="1"/>
      <c r="G7184" s="1"/>
      <c r="H7184" s="1"/>
      <c r="I7184" s="1"/>
      <c r="J7184" s="1"/>
      <c r="K7184" s="1"/>
      <c r="L7184" s="1"/>
    </row>
    <row r="7185" spans="1:12" ht="12" customHeight="1" x14ac:dyDescent="0.25">
      <c r="A7185" s="12"/>
      <c r="B7185" s="1"/>
      <c r="C7185" s="2"/>
      <c r="D7185" s="1"/>
      <c r="E7185" s="2"/>
      <c r="F7185" s="1"/>
      <c r="G7185" s="1"/>
      <c r="H7185" s="1"/>
      <c r="I7185" s="1"/>
      <c r="J7185" s="1"/>
      <c r="K7185" s="1"/>
      <c r="L7185" s="1"/>
    </row>
    <row r="7186" spans="1:12" ht="12" customHeight="1" x14ac:dyDescent="0.25">
      <c r="A7186" s="12"/>
      <c r="B7186" s="1"/>
      <c r="C7186" s="2"/>
      <c r="D7186" s="1"/>
      <c r="E7186" s="2"/>
      <c r="F7186" s="1"/>
      <c r="G7186" s="1"/>
      <c r="H7186" s="1"/>
      <c r="I7186" s="1"/>
      <c r="J7186" s="1"/>
      <c r="K7186" s="1"/>
      <c r="L7186" s="1"/>
    </row>
    <row r="7187" spans="1:12" ht="12" customHeight="1" x14ac:dyDescent="0.25">
      <c r="A7187" s="12"/>
      <c r="B7187" s="1"/>
      <c r="C7187" s="2"/>
      <c r="D7187" s="1"/>
      <c r="E7187" s="2"/>
      <c r="F7187" s="1"/>
      <c r="G7187" s="1"/>
      <c r="H7187" s="1"/>
      <c r="I7187" s="1"/>
      <c r="J7187" s="1"/>
      <c r="K7187" s="1"/>
      <c r="L7187" s="1"/>
    </row>
    <row r="7188" spans="1:12" ht="12" customHeight="1" x14ac:dyDescent="0.25">
      <c r="A7188" s="12"/>
      <c r="B7188" s="1"/>
      <c r="C7188" s="2"/>
      <c r="D7188" s="1"/>
      <c r="E7188" s="2"/>
      <c r="F7188" s="1"/>
      <c r="G7188" s="1"/>
      <c r="H7188" s="1"/>
      <c r="I7188" s="1"/>
      <c r="J7188" s="1"/>
      <c r="K7188" s="1"/>
      <c r="L7188" s="1"/>
    </row>
    <row r="7189" spans="1:12" ht="12" customHeight="1" x14ac:dyDescent="0.25">
      <c r="A7189" s="12"/>
      <c r="B7189" s="1"/>
      <c r="C7189" s="2"/>
      <c r="D7189" s="1"/>
      <c r="E7189" s="2"/>
      <c r="F7189" s="1"/>
      <c r="G7189" s="1"/>
      <c r="H7189" s="1"/>
      <c r="I7189" s="1"/>
      <c r="J7189" s="1"/>
      <c r="K7189" s="1"/>
      <c r="L7189" s="1"/>
    </row>
    <row r="7190" spans="1:12" ht="12" customHeight="1" x14ac:dyDescent="0.25">
      <c r="A7190" s="12"/>
      <c r="B7190" s="1"/>
      <c r="C7190" s="2"/>
      <c r="D7190" s="1"/>
      <c r="E7190" s="2"/>
      <c r="F7190" s="1"/>
      <c r="G7190" s="1"/>
      <c r="H7190" s="1"/>
      <c r="I7190" s="1"/>
      <c r="J7190" s="1"/>
      <c r="K7190" s="1"/>
      <c r="L7190" s="1"/>
    </row>
    <row r="7191" spans="1:12" ht="12" customHeight="1" x14ac:dyDescent="0.25">
      <c r="A7191" s="12"/>
      <c r="B7191" s="1"/>
      <c r="C7191" s="2"/>
      <c r="D7191" s="1"/>
      <c r="E7191" s="2"/>
      <c r="F7191" s="1"/>
      <c r="G7191" s="1"/>
      <c r="H7191" s="1"/>
      <c r="I7191" s="1"/>
      <c r="J7191" s="1"/>
      <c r="K7191" s="1"/>
      <c r="L7191" s="1"/>
    </row>
    <row r="7192" spans="1:12" ht="12" customHeight="1" x14ac:dyDescent="0.25">
      <c r="A7192" s="12"/>
      <c r="B7192" s="1"/>
      <c r="C7192" s="2"/>
      <c r="D7192" s="1"/>
      <c r="E7192" s="2"/>
      <c r="F7192" s="1"/>
      <c r="G7192" s="1"/>
      <c r="H7192" s="1"/>
      <c r="I7192" s="1"/>
      <c r="J7192" s="1"/>
      <c r="K7192" s="1"/>
      <c r="L7192" s="1"/>
    </row>
    <row r="7193" spans="1:12" ht="12" customHeight="1" x14ac:dyDescent="0.25">
      <c r="A7193" s="12"/>
      <c r="B7193" s="1"/>
      <c r="C7193" s="2"/>
      <c r="D7193" s="1"/>
      <c r="E7193" s="2"/>
      <c r="F7193" s="1"/>
      <c r="G7193" s="1"/>
      <c r="H7193" s="1"/>
      <c r="I7193" s="1"/>
      <c r="J7193" s="1"/>
      <c r="K7193" s="1"/>
      <c r="L7193" s="1"/>
    </row>
    <row r="7194" spans="1:12" ht="12" customHeight="1" x14ac:dyDescent="0.25">
      <c r="A7194" s="12"/>
      <c r="B7194" s="1"/>
      <c r="C7194" s="2"/>
      <c r="D7194" s="1"/>
      <c r="E7194" s="2"/>
      <c r="F7194" s="1"/>
      <c r="G7194" s="1"/>
      <c r="H7194" s="1"/>
      <c r="I7194" s="1"/>
      <c r="J7194" s="1"/>
      <c r="K7194" s="1"/>
      <c r="L7194" s="1"/>
    </row>
    <row r="7195" spans="1:12" ht="12" customHeight="1" x14ac:dyDescent="0.25">
      <c r="A7195" s="12"/>
      <c r="B7195" s="1"/>
      <c r="C7195" s="2"/>
      <c r="D7195" s="1"/>
      <c r="E7195" s="2"/>
      <c r="F7195" s="1"/>
      <c r="G7195" s="1"/>
      <c r="H7195" s="1"/>
      <c r="I7195" s="1"/>
      <c r="J7195" s="1"/>
      <c r="K7195" s="1"/>
      <c r="L7195" s="1"/>
    </row>
    <row r="7196" spans="1:12" ht="12" customHeight="1" x14ac:dyDescent="0.25">
      <c r="A7196" s="12"/>
      <c r="B7196" s="1"/>
      <c r="C7196" s="2"/>
      <c r="D7196" s="1"/>
      <c r="E7196" s="2"/>
      <c r="F7196" s="1"/>
      <c r="G7196" s="1"/>
      <c r="H7196" s="1"/>
      <c r="I7196" s="1"/>
      <c r="J7196" s="1"/>
      <c r="K7196" s="1"/>
      <c r="L7196" s="1"/>
    </row>
    <row r="7197" spans="1:12" ht="12" customHeight="1" x14ac:dyDescent="0.25">
      <c r="A7197" s="12"/>
      <c r="B7197" s="1"/>
      <c r="C7197" s="2"/>
      <c r="D7197" s="1"/>
      <c r="E7197" s="2"/>
      <c r="F7197" s="1"/>
      <c r="G7197" s="1"/>
      <c r="H7197" s="1"/>
      <c r="I7197" s="1"/>
      <c r="J7197" s="1"/>
      <c r="K7197" s="1"/>
      <c r="L7197" s="1"/>
    </row>
    <row r="7198" spans="1:12" ht="12" customHeight="1" x14ac:dyDescent="0.25">
      <c r="A7198" s="12"/>
      <c r="B7198" s="1"/>
      <c r="C7198" s="2"/>
      <c r="D7198" s="1"/>
      <c r="E7198" s="2"/>
      <c r="F7198" s="1"/>
      <c r="G7198" s="1"/>
      <c r="H7198" s="1"/>
      <c r="I7198" s="1"/>
      <c r="J7198" s="1"/>
      <c r="K7198" s="1"/>
      <c r="L7198" s="1"/>
    </row>
    <row r="7199" spans="1:12" ht="12" customHeight="1" x14ac:dyDescent="0.25">
      <c r="A7199" s="12"/>
      <c r="B7199" s="1"/>
      <c r="C7199" s="2"/>
      <c r="D7199" s="1"/>
      <c r="E7199" s="2"/>
      <c r="F7199" s="1"/>
      <c r="G7199" s="1"/>
      <c r="H7199" s="1"/>
      <c r="I7199" s="1"/>
      <c r="J7199" s="1"/>
      <c r="K7199" s="1"/>
      <c r="L7199" s="1"/>
    </row>
    <row r="7200" spans="1:12" ht="12" customHeight="1" x14ac:dyDescent="0.25">
      <c r="A7200" s="12"/>
      <c r="B7200" s="1"/>
      <c r="C7200" s="2"/>
      <c r="D7200" s="1"/>
      <c r="E7200" s="2"/>
      <c r="F7200" s="1"/>
      <c r="G7200" s="1"/>
      <c r="H7200" s="1"/>
      <c r="I7200" s="1"/>
      <c r="J7200" s="1"/>
      <c r="K7200" s="1"/>
      <c r="L7200" s="1"/>
    </row>
    <row r="7201" spans="1:12" ht="12" customHeight="1" x14ac:dyDescent="0.25">
      <c r="A7201" s="12"/>
      <c r="B7201" s="1"/>
      <c r="C7201" s="2"/>
      <c r="D7201" s="1"/>
      <c r="E7201" s="2"/>
      <c r="F7201" s="1"/>
      <c r="G7201" s="1"/>
      <c r="H7201" s="1"/>
      <c r="I7201" s="1"/>
      <c r="J7201" s="1"/>
      <c r="K7201" s="1"/>
      <c r="L7201" s="1"/>
    </row>
    <row r="7202" spans="1:12" ht="12" customHeight="1" x14ac:dyDescent="0.25">
      <c r="A7202" s="12"/>
      <c r="B7202" s="1"/>
      <c r="C7202" s="2"/>
      <c r="D7202" s="1"/>
      <c r="E7202" s="2"/>
      <c r="F7202" s="1"/>
      <c r="G7202" s="1"/>
      <c r="H7202" s="1"/>
      <c r="I7202" s="1"/>
      <c r="J7202" s="1"/>
      <c r="K7202" s="1"/>
      <c r="L7202" s="1"/>
    </row>
    <row r="7203" spans="1:12" ht="12" customHeight="1" x14ac:dyDescent="0.25">
      <c r="A7203" s="12"/>
      <c r="B7203" s="1"/>
      <c r="C7203" s="2"/>
      <c r="D7203" s="1"/>
      <c r="E7203" s="2"/>
      <c r="F7203" s="1"/>
      <c r="G7203" s="1"/>
      <c r="H7203" s="1"/>
      <c r="I7203" s="1"/>
      <c r="J7203" s="1"/>
      <c r="K7203" s="1"/>
      <c r="L7203" s="1"/>
    </row>
    <row r="7204" spans="1:12" ht="12" customHeight="1" x14ac:dyDescent="0.25">
      <c r="A7204" s="12"/>
      <c r="B7204" s="1"/>
      <c r="C7204" s="2"/>
      <c r="D7204" s="1"/>
      <c r="E7204" s="2"/>
      <c r="F7204" s="1"/>
      <c r="G7204" s="1"/>
      <c r="H7204" s="1"/>
      <c r="I7204" s="1"/>
      <c r="J7204" s="1"/>
      <c r="K7204" s="1"/>
      <c r="L7204" s="1"/>
    </row>
    <row r="7205" spans="1:12" ht="12" customHeight="1" x14ac:dyDescent="0.25">
      <c r="A7205" s="12"/>
      <c r="B7205" s="1"/>
      <c r="C7205" s="2"/>
      <c r="D7205" s="1"/>
      <c r="E7205" s="2"/>
      <c r="F7205" s="1"/>
      <c r="G7205" s="1"/>
      <c r="H7205" s="1"/>
      <c r="I7205" s="1"/>
      <c r="J7205" s="1"/>
      <c r="K7205" s="1"/>
      <c r="L7205" s="1"/>
    </row>
    <row r="7206" spans="1:12" ht="12" customHeight="1" x14ac:dyDescent="0.25">
      <c r="A7206" s="12"/>
      <c r="B7206" s="1"/>
      <c r="C7206" s="2"/>
      <c r="D7206" s="1"/>
      <c r="E7206" s="2"/>
      <c r="F7206" s="1"/>
      <c r="G7206" s="1"/>
      <c r="H7206" s="1"/>
      <c r="I7206" s="1"/>
      <c r="J7206" s="1"/>
      <c r="K7206" s="1"/>
      <c r="L7206" s="1"/>
    </row>
    <row r="7207" spans="1:12" ht="12" customHeight="1" x14ac:dyDescent="0.25">
      <c r="A7207" s="12"/>
      <c r="B7207" s="1"/>
      <c r="C7207" s="2"/>
      <c r="D7207" s="1"/>
      <c r="E7207" s="2"/>
      <c r="F7207" s="1"/>
      <c r="G7207" s="1"/>
      <c r="H7207" s="1"/>
      <c r="I7207" s="1"/>
      <c r="J7207" s="1"/>
      <c r="K7207" s="1"/>
      <c r="L7207" s="1"/>
    </row>
    <row r="7208" spans="1:12" ht="12" customHeight="1" x14ac:dyDescent="0.25">
      <c r="A7208" s="12"/>
      <c r="B7208" s="1"/>
      <c r="C7208" s="2"/>
      <c r="D7208" s="1"/>
      <c r="E7208" s="2"/>
      <c r="F7208" s="1"/>
      <c r="G7208" s="1"/>
      <c r="H7208" s="1"/>
      <c r="I7208" s="1"/>
      <c r="J7208" s="1"/>
      <c r="K7208" s="1"/>
      <c r="L7208" s="1"/>
    </row>
    <row r="7209" spans="1:12" ht="12" customHeight="1" x14ac:dyDescent="0.25">
      <c r="A7209" s="12"/>
      <c r="B7209" s="1"/>
      <c r="C7209" s="2"/>
      <c r="D7209" s="1"/>
      <c r="E7209" s="2"/>
      <c r="F7209" s="1"/>
      <c r="G7209" s="1"/>
      <c r="H7209" s="1"/>
      <c r="I7209" s="1"/>
      <c r="J7209" s="1"/>
      <c r="K7209" s="1"/>
      <c r="L7209" s="1"/>
    </row>
    <row r="7210" spans="1:12" ht="12" customHeight="1" x14ac:dyDescent="0.25">
      <c r="A7210" s="12"/>
      <c r="B7210" s="1"/>
      <c r="C7210" s="2"/>
      <c r="D7210" s="1"/>
      <c r="E7210" s="2"/>
      <c r="F7210" s="1"/>
      <c r="G7210" s="1"/>
      <c r="H7210" s="1"/>
      <c r="I7210" s="1"/>
      <c r="J7210" s="1"/>
      <c r="K7210" s="1"/>
      <c r="L7210" s="1"/>
    </row>
    <row r="7211" spans="1:12" ht="12" customHeight="1" x14ac:dyDescent="0.25">
      <c r="A7211" s="12"/>
      <c r="B7211" s="1"/>
      <c r="C7211" s="2"/>
      <c r="D7211" s="1"/>
      <c r="E7211" s="2"/>
      <c r="F7211" s="1"/>
      <c r="G7211" s="1"/>
      <c r="H7211" s="1"/>
      <c r="I7211" s="1"/>
      <c r="J7211" s="1"/>
      <c r="K7211" s="1"/>
      <c r="L7211" s="1"/>
    </row>
    <row r="7212" spans="1:12" ht="12" customHeight="1" x14ac:dyDescent="0.25">
      <c r="A7212" s="12"/>
      <c r="B7212" s="1"/>
      <c r="C7212" s="2"/>
      <c r="D7212" s="1"/>
      <c r="E7212" s="2"/>
      <c r="F7212" s="1"/>
      <c r="G7212" s="1"/>
      <c r="H7212" s="1"/>
      <c r="I7212" s="1"/>
      <c r="J7212" s="1"/>
      <c r="K7212" s="1"/>
      <c r="L7212" s="1"/>
    </row>
    <row r="7213" spans="1:12" ht="12" customHeight="1" x14ac:dyDescent="0.25">
      <c r="A7213" s="12"/>
      <c r="B7213" s="1"/>
      <c r="C7213" s="2"/>
      <c r="D7213" s="1"/>
      <c r="E7213" s="2"/>
      <c r="F7213" s="1"/>
      <c r="G7213" s="1"/>
      <c r="H7213" s="1"/>
      <c r="I7213" s="1"/>
      <c r="J7213" s="1"/>
      <c r="K7213" s="1"/>
      <c r="L7213" s="1"/>
    </row>
    <row r="7214" spans="1:12" ht="12" customHeight="1" x14ac:dyDescent="0.25">
      <c r="A7214" s="12"/>
      <c r="B7214" s="1"/>
      <c r="C7214" s="2"/>
      <c r="D7214" s="1"/>
      <c r="E7214" s="2"/>
      <c r="F7214" s="1"/>
      <c r="G7214" s="1"/>
      <c r="H7214" s="1"/>
      <c r="I7214" s="1"/>
      <c r="J7214" s="1"/>
      <c r="K7214" s="1"/>
      <c r="L7214" s="1"/>
    </row>
    <row r="7215" spans="1:12" ht="12" customHeight="1" x14ac:dyDescent="0.25">
      <c r="A7215" s="12"/>
      <c r="B7215" s="1"/>
      <c r="C7215" s="2"/>
      <c r="D7215" s="1"/>
      <c r="E7215" s="2"/>
      <c r="F7215" s="1"/>
      <c r="G7215" s="1"/>
      <c r="H7215" s="1"/>
      <c r="I7215" s="1"/>
      <c r="J7215" s="1"/>
      <c r="K7215" s="1"/>
      <c r="L7215" s="1"/>
    </row>
    <row r="7216" spans="1:12" ht="12" customHeight="1" x14ac:dyDescent="0.25">
      <c r="A7216" s="12"/>
      <c r="B7216" s="1"/>
      <c r="C7216" s="2"/>
      <c r="D7216" s="1"/>
      <c r="E7216" s="2"/>
      <c r="F7216" s="1"/>
      <c r="G7216" s="1"/>
      <c r="H7216" s="1"/>
      <c r="I7216" s="1"/>
      <c r="J7216" s="1"/>
      <c r="K7216" s="1"/>
      <c r="L7216" s="1"/>
    </row>
    <row r="7217" spans="1:12" ht="12" customHeight="1" x14ac:dyDescent="0.25">
      <c r="A7217" s="12"/>
      <c r="B7217" s="1"/>
      <c r="C7217" s="2"/>
      <c r="D7217" s="1"/>
      <c r="E7217" s="2"/>
      <c r="F7217" s="1"/>
      <c r="G7217" s="1"/>
      <c r="H7217" s="1"/>
      <c r="I7217" s="1"/>
      <c r="J7217" s="1"/>
      <c r="K7217" s="1"/>
      <c r="L7217" s="1"/>
    </row>
    <row r="7218" spans="1:12" ht="12" customHeight="1" x14ac:dyDescent="0.25">
      <c r="A7218" s="12"/>
      <c r="B7218" s="1"/>
      <c r="C7218" s="2"/>
      <c r="D7218" s="1"/>
      <c r="E7218" s="2"/>
      <c r="F7218" s="1"/>
      <c r="G7218" s="1"/>
      <c r="H7218" s="1"/>
      <c r="I7218" s="1"/>
      <c r="J7218" s="1"/>
      <c r="K7218" s="1"/>
      <c r="L7218" s="1"/>
    </row>
    <row r="7219" spans="1:12" ht="12" customHeight="1" x14ac:dyDescent="0.25">
      <c r="A7219" s="12"/>
      <c r="B7219" s="1"/>
      <c r="C7219" s="2"/>
      <c r="D7219" s="1"/>
      <c r="E7219" s="2"/>
      <c r="F7219" s="1"/>
      <c r="G7219" s="1"/>
      <c r="H7219" s="1"/>
      <c r="I7219" s="1"/>
      <c r="J7219" s="1"/>
      <c r="K7219" s="1"/>
      <c r="L7219" s="1"/>
    </row>
    <row r="7220" spans="1:12" ht="12" customHeight="1" x14ac:dyDescent="0.25">
      <c r="A7220" s="12"/>
      <c r="B7220" s="1"/>
      <c r="C7220" s="2"/>
      <c r="D7220" s="1"/>
      <c r="E7220" s="2"/>
      <c r="F7220" s="1"/>
      <c r="G7220" s="1"/>
      <c r="H7220" s="1"/>
      <c r="I7220" s="1"/>
      <c r="J7220" s="1"/>
      <c r="K7220" s="1"/>
      <c r="L7220" s="1"/>
    </row>
    <row r="7221" spans="1:12" ht="12" customHeight="1" x14ac:dyDescent="0.25">
      <c r="A7221" s="12"/>
      <c r="B7221" s="1"/>
      <c r="C7221" s="2"/>
      <c r="D7221" s="1"/>
      <c r="E7221" s="2"/>
      <c r="F7221" s="1"/>
      <c r="G7221" s="1"/>
      <c r="H7221" s="1"/>
      <c r="I7221" s="1"/>
      <c r="J7221" s="1"/>
      <c r="K7221" s="1"/>
      <c r="L7221" s="1"/>
    </row>
    <row r="7222" spans="1:12" ht="12" customHeight="1" x14ac:dyDescent="0.25">
      <c r="A7222" s="12"/>
      <c r="B7222" s="1"/>
      <c r="C7222" s="2"/>
      <c r="D7222" s="1"/>
      <c r="E7222" s="2"/>
      <c r="F7222" s="1"/>
      <c r="G7222" s="1"/>
      <c r="H7222" s="1"/>
      <c r="I7222" s="1"/>
      <c r="J7222" s="1"/>
      <c r="K7222" s="1"/>
      <c r="L7222" s="1"/>
    </row>
    <row r="7223" spans="1:12" ht="12" customHeight="1" x14ac:dyDescent="0.25">
      <c r="A7223" s="12"/>
      <c r="B7223" s="1"/>
      <c r="C7223" s="2"/>
      <c r="D7223" s="1"/>
      <c r="E7223" s="2"/>
      <c r="F7223" s="1"/>
      <c r="G7223" s="1"/>
      <c r="H7223" s="1"/>
      <c r="I7223" s="1"/>
      <c r="J7223" s="1"/>
      <c r="K7223" s="1"/>
      <c r="L7223" s="1"/>
    </row>
    <row r="7224" spans="1:12" ht="12" customHeight="1" x14ac:dyDescent="0.25">
      <c r="A7224" s="12"/>
      <c r="B7224" s="1"/>
      <c r="C7224" s="2"/>
      <c r="D7224" s="1"/>
      <c r="E7224" s="2"/>
      <c r="F7224" s="1"/>
      <c r="G7224" s="1"/>
      <c r="H7224" s="1"/>
      <c r="I7224" s="1"/>
      <c r="J7224" s="1"/>
      <c r="K7224" s="1"/>
      <c r="L7224" s="1"/>
    </row>
    <row r="7225" spans="1:12" ht="12" customHeight="1" x14ac:dyDescent="0.25">
      <c r="A7225" s="12"/>
      <c r="B7225" s="1"/>
      <c r="C7225" s="2"/>
      <c r="D7225" s="1"/>
      <c r="E7225" s="2"/>
      <c r="F7225" s="1"/>
      <c r="G7225" s="1"/>
      <c r="H7225" s="1"/>
      <c r="I7225" s="1"/>
      <c r="J7225" s="1"/>
      <c r="K7225" s="1"/>
      <c r="L7225" s="1"/>
    </row>
    <row r="7226" spans="1:12" ht="12" customHeight="1" x14ac:dyDescent="0.25">
      <c r="A7226" s="12"/>
      <c r="B7226" s="1"/>
      <c r="C7226" s="2"/>
      <c r="D7226" s="1"/>
      <c r="E7226" s="2"/>
      <c r="F7226" s="1"/>
      <c r="G7226" s="1"/>
      <c r="H7226" s="1"/>
      <c r="I7226" s="1"/>
      <c r="J7226" s="1"/>
      <c r="K7226" s="1"/>
      <c r="L7226" s="1"/>
    </row>
    <row r="7227" spans="1:12" ht="12" customHeight="1" x14ac:dyDescent="0.25">
      <c r="A7227" s="12"/>
      <c r="B7227" s="1"/>
      <c r="C7227" s="2"/>
      <c r="D7227" s="1"/>
      <c r="E7227" s="2"/>
      <c r="F7227" s="1"/>
      <c r="G7227" s="1"/>
      <c r="H7227" s="1"/>
      <c r="I7227" s="1"/>
      <c r="J7227" s="1"/>
      <c r="K7227" s="1"/>
      <c r="L7227" s="1"/>
    </row>
    <row r="7228" spans="1:12" ht="12" customHeight="1" x14ac:dyDescent="0.25">
      <c r="A7228" s="12"/>
      <c r="B7228" s="1"/>
      <c r="C7228" s="2"/>
      <c r="D7228" s="1"/>
      <c r="E7228" s="2"/>
      <c r="F7228" s="1"/>
      <c r="G7228" s="1"/>
      <c r="H7228" s="1"/>
      <c r="I7228" s="1"/>
      <c r="J7228" s="1"/>
      <c r="K7228" s="1"/>
      <c r="L7228" s="1"/>
    </row>
    <row r="7229" spans="1:12" ht="12" customHeight="1" x14ac:dyDescent="0.25">
      <c r="A7229" s="12"/>
      <c r="B7229" s="1"/>
      <c r="C7229" s="2"/>
      <c r="D7229" s="1"/>
      <c r="E7229" s="2"/>
      <c r="F7229" s="1"/>
      <c r="G7229" s="1"/>
      <c r="H7229" s="1"/>
      <c r="I7229" s="1"/>
      <c r="J7229" s="1"/>
      <c r="K7229" s="1"/>
      <c r="L7229" s="1"/>
    </row>
    <row r="7230" spans="1:12" ht="12" customHeight="1" x14ac:dyDescent="0.25">
      <c r="A7230" s="12"/>
      <c r="B7230" s="1"/>
      <c r="C7230" s="2"/>
      <c r="D7230" s="1"/>
      <c r="E7230" s="2"/>
      <c r="F7230" s="1"/>
      <c r="G7230" s="1"/>
      <c r="H7230" s="1"/>
      <c r="I7230" s="1"/>
      <c r="J7230" s="1"/>
      <c r="K7230" s="1"/>
      <c r="L7230" s="1"/>
    </row>
    <row r="7231" spans="1:12" ht="12" customHeight="1" x14ac:dyDescent="0.25">
      <c r="A7231" s="12"/>
      <c r="B7231" s="1"/>
      <c r="C7231" s="2"/>
      <c r="D7231" s="1"/>
      <c r="E7231" s="2"/>
      <c r="F7231" s="1"/>
      <c r="G7231" s="1"/>
      <c r="H7231" s="1"/>
      <c r="I7231" s="1"/>
      <c r="J7231" s="1"/>
      <c r="K7231" s="1"/>
      <c r="L7231" s="1"/>
    </row>
    <row r="7232" spans="1:12" ht="12" customHeight="1" x14ac:dyDescent="0.25">
      <c r="A7232" s="12"/>
      <c r="B7232" s="1"/>
      <c r="C7232" s="2"/>
      <c r="D7232" s="1"/>
      <c r="E7232" s="2"/>
      <c r="F7232" s="1"/>
      <c r="G7232" s="1"/>
      <c r="H7232" s="1"/>
      <c r="I7232" s="1"/>
      <c r="J7232" s="1"/>
      <c r="K7232" s="1"/>
      <c r="L7232" s="1"/>
    </row>
    <row r="7233" spans="1:12" ht="12" customHeight="1" x14ac:dyDescent="0.25">
      <c r="A7233" s="12"/>
      <c r="B7233" s="1"/>
      <c r="C7233" s="2"/>
      <c r="D7233" s="1"/>
      <c r="E7233" s="2"/>
      <c r="F7233" s="1"/>
      <c r="G7233" s="1"/>
      <c r="H7233" s="1"/>
      <c r="I7233" s="1"/>
      <c r="J7233" s="1"/>
      <c r="K7233" s="1"/>
      <c r="L7233" s="1"/>
    </row>
    <row r="7234" spans="1:12" ht="12" customHeight="1" x14ac:dyDescent="0.25">
      <c r="A7234" s="12"/>
      <c r="B7234" s="1"/>
      <c r="C7234" s="2"/>
      <c r="D7234" s="1"/>
      <c r="E7234" s="2"/>
      <c r="F7234" s="1"/>
      <c r="G7234" s="1"/>
      <c r="H7234" s="1"/>
      <c r="I7234" s="1"/>
      <c r="J7234" s="1"/>
      <c r="K7234" s="1"/>
      <c r="L7234" s="1"/>
    </row>
    <row r="7235" spans="1:12" ht="12" customHeight="1" x14ac:dyDescent="0.25">
      <c r="A7235" s="12"/>
      <c r="B7235" s="1"/>
      <c r="C7235" s="2"/>
      <c r="D7235" s="1"/>
      <c r="E7235" s="2"/>
      <c r="F7235" s="1"/>
      <c r="G7235" s="1"/>
      <c r="H7235" s="1"/>
      <c r="I7235" s="1"/>
      <c r="J7235" s="1"/>
      <c r="K7235" s="1"/>
      <c r="L7235" s="1"/>
    </row>
    <row r="7236" spans="1:12" ht="12" customHeight="1" x14ac:dyDescent="0.25">
      <c r="A7236" s="12"/>
      <c r="B7236" s="1"/>
      <c r="C7236" s="2"/>
      <c r="D7236" s="1"/>
      <c r="E7236" s="2"/>
      <c r="F7236" s="1"/>
      <c r="G7236" s="1"/>
      <c r="H7236" s="1"/>
      <c r="I7236" s="1"/>
      <c r="J7236" s="1"/>
      <c r="K7236" s="1"/>
      <c r="L7236" s="1"/>
    </row>
    <row r="7237" spans="1:12" ht="12" customHeight="1" x14ac:dyDescent="0.25">
      <c r="A7237" s="12"/>
      <c r="B7237" s="1"/>
      <c r="C7237" s="2"/>
      <c r="D7237" s="1"/>
      <c r="E7237" s="2"/>
      <c r="F7237" s="1"/>
      <c r="G7237" s="1"/>
      <c r="H7237" s="1"/>
      <c r="I7237" s="1"/>
      <c r="J7237" s="1"/>
      <c r="K7237" s="1"/>
      <c r="L7237" s="1"/>
    </row>
    <row r="7238" spans="1:12" ht="12" customHeight="1" x14ac:dyDescent="0.25">
      <c r="A7238" s="12"/>
      <c r="B7238" s="1"/>
      <c r="C7238" s="2"/>
      <c r="D7238" s="1"/>
      <c r="E7238" s="2"/>
      <c r="F7238" s="1"/>
      <c r="G7238" s="1"/>
      <c r="H7238" s="1"/>
      <c r="I7238" s="1"/>
      <c r="J7238" s="1"/>
      <c r="K7238" s="1"/>
      <c r="L7238" s="1"/>
    </row>
    <row r="7239" spans="1:12" ht="12" customHeight="1" x14ac:dyDescent="0.25">
      <c r="A7239" s="12"/>
      <c r="B7239" s="1"/>
      <c r="C7239" s="2"/>
      <c r="D7239" s="1"/>
      <c r="E7239" s="2"/>
      <c r="F7239" s="1"/>
      <c r="G7239" s="1"/>
      <c r="H7239" s="1"/>
      <c r="I7239" s="1"/>
      <c r="J7239" s="1"/>
      <c r="K7239" s="1"/>
      <c r="L7239" s="1"/>
    </row>
    <row r="7240" spans="1:12" ht="12" customHeight="1" x14ac:dyDescent="0.25">
      <c r="A7240" s="12"/>
      <c r="B7240" s="1"/>
      <c r="C7240" s="2"/>
      <c r="D7240" s="1"/>
      <c r="E7240" s="2"/>
      <c r="F7240" s="1"/>
      <c r="G7240" s="1"/>
      <c r="H7240" s="1"/>
      <c r="I7240" s="1"/>
      <c r="J7240" s="1"/>
      <c r="K7240" s="1"/>
      <c r="L7240" s="1"/>
    </row>
    <row r="7241" spans="1:12" ht="12" customHeight="1" x14ac:dyDescent="0.25">
      <c r="A7241" s="12"/>
      <c r="B7241" s="1"/>
      <c r="C7241" s="2"/>
      <c r="D7241" s="1"/>
      <c r="E7241" s="2"/>
      <c r="F7241" s="1"/>
      <c r="G7241" s="1"/>
      <c r="H7241" s="1"/>
      <c r="I7241" s="1"/>
      <c r="J7241" s="1"/>
      <c r="K7241" s="1"/>
      <c r="L7241" s="1"/>
    </row>
    <row r="7242" spans="1:12" ht="12" customHeight="1" x14ac:dyDescent="0.25">
      <c r="A7242" s="12"/>
      <c r="B7242" s="1"/>
      <c r="C7242" s="2"/>
      <c r="D7242" s="1"/>
      <c r="E7242" s="2"/>
      <c r="F7242" s="1"/>
      <c r="G7242" s="1"/>
      <c r="H7242" s="1"/>
      <c r="I7242" s="1"/>
      <c r="J7242" s="1"/>
      <c r="K7242" s="1"/>
      <c r="L7242" s="1"/>
    </row>
    <row r="7243" spans="1:12" ht="12" customHeight="1" x14ac:dyDescent="0.25">
      <c r="A7243" s="12"/>
      <c r="B7243" s="1"/>
      <c r="C7243" s="2"/>
      <c r="D7243" s="1"/>
      <c r="E7243" s="2"/>
      <c r="F7243" s="1"/>
      <c r="G7243" s="1"/>
      <c r="H7243" s="1"/>
      <c r="I7243" s="1"/>
      <c r="J7243" s="1"/>
      <c r="K7243" s="1"/>
      <c r="L7243" s="1"/>
    </row>
    <row r="7244" spans="1:12" ht="12" customHeight="1" x14ac:dyDescent="0.25">
      <c r="A7244" s="12"/>
      <c r="B7244" s="1"/>
      <c r="C7244" s="2"/>
      <c r="D7244" s="1"/>
      <c r="E7244" s="2"/>
      <c r="F7244" s="1"/>
      <c r="G7244" s="1"/>
      <c r="H7244" s="1"/>
      <c r="I7244" s="1"/>
      <c r="J7244" s="1"/>
      <c r="K7244" s="1"/>
      <c r="L7244" s="1"/>
    </row>
    <row r="7245" spans="1:12" ht="12" customHeight="1" x14ac:dyDescent="0.25">
      <c r="A7245" s="12"/>
      <c r="B7245" s="1"/>
      <c r="C7245" s="2"/>
      <c r="D7245" s="1"/>
      <c r="E7245" s="2"/>
      <c r="F7245" s="1"/>
      <c r="G7245" s="1"/>
      <c r="H7245" s="1"/>
      <c r="I7245" s="1"/>
      <c r="J7245" s="1"/>
      <c r="K7245" s="1"/>
      <c r="L7245" s="1"/>
    </row>
    <row r="7246" spans="1:12" ht="12" customHeight="1" x14ac:dyDescent="0.25">
      <c r="A7246" s="12"/>
      <c r="B7246" s="1"/>
      <c r="C7246" s="2"/>
      <c r="D7246" s="1"/>
      <c r="E7246" s="2"/>
      <c r="F7246" s="1"/>
      <c r="G7246" s="1"/>
      <c r="H7246" s="1"/>
      <c r="I7246" s="1"/>
      <c r="J7246" s="1"/>
      <c r="K7246" s="1"/>
      <c r="L7246" s="1"/>
    </row>
    <row r="7247" spans="1:12" ht="12" customHeight="1" x14ac:dyDescent="0.25">
      <c r="A7247" s="12"/>
      <c r="B7247" s="1"/>
      <c r="C7247" s="2"/>
      <c r="D7247" s="1"/>
      <c r="E7247" s="2"/>
      <c r="F7247" s="1"/>
      <c r="G7247" s="1"/>
      <c r="H7247" s="1"/>
      <c r="I7247" s="1"/>
      <c r="J7247" s="1"/>
      <c r="K7247" s="1"/>
      <c r="L7247" s="1"/>
    </row>
    <row r="7248" spans="1:12" ht="12" customHeight="1" x14ac:dyDescent="0.25">
      <c r="A7248" s="12"/>
      <c r="B7248" s="1"/>
      <c r="C7248" s="2"/>
      <c r="D7248" s="1"/>
      <c r="E7248" s="2"/>
      <c r="F7248" s="1"/>
      <c r="G7248" s="1"/>
      <c r="H7248" s="1"/>
      <c r="I7248" s="1"/>
      <c r="J7248" s="1"/>
      <c r="K7248" s="1"/>
      <c r="L7248" s="1"/>
    </row>
    <row r="7249" spans="1:12" ht="12" customHeight="1" x14ac:dyDescent="0.25">
      <c r="A7249" s="12"/>
      <c r="B7249" s="1"/>
      <c r="C7249" s="2"/>
      <c r="D7249" s="1"/>
      <c r="E7249" s="2"/>
      <c r="F7249" s="1"/>
      <c r="G7249" s="1"/>
      <c r="H7249" s="1"/>
      <c r="I7249" s="1"/>
      <c r="J7249" s="1"/>
      <c r="K7249" s="1"/>
      <c r="L7249" s="1"/>
    </row>
    <row r="7250" spans="1:12" ht="12" customHeight="1" x14ac:dyDescent="0.25">
      <c r="A7250" s="12"/>
      <c r="B7250" s="1"/>
      <c r="C7250" s="2"/>
      <c r="D7250" s="1"/>
      <c r="E7250" s="2"/>
      <c r="F7250" s="1"/>
      <c r="G7250" s="1"/>
      <c r="H7250" s="1"/>
      <c r="I7250" s="1"/>
      <c r="J7250" s="1"/>
      <c r="K7250" s="1"/>
      <c r="L7250" s="1"/>
    </row>
    <row r="7251" spans="1:12" ht="12" customHeight="1" x14ac:dyDescent="0.25">
      <c r="A7251" s="12"/>
      <c r="B7251" s="1"/>
      <c r="C7251" s="2"/>
      <c r="D7251" s="1"/>
      <c r="E7251" s="2"/>
      <c r="F7251" s="1"/>
      <c r="G7251" s="1"/>
      <c r="H7251" s="1"/>
      <c r="I7251" s="1"/>
      <c r="J7251" s="1"/>
      <c r="K7251" s="1"/>
      <c r="L7251" s="1"/>
    </row>
    <row r="7252" spans="1:12" ht="12" customHeight="1" x14ac:dyDescent="0.25">
      <c r="A7252" s="12"/>
      <c r="B7252" s="1"/>
      <c r="C7252" s="2"/>
      <c r="D7252" s="1"/>
      <c r="E7252" s="2"/>
      <c r="F7252" s="1"/>
      <c r="G7252" s="1"/>
      <c r="H7252" s="1"/>
      <c r="I7252" s="1"/>
      <c r="J7252" s="1"/>
      <c r="K7252" s="1"/>
      <c r="L7252" s="1"/>
    </row>
    <row r="7253" spans="1:12" ht="12" customHeight="1" x14ac:dyDescent="0.25">
      <c r="A7253" s="12"/>
      <c r="B7253" s="1"/>
      <c r="C7253" s="2"/>
      <c r="D7253" s="1"/>
      <c r="E7253" s="2"/>
      <c r="F7253" s="1"/>
      <c r="G7253" s="1"/>
      <c r="H7253" s="1"/>
      <c r="I7253" s="1"/>
      <c r="J7253" s="1"/>
      <c r="K7253" s="1"/>
      <c r="L7253" s="1"/>
    </row>
    <row r="7254" spans="1:12" ht="12" customHeight="1" x14ac:dyDescent="0.25">
      <c r="A7254" s="12"/>
      <c r="B7254" s="1"/>
      <c r="C7254" s="2"/>
      <c r="D7254" s="1"/>
      <c r="E7254" s="2"/>
      <c r="F7254" s="1"/>
      <c r="G7254" s="1"/>
      <c r="H7254" s="1"/>
      <c r="I7254" s="1"/>
      <c r="J7254" s="1"/>
      <c r="K7254" s="1"/>
      <c r="L7254" s="1"/>
    </row>
    <row r="7255" spans="1:12" ht="12" customHeight="1" x14ac:dyDescent="0.25">
      <c r="A7255" s="12"/>
      <c r="B7255" s="1"/>
      <c r="C7255" s="2"/>
      <c r="D7255" s="1"/>
      <c r="E7255" s="2"/>
      <c r="F7255" s="1"/>
      <c r="G7255" s="1"/>
      <c r="H7255" s="1"/>
      <c r="I7255" s="1"/>
      <c r="J7255" s="1"/>
      <c r="K7255" s="1"/>
      <c r="L7255" s="1"/>
    </row>
    <row r="7256" spans="1:12" ht="12" customHeight="1" x14ac:dyDescent="0.25">
      <c r="A7256" s="12"/>
      <c r="B7256" s="1"/>
      <c r="C7256" s="2"/>
      <c r="D7256" s="1"/>
      <c r="E7256" s="2"/>
      <c r="F7256" s="1"/>
      <c r="G7256" s="1"/>
      <c r="H7256" s="1"/>
      <c r="I7256" s="1"/>
      <c r="J7256" s="1"/>
      <c r="K7256" s="1"/>
      <c r="L7256" s="1"/>
    </row>
    <row r="7257" spans="1:12" ht="12" customHeight="1" x14ac:dyDescent="0.25">
      <c r="A7257" s="12"/>
      <c r="B7257" s="1"/>
      <c r="C7257" s="2"/>
      <c r="D7257" s="1"/>
      <c r="E7257" s="2"/>
      <c r="F7257" s="1"/>
      <c r="G7257" s="1"/>
      <c r="H7257" s="1"/>
      <c r="I7257" s="1"/>
      <c r="J7257" s="1"/>
      <c r="K7257" s="1"/>
      <c r="L7257" s="1"/>
    </row>
    <row r="7258" spans="1:12" ht="12" customHeight="1" x14ac:dyDescent="0.25">
      <c r="A7258" s="12"/>
      <c r="B7258" s="1"/>
      <c r="C7258" s="2"/>
      <c r="D7258" s="1"/>
      <c r="E7258" s="2"/>
      <c r="F7258" s="1"/>
      <c r="G7258" s="1"/>
      <c r="H7258" s="1"/>
      <c r="I7258" s="1"/>
      <c r="J7258" s="1"/>
      <c r="K7258" s="1"/>
      <c r="L7258" s="1"/>
    </row>
    <row r="7259" spans="1:12" ht="12" customHeight="1" x14ac:dyDescent="0.25">
      <c r="A7259" s="12"/>
      <c r="B7259" s="1"/>
      <c r="C7259" s="2"/>
      <c r="D7259" s="1"/>
      <c r="E7259" s="2"/>
      <c r="F7259" s="1"/>
      <c r="G7259" s="1"/>
      <c r="H7259" s="1"/>
      <c r="I7259" s="1"/>
      <c r="J7259" s="1"/>
      <c r="K7259" s="1"/>
      <c r="L7259" s="1"/>
    </row>
    <row r="7260" spans="1:12" ht="12" customHeight="1" x14ac:dyDescent="0.25">
      <c r="A7260" s="12"/>
      <c r="B7260" s="1"/>
      <c r="C7260" s="2"/>
      <c r="D7260" s="1"/>
      <c r="E7260" s="2"/>
      <c r="F7260" s="1"/>
      <c r="G7260" s="1"/>
      <c r="H7260" s="1"/>
      <c r="I7260" s="1"/>
      <c r="J7260" s="1"/>
      <c r="K7260" s="1"/>
      <c r="L7260" s="1"/>
    </row>
    <row r="7261" spans="1:12" ht="12" customHeight="1" x14ac:dyDescent="0.25">
      <c r="A7261" s="12"/>
      <c r="B7261" s="1"/>
      <c r="C7261" s="2"/>
      <c r="D7261" s="1"/>
      <c r="E7261" s="2"/>
      <c r="F7261" s="1"/>
      <c r="G7261" s="1"/>
      <c r="H7261" s="1"/>
      <c r="I7261" s="1"/>
      <c r="J7261" s="1"/>
      <c r="K7261" s="1"/>
      <c r="L7261" s="1"/>
    </row>
    <row r="7262" spans="1:12" ht="12" customHeight="1" x14ac:dyDescent="0.25">
      <c r="A7262" s="12"/>
      <c r="B7262" s="1"/>
      <c r="C7262" s="2"/>
      <c r="D7262" s="1"/>
      <c r="E7262" s="2"/>
      <c r="F7262" s="1"/>
      <c r="G7262" s="1"/>
      <c r="H7262" s="1"/>
      <c r="I7262" s="1"/>
      <c r="J7262" s="1"/>
      <c r="K7262" s="1"/>
      <c r="L7262" s="1"/>
    </row>
    <row r="7263" spans="1:12" ht="12" customHeight="1" x14ac:dyDescent="0.25">
      <c r="A7263" s="12"/>
      <c r="B7263" s="1"/>
      <c r="C7263" s="2"/>
      <c r="D7263" s="1"/>
      <c r="E7263" s="2"/>
      <c r="F7263" s="1"/>
      <c r="G7263" s="1"/>
      <c r="H7263" s="1"/>
      <c r="I7263" s="1"/>
      <c r="J7263" s="1"/>
      <c r="K7263" s="1"/>
      <c r="L7263" s="1"/>
    </row>
    <row r="7264" spans="1:12" ht="12" customHeight="1" x14ac:dyDescent="0.25">
      <c r="A7264" s="12"/>
      <c r="B7264" s="1"/>
      <c r="C7264" s="2"/>
      <c r="D7264" s="1"/>
      <c r="E7264" s="2"/>
      <c r="F7264" s="1"/>
      <c r="G7264" s="1"/>
      <c r="H7264" s="1"/>
      <c r="I7264" s="1"/>
      <c r="J7264" s="1"/>
      <c r="K7264" s="1"/>
      <c r="L7264" s="1"/>
    </row>
    <row r="7265" spans="1:12" ht="12" customHeight="1" x14ac:dyDescent="0.25">
      <c r="A7265" s="12"/>
      <c r="B7265" s="1"/>
      <c r="C7265" s="2"/>
      <c r="D7265" s="1"/>
      <c r="E7265" s="2"/>
      <c r="F7265" s="1"/>
      <c r="G7265" s="1"/>
      <c r="H7265" s="1"/>
      <c r="I7265" s="1"/>
      <c r="J7265" s="1"/>
      <c r="K7265" s="1"/>
      <c r="L7265" s="1"/>
    </row>
    <row r="7266" spans="1:12" ht="12" customHeight="1" x14ac:dyDescent="0.25">
      <c r="A7266" s="12"/>
      <c r="B7266" s="1"/>
      <c r="C7266" s="2"/>
      <c r="D7266" s="1"/>
      <c r="E7266" s="2"/>
      <c r="F7266" s="1"/>
      <c r="G7266" s="1"/>
      <c r="H7266" s="1"/>
      <c r="I7266" s="1"/>
      <c r="J7266" s="1"/>
      <c r="K7266" s="1"/>
      <c r="L7266" s="1"/>
    </row>
    <row r="7267" spans="1:12" ht="12" customHeight="1" x14ac:dyDescent="0.25">
      <c r="A7267" s="12"/>
      <c r="B7267" s="1"/>
      <c r="C7267" s="2"/>
      <c r="D7267" s="1"/>
      <c r="E7267" s="2"/>
      <c r="F7267" s="1"/>
      <c r="G7267" s="1"/>
      <c r="H7267" s="1"/>
      <c r="I7267" s="1"/>
      <c r="J7267" s="1"/>
      <c r="K7267" s="1"/>
      <c r="L7267" s="1"/>
    </row>
    <row r="7268" spans="1:12" ht="12" customHeight="1" x14ac:dyDescent="0.25">
      <c r="A7268" s="12"/>
      <c r="B7268" s="1"/>
      <c r="C7268" s="2"/>
      <c r="D7268" s="1"/>
      <c r="E7268" s="2"/>
      <c r="F7268" s="1"/>
      <c r="G7268" s="1"/>
      <c r="H7268" s="1"/>
      <c r="I7268" s="1"/>
      <c r="J7268" s="1"/>
      <c r="K7268" s="1"/>
      <c r="L7268" s="1"/>
    </row>
    <row r="7269" spans="1:12" ht="12" customHeight="1" x14ac:dyDescent="0.25">
      <c r="A7269" s="12"/>
      <c r="B7269" s="1"/>
      <c r="C7269" s="2"/>
      <c r="D7269" s="1"/>
      <c r="E7269" s="2"/>
      <c r="F7269" s="1"/>
      <c r="G7269" s="1"/>
      <c r="H7269" s="1"/>
      <c r="I7269" s="1"/>
      <c r="J7269" s="1"/>
      <c r="K7269" s="1"/>
      <c r="L7269" s="1"/>
    </row>
    <row r="7270" spans="1:12" ht="12" customHeight="1" x14ac:dyDescent="0.25">
      <c r="A7270" s="12"/>
      <c r="B7270" s="1"/>
      <c r="C7270" s="2"/>
      <c r="D7270" s="1"/>
      <c r="E7270" s="2"/>
      <c r="F7270" s="1"/>
      <c r="G7270" s="1"/>
      <c r="H7270" s="1"/>
      <c r="I7270" s="1"/>
      <c r="J7270" s="1"/>
      <c r="K7270" s="1"/>
      <c r="L7270" s="1"/>
    </row>
    <row r="7271" spans="1:12" ht="12" customHeight="1" x14ac:dyDescent="0.25">
      <c r="A7271" s="12"/>
      <c r="B7271" s="1"/>
      <c r="C7271" s="2"/>
      <c r="D7271" s="1"/>
      <c r="E7271" s="2"/>
      <c r="F7271" s="1"/>
      <c r="G7271" s="1"/>
      <c r="H7271" s="1"/>
      <c r="I7271" s="1"/>
      <c r="J7271" s="1"/>
      <c r="K7271" s="1"/>
      <c r="L7271" s="1"/>
    </row>
    <row r="7272" spans="1:12" ht="12" customHeight="1" x14ac:dyDescent="0.25">
      <c r="A7272" s="12"/>
      <c r="B7272" s="1"/>
      <c r="C7272" s="2"/>
      <c r="D7272" s="1"/>
      <c r="E7272" s="2"/>
      <c r="F7272" s="1"/>
      <c r="G7272" s="1"/>
      <c r="H7272" s="1"/>
      <c r="I7272" s="1"/>
      <c r="J7272" s="1"/>
      <c r="K7272" s="1"/>
      <c r="L7272" s="1"/>
    </row>
    <row r="7273" spans="1:12" ht="12" customHeight="1" x14ac:dyDescent="0.25">
      <c r="A7273" s="12"/>
      <c r="B7273" s="1"/>
      <c r="C7273" s="2"/>
      <c r="D7273" s="1"/>
      <c r="E7273" s="2"/>
      <c r="F7273" s="1"/>
      <c r="G7273" s="1"/>
      <c r="H7273" s="1"/>
      <c r="I7273" s="1"/>
      <c r="J7273" s="1"/>
      <c r="K7273" s="1"/>
      <c r="L7273" s="1"/>
    </row>
    <row r="7274" spans="1:12" ht="12" customHeight="1" x14ac:dyDescent="0.25">
      <c r="A7274" s="12"/>
      <c r="B7274" s="1"/>
      <c r="C7274" s="2"/>
      <c r="D7274" s="1"/>
      <c r="E7274" s="2"/>
      <c r="F7274" s="1"/>
      <c r="G7274" s="1"/>
      <c r="H7274" s="1"/>
      <c r="I7274" s="1"/>
      <c r="J7274" s="1"/>
      <c r="K7274" s="1"/>
      <c r="L7274" s="1"/>
    </row>
    <row r="7275" spans="1:12" ht="12" customHeight="1" x14ac:dyDescent="0.25">
      <c r="A7275" s="12"/>
      <c r="B7275" s="1"/>
      <c r="C7275" s="2"/>
      <c r="D7275" s="1"/>
      <c r="E7275" s="2"/>
      <c r="F7275" s="1"/>
      <c r="G7275" s="1"/>
      <c r="H7275" s="1"/>
      <c r="I7275" s="1"/>
      <c r="J7275" s="1"/>
      <c r="K7275" s="1"/>
      <c r="L7275" s="1"/>
    </row>
    <row r="7276" spans="1:12" ht="12" customHeight="1" x14ac:dyDescent="0.25">
      <c r="A7276" s="12"/>
      <c r="B7276" s="1"/>
      <c r="C7276" s="2"/>
      <c r="D7276" s="1"/>
      <c r="E7276" s="2"/>
      <c r="F7276" s="1"/>
      <c r="G7276" s="1"/>
      <c r="H7276" s="1"/>
      <c r="I7276" s="1"/>
      <c r="J7276" s="1"/>
      <c r="K7276" s="1"/>
      <c r="L7276" s="1"/>
    </row>
    <row r="7277" spans="1:12" ht="12" customHeight="1" x14ac:dyDescent="0.25">
      <c r="A7277" s="12"/>
      <c r="B7277" s="1"/>
      <c r="C7277" s="2"/>
      <c r="D7277" s="1"/>
      <c r="E7277" s="2"/>
      <c r="F7277" s="1"/>
      <c r="G7277" s="1"/>
      <c r="H7277" s="1"/>
      <c r="I7277" s="1"/>
      <c r="J7277" s="1"/>
      <c r="K7277" s="1"/>
      <c r="L7277" s="1"/>
    </row>
    <row r="7278" spans="1:12" ht="12" customHeight="1" x14ac:dyDescent="0.25">
      <c r="A7278" s="12"/>
      <c r="B7278" s="1"/>
      <c r="C7278" s="2"/>
      <c r="D7278" s="1"/>
      <c r="E7278" s="2"/>
      <c r="F7278" s="1"/>
      <c r="G7278" s="1"/>
      <c r="H7278" s="1"/>
      <c r="I7278" s="1"/>
      <c r="J7278" s="1"/>
      <c r="K7278" s="1"/>
      <c r="L7278" s="1"/>
    </row>
    <row r="7279" spans="1:12" ht="12" customHeight="1" x14ac:dyDescent="0.25">
      <c r="A7279" s="12"/>
      <c r="B7279" s="1"/>
      <c r="C7279" s="2"/>
      <c r="D7279" s="1"/>
      <c r="E7279" s="2"/>
      <c r="F7279" s="1"/>
      <c r="G7279" s="1"/>
      <c r="H7279" s="1"/>
      <c r="I7279" s="1"/>
      <c r="J7279" s="1"/>
      <c r="K7279" s="1"/>
      <c r="L7279" s="1"/>
    </row>
    <row r="7280" spans="1:12" ht="12" customHeight="1" x14ac:dyDescent="0.25">
      <c r="A7280" s="12"/>
      <c r="B7280" s="1"/>
      <c r="C7280" s="2"/>
      <c r="D7280" s="1"/>
      <c r="E7280" s="2"/>
      <c r="F7280" s="1"/>
      <c r="G7280" s="1"/>
      <c r="H7280" s="1"/>
      <c r="I7280" s="1"/>
      <c r="J7280" s="1"/>
      <c r="K7280" s="1"/>
      <c r="L7280" s="1"/>
    </row>
    <row r="7281" spans="1:12" ht="12" customHeight="1" x14ac:dyDescent="0.25">
      <c r="A7281" s="12"/>
      <c r="B7281" s="1"/>
      <c r="C7281" s="2"/>
      <c r="D7281" s="1"/>
      <c r="E7281" s="2"/>
      <c r="F7281" s="1"/>
      <c r="G7281" s="1"/>
      <c r="H7281" s="1"/>
      <c r="I7281" s="1"/>
      <c r="J7281" s="1"/>
      <c r="K7281" s="1"/>
      <c r="L7281" s="1"/>
    </row>
    <row r="7282" spans="1:12" ht="12" customHeight="1" x14ac:dyDescent="0.25">
      <c r="A7282" s="12"/>
      <c r="B7282" s="1"/>
      <c r="C7282" s="2"/>
      <c r="D7282" s="1"/>
      <c r="E7282" s="2"/>
      <c r="F7282" s="1"/>
      <c r="G7282" s="1"/>
      <c r="H7282" s="1"/>
      <c r="I7282" s="1"/>
      <c r="J7282" s="1"/>
      <c r="K7282" s="1"/>
      <c r="L7282" s="1"/>
    </row>
    <row r="7283" spans="1:12" ht="12" customHeight="1" x14ac:dyDescent="0.25">
      <c r="A7283" s="12"/>
      <c r="B7283" s="1"/>
      <c r="C7283" s="2"/>
      <c r="D7283" s="1"/>
      <c r="E7283" s="2"/>
      <c r="F7283" s="1"/>
      <c r="G7283" s="1"/>
      <c r="H7283" s="1"/>
      <c r="I7283" s="1"/>
      <c r="J7283" s="1"/>
      <c r="K7283" s="1"/>
      <c r="L7283" s="1"/>
    </row>
    <row r="7284" spans="1:12" ht="12" customHeight="1" x14ac:dyDescent="0.25">
      <c r="A7284" s="12"/>
      <c r="B7284" s="1"/>
      <c r="C7284" s="2"/>
      <c r="D7284" s="1"/>
      <c r="E7284" s="2"/>
      <c r="F7284" s="1"/>
      <c r="G7284" s="1"/>
      <c r="H7284" s="1"/>
      <c r="I7284" s="1"/>
      <c r="J7284" s="1"/>
      <c r="K7284" s="1"/>
      <c r="L7284" s="1"/>
    </row>
    <row r="7285" spans="1:12" ht="12" customHeight="1" x14ac:dyDescent="0.25">
      <c r="A7285" s="12"/>
      <c r="B7285" s="1"/>
      <c r="C7285" s="2"/>
      <c r="D7285" s="1"/>
      <c r="E7285" s="2"/>
      <c r="F7285" s="1"/>
      <c r="G7285" s="1"/>
      <c r="H7285" s="1"/>
      <c r="I7285" s="1"/>
      <c r="J7285" s="1"/>
      <c r="K7285" s="1"/>
      <c r="L7285" s="1"/>
    </row>
    <row r="7286" spans="1:12" ht="12" customHeight="1" x14ac:dyDescent="0.25">
      <c r="A7286" s="12"/>
      <c r="B7286" s="1"/>
      <c r="C7286" s="2"/>
      <c r="D7286" s="1"/>
      <c r="E7286" s="2"/>
      <c r="F7286" s="1"/>
      <c r="G7286" s="1"/>
      <c r="H7286" s="1"/>
      <c r="I7286" s="1"/>
      <c r="J7286" s="1"/>
      <c r="K7286" s="1"/>
      <c r="L7286" s="1"/>
    </row>
    <row r="7287" spans="1:12" ht="12" customHeight="1" x14ac:dyDescent="0.25">
      <c r="A7287" s="12"/>
      <c r="B7287" s="1"/>
      <c r="C7287" s="2"/>
      <c r="D7287" s="1"/>
      <c r="E7287" s="2"/>
      <c r="F7287" s="1"/>
      <c r="G7287" s="1"/>
      <c r="H7287" s="1"/>
      <c r="I7287" s="1"/>
      <c r="J7287" s="1"/>
      <c r="K7287" s="1"/>
      <c r="L7287" s="1"/>
    </row>
    <row r="7288" spans="1:12" ht="12" customHeight="1" x14ac:dyDescent="0.25">
      <c r="A7288" s="12"/>
      <c r="B7288" s="1"/>
      <c r="C7288" s="2"/>
      <c r="D7288" s="1"/>
      <c r="E7288" s="2"/>
      <c r="F7288" s="1"/>
      <c r="G7288" s="1"/>
      <c r="H7288" s="1"/>
      <c r="I7288" s="1"/>
      <c r="J7288" s="1"/>
      <c r="K7288" s="1"/>
      <c r="L7288" s="1"/>
    </row>
    <row r="7289" spans="1:12" ht="12" customHeight="1" x14ac:dyDescent="0.25">
      <c r="A7289" s="12"/>
      <c r="B7289" s="1"/>
      <c r="C7289" s="2"/>
      <c r="D7289" s="1"/>
      <c r="E7289" s="2"/>
      <c r="F7289" s="1"/>
      <c r="G7289" s="1"/>
      <c r="H7289" s="1"/>
      <c r="I7289" s="1"/>
      <c r="J7289" s="1"/>
      <c r="K7289" s="1"/>
      <c r="L7289" s="1"/>
    </row>
    <row r="7290" spans="1:12" ht="12" customHeight="1" x14ac:dyDescent="0.25">
      <c r="A7290" s="12"/>
      <c r="B7290" s="1"/>
      <c r="C7290" s="2"/>
      <c r="D7290" s="1"/>
      <c r="E7290" s="2"/>
      <c r="F7290" s="1"/>
      <c r="G7290" s="1"/>
      <c r="H7290" s="1"/>
      <c r="I7290" s="1"/>
      <c r="J7290" s="1"/>
      <c r="K7290" s="1"/>
      <c r="L7290" s="1"/>
    </row>
    <row r="7291" spans="1:12" ht="12" customHeight="1" x14ac:dyDescent="0.25">
      <c r="A7291" s="12"/>
      <c r="B7291" s="1"/>
      <c r="C7291" s="2"/>
      <c r="D7291" s="1"/>
      <c r="E7291" s="2"/>
      <c r="F7291" s="1"/>
      <c r="G7291" s="1"/>
      <c r="H7291" s="1"/>
      <c r="I7291" s="1"/>
      <c r="J7291" s="1"/>
      <c r="K7291" s="1"/>
      <c r="L7291" s="1"/>
    </row>
    <row r="7292" spans="1:12" ht="12" customHeight="1" x14ac:dyDescent="0.25">
      <c r="A7292" s="12"/>
      <c r="B7292" s="1"/>
      <c r="C7292" s="2"/>
      <c r="D7292" s="1"/>
      <c r="E7292" s="2"/>
      <c r="F7292" s="1"/>
      <c r="G7292" s="1"/>
      <c r="H7292" s="1"/>
      <c r="I7292" s="1"/>
      <c r="J7292" s="1"/>
      <c r="K7292" s="1"/>
      <c r="L7292" s="1"/>
    </row>
    <row r="7293" spans="1:12" ht="12" customHeight="1" x14ac:dyDescent="0.25">
      <c r="A7293" s="12"/>
      <c r="B7293" s="1"/>
      <c r="C7293" s="2"/>
      <c r="D7293" s="1"/>
      <c r="E7293" s="2"/>
      <c r="F7293" s="1"/>
      <c r="G7293" s="1"/>
      <c r="H7293" s="1"/>
      <c r="I7293" s="1"/>
      <c r="J7293" s="1"/>
      <c r="K7293" s="1"/>
      <c r="L7293" s="1"/>
    </row>
    <row r="7294" spans="1:12" ht="12" customHeight="1" x14ac:dyDescent="0.25">
      <c r="A7294" s="12"/>
      <c r="B7294" s="1"/>
      <c r="C7294" s="2"/>
      <c r="D7294" s="1"/>
      <c r="E7294" s="2"/>
      <c r="F7294" s="1"/>
      <c r="G7294" s="1"/>
      <c r="H7294" s="1"/>
      <c r="I7294" s="1"/>
      <c r="J7294" s="1"/>
      <c r="K7294" s="1"/>
      <c r="L7294" s="1"/>
    </row>
    <row r="7295" spans="1:12" ht="12" customHeight="1" x14ac:dyDescent="0.25">
      <c r="A7295" s="12"/>
      <c r="B7295" s="1"/>
      <c r="C7295" s="2"/>
      <c r="D7295" s="1"/>
      <c r="E7295" s="2"/>
      <c r="F7295" s="1"/>
      <c r="G7295" s="1"/>
      <c r="H7295" s="1"/>
      <c r="I7295" s="1"/>
      <c r="J7295" s="1"/>
      <c r="K7295" s="1"/>
      <c r="L7295" s="1"/>
    </row>
    <row r="7296" spans="1:12" ht="12" customHeight="1" x14ac:dyDescent="0.25">
      <c r="A7296" s="12"/>
      <c r="B7296" s="1"/>
      <c r="C7296" s="2"/>
      <c r="D7296" s="1"/>
      <c r="E7296" s="2"/>
      <c r="F7296" s="1"/>
      <c r="G7296" s="1"/>
      <c r="H7296" s="1"/>
      <c r="I7296" s="1"/>
      <c r="J7296" s="1"/>
      <c r="K7296" s="1"/>
      <c r="L7296" s="1"/>
    </row>
    <row r="7297" spans="1:12" ht="12" customHeight="1" x14ac:dyDescent="0.25">
      <c r="A7297" s="12"/>
      <c r="B7297" s="1"/>
      <c r="C7297" s="2"/>
      <c r="D7297" s="1"/>
      <c r="E7297" s="2"/>
      <c r="F7297" s="1"/>
      <c r="G7297" s="1"/>
      <c r="H7297" s="1"/>
      <c r="I7297" s="1"/>
      <c r="J7297" s="1"/>
      <c r="K7297" s="1"/>
      <c r="L7297" s="1"/>
    </row>
    <row r="7298" spans="1:12" ht="12" customHeight="1" x14ac:dyDescent="0.25">
      <c r="A7298" s="12"/>
      <c r="B7298" s="1"/>
      <c r="C7298" s="2"/>
      <c r="D7298" s="1"/>
      <c r="E7298" s="2"/>
      <c r="F7298" s="1"/>
      <c r="G7298" s="1"/>
      <c r="H7298" s="1"/>
      <c r="I7298" s="1"/>
      <c r="J7298" s="1"/>
      <c r="K7298" s="1"/>
      <c r="L7298" s="1"/>
    </row>
    <row r="7299" spans="1:12" ht="12" customHeight="1" x14ac:dyDescent="0.25">
      <c r="A7299" s="12"/>
      <c r="B7299" s="1"/>
      <c r="C7299" s="2"/>
      <c r="D7299" s="1"/>
      <c r="E7299" s="2"/>
      <c r="F7299" s="1"/>
      <c r="G7299" s="1"/>
      <c r="H7299" s="1"/>
      <c r="I7299" s="1"/>
      <c r="J7299" s="1"/>
      <c r="K7299" s="1"/>
      <c r="L7299" s="1"/>
    </row>
    <row r="7300" spans="1:12" ht="12" customHeight="1" x14ac:dyDescent="0.25">
      <c r="A7300" s="12"/>
      <c r="B7300" s="1"/>
      <c r="C7300" s="2"/>
      <c r="D7300" s="1"/>
      <c r="E7300" s="2"/>
      <c r="F7300" s="1"/>
      <c r="G7300" s="1"/>
      <c r="H7300" s="1"/>
      <c r="I7300" s="1"/>
      <c r="J7300" s="1"/>
      <c r="K7300" s="1"/>
      <c r="L7300" s="1"/>
    </row>
    <row r="7301" spans="1:12" ht="12" customHeight="1" x14ac:dyDescent="0.25">
      <c r="A7301" s="12"/>
      <c r="B7301" s="1"/>
      <c r="C7301" s="2"/>
      <c r="D7301" s="1"/>
      <c r="E7301" s="2"/>
      <c r="F7301" s="1"/>
      <c r="G7301" s="1"/>
      <c r="H7301" s="1"/>
      <c r="I7301" s="1"/>
      <c r="J7301" s="1"/>
      <c r="K7301" s="1"/>
      <c r="L7301" s="1"/>
    </row>
    <row r="7302" spans="1:12" ht="12" customHeight="1" x14ac:dyDescent="0.25">
      <c r="A7302" s="12"/>
      <c r="B7302" s="1"/>
      <c r="C7302" s="2"/>
      <c r="D7302" s="1"/>
      <c r="E7302" s="2"/>
      <c r="F7302" s="1"/>
      <c r="G7302" s="1"/>
      <c r="H7302" s="1"/>
      <c r="I7302" s="1"/>
      <c r="J7302" s="1"/>
      <c r="K7302" s="1"/>
      <c r="L7302" s="1"/>
    </row>
    <row r="7303" spans="1:12" ht="12" customHeight="1" x14ac:dyDescent="0.25">
      <c r="A7303" s="12"/>
      <c r="B7303" s="1"/>
      <c r="C7303" s="2"/>
      <c r="D7303" s="1"/>
      <c r="E7303" s="2"/>
      <c r="F7303" s="1"/>
      <c r="G7303" s="1"/>
      <c r="H7303" s="1"/>
      <c r="I7303" s="1"/>
      <c r="J7303" s="1"/>
      <c r="K7303" s="1"/>
      <c r="L7303" s="1"/>
    </row>
    <row r="7304" spans="1:12" ht="12" customHeight="1" x14ac:dyDescent="0.25">
      <c r="A7304" s="12"/>
      <c r="B7304" s="1"/>
      <c r="C7304" s="2"/>
      <c r="D7304" s="1"/>
      <c r="E7304" s="2"/>
      <c r="F7304" s="1"/>
      <c r="G7304" s="1"/>
      <c r="H7304" s="1"/>
      <c r="I7304" s="1"/>
      <c r="J7304" s="1"/>
      <c r="K7304" s="1"/>
      <c r="L7304" s="1"/>
    </row>
    <row r="7305" spans="1:12" ht="12" customHeight="1" x14ac:dyDescent="0.25">
      <c r="A7305" s="12"/>
      <c r="B7305" s="1"/>
      <c r="C7305" s="2"/>
      <c r="D7305" s="1"/>
      <c r="E7305" s="2"/>
      <c r="F7305" s="1"/>
      <c r="G7305" s="1"/>
      <c r="H7305" s="1"/>
      <c r="I7305" s="1"/>
      <c r="J7305" s="1"/>
      <c r="K7305" s="1"/>
      <c r="L7305" s="1"/>
    </row>
    <row r="7306" spans="1:12" ht="12" customHeight="1" x14ac:dyDescent="0.25">
      <c r="A7306" s="12"/>
      <c r="B7306" s="1"/>
      <c r="C7306" s="2"/>
      <c r="D7306" s="1"/>
      <c r="E7306" s="2"/>
      <c r="F7306" s="1"/>
      <c r="G7306" s="1"/>
      <c r="H7306" s="1"/>
      <c r="I7306" s="1"/>
      <c r="J7306" s="1"/>
      <c r="K7306" s="1"/>
      <c r="L7306" s="1"/>
    </row>
    <row r="7307" spans="1:12" ht="12" customHeight="1" x14ac:dyDescent="0.25">
      <c r="A7307" s="12"/>
      <c r="B7307" s="1"/>
      <c r="C7307" s="2"/>
      <c r="D7307" s="1"/>
      <c r="E7307" s="2"/>
      <c r="F7307" s="1"/>
      <c r="G7307" s="1"/>
      <c r="H7307" s="1"/>
      <c r="I7307" s="1"/>
      <c r="J7307" s="1"/>
      <c r="K7307" s="1"/>
      <c r="L7307" s="1"/>
    </row>
    <row r="7308" spans="1:12" ht="12" customHeight="1" x14ac:dyDescent="0.25">
      <c r="A7308" s="12"/>
      <c r="B7308" s="1"/>
      <c r="C7308" s="2"/>
      <c r="D7308" s="1"/>
      <c r="E7308" s="2"/>
      <c r="F7308" s="1"/>
      <c r="G7308" s="1"/>
      <c r="H7308" s="1"/>
      <c r="I7308" s="1"/>
      <c r="J7308" s="1"/>
      <c r="K7308" s="1"/>
      <c r="L7308" s="1"/>
    </row>
    <row r="7309" spans="1:12" ht="12" customHeight="1" x14ac:dyDescent="0.25">
      <c r="A7309" s="12"/>
      <c r="B7309" s="1"/>
      <c r="C7309" s="2"/>
      <c r="D7309" s="1"/>
      <c r="E7309" s="2"/>
      <c r="F7309" s="1"/>
      <c r="G7309" s="1"/>
      <c r="H7309" s="1"/>
      <c r="I7309" s="1"/>
      <c r="J7309" s="1"/>
      <c r="K7309" s="1"/>
      <c r="L7309" s="1"/>
    </row>
    <row r="7310" spans="1:12" ht="12" customHeight="1" x14ac:dyDescent="0.25">
      <c r="A7310" s="12"/>
      <c r="B7310" s="1"/>
      <c r="C7310" s="2"/>
      <c r="D7310" s="1"/>
      <c r="E7310" s="2"/>
      <c r="F7310" s="1"/>
      <c r="G7310" s="1"/>
      <c r="H7310" s="1"/>
      <c r="I7310" s="1"/>
      <c r="J7310" s="1"/>
      <c r="K7310" s="1"/>
      <c r="L7310" s="1"/>
    </row>
    <row r="7311" spans="1:12" ht="12" customHeight="1" x14ac:dyDescent="0.25">
      <c r="A7311" s="12"/>
      <c r="B7311" s="1"/>
      <c r="C7311" s="2"/>
      <c r="D7311" s="1"/>
      <c r="E7311" s="2"/>
      <c r="F7311" s="1"/>
      <c r="G7311" s="1"/>
      <c r="H7311" s="1"/>
      <c r="I7311" s="1"/>
      <c r="J7311" s="1"/>
      <c r="K7311" s="1"/>
      <c r="L7311" s="1"/>
    </row>
    <row r="7312" spans="1:12" ht="12" customHeight="1" x14ac:dyDescent="0.25">
      <c r="A7312" s="12"/>
      <c r="B7312" s="1"/>
      <c r="C7312" s="2"/>
      <c r="D7312" s="1"/>
      <c r="E7312" s="2"/>
      <c r="F7312" s="1"/>
      <c r="G7312" s="1"/>
      <c r="H7312" s="1"/>
      <c r="I7312" s="1"/>
      <c r="J7312" s="1"/>
      <c r="K7312" s="1"/>
      <c r="L7312" s="1"/>
    </row>
    <row r="7313" spans="1:12" ht="12" customHeight="1" x14ac:dyDescent="0.25">
      <c r="A7313" s="12"/>
      <c r="B7313" s="1"/>
      <c r="C7313" s="2"/>
      <c r="D7313" s="1"/>
      <c r="E7313" s="2"/>
      <c r="F7313" s="1"/>
      <c r="G7313" s="1"/>
      <c r="H7313" s="1"/>
      <c r="I7313" s="1"/>
      <c r="J7313" s="1"/>
      <c r="K7313" s="1"/>
      <c r="L7313" s="1"/>
    </row>
    <row r="7314" spans="1:12" ht="12" customHeight="1" x14ac:dyDescent="0.25">
      <c r="A7314" s="12"/>
      <c r="B7314" s="1"/>
      <c r="C7314" s="2"/>
      <c r="D7314" s="1"/>
      <c r="E7314" s="2"/>
      <c r="F7314" s="1"/>
      <c r="G7314" s="1"/>
      <c r="H7314" s="1"/>
      <c r="I7314" s="1"/>
      <c r="J7314" s="1"/>
      <c r="K7314" s="1"/>
      <c r="L7314" s="1"/>
    </row>
    <row r="7315" spans="1:12" ht="12" customHeight="1" x14ac:dyDescent="0.25">
      <c r="A7315" s="12"/>
      <c r="B7315" s="1"/>
      <c r="C7315" s="2"/>
      <c r="D7315" s="1"/>
      <c r="E7315" s="2"/>
      <c r="F7315" s="1"/>
      <c r="G7315" s="1"/>
      <c r="H7315" s="1"/>
      <c r="I7315" s="1"/>
      <c r="J7315" s="1"/>
      <c r="K7315" s="1"/>
      <c r="L7315" s="1"/>
    </row>
    <row r="7316" spans="1:12" ht="12" customHeight="1" x14ac:dyDescent="0.25">
      <c r="A7316" s="12"/>
      <c r="B7316" s="1"/>
      <c r="C7316" s="2"/>
      <c r="D7316" s="1"/>
      <c r="E7316" s="2"/>
      <c r="F7316" s="1"/>
      <c r="G7316" s="1"/>
      <c r="H7316" s="1"/>
      <c r="I7316" s="1"/>
      <c r="J7316" s="1"/>
      <c r="K7316" s="1"/>
      <c r="L7316" s="1"/>
    </row>
    <row r="7317" spans="1:12" ht="12" customHeight="1" x14ac:dyDescent="0.25">
      <c r="A7317" s="12"/>
      <c r="B7317" s="1"/>
      <c r="C7317" s="2"/>
      <c r="D7317" s="1"/>
      <c r="E7317" s="2"/>
      <c r="F7317" s="1"/>
      <c r="G7317" s="1"/>
      <c r="H7317" s="1"/>
      <c r="I7317" s="1"/>
      <c r="J7317" s="1"/>
      <c r="K7317" s="1"/>
      <c r="L7317" s="1"/>
    </row>
    <row r="7318" spans="1:12" ht="12" customHeight="1" x14ac:dyDescent="0.25">
      <c r="A7318" s="12"/>
      <c r="B7318" s="1"/>
      <c r="C7318" s="2"/>
      <c r="D7318" s="1"/>
      <c r="E7318" s="2"/>
      <c r="F7318" s="1"/>
      <c r="G7318" s="1"/>
      <c r="H7318" s="1"/>
      <c r="I7318" s="1"/>
      <c r="J7318" s="1"/>
      <c r="K7318" s="1"/>
      <c r="L7318" s="1"/>
    </row>
    <row r="7319" spans="1:12" ht="12" customHeight="1" x14ac:dyDescent="0.25">
      <c r="A7319" s="12"/>
      <c r="B7319" s="1"/>
      <c r="C7319" s="2"/>
      <c r="D7319" s="1"/>
      <c r="E7319" s="2"/>
      <c r="F7319" s="1"/>
      <c r="G7319" s="1"/>
      <c r="H7319" s="1"/>
      <c r="I7319" s="1"/>
      <c r="J7319" s="1"/>
      <c r="K7319" s="1"/>
      <c r="L7319" s="1"/>
    </row>
    <row r="7320" spans="1:12" ht="12" customHeight="1" x14ac:dyDescent="0.25">
      <c r="A7320" s="12"/>
      <c r="B7320" s="1"/>
      <c r="C7320" s="2"/>
      <c r="D7320" s="1"/>
      <c r="E7320" s="2"/>
      <c r="F7320" s="1"/>
      <c r="G7320" s="1"/>
      <c r="H7320" s="1"/>
      <c r="I7320" s="1"/>
      <c r="J7320" s="1"/>
      <c r="K7320" s="1"/>
      <c r="L7320" s="1"/>
    </row>
    <row r="7321" spans="1:12" ht="12" customHeight="1" x14ac:dyDescent="0.25">
      <c r="A7321" s="12"/>
      <c r="B7321" s="1"/>
      <c r="C7321" s="2"/>
      <c r="D7321" s="1"/>
      <c r="E7321" s="2"/>
      <c r="F7321" s="1"/>
      <c r="G7321" s="1"/>
      <c r="H7321" s="1"/>
      <c r="I7321" s="1"/>
      <c r="J7321" s="1"/>
      <c r="K7321" s="1"/>
      <c r="L7321" s="1"/>
    </row>
    <row r="7322" spans="1:12" ht="12" customHeight="1" x14ac:dyDescent="0.25">
      <c r="A7322" s="12"/>
      <c r="B7322" s="1"/>
      <c r="C7322" s="2"/>
      <c r="D7322" s="1"/>
      <c r="E7322" s="2"/>
      <c r="F7322" s="1"/>
      <c r="G7322" s="1"/>
      <c r="H7322" s="1"/>
      <c r="I7322" s="1"/>
      <c r="J7322" s="1"/>
      <c r="K7322" s="1"/>
      <c r="L7322" s="1"/>
    </row>
    <row r="7323" spans="1:12" ht="12" customHeight="1" x14ac:dyDescent="0.25">
      <c r="A7323" s="12"/>
      <c r="B7323" s="1"/>
      <c r="C7323" s="2"/>
      <c r="D7323" s="1"/>
      <c r="E7323" s="2"/>
      <c r="F7323" s="1"/>
      <c r="G7323" s="1"/>
      <c r="H7323" s="1"/>
      <c r="I7323" s="1"/>
      <c r="J7323" s="1"/>
      <c r="K7323" s="1"/>
      <c r="L7323" s="1"/>
    </row>
    <row r="7324" spans="1:12" ht="12" customHeight="1" x14ac:dyDescent="0.25">
      <c r="A7324" s="12"/>
      <c r="B7324" s="1"/>
      <c r="C7324" s="2"/>
      <c r="D7324" s="1"/>
      <c r="E7324" s="2"/>
      <c r="F7324" s="1"/>
      <c r="G7324" s="1"/>
      <c r="H7324" s="1"/>
      <c r="I7324" s="1"/>
      <c r="J7324" s="1"/>
      <c r="K7324" s="1"/>
      <c r="L7324" s="1"/>
    </row>
    <row r="7325" spans="1:12" ht="12" customHeight="1" x14ac:dyDescent="0.25">
      <c r="A7325" s="12"/>
      <c r="B7325" s="1"/>
      <c r="C7325" s="2"/>
      <c r="D7325" s="1"/>
      <c r="E7325" s="2"/>
      <c r="F7325" s="1"/>
      <c r="G7325" s="1"/>
      <c r="H7325" s="1"/>
      <c r="I7325" s="1"/>
      <c r="J7325" s="1"/>
      <c r="K7325" s="1"/>
      <c r="L7325" s="1"/>
    </row>
    <row r="7326" spans="1:12" ht="12" customHeight="1" x14ac:dyDescent="0.25">
      <c r="A7326" s="12"/>
      <c r="B7326" s="1"/>
      <c r="C7326" s="2"/>
      <c r="D7326" s="1"/>
      <c r="E7326" s="2"/>
      <c r="F7326" s="1"/>
      <c r="G7326" s="1"/>
      <c r="H7326" s="1"/>
      <c r="I7326" s="1"/>
      <c r="J7326" s="1"/>
      <c r="K7326" s="1"/>
      <c r="L7326" s="1"/>
    </row>
    <row r="7327" spans="1:12" ht="12" customHeight="1" x14ac:dyDescent="0.25">
      <c r="A7327" s="12"/>
      <c r="B7327" s="1"/>
      <c r="C7327" s="2"/>
      <c r="D7327" s="1"/>
      <c r="E7327" s="2"/>
      <c r="F7327" s="1"/>
      <c r="G7327" s="1"/>
      <c r="H7327" s="1"/>
      <c r="I7327" s="1"/>
      <c r="J7327" s="1"/>
      <c r="K7327" s="1"/>
      <c r="L7327" s="1"/>
    </row>
    <row r="7328" spans="1:12" ht="12" customHeight="1" x14ac:dyDescent="0.25">
      <c r="A7328" s="12"/>
      <c r="B7328" s="1"/>
      <c r="C7328" s="2"/>
      <c r="D7328" s="1"/>
      <c r="E7328" s="2"/>
      <c r="F7328" s="1"/>
      <c r="G7328" s="1"/>
      <c r="H7328" s="1"/>
      <c r="I7328" s="1"/>
      <c r="J7328" s="1"/>
      <c r="K7328" s="1"/>
      <c r="L7328" s="1"/>
    </row>
    <row r="7329" spans="1:12" ht="12" customHeight="1" x14ac:dyDescent="0.25">
      <c r="A7329" s="12"/>
      <c r="B7329" s="1"/>
      <c r="C7329" s="2"/>
      <c r="D7329" s="1"/>
      <c r="E7329" s="2"/>
      <c r="F7329" s="1"/>
      <c r="G7329" s="1"/>
      <c r="H7329" s="1"/>
      <c r="I7329" s="1"/>
      <c r="J7329" s="1"/>
      <c r="K7329" s="1"/>
      <c r="L7329" s="1"/>
    </row>
    <row r="7330" spans="1:12" ht="12" customHeight="1" x14ac:dyDescent="0.25">
      <c r="A7330" s="12"/>
      <c r="B7330" s="1"/>
      <c r="C7330" s="2"/>
      <c r="D7330" s="1"/>
      <c r="E7330" s="2"/>
      <c r="F7330" s="1"/>
      <c r="G7330" s="1"/>
      <c r="H7330" s="1"/>
      <c r="I7330" s="1"/>
      <c r="J7330" s="1"/>
      <c r="K7330" s="1"/>
      <c r="L7330" s="1"/>
    </row>
    <row r="7331" spans="1:12" ht="12" customHeight="1" x14ac:dyDescent="0.25">
      <c r="A7331" s="12"/>
      <c r="B7331" s="1"/>
      <c r="C7331" s="2"/>
      <c r="D7331" s="1"/>
      <c r="E7331" s="2"/>
      <c r="F7331" s="1"/>
      <c r="G7331" s="1"/>
      <c r="H7331" s="1"/>
      <c r="I7331" s="1"/>
      <c r="J7331" s="1"/>
      <c r="K7331" s="1"/>
      <c r="L7331" s="1"/>
    </row>
    <row r="7332" spans="1:12" ht="12" customHeight="1" x14ac:dyDescent="0.25">
      <c r="A7332" s="12"/>
      <c r="B7332" s="1"/>
      <c r="C7332" s="2"/>
      <c r="D7332" s="1"/>
      <c r="E7332" s="2"/>
      <c r="F7332" s="1"/>
      <c r="G7332" s="1"/>
      <c r="H7332" s="1"/>
      <c r="I7332" s="1"/>
      <c r="J7332" s="1"/>
      <c r="K7332" s="1"/>
      <c r="L7332" s="1"/>
    </row>
    <row r="7333" spans="1:12" ht="12" customHeight="1" x14ac:dyDescent="0.25">
      <c r="A7333" s="12"/>
      <c r="B7333" s="1"/>
      <c r="C7333" s="2"/>
      <c r="D7333" s="1"/>
      <c r="E7333" s="2"/>
      <c r="F7333" s="1"/>
      <c r="G7333" s="1"/>
      <c r="H7333" s="1"/>
      <c r="I7333" s="1"/>
      <c r="J7333" s="1"/>
      <c r="K7333" s="1"/>
      <c r="L7333" s="1"/>
    </row>
    <row r="7334" spans="1:12" ht="12" customHeight="1" x14ac:dyDescent="0.25">
      <c r="A7334" s="12"/>
      <c r="B7334" s="1"/>
      <c r="C7334" s="2"/>
      <c r="D7334" s="1"/>
      <c r="E7334" s="2"/>
      <c r="F7334" s="1"/>
      <c r="G7334" s="1"/>
      <c r="H7334" s="1"/>
      <c r="I7334" s="1"/>
      <c r="J7334" s="1"/>
      <c r="K7334" s="1"/>
      <c r="L7334" s="1"/>
    </row>
    <row r="7335" spans="1:12" ht="12" customHeight="1" x14ac:dyDescent="0.25">
      <c r="A7335" s="12"/>
      <c r="B7335" s="1"/>
      <c r="C7335" s="2"/>
      <c r="D7335" s="1"/>
      <c r="E7335" s="2"/>
      <c r="F7335" s="1"/>
      <c r="G7335" s="1"/>
      <c r="H7335" s="1"/>
      <c r="I7335" s="1"/>
      <c r="J7335" s="1"/>
      <c r="K7335" s="1"/>
      <c r="L7335" s="1"/>
    </row>
    <row r="7336" spans="1:12" ht="12" customHeight="1" x14ac:dyDescent="0.25">
      <c r="A7336" s="12"/>
      <c r="B7336" s="1"/>
      <c r="C7336" s="2"/>
      <c r="D7336" s="1"/>
      <c r="E7336" s="2"/>
      <c r="F7336" s="1"/>
      <c r="G7336" s="1"/>
      <c r="H7336" s="1"/>
      <c r="I7336" s="1"/>
      <c r="J7336" s="1"/>
      <c r="K7336" s="1"/>
      <c r="L7336" s="1"/>
    </row>
    <row r="7337" spans="1:12" ht="12" customHeight="1" x14ac:dyDescent="0.25">
      <c r="A7337" s="12"/>
      <c r="B7337" s="1"/>
      <c r="C7337" s="2"/>
      <c r="D7337" s="1"/>
      <c r="E7337" s="2"/>
      <c r="F7337" s="1"/>
      <c r="G7337" s="1"/>
      <c r="H7337" s="1"/>
      <c r="I7337" s="1"/>
      <c r="J7337" s="1"/>
      <c r="K7337" s="1"/>
      <c r="L7337" s="1"/>
    </row>
    <row r="7338" spans="1:12" ht="12" customHeight="1" x14ac:dyDescent="0.25">
      <c r="A7338" s="12"/>
      <c r="B7338" s="1"/>
      <c r="C7338" s="2"/>
      <c r="D7338" s="1"/>
      <c r="E7338" s="2"/>
      <c r="F7338" s="1"/>
      <c r="G7338" s="1"/>
      <c r="H7338" s="1"/>
      <c r="I7338" s="1"/>
      <c r="J7338" s="1"/>
      <c r="K7338" s="1"/>
      <c r="L7338" s="1"/>
    </row>
    <row r="7339" spans="1:12" ht="12" customHeight="1" x14ac:dyDescent="0.25">
      <c r="A7339" s="12"/>
      <c r="B7339" s="1"/>
      <c r="C7339" s="2"/>
      <c r="D7339" s="1"/>
      <c r="E7339" s="2"/>
      <c r="F7339" s="1"/>
      <c r="G7339" s="1"/>
      <c r="H7339" s="1"/>
      <c r="I7339" s="1"/>
      <c r="J7339" s="1"/>
      <c r="K7339" s="1"/>
      <c r="L7339" s="1"/>
    </row>
    <row r="7340" spans="1:12" ht="12" customHeight="1" x14ac:dyDescent="0.25">
      <c r="A7340" s="12"/>
      <c r="B7340" s="1"/>
      <c r="C7340" s="2"/>
      <c r="D7340" s="1"/>
      <c r="E7340" s="2"/>
      <c r="F7340" s="1"/>
      <c r="G7340" s="1"/>
      <c r="H7340" s="1"/>
      <c r="I7340" s="1"/>
      <c r="J7340" s="1"/>
      <c r="K7340" s="1"/>
      <c r="L7340" s="1"/>
    </row>
    <row r="7341" spans="1:12" ht="12" customHeight="1" x14ac:dyDescent="0.25">
      <c r="A7341" s="12"/>
      <c r="B7341" s="1"/>
      <c r="C7341" s="2"/>
      <c r="D7341" s="1"/>
      <c r="E7341" s="2"/>
      <c r="F7341" s="1"/>
      <c r="G7341" s="1"/>
      <c r="H7341" s="1"/>
      <c r="I7341" s="1"/>
      <c r="J7341" s="1"/>
      <c r="K7341" s="1"/>
      <c r="L7341" s="1"/>
    </row>
    <row r="7342" spans="1:12" ht="12" customHeight="1" x14ac:dyDescent="0.25">
      <c r="A7342" s="12"/>
      <c r="B7342" s="1"/>
      <c r="C7342" s="2"/>
      <c r="D7342" s="1"/>
      <c r="E7342" s="2"/>
      <c r="F7342" s="1"/>
      <c r="G7342" s="1"/>
      <c r="H7342" s="1"/>
      <c r="I7342" s="1"/>
      <c r="J7342" s="1"/>
      <c r="K7342" s="1"/>
      <c r="L7342" s="1"/>
    </row>
    <row r="7343" spans="1:12" ht="12" customHeight="1" x14ac:dyDescent="0.25">
      <c r="A7343" s="12"/>
      <c r="B7343" s="1"/>
      <c r="C7343" s="2"/>
      <c r="D7343" s="1"/>
      <c r="E7343" s="2"/>
      <c r="F7343" s="1"/>
      <c r="G7343" s="1"/>
      <c r="H7343" s="1"/>
      <c r="I7343" s="1"/>
      <c r="J7343" s="1"/>
      <c r="K7343" s="1"/>
      <c r="L7343" s="1"/>
    </row>
    <row r="7344" spans="1:12" ht="12" customHeight="1" x14ac:dyDescent="0.25">
      <c r="A7344" s="12"/>
      <c r="B7344" s="1"/>
      <c r="C7344" s="2"/>
      <c r="D7344" s="1"/>
      <c r="E7344" s="2"/>
      <c r="F7344" s="1"/>
      <c r="G7344" s="1"/>
      <c r="H7344" s="1"/>
      <c r="I7344" s="1"/>
      <c r="J7344" s="1"/>
      <c r="K7344" s="1"/>
      <c r="L7344" s="1"/>
    </row>
    <row r="7345" spans="1:12" ht="12" customHeight="1" x14ac:dyDescent="0.25">
      <c r="A7345" s="12"/>
      <c r="B7345" s="1"/>
      <c r="C7345" s="2"/>
      <c r="D7345" s="1"/>
      <c r="E7345" s="2"/>
      <c r="F7345" s="1"/>
      <c r="G7345" s="1"/>
      <c r="H7345" s="1"/>
      <c r="I7345" s="1"/>
      <c r="J7345" s="1"/>
      <c r="K7345" s="1"/>
      <c r="L7345" s="1"/>
    </row>
    <row r="7346" spans="1:12" ht="12" customHeight="1" x14ac:dyDescent="0.25">
      <c r="A7346" s="12"/>
      <c r="B7346" s="1"/>
      <c r="C7346" s="2"/>
      <c r="D7346" s="1"/>
      <c r="E7346" s="2"/>
      <c r="F7346" s="1"/>
      <c r="G7346" s="1"/>
      <c r="H7346" s="1"/>
      <c r="I7346" s="1"/>
      <c r="J7346" s="1"/>
      <c r="K7346" s="1"/>
      <c r="L7346" s="1"/>
    </row>
    <row r="7347" spans="1:12" ht="12" customHeight="1" x14ac:dyDescent="0.25">
      <c r="A7347" s="12"/>
      <c r="B7347" s="1"/>
      <c r="C7347" s="2"/>
      <c r="D7347" s="1"/>
      <c r="E7347" s="2"/>
      <c r="F7347" s="1"/>
      <c r="G7347" s="1"/>
      <c r="H7347" s="1"/>
      <c r="I7347" s="1"/>
      <c r="J7347" s="1"/>
      <c r="K7347" s="1"/>
      <c r="L7347" s="1"/>
    </row>
    <row r="7348" spans="1:12" ht="12" customHeight="1" x14ac:dyDescent="0.25">
      <c r="A7348" s="12"/>
      <c r="B7348" s="1"/>
      <c r="C7348" s="2"/>
      <c r="D7348" s="1"/>
      <c r="E7348" s="2"/>
      <c r="F7348" s="1"/>
      <c r="G7348" s="1"/>
      <c r="H7348" s="1"/>
      <c r="I7348" s="1"/>
      <c r="J7348" s="1"/>
      <c r="K7348" s="1"/>
      <c r="L7348" s="1"/>
    </row>
    <row r="7349" spans="1:12" ht="12" customHeight="1" x14ac:dyDescent="0.25">
      <c r="A7349" s="12"/>
      <c r="B7349" s="1"/>
      <c r="C7349" s="2"/>
      <c r="D7349" s="1"/>
      <c r="E7349" s="2"/>
      <c r="F7349" s="1"/>
      <c r="G7349" s="1"/>
      <c r="H7349" s="1"/>
      <c r="I7349" s="1"/>
      <c r="J7349" s="1"/>
      <c r="K7349" s="1"/>
      <c r="L7349" s="1"/>
    </row>
    <row r="7350" spans="1:12" ht="12" customHeight="1" x14ac:dyDescent="0.25">
      <c r="A7350" s="12"/>
      <c r="B7350" s="1"/>
      <c r="C7350" s="2"/>
      <c r="D7350" s="1"/>
      <c r="E7350" s="2"/>
      <c r="F7350" s="1"/>
      <c r="G7350" s="1"/>
      <c r="H7350" s="1"/>
      <c r="I7350" s="1"/>
      <c r="J7350" s="1"/>
      <c r="K7350" s="1"/>
      <c r="L7350" s="1"/>
    </row>
    <row r="7351" spans="1:12" ht="12" customHeight="1" x14ac:dyDescent="0.25">
      <c r="A7351" s="12"/>
      <c r="B7351" s="1"/>
      <c r="C7351" s="2"/>
      <c r="D7351" s="1"/>
      <c r="E7351" s="2"/>
      <c r="F7351" s="1"/>
      <c r="G7351" s="1"/>
      <c r="H7351" s="1"/>
      <c r="I7351" s="1"/>
      <c r="J7351" s="1"/>
      <c r="K7351" s="1"/>
      <c r="L7351" s="1"/>
    </row>
    <row r="7352" spans="1:12" ht="12" customHeight="1" x14ac:dyDescent="0.25">
      <c r="A7352" s="12"/>
      <c r="B7352" s="1"/>
      <c r="C7352" s="2"/>
      <c r="D7352" s="1"/>
      <c r="E7352" s="2"/>
      <c r="F7352" s="1"/>
      <c r="G7352" s="1"/>
      <c r="H7352" s="1"/>
      <c r="I7352" s="1"/>
      <c r="J7352" s="1"/>
      <c r="K7352" s="1"/>
      <c r="L7352" s="1"/>
    </row>
    <row r="7353" spans="1:12" ht="12" customHeight="1" x14ac:dyDescent="0.25">
      <c r="A7353" s="12"/>
      <c r="B7353" s="1"/>
      <c r="C7353" s="2"/>
      <c r="D7353" s="1"/>
      <c r="E7353" s="2"/>
      <c r="F7353" s="1"/>
      <c r="G7353" s="1"/>
      <c r="H7353" s="1"/>
      <c r="I7353" s="1"/>
      <c r="J7353" s="1"/>
      <c r="K7353" s="1"/>
      <c r="L7353" s="1"/>
    </row>
    <row r="7354" spans="1:12" ht="12" customHeight="1" x14ac:dyDescent="0.25">
      <c r="A7354" s="12"/>
      <c r="B7354" s="1"/>
      <c r="C7354" s="2"/>
      <c r="D7354" s="1"/>
      <c r="E7354" s="2"/>
      <c r="F7354" s="1"/>
      <c r="G7354" s="1"/>
      <c r="H7354" s="1"/>
      <c r="I7354" s="1"/>
      <c r="J7354" s="1"/>
      <c r="K7354" s="1"/>
      <c r="L7354" s="1"/>
    </row>
    <row r="7355" spans="1:12" ht="12" customHeight="1" x14ac:dyDescent="0.25">
      <c r="A7355" s="12"/>
      <c r="B7355" s="1"/>
      <c r="C7355" s="2"/>
      <c r="D7355" s="1"/>
      <c r="E7355" s="2"/>
      <c r="F7355" s="1"/>
      <c r="G7355" s="1"/>
      <c r="H7355" s="1"/>
      <c r="I7355" s="1"/>
      <c r="J7355" s="1"/>
      <c r="K7355" s="1"/>
      <c r="L7355" s="1"/>
    </row>
    <row r="7356" spans="1:12" ht="12" customHeight="1" x14ac:dyDescent="0.25">
      <c r="A7356" s="12"/>
      <c r="B7356" s="1"/>
      <c r="C7356" s="2"/>
      <c r="D7356" s="1"/>
      <c r="E7356" s="2"/>
      <c r="F7356" s="1"/>
      <c r="G7356" s="1"/>
      <c r="H7356" s="1"/>
      <c r="I7356" s="1"/>
      <c r="J7356" s="1"/>
      <c r="K7356" s="1"/>
      <c r="L7356" s="1"/>
    </row>
    <row r="7357" spans="1:12" ht="12" customHeight="1" x14ac:dyDescent="0.25">
      <c r="A7357" s="12"/>
      <c r="B7357" s="1"/>
      <c r="C7357" s="2"/>
      <c r="D7357" s="1"/>
      <c r="E7357" s="2"/>
      <c r="F7357" s="1"/>
      <c r="G7357" s="1"/>
      <c r="H7357" s="1"/>
      <c r="I7357" s="1"/>
      <c r="J7357" s="1"/>
      <c r="K7357" s="1"/>
      <c r="L7357" s="1"/>
    </row>
    <row r="7358" spans="1:12" ht="12" customHeight="1" x14ac:dyDescent="0.25">
      <c r="A7358" s="12"/>
      <c r="B7358" s="1"/>
      <c r="C7358" s="2"/>
      <c r="D7358" s="1"/>
      <c r="E7358" s="2"/>
      <c r="F7358" s="1"/>
      <c r="G7358" s="1"/>
      <c r="H7358" s="1"/>
      <c r="I7358" s="1"/>
      <c r="J7358" s="1"/>
      <c r="K7358" s="1"/>
      <c r="L7358" s="1"/>
    </row>
    <row r="7359" spans="1:12" ht="12" customHeight="1" x14ac:dyDescent="0.25">
      <c r="A7359" s="12"/>
      <c r="B7359" s="1"/>
      <c r="C7359" s="2"/>
      <c r="D7359" s="1"/>
      <c r="E7359" s="2"/>
      <c r="F7359" s="1"/>
      <c r="G7359" s="1"/>
      <c r="H7359" s="1"/>
      <c r="I7359" s="1"/>
      <c r="J7359" s="1"/>
      <c r="K7359" s="1"/>
      <c r="L7359" s="1"/>
    </row>
    <row r="7360" spans="1:12" ht="12" customHeight="1" x14ac:dyDescent="0.25">
      <c r="A7360" s="12"/>
      <c r="B7360" s="1"/>
      <c r="C7360" s="2"/>
      <c r="D7360" s="1"/>
      <c r="E7360" s="2"/>
      <c r="F7360" s="1"/>
      <c r="G7360" s="1"/>
      <c r="H7360" s="1"/>
      <c r="I7360" s="1"/>
      <c r="J7360" s="1"/>
      <c r="K7360" s="1"/>
      <c r="L7360" s="1"/>
    </row>
    <row r="7361" spans="1:12" ht="12" customHeight="1" x14ac:dyDescent="0.25">
      <c r="A7361" s="12"/>
      <c r="B7361" s="1"/>
      <c r="C7361" s="2"/>
      <c r="D7361" s="1"/>
      <c r="E7361" s="2"/>
      <c r="F7361" s="1"/>
      <c r="G7361" s="1"/>
      <c r="H7361" s="1"/>
      <c r="I7361" s="1"/>
      <c r="J7361" s="1"/>
      <c r="K7361" s="1"/>
      <c r="L7361" s="1"/>
    </row>
    <row r="7362" spans="1:12" ht="12" customHeight="1" x14ac:dyDescent="0.25">
      <c r="A7362" s="12"/>
      <c r="B7362" s="1"/>
      <c r="C7362" s="2"/>
      <c r="D7362" s="1"/>
      <c r="E7362" s="2"/>
      <c r="F7362" s="1"/>
      <c r="G7362" s="1"/>
      <c r="H7362" s="1"/>
      <c r="I7362" s="1"/>
      <c r="J7362" s="1"/>
      <c r="K7362" s="1"/>
      <c r="L7362" s="1"/>
    </row>
    <row r="7363" spans="1:12" ht="12" customHeight="1" x14ac:dyDescent="0.25">
      <c r="A7363" s="12"/>
      <c r="B7363" s="1"/>
      <c r="C7363" s="2"/>
      <c r="D7363" s="1"/>
      <c r="E7363" s="2"/>
      <c r="F7363" s="1"/>
      <c r="G7363" s="1"/>
      <c r="H7363" s="1"/>
      <c r="I7363" s="1"/>
      <c r="J7363" s="1"/>
      <c r="K7363" s="1"/>
      <c r="L7363" s="1"/>
    </row>
    <row r="7364" spans="1:12" ht="12" customHeight="1" x14ac:dyDescent="0.25">
      <c r="A7364" s="12"/>
      <c r="B7364" s="1"/>
      <c r="C7364" s="2"/>
      <c r="D7364" s="1"/>
      <c r="E7364" s="2"/>
      <c r="F7364" s="1"/>
      <c r="G7364" s="1"/>
      <c r="H7364" s="1"/>
      <c r="I7364" s="1"/>
      <c r="J7364" s="1"/>
      <c r="K7364" s="1"/>
      <c r="L7364" s="1"/>
    </row>
    <row r="7365" spans="1:12" ht="12" customHeight="1" x14ac:dyDescent="0.25">
      <c r="A7365" s="12"/>
      <c r="B7365" s="1"/>
      <c r="C7365" s="2"/>
      <c r="D7365" s="1"/>
      <c r="E7365" s="2"/>
      <c r="F7365" s="1"/>
      <c r="G7365" s="1"/>
      <c r="H7365" s="1"/>
      <c r="I7365" s="1"/>
      <c r="J7365" s="1"/>
      <c r="K7365" s="1"/>
      <c r="L7365" s="1"/>
    </row>
    <row r="7366" spans="1:12" ht="12" customHeight="1" x14ac:dyDescent="0.25">
      <c r="A7366" s="12"/>
      <c r="B7366" s="1"/>
      <c r="C7366" s="2"/>
      <c r="D7366" s="1"/>
      <c r="E7366" s="2"/>
      <c r="F7366" s="1"/>
      <c r="G7366" s="1"/>
      <c r="H7366" s="1"/>
      <c r="I7366" s="1"/>
      <c r="J7366" s="1"/>
      <c r="K7366" s="1"/>
      <c r="L7366" s="1"/>
    </row>
    <row r="7367" spans="1:12" ht="12" customHeight="1" x14ac:dyDescent="0.25">
      <c r="A7367" s="12"/>
      <c r="B7367" s="1"/>
      <c r="C7367" s="2"/>
      <c r="D7367" s="1"/>
      <c r="E7367" s="2"/>
      <c r="F7367" s="1"/>
      <c r="G7367" s="1"/>
      <c r="H7367" s="1"/>
      <c r="I7367" s="1"/>
      <c r="J7367" s="1"/>
      <c r="K7367" s="1"/>
      <c r="L7367" s="1"/>
    </row>
    <row r="7368" spans="1:12" ht="12" customHeight="1" x14ac:dyDescent="0.25">
      <c r="A7368" s="12"/>
      <c r="B7368" s="1"/>
      <c r="C7368" s="2"/>
      <c r="D7368" s="1"/>
      <c r="E7368" s="2"/>
      <c r="F7368" s="1"/>
      <c r="G7368" s="1"/>
      <c r="H7368" s="1"/>
      <c r="I7368" s="1"/>
      <c r="J7368" s="1"/>
      <c r="K7368" s="1"/>
      <c r="L7368" s="1"/>
    </row>
    <row r="7369" spans="1:12" ht="12" customHeight="1" x14ac:dyDescent="0.25">
      <c r="A7369" s="12"/>
      <c r="B7369" s="1"/>
      <c r="C7369" s="2"/>
      <c r="D7369" s="1"/>
      <c r="E7369" s="2"/>
      <c r="F7369" s="1"/>
      <c r="G7369" s="1"/>
      <c r="H7369" s="1"/>
      <c r="I7369" s="1"/>
      <c r="J7369" s="1"/>
      <c r="K7369" s="1"/>
      <c r="L7369" s="1"/>
    </row>
    <row r="7370" spans="1:12" ht="12" customHeight="1" x14ac:dyDescent="0.25">
      <c r="A7370" s="12"/>
      <c r="B7370" s="1"/>
      <c r="C7370" s="2"/>
      <c r="D7370" s="1"/>
      <c r="E7370" s="2"/>
      <c r="F7370" s="1"/>
      <c r="G7370" s="1"/>
      <c r="H7370" s="1"/>
      <c r="I7370" s="1"/>
      <c r="J7370" s="1"/>
      <c r="K7370" s="1"/>
      <c r="L7370" s="1"/>
    </row>
    <row r="7371" spans="1:12" ht="12" customHeight="1" x14ac:dyDescent="0.25">
      <c r="A7371" s="12"/>
      <c r="B7371" s="1"/>
      <c r="C7371" s="2"/>
      <c r="D7371" s="1"/>
      <c r="E7371" s="2"/>
      <c r="F7371" s="1"/>
      <c r="G7371" s="1"/>
      <c r="H7371" s="1"/>
      <c r="I7371" s="1"/>
      <c r="J7371" s="1"/>
      <c r="K7371" s="1"/>
      <c r="L7371" s="1"/>
    </row>
    <row r="7372" spans="1:12" ht="12" customHeight="1" x14ac:dyDescent="0.25">
      <c r="A7372" s="12"/>
      <c r="B7372" s="1"/>
      <c r="C7372" s="2"/>
      <c r="D7372" s="1"/>
      <c r="E7372" s="2"/>
      <c r="F7372" s="1"/>
      <c r="G7372" s="1"/>
      <c r="H7372" s="1"/>
      <c r="I7372" s="1"/>
      <c r="J7372" s="1"/>
      <c r="K7372" s="1"/>
      <c r="L7372" s="1"/>
    </row>
    <row r="7373" spans="1:12" ht="12" customHeight="1" x14ac:dyDescent="0.25">
      <c r="A7373" s="12"/>
      <c r="B7373" s="1"/>
      <c r="C7373" s="2"/>
      <c r="D7373" s="1"/>
      <c r="E7373" s="2"/>
      <c r="F7373" s="1"/>
      <c r="G7373" s="1"/>
      <c r="H7373" s="1"/>
      <c r="I7373" s="1"/>
      <c r="J7373" s="1"/>
      <c r="K7373" s="1"/>
      <c r="L7373" s="1"/>
    </row>
    <row r="7374" spans="1:12" ht="12" customHeight="1" x14ac:dyDescent="0.25">
      <c r="A7374" s="12"/>
      <c r="B7374" s="1"/>
      <c r="C7374" s="2"/>
      <c r="D7374" s="1"/>
      <c r="E7374" s="2"/>
      <c r="F7374" s="1"/>
      <c r="G7374" s="1"/>
      <c r="H7374" s="1"/>
      <c r="I7374" s="1"/>
      <c r="J7374" s="1"/>
      <c r="K7374" s="1"/>
      <c r="L7374" s="1"/>
    </row>
    <row r="7375" spans="1:12" ht="12" customHeight="1" x14ac:dyDescent="0.25">
      <c r="A7375" s="12"/>
      <c r="B7375" s="1"/>
      <c r="C7375" s="2"/>
      <c r="D7375" s="1"/>
      <c r="E7375" s="2"/>
      <c r="F7375" s="1"/>
      <c r="G7375" s="1"/>
      <c r="H7375" s="1"/>
      <c r="I7375" s="1"/>
      <c r="J7375" s="1"/>
      <c r="K7375" s="1"/>
      <c r="L7375" s="1"/>
    </row>
    <row r="7376" spans="1:12" ht="12" customHeight="1" x14ac:dyDescent="0.25">
      <c r="A7376" s="12"/>
      <c r="B7376" s="1"/>
      <c r="C7376" s="2"/>
      <c r="D7376" s="1"/>
      <c r="E7376" s="2"/>
      <c r="F7376" s="1"/>
      <c r="G7376" s="1"/>
      <c r="H7376" s="1"/>
      <c r="I7376" s="1"/>
      <c r="J7376" s="1"/>
      <c r="K7376" s="1"/>
      <c r="L7376" s="1"/>
    </row>
    <row r="7377" spans="1:12" ht="12" customHeight="1" x14ac:dyDescent="0.25">
      <c r="A7377" s="12"/>
      <c r="B7377" s="1"/>
      <c r="C7377" s="2"/>
      <c r="D7377" s="1"/>
      <c r="E7377" s="2"/>
      <c r="F7377" s="1"/>
      <c r="G7377" s="1"/>
      <c r="H7377" s="1"/>
      <c r="I7377" s="1"/>
      <c r="J7377" s="1"/>
      <c r="K7377" s="1"/>
      <c r="L7377" s="1"/>
    </row>
    <row r="7378" spans="1:12" ht="12" customHeight="1" x14ac:dyDescent="0.25">
      <c r="A7378" s="12"/>
      <c r="B7378" s="1"/>
      <c r="C7378" s="2"/>
      <c r="D7378" s="1"/>
      <c r="E7378" s="2"/>
      <c r="F7378" s="1"/>
      <c r="G7378" s="1"/>
      <c r="H7378" s="1"/>
      <c r="I7378" s="1"/>
      <c r="J7378" s="1"/>
      <c r="K7378" s="1"/>
      <c r="L7378" s="1"/>
    </row>
    <row r="7379" spans="1:12" ht="12" customHeight="1" x14ac:dyDescent="0.25">
      <c r="A7379" s="12"/>
      <c r="B7379" s="1"/>
      <c r="C7379" s="2"/>
      <c r="D7379" s="1"/>
      <c r="E7379" s="2"/>
      <c r="F7379" s="1"/>
      <c r="G7379" s="1"/>
      <c r="H7379" s="1"/>
      <c r="I7379" s="1"/>
      <c r="J7379" s="1"/>
      <c r="K7379" s="1"/>
      <c r="L7379" s="1"/>
    </row>
    <row r="7380" spans="1:12" ht="12" customHeight="1" x14ac:dyDescent="0.25">
      <c r="A7380" s="12"/>
      <c r="B7380" s="1"/>
      <c r="C7380" s="2"/>
      <c r="D7380" s="1"/>
      <c r="E7380" s="2"/>
      <c r="F7380" s="1"/>
      <c r="G7380" s="1"/>
      <c r="H7380" s="1"/>
      <c r="I7380" s="1"/>
      <c r="J7380" s="1"/>
      <c r="K7380" s="1"/>
      <c r="L7380" s="1"/>
    </row>
    <row r="7381" spans="1:12" ht="12" customHeight="1" x14ac:dyDescent="0.25">
      <c r="A7381" s="12"/>
      <c r="B7381" s="1"/>
      <c r="C7381" s="2"/>
      <c r="D7381" s="1"/>
      <c r="E7381" s="2"/>
      <c r="F7381" s="1"/>
      <c r="G7381" s="1"/>
      <c r="H7381" s="1"/>
      <c r="I7381" s="1"/>
      <c r="J7381" s="1"/>
      <c r="K7381" s="1"/>
      <c r="L7381" s="1"/>
    </row>
    <row r="7382" spans="1:12" ht="12" customHeight="1" x14ac:dyDescent="0.25">
      <c r="A7382" s="12"/>
      <c r="B7382" s="1"/>
      <c r="C7382" s="2"/>
      <c r="D7382" s="1"/>
      <c r="E7382" s="2"/>
      <c r="F7382" s="1"/>
      <c r="G7382" s="1"/>
      <c r="H7382" s="1"/>
      <c r="I7382" s="1"/>
      <c r="J7382" s="1"/>
      <c r="K7382" s="1"/>
      <c r="L7382" s="1"/>
    </row>
    <row r="7383" spans="1:12" ht="12" customHeight="1" x14ac:dyDescent="0.25">
      <c r="A7383" s="12"/>
      <c r="B7383" s="1"/>
      <c r="C7383" s="2"/>
      <c r="D7383" s="1"/>
      <c r="E7383" s="2"/>
      <c r="F7383" s="1"/>
      <c r="G7383" s="1"/>
      <c r="H7383" s="1"/>
      <c r="I7383" s="1"/>
      <c r="J7383" s="1"/>
      <c r="K7383" s="1"/>
      <c r="L7383" s="1"/>
    </row>
    <row r="7384" spans="1:12" ht="12" customHeight="1" x14ac:dyDescent="0.25">
      <c r="A7384" s="12"/>
      <c r="B7384" s="1"/>
      <c r="C7384" s="2"/>
      <c r="D7384" s="1"/>
      <c r="E7384" s="2"/>
      <c r="F7384" s="1"/>
      <c r="G7384" s="1"/>
      <c r="H7384" s="1"/>
      <c r="I7384" s="1"/>
      <c r="J7384" s="1"/>
      <c r="K7384" s="1"/>
      <c r="L7384" s="1"/>
    </row>
    <row r="7385" spans="1:12" ht="12" customHeight="1" x14ac:dyDescent="0.25">
      <c r="A7385" s="12"/>
      <c r="B7385" s="1"/>
      <c r="C7385" s="2"/>
      <c r="D7385" s="1"/>
      <c r="E7385" s="2"/>
      <c r="F7385" s="1"/>
      <c r="G7385" s="1"/>
      <c r="H7385" s="1"/>
      <c r="I7385" s="1"/>
      <c r="J7385" s="1"/>
      <c r="K7385" s="1"/>
      <c r="L7385" s="1"/>
    </row>
    <row r="7386" spans="1:12" ht="12" customHeight="1" x14ac:dyDescent="0.25">
      <c r="A7386" s="12"/>
      <c r="B7386" s="1"/>
      <c r="C7386" s="2"/>
      <c r="D7386" s="1"/>
      <c r="E7386" s="2"/>
      <c r="F7386" s="1"/>
      <c r="G7386" s="1"/>
      <c r="H7386" s="1"/>
      <c r="I7386" s="1"/>
      <c r="J7386" s="1"/>
      <c r="K7386" s="1"/>
      <c r="L7386" s="1"/>
    </row>
    <row r="7387" spans="1:12" ht="12" customHeight="1" x14ac:dyDescent="0.25">
      <c r="A7387" s="12"/>
      <c r="B7387" s="1"/>
      <c r="C7387" s="2"/>
      <c r="D7387" s="1"/>
      <c r="E7387" s="2"/>
      <c r="F7387" s="1"/>
      <c r="G7387" s="1"/>
      <c r="H7387" s="1"/>
      <c r="I7387" s="1"/>
      <c r="J7387" s="1"/>
      <c r="K7387" s="1"/>
      <c r="L7387" s="1"/>
    </row>
    <row r="7388" spans="1:12" ht="12" customHeight="1" x14ac:dyDescent="0.25">
      <c r="A7388" s="12"/>
      <c r="B7388" s="1"/>
      <c r="C7388" s="2"/>
      <c r="D7388" s="1"/>
      <c r="E7388" s="2"/>
      <c r="F7388" s="1"/>
      <c r="G7388" s="1"/>
      <c r="H7388" s="1"/>
      <c r="I7388" s="1"/>
      <c r="J7388" s="1"/>
      <c r="K7388" s="1"/>
      <c r="L7388" s="1"/>
    </row>
    <row r="7389" spans="1:12" ht="12" customHeight="1" x14ac:dyDescent="0.25">
      <c r="A7389" s="12"/>
      <c r="B7389" s="1"/>
      <c r="C7389" s="2"/>
      <c r="D7389" s="1"/>
      <c r="E7389" s="2"/>
      <c r="F7389" s="1"/>
      <c r="G7389" s="1"/>
      <c r="H7389" s="1"/>
      <c r="I7389" s="1"/>
      <c r="J7389" s="1"/>
      <c r="K7389" s="1"/>
      <c r="L7389" s="1"/>
    </row>
    <row r="7390" spans="1:12" ht="12" customHeight="1" x14ac:dyDescent="0.25">
      <c r="A7390" s="12"/>
      <c r="B7390" s="1"/>
      <c r="C7390" s="2"/>
      <c r="D7390" s="1"/>
      <c r="E7390" s="2"/>
      <c r="F7390" s="1"/>
      <c r="G7390" s="1"/>
      <c r="H7390" s="1"/>
      <c r="I7390" s="1"/>
      <c r="J7390" s="1"/>
      <c r="K7390" s="1"/>
      <c r="L7390" s="1"/>
    </row>
    <row r="7391" spans="1:12" ht="12" customHeight="1" x14ac:dyDescent="0.25">
      <c r="A7391" s="12"/>
      <c r="B7391" s="1"/>
      <c r="C7391" s="2"/>
      <c r="D7391" s="1"/>
      <c r="E7391" s="2"/>
      <c r="F7391" s="1"/>
      <c r="G7391" s="1"/>
      <c r="H7391" s="1"/>
      <c r="I7391" s="1"/>
      <c r="J7391" s="1"/>
      <c r="K7391" s="1"/>
      <c r="L7391" s="1"/>
    </row>
    <row r="7392" spans="1:12" ht="12" customHeight="1" x14ac:dyDescent="0.25">
      <c r="A7392" s="12"/>
      <c r="B7392" s="1"/>
      <c r="C7392" s="2"/>
      <c r="D7392" s="1"/>
      <c r="E7392" s="2"/>
      <c r="F7392" s="1"/>
      <c r="G7392" s="1"/>
      <c r="H7392" s="1"/>
      <c r="I7392" s="1"/>
      <c r="J7392" s="1"/>
      <c r="K7392" s="1"/>
      <c r="L7392" s="1"/>
    </row>
    <row r="7393" spans="1:12" ht="12" customHeight="1" x14ac:dyDescent="0.25">
      <c r="A7393" s="12"/>
      <c r="B7393" s="1"/>
      <c r="C7393" s="2"/>
      <c r="D7393" s="1"/>
      <c r="E7393" s="2"/>
      <c r="F7393" s="1"/>
      <c r="G7393" s="1"/>
      <c r="H7393" s="1"/>
      <c r="I7393" s="1"/>
      <c r="J7393" s="1"/>
      <c r="K7393" s="1"/>
      <c r="L7393" s="1"/>
    </row>
    <row r="7394" spans="1:12" ht="12" customHeight="1" x14ac:dyDescent="0.25">
      <c r="A7394" s="12"/>
      <c r="B7394" s="1"/>
      <c r="C7394" s="2"/>
      <c r="D7394" s="1"/>
      <c r="E7394" s="2"/>
      <c r="F7394" s="1"/>
      <c r="G7394" s="1"/>
      <c r="H7394" s="1"/>
      <c r="I7394" s="1"/>
      <c r="J7394" s="1"/>
      <c r="K7394" s="1"/>
      <c r="L7394" s="1"/>
    </row>
    <row r="7395" spans="1:12" ht="12" customHeight="1" x14ac:dyDescent="0.25">
      <c r="A7395" s="12"/>
      <c r="B7395" s="1"/>
      <c r="C7395" s="2"/>
      <c r="D7395" s="1"/>
      <c r="E7395" s="2"/>
      <c r="F7395" s="1"/>
      <c r="G7395" s="1"/>
      <c r="H7395" s="1"/>
      <c r="I7395" s="1"/>
      <c r="J7395" s="1"/>
      <c r="K7395" s="1"/>
      <c r="L7395" s="1"/>
    </row>
    <row r="7396" spans="1:12" ht="12" customHeight="1" x14ac:dyDescent="0.25">
      <c r="A7396" s="12"/>
      <c r="B7396" s="1"/>
      <c r="C7396" s="2"/>
      <c r="D7396" s="1"/>
      <c r="E7396" s="2"/>
      <c r="F7396" s="1"/>
      <c r="G7396" s="1"/>
      <c r="H7396" s="1"/>
      <c r="I7396" s="1"/>
      <c r="J7396" s="1"/>
      <c r="K7396" s="1"/>
      <c r="L7396" s="1"/>
    </row>
    <row r="7397" spans="1:12" ht="12" customHeight="1" x14ac:dyDescent="0.25">
      <c r="A7397" s="12"/>
      <c r="B7397" s="1"/>
      <c r="C7397" s="2"/>
      <c r="D7397" s="1"/>
      <c r="E7397" s="2"/>
      <c r="F7397" s="1"/>
      <c r="G7397" s="1"/>
      <c r="H7397" s="1"/>
      <c r="I7397" s="1"/>
      <c r="J7397" s="1"/>
      <c r="K7397" s="1"/>
      <c r="L7397" s="1"/>
    </row>
    <row r="7398" spans="1:12" ht="12" customHeight="1" x14ac:dyDescent="0.25">
      <c r="A7398" s="12"/>
      <c r="B7398" s="1"/>
      <c r="C7398" s="2"/>
      <c r="D7398" s="1"/>
      <c r="E7398" s="2"/>
      <c r="F7398" s="1"/>
      <c r="G7398" s="1"/>
      <c r="H7398" s="1"/>
      <c r="I7398" s="1"/>
      <c r="J7398" s="1"/>
      <c r="K7398" s="1"/>
      <c r="L7398" s="1"/>
    </row>
    <row r="7399" spans="1:12" ht="12" customHeight="1" x14ac:dyDescent="0.25">
      <c r="A7399" s="12"/>
      <c r="B7399" s="1"/>
      <c r="C7399" s="2"/>
      <c r="D7399" s="1"/>
      <c r="E7399" s="2"/>
      <c r="F7399" s="1"/>
      <c r="G7399" s="1"/>
      <c r="H7399" s="1"/>
      <c r="I7399" s="1"/>
      <c r="J7399" s="1"/>
      <c r="K7399" s="1"/>
      <c r="L7399" s="1"/>
    </row>
    <row r="7400" spans="1:12" ht="12" customHeight="1" x14ac:dyDescent="0.25">
      <c r="A7400" s="12"/>
      <c r="B7400" s="1"/>
      <c r="C7400" s="2"/>
      <c r="D7400" s="1"/>
      <c r="E7400" s="2"/>
      <c r="F7400" s="1"/>
      <c r="G7400" s="1"/>
      <c r="H7400" s="1"/>
      <c r="I7400" s="1"/>
      <c r="J7400" s="1"/>
      <c r="K7400" s="1"/>
      <c r="L7400" s="1"/>
    </row>
    <row r="7401" spans="1:12" ht="12" customHeight="1" x14ac:dyDescent="0.25">
      <c r="A7401" s="12"/>
      <c r="B7401" s="1"/>
      <c r="C7401" s="2"/>
      <c r="D7401" s="1"/>
      <c r="E7401" s="2"/>
      <c r="F7401" s="1"/>
      <c r="G7401" s="1"/>
      <c r="H7401" s="1"/>
      <c r="I7401" s="1"/>
      <c r="J7401" s="1"/>
      <c r="K7401" s="1"/>
      <c r="L7401" s="1"/>
    </row>
    <row r="7402" spans="1:12" ht="12" customHeight="1" x14ac:dyDescent="0.25">
      <c r="A7402" s="12"/>
      <c r="B7402" s="1"/>
      <c r="C7402" s="2"/>
      <c r="D7402" s="1"/>
      <c r="E7402" s="2"/>
      <c r="F7402" s="1"/>
      <c r="G7402" s="1"/>
      <c r="H7402" s="1"/>
      <c r="I7402" s="1"/>
      <c r="J7402" s="1"/>
      <c r="K7402" s="1"/>
      <c r="L7402" s="1"/>
    </row>
    <row r="7403" spans="1:12" ht="12" customHeight="1" x14ac:dyDescent="0.25">
      <c r="A7403" s="12"/>
      <c r="B7403" s="1"/>
      <c r="C7403" s="2"/>
      <c r="D7403" s="1"/>
      <c r="E7403" s="2"/>
      <c r="F7403" s="1"/>
      <c r="G7403" s="1"/>
      <c r="H7403" s="1"/>
      <c r="I7403" s="1"/>
      <c r="J7403" s="1"/>
      <c r="K7403" s="1"/>
      <c r="L7403" s="1"/>
    </row>
    <row r="7404" spans="1:12" ht="12" customHeight="1" x14ac:dyDescent="0.25">
      <c r="A7404" s="12"/>
      <c r="B7404" s="1"/>
      <c r="C7404" s="2"/>
      <c r="D7404" s="1"/>
      <c r="E7404" s="2"/>
      <c r="F7404" s="1"/>
      <c r="G7404" s="1"/>
      <c r="H7404" s="1"/>
      <c r="I7404" s="1"/>
      <c r="J7404" s="1"/>
      <c r="K7404" s="1"/>
      <c r="L7404" s="1"/>
    </row>
    <row r="7405" spans="1:12" ht="12" customHeight="1" x14ac:dyDescent="0.25">
      <c r="A7405" s="12"/>
      <c r="B7405" s="1"/>
      <c r="C7405" s="2"/>
      <c r="D7405" s="1"/>
      <c r="E7405" s="2"/>
      <c r="F7405" s="1"/>
      <c r="G7405" s="1"/>
      <c r="H7405" s="1"/>
      <c r="I7405" s="1"/>
      <c r="J7405" s="1"/>
      <c r="K7405" s="1"/>
      <c r="L7405" s="1"/>
    </row>
    <row r="7406" spans="1:12" ht="12" customHeight="1" x14ac:dyDescent="0.25">
      <c r="A7406" s="12"/>
      <c r="B7406" s="1"/>
      <c r="C7406" s="2"/>
      <c r="D7406" s="1"/>
      <c r="E7406" s="2"/>
      <c r="F7406" s="1"/>
      <c r="G7406" s="1"/>
      <c r="H7406" s="1"/>
      <c r="I7406" s="1"/>
      <c r="J7406" s="1"/>
      <c r="K7406" s="1"/>
      <c r="L7406" s="1"/>
    </row>
    <row r="7407" spans="1:12" ht="12" customHeight="1" x14ac:dyDescent="0.25">
      <c r="A7407" s="12"/>
      <c r="B7407" s="1"/>
      <c r="C7407" s="2"/>
      <c r="D7407" s="1"/>
      <c r="E7407" s="2"/>
      <c r="F7407" s="1"/>
      <c r="G7407" s="1"/>
      <c r="H7407" s="1"/>
      <c r="I7407" s="1"/>
      <c r="J7407" s="1"/>
      <c r="K7407" s="1"/>
      <c r="L7407" s="1"/>
    </row>
    <row r="7408" spans="1:12" ht="12" customHeight="1" x14ac:dyDescent="0.25">
      <c r="A7408" s="12"/>
      <c r="B7408" s="1"/>
      <c r="C7408" s="2"/>
      <c r="D7408" s="1"/>
      <c r="E7408" s="2"/>
      <c r="F7408" s="1"/>
      <c r="G7408" s="1"/>
      <c r="H7408" s="1"/>
      <c r="I7408" s="1"/>
      <c r="J7408" s="1"/>
      <c r="K7408" s="1"/>
      <c r="L7408" s="1"/>
    </row>
    <row r="7409" spans="1:12" ht="12" customHeight="1" x14ac:dyDescent="0.25">
      <c r="A7409" s="12"/>
      <c r="B7409" s="1"/>
      <c r="C7409" s="2"/>
      <c r="D7409" s="1"/>
      <c r="E7409" s="2"/>
      <c r="F7409" s="1"/>
      <c r="G7409" s="1"/>
      <c r="H7409" s="1"/>
      <c r="I7409" s="1"/>
      <c r="J7409" s="1"/>
      <c r="K7409" s="1"/>
      <c r="L7409" s="1"/>
    </row>
    <row r="7410" spans="1:12" ht="12" customHeight="1" x14ac:dyDescent="0.25">
      <c r="A7410" s="12"/>
      <c r="B7410" s="1"/>
      <c r="C7410" s="2"/>
      <c r="D7410" s="1"/>
      <c r="E7410" s="2"/>
      <c r="F7410" s="1"/>
      <c r="G7410" s="1"/>
      <c r="H7410" s="1"/>
      <c r="I7410" s="1"/>
      <c r="J7410" s="1"/>
      <c r="K7410" s="1"/>
      <c r="L7410" s="1"/>
    </row>
    <row r="7411" spans="1:12" ht="12" customHeight="1" x14ac:dyDescent="0.25">
      <c r="A7411" s="12"/>
      <c r="B7411" s="1"/>
      <c r="C7411" s="2"/>
      <c r="D7411" s="1"/>
      <c r="E7411" s="2"/>
      <c r="F7411" s="1"/>
      <c r="G7411" s="1"/>
      <c r="H7411" s="1"/>
      <c r="I7411" s="1"/>
      <c r="J7411" s="1"/>
      <c r="K7411" s="1"/>
      <c r="L7411" s="1"/>
    </row>
    <row r="7412" spans="1:12" ht="12" customHeight="1" x14ac:dyDescent="0.25">
      <c r="A7412" s="12"/>
      <c r="B7412" s="1"/>
      <c r="C7412" s="2"/>
      <c r="D7412" s="1"/>
      <c r="E7412" s="2"/>
      <c r="F7412" s="1"/>
      <c r="G7412" s="1"/>
      <c r="H7412" s="1"/>
      <c r="I7412" s="1"/>
      <c r="J7412" s="1"/>
      <c r="K7412" s="1"/>
      <c r="L7412" s="1"/>
    </row>
    <row r="7413" spans="1:12" ht="12" customHeight="1" x14ac:dyDescent="0.25">
      <c r="A7413" s="12"/>
      <c r="B7413" s="1"/>
      <c r="C7413" s="2"/>
      <c r="D7413" s="1"/>
      <c r="E7413" s="2"/>
      <c r="F7413" s="1"/>
      <c r="G7413" s="1"/>
      <c r="H7413" s="1"/>
      <c r="I7413" s="1"/>
      <c r="J7413" s="1"/>
      <c r="K7413" s="1"/>
      <c r="L7413" s="1"/>
    </row>
    <row r="7414" spans="1:12" ht="12" customHeight="1" x14ac:dyDescent="0.25">
      <c r="A7414" s="12"/>
      <c r="B7414" s="1"/>
      <c r="C7414" s="2"/>
      <c r="D7414" s="1"/>
      <c r="E7414" s="2"/>
      <c r="F7414" s="1"/>
      <c r="G7414" s="1"/>
      <c r="H7414" s="1"/>
      <c r="I7414" s="1"/>
      <c r="J7414" s="1"/>
      <c r="K7414" s="1"/>
      <c r="L7414" s="1"/>
    </row>
    <row r="7415" spans="1:12" ht="12" customHeight="1" x14ac:dyDescent="0.25">
      <c r="A7415" s="12"/>
      <c r="B7415" s="1"/>
      <c r="C7415" s="2"/>
      <c r="D7415" s="1"/>
      <c r="E7415" s="2"/>
      <c r="F7415" s="1"/>
      <c r="G7415" s="1"/>
      <c r="H7415" s="1"/>
      <c r="I7415" s="1"/>
      <c r="J7415" s="1"/>
      <c r="K7415" s="1"/>
      <c r="L7415" s="1"/>
    </row>
    <row r="7416" spans="1:12" ht="12" customHeight="1" x14ac:dyDescent="0.25">
      <c r="A7416" s="12"/>
      <c r="B7416" s="1"/>
      <c r="C7416" s="2"/>
      <c r="D7416" s="1"/>
      <c r="E7416" s="2"/>
      <c r="F7416" s="1"/>
      <c r="G7416" s="1"/>
      <c r="H7416" s="1"/>
      <c r="I7416" s="1"/>
      <c r="J7416" s="1"/>
      <c r="K7416" s="1"/>
      <c r="L7416" s="1"/>
    </row>
    <row r="7417" spans="1:12" ht="12" customHeight="1" x14ac:dyDescent="0.25">
      <c r="A7417" s="12"/>
      <c r="B7417" s="1"/>
      <c r="C7417" s="2"/>
      <c r="D7417" s="1"/>
      <c r="E7417" s="2"/>
      <c r="F7417" s="1"/>
      <c r="G7417" s="1"/>
      <c r="H7417" s="1"/>
      <c r="I7417" s="1"/>
      <c r="J7417" s="1"/>
      <c r="K7417" s="1"/>
      <c r="L7417" s="1"/>
    </row>
    <row r="7418" spans="1:12" ht="12" customHeight="1" x14ac:dyDescent="0.25">
      <c r="A7418" s="12"/>
      <c r="B7418" s="1"/>
      <c r="C7418" s="2"/>
      <c r="D7418" s="1"/>
      <c r="E7418" s="2"/>
      <c r="F7418" s="1"/>
      <c r="G7418" s="1"/>
      <c r="H7418" s="1"/>
      <c r="I7418" s="1"/>
      <c r="J7418" s="1"/>
      <c r="K7418" s="1"/>
      <c r="L7418" s="1"/>
    </row>
    <row r="7419" spans="1:12" ht="12" customHeight="1" x14ac:dyDescent="0.25">
      <c r="A7419" s="12"/>
      <c r="B7419" s="1"/>
      <c r="C7419" s="2"/>
      <c r="D7419" s="1"/>
      <c r="E7419" s="2"/>
      <c r="F7419" s="1"/>
      <c r="G7419" s="1"/>
      <c r="H7419" s="1"/>
      <c r="I7419" s="1"/>
      <c r="J7419" s="1"/>
      <c r="K7419" s="1"/>
      <c r="L7419" s="1"/>
    </row>
    <row r="7420" spans="1:12" ht="12" customHeight="1" x14ac:dyDescent="0.25">
      <c r="A7420" s="12"/>
      <c r="B7420" s="1"/>
      <c r="C7420" s="2"/>
      <c r="D7420" s="1"/>
      <c r="E7420" s="2"/>
      <c r="F7420" s="1"/>
      <c r="G7420" s="1"/>
      <c r="H7420" s="1"/>
      <c r="I7420" s="1"/>
      <c r="J7420" s="1"/>
      <c r="K7420" s="1"/>
      <c r="L7420" s="1"/>
    </row>
    <row r="7421" spans="1:12" ht="12" customHeight="1" x14ac:dyDescent="0.25">
      <c r="A7421" s="12"/>
      <c r="B7421" s="1"/>
      <c r="C7421" s="2"/>
      <c r="D7421" s="1"/>
      <c r="E7421" s="2"/>
      <c r="F7421" s="1"/>
      <c r="G7421" s="1"/>
      <c r="H7421" s="1"/>
      <c r="I7421" s="1"/>
      <c r="J7421" s="1"/>
      <c r="K7421" s="1"/>
      <c r="L7421" s="1"/>
    </row>
    <row r="7422" spans="1:12" ht="12" customHeight="1" x14ac:dyDescent="0.25">
      <c r="A7422" s="12"/>
      <c r="B7422" s="1"/>
      <c r="C7422" s="2"/>
      <c r="D7422" s="1"/>
      <c r="E7422" s="2"/>
      <c r="F7422" s="1"/>
      <c r="G7422" s="1"/>
      <c r="H7422" s="1"/>
      <c r="I7422" s="1"/>
      <c r="J7422" s="1"/>
      <c r="K7422" s="1"/>
      <c r="L7422" s="1"/>
    </row>
    <row r="7423" spans="1:12" ht="12" customHeight="1" x14ac:dyDescent="0.25">
      <c r="A7423" s="12"/>
      <c r="B7423" s="1"/>
      <c r="C7423" s="2"/>
      <c r="D7423" s="1"/>
      <c r="E7423" s="2"/>
      <c r="F7423" s="1"/>
      <c r="G7423" s="1"/>
      <c r="H7423" s="1"/>
      <c r="I7423" s="1"/>
      <c r="J7423" s="1"/>
      <c r="K7423" s="1"/>
      <c r="L7423" s="1"/>
    </row>
    <row r="7424" spans="1:12" ht="12" customHeight="1" x14ac:dyDescent="0.25">
      <c r="A7424" s="12"/>
      <c r="B7424" s="1"/>
      <c r="C7424" s="2"/>
      <c r="D7424" s="1"/>
      <c r="E7424" s="2"/>
      <c r="F7424" s="1"/>
      <c r="G7424" s="1"/>
      <c r="H7424" s="1"/>
      <c r="I7424" s="1"/>
      <c r="J7424" s="1"/>
      <c r="K7424" s="1"/>
      <c r="L7424" s="1"/>
    </row>
    <row r="7425" spans="1:12" ht="12" customHeight="1" x14ac:dyDescent="0.25">
      <c r="A7425" s="12"/>
      <c r="B7425" s="1"/>
      <c r="C7425" s="2"/>
      <c r="D7425" s="1"/>
      <c r="E7425" s="2"/>
      <c r="F7425" s="1"/>
      <c r="G7425" s="1"/>
      <c r="H7425" s="1"/>
      <c r="I7425" s="1"/>
      <c r="J7425" s="1"/>
      <c r="K7425" s="1"/>
      <c r="L7425" s="1"/>
    </row>
    <row r="7426" spans="1:12" ht="12" customHeight="1" x14ac:dyDescent="0.25">
      <c r="A7426" s="12"/>
      <c r="B7426" s="1"/>
      <c r="C7426" s="2"/>
      <c r="D7426" s="1"/>
      <c r="E7426" s="2"/>
      <c r="F7426" s="1"/>
      <c r="G7426" s="1"/>
      <c r="H7426" s="1"/>
      <c r="I7426" s="1"/>
      <c r="J7426" s="1"/>
      <c r="K7426" s="1"/>
      <c r="L7426" s="1"/>
    </row>
    <row r="7427" spans="1:12" ht="12" customHeight="1" x14ac:dyDescent="0.25">
      <c r="A7427" s="12"/>
      <c r="B7427" s="1"/>
      <c r="C7427" s="2"/>
      <c r="D7427" s="1"/>
      <c r="E7427" s="2"/>
      <c r="F7427" s="1"/>
      <c r="G7427" s="1"/>
      <c r="H7427" s="1"/>
      <c r="I7427" s="1"/>
      <c r="J7427" s="1"/>
      <c r="K7427" s="1"/>
      <c r="L7427" s="1"/>
    </row>
    <row r="7428" spans="1:12" ht="12" customHeight="1" x14ac:dyDescent="0.25">
      <c r="A7428" s="12"/>
      <c r="B7428" s="1"/>
      <c r="C7428" s="2"/>
      <c r="D7428" s="1"/>
      <c r="E7428" s="2"/>
      <c r="F7428" s="1"/>
      <c r="G7428" s="1"/>
      <c r="H7428" s="1"/>
      <c r="I7428" s="1"/>
      <c r="J7428" s="1"/>
      <c r="K7428" s="1"/>
      <c r="L7428" s="1"/>
    </row>
    <row r="7429" spans="1:12" ht="12" customHeight="1" x14ac:dyDescent="0.25">
      <c r="A7429" s="12"/>
      <c r="B7429" s="1"/>
      <c r="C7429" s="2"/>
      <c r="D7429" s="1"/>
      <c r="E7429" s="2"/>
      <c r="F7429" s="1"/>
      <c r="G7429" s="1"/>
      <c r="H7429" s="1"/>
      <c r="I7429" s="1"/>
      <c r="J7429" s="1"/>
      <c r="K7429" s="1"/>
      <c r="L7429" s="1"/>
    </row>
    <row r="7430" spans="1:12" ht="12" customHeight="1" x14ac:dyDescent="0.25">
      <c r="A7430" s="12"/>
      <c r="B7430" s="1"/>
      <c r="C7430" s="2"/>
      <c r="D7430" s="1"/>
      <c r="E7430" s="2"/>
      <c r="F7430" s="1"/>
      <c r="G7430" s="1"/>
      <c r="H7430" s="1"/>
      <c r="I7430" s="1"/>
      <c r="J7430" s="1"/>
      <c r="K7430" s="1"/>
      <c r="L7430" s="1"/>
    </row>
    <row r="7431" spans="1:12" ht="12" customHeight="1" x14ac:dyDescent="0.25">
      <c r="A7431" s="12"/>
      <c r="B7431" s="1"/>
      <c r="C7431" s="2"/>
      <c r="D7431" s="1"/>
      <c r="E7431" s="2"/>
      <c r="F7431" s="1"/>
      <c r="G7431" s="1"/>
      <c r="H7431" s="1"/>
      <c r="I7431" s="1"/>
      <c r="J7431" s="1"/>
      <c r="K7431" s="1"/>
      <c r="L7431" s="1"/>
    </row>
    <row r="7432" spans="1:12" ht="12" customHeight="1" x14ac:dyDescent="0.25">
      <c r="A7432" s="12"/>
      <c r="B7432" s="1"/>
      <c r="C7432" s="2"/>
      <c r="D7432" s="1"/>
      <c r="E7432" s="2"/>
      <c r="F7432" s="1"/>
      <c r="G7432" s="1"/>
      <c r="H7432" s="1"/>
      <c r="I7432" s="1"/>
      <c r="J7432" s="1"/>
      <c r="K7432" s="1"/>
      <c r="L7432" s="1"/>
    </row>
    <row r="7433" spans="1:12" ht="12" customHeight="1" x14ac:dyDescent="0.25">
      <c r="A7433" s="12"/>
      <c r="B7433" s="1"/>
      <c r="C7433" s="2"/>
      <c r="D7433" s="1"/>
      <c r="E7433" s="2"/>
      <c r="F7433" s="1"/>
      <c r="G7433" s="1"/>
      <c r="H7433" s="1"/>
      <c r="I7433" s="1"/>
      <c r="J7433" s="1"/>
      <c r="K7433" s="1"/>
      <c r="L7433" s="1"/>
    </row>
    <row r="7434" spans="1:12" ht="12" customHeight="1" x14ac:dyDescent="0.25">
      <c r="A7434" s="12"/>
      <c r="B7434" s="1"/>
      <c r="C7434" s="2"/>
      <c r="D7434" s="1"/>
      <c r="E7434" s="2"/>
      <c r="F7434" s="1"/>
      <c r="G7434" s="1"/>
      <c r="H7434" s="1"/>
      <c r="I7434" s="1"/>
      <c r="J7434" s="1"/>
      <c r="K7434" s="1"/>
      <c r="L7434" s="1"/>
    </row>
    <row r="7435" spans="1:12" ht="12" customHeight="1" x14ac:dyDescent="0.25">
      <c r="A7435" s="12"/>
      <c r="B7435" s="1"/>
      <c r="C7435" s="2"/>
      <c r="D7435" s="1"/>
      <c r="E7435" s="2"/>
      <c r="F7435" s="1"/>
      <c r="G7435" s="1"/>
      <c r="H7435" s="1"/>
      <c r="I7435" s="1"/>
      <c r="J7435" s="1"/>
      <c r="K7435" s="1"/>
      <c r="L7435" s="1"/>
    </row>
    <row r="7436" spans="1:12" ht="12" customHeight="1" x14ac:dyDescent="0.25">
      <c r="A7436" s="12"/>
      <c r="B7436" s="1"/>
      <c r="C7436" s="2"/>
      <c r="D7436" s="1"/>
      <c r="E7436" s="2"/>
      <c r="F7436" s="1"/>
      <c r="G7436" s="1"/>
      <c r="H7436" s="1"/>
      <c r="I7436" s="1"/>
      <c r="J7436" s="1"/>
      <c r="K7436" s="1"/>
      <c r="L7436" s="1"/>
    </row>
    <row r="7437" spans="1:12" ht="12" customHeight="1" x14ac:dyDescent="0.25">
      <c r="A7437" s="12"/>
      <c r="B7437" s="1"/>
      <c r="C7437" s="2"/>
      <c r="D7437" s="1"/>
      <c r="E7437" s="2"/>
      <c r="F7437" s="1"/>
      <c r="G7437" s="1"/>
      <c r="H7437" s="1"/>
      <c r="I7437" s="1"/>
      <c r="J7437" s="1"/>
      <c r="K7437" s="1"/>
      <c r="L7437" s="1"/>
    </row>
    <row r="7438" spans="1:12" ht="12" customHeight="1" x14ac:dyDescent="0.25">
      <c r="A7438" s="12"/>
      <c r="B7438" s="1"/>
      <c r="C7438" s="2"/>
      <c r="D7438" s="1"/>
      <c r="E7438" s="2"/>
      <c r="F7438" s="1"/>
      <c r="G7438" s="1"/>
      <c r="H7438" s="1"/>
      <c r="I7438" s="1"/>
      <c r="J7438" s="1"/>
      <c r="K7438" s="1"/>
      <c r="L7438" s="1"/>
    </row>
    <row r="7439" spans="1:12" ht="12" customHeight="1" x14ac:dyDescent="0.25">
      <c r="A7439" s="12"/>
      <c r="B7439" s="1"/>
      <c r="C7439" s="2"/>
      <c r="D7439" s="1"/>
      <c r="E7439" s="2"/>
      <c r="F7439" s="1"/>
      <c r="G7439" s="1"/>
      <c r="H7439" s="1"/>
      <c r="I7439" s="1"/>
      <c r="J7439" s="1"/>
      <c r="K7439" s="1"/>
      <c r="L7439" s="1"/>
    </row>
    <row r="7440" spans="1:12" ht="12" customHeight="1" x14ac:dyDescent="0.25">
      <c r="A7440" s="12"/>
      <c r="B7440" s="1"/>
      <c r="C7440" s="2"/>
      <c r="D7440" s="1"/>
      <c r="E7440" s="2"/>
      <c r="F7440" s="1"/>
      <c r="G7440" s="1"/>
      <c r="H7440" s="1"/>
      <c r="I7440" s="1"/>
      <c r="J7440" s="1"/>
      <c r="K7440" s="1"/>
      <c r="L7440" s="1"/>
    </row>
    <row r="7441" spans="1:12" ht="12" customHeight="1" x14ac:dyDescent="0.25">
      <c r="A7441" s="12"/>
      <c r="B7441" s="1"/>
      <c r="C7441" s="2"/>
      <c r="D7441" s="1"/>
      <c r="E7441" s="2"/>
      <c r="F7441" s="1"/>
      <c r="G7441" s="1"/>
      <c r="H7441" s="1"/>
      <c r="I7441" s="1"/>
      <c r="J7441" s="1"/>
      <c r="K7441" s="1"/>
      <c r="L7441" s="1"/>
    </row>
    <row r="7442" spans="1:12" ht="12" customHeight="1" x14ac:dyDescent="0.25">
      <c r="A7442" s="12"/>
      <c r="B7442" s="1"/>
      <c r="C7442" s="2"/>
      <c r="D7442" s="1"/>
      <c r="E7442" s="2"/>
      <c r="F7442" s="1"/>
      <c r="G7442" s="1"/>
      <c r="H7442" s="1"/>
      <c r="I7442" s="1"/>
      <c r="J7442" s="1"/>
      <c r="K7442" s="1"/>
      <c r="L7442" s="1"/>
    </row>
    <row r="7443" spans="1:12" ht="12" customHeight="1" x14ac:dyDescent="0.25">
      <c r="A7443" s="12"/>
      <c r="B7443" s="1"/>
      <c r="C7443" s="2"/>
      <c r="D7443" s="1"/>
      <c r="E7443" s="2"/>
      <c r="F7443" s="1"/>
      <c r="G7443" s="1"/>
      <c r="H7443" s="1"/>
      <c r="I7443" s="1"/>
      <c r="J7443" s="1"/>
      <c r="K7443" s="1"/>
      <c r="L7443" s="1"/>
    </row>
    <row r="7444" spans="1:12" ht="12" customHeight="1" x14ac:dyDescent="0.25">
      <c r="A7444" s="12"/>
      <c r="B7444" s="1"/>
      <c r="C7444" s="2"/>
      <c r="D7444" s="1"/>
      <c r="E7444" s="2"/>
      <c r="F7444" s="1"/>
      <c r="G7444" s="1"/>
      <c r="H7444" s="1"/>
      <c r="I7444" s="1"/>
      <c r="J7444" s="1"/>
      <c r="K7444" s="1"/>
      <c r="L7444" s="1"/>
    </row>
    <row r="7445" spans="1:12" ht="12" customHeight="1" x14ac:dyDescent="0.25">
      <c r="A7445" s="12"/>
      <c r="B7445" s="1"/>
      <c r="C7445" s="2"/>
      <c r="D7445" s="1"/>
      <c r="E7445" s="2"/>
      <c r="F7445" s="1"/>
      <c r="G7445" s="1"/>
      <c r="H7445" s="1"/>
      <c r="I7445" s="1"/>
      <c r="J7445" s="1"/>
      <c r="K7445" s="1"/>
      <c r="L7445" s="1"/>
    </row>
    <row r="7446" spans="1:12" ht="12" customHeight="1" x14ac:dyDescent="0.25">
      <c r="A7446" s="12"/>
      <c r="B7446" s="1"/>
      <c r="C7446" s="2"/>
      <c r="D7446" s="1"/>
      <c r="E7446" s="2"/>
      <c r="F7446" s="1"/>
      <c r="G7446" s="1"/>
      <c r="H7446" s="1"/>
      <c r="I7446" s="1"/>
      <c r="J7446" s="1"/>
      <c r="K7446" s="1"/>
      <c r="L7446" s="1"/>
    </row>
    <row r="7447" spans="1:12" ht="12" customHeight="1" x14ac:dyDescent="0.25">
      <c r="A7447" s="12"/>
      <c r="B7447" s="1"/>
      <c r="C7447" s="2"/>
      <c r="D7447" s="1"/>
      <c r="E7447" s="2"/>
      <c r="F7447" s="1"/>
      <c r="G7447" s="1"/>
      <c r="H7447" s="1"/>
      <c r="I7447" s="1"/>
      <c r="J7447" s="1"/>
      <c r="K7447" s="1"/>
      <c r="L7447" s="1"/>
    </row>
    <row r="7448" spans="1:12" ht="12" customHeight="1" x14ac:dyDescent="0.25">
      <c r="A7448" s="12"/>
      <c r="B7448" s="1"/>
      <c r="C7448" s="2"/>
      <c r="D7448" s="1"/>
      <c r="E7448" s="2"/>
      <c r="F7448" s="1"/>
      <c r="G7448" s="1"/>
      <c r="H7448" s="1"/>
      <c r="I7448" s="1"/>
      <c r="J7448" s="1"/>
      <c r="K7448" s="1"/>
      <c r="L7448" s="1"/>
    </row>
    <row r="7449" spans="1:12" ht="12" customHeight="1" x14ac:dyDescent="0.25">
      <c r="A7449" s="12"/>
      <c r="B7449" s="1"/>
      <c r="C7449" s="2"/>
      <c r="D7449" s="1"/>
      <c r="E7449" s="2"/>
      <c r="F7449" s="1"/>
      <c r="G7449" s="1"/>
      <c r="H7449" s="1"/>
      <c r="I7449" s="1"/>
      <c r="J7449" s="1"/>
      <c r="K7449" s="1"/>
      <c r="L7449" s="1"/>
    </row>
    <row r="7450" spans="1:12" ht="12" customHeight="1" x14ac:dyDescent="0.25">
      <c r="A7450" s="12"/>
      <c r="B7450" s="1"/>
      <c r="C7450" s="2"/>
      <c r="D7450" s="1"/>
      <c r="E7450" s="2"/>
      <c r="F7450" s="1"/>
      <c r="G7450" s="1"/>
      <c r="H7450" s="1"/>
      <c r="I7450" s="1"/>
      <c r="J7450" s="1"/>
      <c r="K7450" s="1"/>
      <c r="L7450" s="1"/>
    </row>
    <row r="7451" spans="1:12" ht="12" customHeight="1" x14ac:dyDescent="0.25">
      <c r="A7451" s="12"/>
      <c r="B7451" s="1"/>
      <c r="C7451" s="2"/>
      <c r="D7451" s="1"/>
      <c r="E7451" s="2"/>
      <c r="F7451" s="1"/>
      <c r="G7451" s="1"/>
      <c r="H7451" s="1"/>
      <c r="I7451" s="1"/>
      <c r="J7451" s="1"/>
      <c r="K7451" s="1"/>
      <c r="L7451" s="1"/>
    </row>
    <row r="7452" spans="1:12" ht="12" customHeight="1" x14ac:dyDescent="0.25">
      <c r="A7452" s="12"/>
      <c r="B7452" s="1"/>
      <c r="C7452" s="2"/>
      <c r="D7452" s="1"/>
      <c r="E7452" s="2"/>
      <c r="F7452" s="1"/>
      <c r="G7452" s="1"/>
      <c r="H7452" s="1"/>
      <c r="I7452" s="1"/>
      <c r="J7452" s="1"/>
      <c r="K7452" s="1"/>
      <c r="L7452" s="1"/>
    </row>
    <row r="7453" spans="1:12" ht="12" customHeight="1" x14ac:dyDescent="0.25">
      <c r="A7453" s="12"/>
      <c r="B7453" s="1"/>
      <c r="C7453" s="2"/>
      <c r="D7453" s="1"/>
      <c r="E7453" s="2"/>
      <c r="F7453" s="1"/>
      <c r="G7453" s="1"/>
      <c r="H7453" s="1"/>
      <c r="I7453" s="1"/>
      <c r="J7453" s="1"/>
      <c r="K7453" s="1"/>
      <c r="L7453" s="1"/>
    </row>
    <row r="7454" spans="1:12" ht="12" customHeight="1" x14ac:dyDescent="0.25">
      <c r="A7454" s="12"/>
      <c r="B7454" s="1"/>
      <c r="C7454" s="2"/>
      <c r="D7454" s="1"/>
      <c r="E7454" s="2"/>
      <c r="F7454" s="1"/>
      <c r="G7454" s="1"/>
      <c r="H7454" s="1"/>
      <c r="I7454" s="1"/>
      <c r="J7454" s="1"/>
      <c r="K7454" s="1"/>
      <c r="L7454" s="1"/>
    </row>
    <row r="7455" spans="1:12" ht="12" customHeight="1" x14ac:dyDescent="0.25">
      <c r="A7455" s="12"/>
      <c r="B7455" s="1"/>
      <c r="C7455" s="2"/>
      <c r="D7455" s="1"/>
      <c r="E7455" s="2"/>
      <c r="F7455" s="1"/>
      <c r="G7455" s="1"/>
      <c r="H7455" s="1"/>
      <c r="I7455" s="1"/>
      <c r="J7455" s="1"/>
      <c r="K7455" s="1"/>
      <c r="L7455" s="1"/>
    </row>
    <row r="7456" spans="1:12" ht="12" customHeight="1" x14ac:dyDescent="0.25">
      <c r="A7456" s="12"/>
      <c r="B7456" s="1"/>
      <c r="C7456" s="2"/>
      <c r="D7456" s="1"/>
      <c r="E7456" s="2"/>
      <c r="F7456" s="1"/>
      <c r="G7456" s="1"/>
      <c r="H7456" s="1"/>
      <c r="I7456" s="1"/>
      <c r="J7456" s="1"/>
      <c r="K7456" s="1"/>
      <c r="L7456" s="1"/>
    </row>
    <row r="7457" spans="1:12" ht="12" customHeight="1" x14ac:dyDescent="0.25">
      <c r="A7457" s="12"/>
      <c r="B7457" s="1"/>
      <c r="C7457" s="2"/>
      <c r="D7457" s="1"/>
      <c r="E7457" s="2"/>
      <c r="F7457" s="1"/>
      <c r="G7457" s="1"/>
      <c r="H7457" s="1"/>
      <c r="I7457" s="1"/>
      <c r="J7457" s="1"/>
      <c r="K7457" s="1"/>
      <c r="L7457" s="1"/>
    </row>
    <row r="7458" spans="1:12" ht="12" customHeight="1" x14ac:dyDescent="0.25">
      <c r="A7458" s="12"/>
      <c r="B7458" s="1"/>
      <c r="C7458" s="2"/>
      <c r="D7458" s="1"/>
      <c r="E7458" s="2"/>
      <c r="F7458" s="1"/>
      <c r="G7458" s="1"/>
      <c r="H7458" s="1"/>
      <c r="I7458" s="1"/>
      <c r="J7458" s="1"/>
      <c r="K7458" s="1"/>
      <c r="L7458" s="1"/>
    </row>
    <row r="7459" spans="1:12" ht="12" customHeight="1" x14ac:dyDescent="0.25">
      <c r="A7459" s="12"/>
      <c r="B7459" s="1"/>
      <c r="C7459" s="2"/>
      <c r="D7459" s="1"/>
      <c r="E7459" s="2"/>
      <c r="F7459" s="1"/>
      <c r="G7459" s="1"/>
      <c r="H7459" s="1"/>
      <c r="I7459" s="1"/>
      <c r="J7459" s="1"/>
      <c r="K7459" s="1"/>
      <c r="L7459" s="1"/>
    </row>
    <row r="7460" spans="1:12" ht="12" customHeight="1" x14ac:dyDescent="0.25">
      <c r="A7460" s="12"/>
      <c r="B7460" s="1"/>
      <c r="C7460" s="2"/>
      <c r="D7460" s="1"/>
      <c r="E7460" s="2"/>
      <c r="F7460" s="1"/>
      <c r="G7460" s="1"/>
      <c r="H7460" s="1"/>
      <c r="I7460" s="1"/>
      <c r="J7460" s="1"/>
      <c r="K7460" s="1"/>
      <c r="L7460" s="1"/>
    </row>
    <row r="7461" spans="1:12" ht="12" customHeight="1" x14ac:dyDescent="0.25">
      <c r="A7461" s="12"/>
      <c r="B7461" s="1"/>
      <c r="C7461" s="2"/>
      <c r="D7461" s="1"/>
      <c r="E7461" s="2"/>
      <c r="F7461" s="1"/>
      <c r="G7461" s="1"/>
      <c r="H7461" s="1"/>
      <c r="I7461" s="1"/>
      <c r="J7461" s="1"/>
      <c r="K7461" s="1"/>
      <c r="L7461" s="1"/>
    </row>
    <row r="7462" spans="1:12" ht="12" customHeight="1" x14ac:dyDescent="0.25">
      <c r="A7462" s="12"/>
      <c r="B7462" s="1"/>
      <c r="C7462" s="2"/>
      <c r="D7462" s="1"/>
      <c r="E7462" s="2"/>
      <c r="F7462" s="1"/>
      <c r="G7462" s="1"/>
      <c r="H7462" s="1"/>
      <c r="I7462" s="1"/>
      <c r="J7462" s="1"/>
      <c r="K7462" s="1"/>
      <c r="L7462" s="1"/>
    </row>
    <row r="7463" spans="1:12" ht="12" customHeight="1" x14ac:dyDescent="0.25">
      <c r="A7463" s="12"/>
      <c r="B7463" s="1"/>
      <c r="C7463" s="2"/>
      <c r="D7463" s="1"/>
      <c r="E7463" s="2"/>
      <c r="F7463" s="1"/>
      <c r="G7463" s="1"/>
      <c r="H7463" s="1"/>
      <c r="I7463" s="1"/>
      <c r="J7463" s="1"/>
      <c r="K7463" s="1"/>
      <c r="L7463" s="1"/>
    </row>
    <row r="7464" spans="1:12" ht="12" customHeight="1" x14ac:dyDescent="0.25">
      <c r="A7464" s="12"/>
      <c r="B7464" s="1"/>
      <c r="C7464" s="2"/>
      <c r="D7464" s="1"/>
      <c r="E7464" s="2"/>
      <c r="F7464" s="1"/>
      <c r="G7464" s="1"/>
      <c r="H7464" s="1"/>
      <c r="I7464" s="1"/>
      <c r="J7464" s="1"/>
      <c r="K7464" s="1"/>
      <c r="L7464" s="1"/>
    </row>
    <row r="7465" spans="1:12" ht="12" customHeight="1" x14ac:dyDescent="0.25">
      <c r="A7465" s="12"/>
      <c r="B7465" s="1"/>
      <c r="C7465" s="2"/>
      <c r="D7465" s="1"/>
      <c r="E7465" s="2"/>
      <c r="F7465" s="1"/>
      <c r="G7465" s="1"/>
      <c r="H7465" s="1"/>
      <c r="I7465" s="1"/>
      <c r="J7465" s="1"/>
      <c r="K7465" s="1"/>
      <c r="L7465" s="1"/>
    </row>
    <row r="7466" spans="1:12" ht="12" customHeight="1" x14ac:dyDescent="0.25">
      <c r="A7466" s="12"/>
      <c r="B7466" s="1"/>
      <c r="C7466" s="2"/>
      <c r="D7466" s="1"/>
      <c r="E7466" s="2"/>
      <c r="F7466" s="1"/>
      <c r="G7466" s="1"/>
      <c r="H7466" s="1"/>
      <c r="I7466" s="1"/>
      <c r="J7466" s="1"/>
      <c r="K7466" s="1"/>
      <c r="L7466" s="1"/>
    </row>
    <row r="7467" spans="1:12" ht="12" customHeight="1" x14ac:dyDescent="0.25">
      <c r="A7467" s="12"/>
      <c r="B7467" s="1"/>
      <c r="C7467" s="2"/>
      <c r="D7467" s="1"/>
      <c r="E7467" s="2"/>
      <c r="F7467" s="1"/>
      <c r="G7467" s="1"/>
      <c r="H7467" s="1"/>
      <c r="I7467" s="1"/>
      <c r="J7467" s="1"/>
      <c r="K7467" s="1"/>
      <c r="L7467" s="1"/>
    </row>
    <row r="7468" spans="1:12" ht="12" customHeight="1" x14ac:dyDescent="0.25">
      <c r="A7468" s="12"/>
      <c r="B7468" s="1"/>
      <c r="C7468" s="2"/>
      <c r="D7468" s="1"/>
      <c r="E7468" s="2"/>
      <c r="F7468" s="1"/>
      <c r="G7468" s="1"/>
      <c r="H7468" s="1"/>
      <c r="I7468" s="1"/>
      <c r="J7468" s="1"/>
      <c r="K7468" s="1"/>
      <c r="L7468" s="1"/>
    </row>
    <row r="7469" spans="1:12" ht="12" customHeight="1" x14ac:dyDescent="0.25">
      <c r="A7469" s="12"/>
      <c r="B7469" s="1"/>
      <c r="C7469" s="2"/>
      <c r="D7469" s="1"/>
      <c r="E7469" s="2"/>
      <c r="F7469" s="1"/>
      <c r="G7469" s="1"/>
      <c r="H7469" s="1"/>
      <c r="I7469" s="1"/>
      <c r="J7469" s="1"/>
      <c r="K7469" s="1"/>
      <c r="L7469" s="1"/>
    </row>
    <row r="7470" spans="1:12" ht="12" customHeight="1" x14ac:dyDescent="0.25">
      <c r="A7470" s="12"/>
      <c r="B7470" s="1"/>
      <c r="C7470" s="2"/>
      <c r="D7470" s="1"/>
      <c r="E7470" s="2"/>
      <c r="F7470" s="1"/>
      <c r="G7470" s="1"/>
      <c r="H7470" s="1"/>
      <c r="I7470" s="1"/>
      <c r="J7470" s="1"/>
      <c r="K7470" s="1"/>
      <c r="L7470" s="1"/>
    </row>
    <row r="7471" spans="1:12" ht="12" customHeight="1" x14ac:dyDescent="0.25">
      <c r="A7471" s="12"/>
      <c r="B7471" s="1"/>
      <c r="C7471" s="2"/>
      <c r="D7471" s="1"/>
      <c r="E7471" s="2"/>
      <c r="F7471" s="1"/>
      <c r="G7471" s="1"/>
      <c r="H7471" s="1"/>
      <c r="I7471" s="1"/>
      <c r="J7471" s="1"/>
      <c r="K7471" s="1"/>
      <c r="L7471" s="1"/>
    </row>
    <row r="7472" spans="1:12" ht="12" customHeight="1" x14ac:dyDescent="0.25">
      <c r="A7472" s="12"/>
      <c r="B7472" s="1"/>
      <c r="C7472" s="2"/>
      <c r="D7472" s="1"/>
      <c r="E7472" s="2"/>
      <c r="F7472" s="1"/>
      <c r="G7472" s="1"/>
      <c r="H7472" s="1"/>
      <c r="I7472" s="1"/>
      <c r="J7472" s="1"/>
      <c r="K7472" s="1"/>
      <c r="L7472" s="1"/>
    </row>
    <row r="7473" spans="1:12" ht="12" customHeight="1" x14ac:dyDescent="0.25">
      <c r="A7473" s="12"/>
      <c r="B7473" s="1"/>
      <c r="C7473" s="2"/>
      <c r="D7473" s="1"/>
      <c r="E7473" s="2"/>
      <c r="F7473" s="1"/>
      <c r="G7473" s="1"/>
      <c r="H7473" s="1"/>
      <c r="I7473" s="1"/>
      <c r="J7473" s="1"/>
      <c r="K7473" s="1"/>
      <c r="L7473" s="1"/>
    </row>
    <row r="7474" spans="1:12" ht="12" customHeight="1" x14ac:dyDescent="0.25">
      <c r="A7474" s="12"/>
      <c r="B7474" s="1"/>
      <c r="C7474" s="2"/>
      <c r="D7474" s="1"/>
      <c r="E7474" s="2"/>
      <c r="F7474" s="1"/>
      <c r="G7474" s="1"/>
      <c r="H7474" s="1"/>
      <c r="I7474" s="1"/>
      <c r="J7474" s="1"/>
      <c r="K7474" s="1"/>
      <c r="L7474" s="1"/>
    </row>
    <row r="7475" spans="1:12" ht="12" customHeight="1" x14ac:dyDescent="0.25">
      <c r="A7475" s="12"/>
      <c r="B7475" s="1"/>
      <c r="C7475" s="2"/>
      <c r="D7475" s="1"/>
      <c r="E7475" s="2"/>
      <c r="F7475" s="1"/>
      <c r="G7475" s="1"/>
      <c r="H7475" s="1"/>
      <c r="I7475" s="1"/>
      <c r="J7475" s="1"/>
      <c r="K7475" s="1"/>
      <c r="L7475" s="1"/>
    </row>
    <row r="7476" spans="1:12" ht="12" customHeight="1" x14ac:dyDescent="0.25">
      <c r="A7476" s="12"/>
      <c r="B7476" s="1"/>
      <c r="C7476" s="2"/>
      <c r="D7476" s="1"/>
      <c r="E7476" s="2"/>
      <c r="F7476" s="1"/>
      <c r="G7476" s="1"/>
      <c r="H7476" s="1"/>
      <c r="I7476" s="1"/>
      <c r="J7476" s="1"/>
      <c r="K7476" s="1"/>
      <c r="L7476" s="1"/>
    </row>
    <row r="7477" spans="1:12" ht="12" customHeight="1" x14ac:dyDescent="0.25">
      <c r="A7477" s="12"/>
      <c r="B7477" s="1"/>
      <c r="C7477" s="2"/>
      <c r="D7477" s="1"/>
      <c r="E7477" s="2"/>
      <c r="F7477" s="1"/>
      <c r="G7477" s="1"/>
      <c r="H7477" s="1"/>
      <c r="I7477" s="1"/>
      <c r="J7477" s="1"/>
      <c r="K7477" s="1"/>
      <c r="L7477" s="1"/>
    </row>
    <row r="7478" spans="1:12" ht="12" customHeight="1" x14ac:dyDescent="0.25">
      <c r="A7478" s="12"/>
      <c r="B7478" s="1"/>
      <c r="C7478" s="2"/>
      <c r="D7478" s="1"/>
      <c r="E7478" s="2"/>
      <c r="F7478" s="1"/>
      <c r="G7478" s="1"/>
      <c r="H7478" s="1"/>
      <c r="I7478" s="1"/>
      <c r="J7478" s="1"/>
      <c r="K7478" s="1"/>
      <c r="L7478" s="1"/>
    </row>
    <row r="7479" spans="1:12" ht="12" customHeight="1" x14ac:dyDescent="0.25">
      <c r="A7479" s="12"/>
      <c r="B7479" s="1"/>
      <c r="C7479" s="2"/>
      <c r="D7479" s="1"/>
      <c r="E7479" s="2"/>
      <c r="F7479" s="1"/>
      <c r="G7479" s="1"/>
      <c r="H7479" s="1"/>
      <c r="I7479" s="1"/>
      <c r="J7479" s="1"/>
      <c r="K7479" s="1"/>
      <c r="L7479" s="1"/>
    </row>
    <row r="7480" spans="1:12" ht="12" customHeight="1" x14ac:dyDescent="0.25">
      <c r="A7480" s="12"/>
      <c r="B7480" s="1"/>
      <c r="C7480" s="2"/>
      <c r="D7480" s="1"/>
      <c r="E7480" s="2"/>
      <c r="F7480" s="1"/>
      <c r="G7480" s="1"/>
      <c r="H7480" s="1"/>
      <c r="I7480" s="1"/>
      <c r="J7480" s="1"/>
      <c r="K7480" s="1"/>
      <c r="L7480" s="1"/>
    </row>
    <row r="7481" spans="1:12" ht="12" customHeight="1" x14ac:dyDescent="0.25">
      <c r="A7481" s="12"/>
      <c r="B7481" s="1"/>
      <c r="C7481" s="2"/>
      <c r="D7481" s="1"/>
      <c r="E7481" s="2"/>
      <c r="F7481" s="1"/>
      <c r="G7481" s="1"/>
      <c r="H7481" s="1"/>
      <c r="I7481" s="1"/>
      <c r="J7481" s="1"/>
      <c r="K7481" s="1"/>
      <c r="L7481" s="1"/>
    </row>
    <row r="7482" spans="1:12" ht="12" customHeight="1" x14ac:dyDescent="0.25">
      <c r="A7482" s="12"/>
      <c r="B7482" s="1"/>
      <c r="C7482" s="2"/>
      <c r="D7482" s="1"/>
      <c r="E7482" s="2"/>
      <c r="F7482" s="1"/>
      <c r="G7482" s="1"/>
      <c r="H7482" s="1"/>
      <c r="I7482" s="1"/>
      <c r="J7482" s="1"/>
      <c r="K7482" s="1"/>
      <c r="L7482" s="1"/>
    </row>
    <row r="7483" spans="1:12" ht="12" customHeight="1" x14ac:dyDescent="0.25">
      <c r="A7483" s="12"/>
      <c r="B7483" s="1"/>
      <c r="C7483" s="2"/>
      <c r="D7483" s="1"/>
      <c r="E7483" s="2"/>
      <c r="F7483" s="1"/>
      <c r="G7483" s="1"/>
      <c r="H7483" s="1"/>
      <c r="I7483" s="1"/>
      <c r="J7483" s="1"/>
      <c r="K7483" s="1"/>
      <c r="L7483" s="1"/>
    </row>
    <row r="7484" spans="1:12" ht="12" customHeight="1" x14ac:dyDescent="0.25">
      <c r="A7484" s="12"/>
      <c r="B7484" s="1"/>
      <c r="C7484" s="2"/>
      <c r="D7484" s="1"/>
      <c r="E7484" s="2"/>
      <c r="F7484" s="1"/>
      <c r="G7484" s="1"/>
      <c r="H7484" s="1"/>
      <c r="I7484" s="1"/>
      <c r="J7484" s="1"/>
      <c r="K7484" s="1"/>
      <c r="L7484" s="1"/>
    </row>
    <row r="7485" spans="1:12" ht="12" customHeight="1" x14ac:dyDescent="0.25">
      <c r="A7485" s="12"/>
      <c r="B7485" s="1"/>
      <c r="C7485" s="2"/>
      <c r="D7485" s="1"/>
      <c r="E7485" s="2"/>
      <c r="F7485" s="1"/>
      <c r="G7485" s="1"/>
      <c r="H7485" s="1"/>
      <c r="I7485" s="1"/>
      <c r="J7485" s="1"/>
      <c r="K7485" s="1"/>
      <c r="L7485" s="1"/>
    </row>
    <row r="7486" spans="1:12" ht="12" customHeight="1" x14ac:dyDescent="0.25">
      <c r="A7486" s="12"/>
      <c r="B7486" s="1"/>
      <c r="C7486" s="2"/>
      <c r="D7486" s="1"/>
      <c r="E7486" s="2"/>
      <c r="F7486" s="1"/>
      <c r="G7486" s="1"/>
      <c r="H7486" s="1"/>
      <c r="I7486" s="1"/>
      <c r="J7486" s="1"/>
      <c r="K7486" s="1"/>
      <c r="L7486" s="1"/>
    </row>
    <row r="7487" spans="1:12" ht="12" customHeight="1" x14ac:dyDescent="0.25">
      <c r="A7487" s="12"/>
      <c r="B7487" s="1"/>
      <c r="C7487" s="2"/>
      <c r="D7487" s="1"/>
      <c r="E7487" s="2"/>
      <c r="F7487" s="1"/>
      <c r="G7487" s="1"/>
      <c r="H7487" s="1"/>
      <c r="I7487" s="1"/>
      <c r="J7487" s="1"/>
      <c r="K7487" s="1"/>
      <c r="L7487" s="1"/>
    </row>
    <row r="7488" spans="1:12" ht="12" customHeight="1" x14ac:dyDescent="0.25">
      <c r="A7488" s="12"/>
      <c r="B7488" s="1"/>
      <c r="C7488" s="2"/>
      <c r="D7488" s="1"/>
      <c r="E7488" s="2"/>
      <c r="F7488" s="1"/>
      <c r="G7488" s="1"/>
      <c r="H7488" s="1"/>
      <c r="I7488" s="1"/>
      <c r="J7488" s="1"/>
      <c r="K7488" s="1"/>
      <c r="L7488" s="1"/>
    </row>
    <row r="7489" spans="1:12" ht="12" customHeight="1" x14ac:dyDescent="0.25">
      <c r="A7489" s="12"/>
      <c r="B7489" s="1"/>
      <c r="C7489" s="2"/>
      <c r="D7489" s="1"/>
      <c r="E7489" s="2"/>
      <c r="F7489" s="1"/>
      <c r="G7489" s="1"/>
      <c r="H7489" s="1"/>
      <c r="I7489" s="1"/>
      <c r="J7489" s="1"/>
      <c r="K7489" s="1"/>
      <c r="L7489" s="1"/>
    </row>
    <row r="7490" spans="1:12" ht="12" customHeight="1" x14ac:dyDescent="0.25">
      <c r="A7490" s="12"/>
      <c r="B7490" s="1"/>
      <c r="C7490" s="2"/>
      <c r="D7490" s="1"/>
      <c r="E7490" s="2"/>
      <c r="F7490" s="1"/>
      <c r="G7490" s="1"/>
      <c r="H7490" s="1"/>
      <c r="I7490" s="1"/>
      <c r="J7490" s="1"/>
      <c r="K7490" s="1"/>
      <c r="L7490" s="1"/>
    </row>
    <row r="7491" spans="1:12" ht="12" customHeight="1" x14ac:dyDescent="0.25">
      <c r="A7491" s="12"/>
      <c r="B7491" s="1"/>
      <c r="C7491" s="2"/>
      <c r="D7491" s="1"/>
      <c r="E7491" s="2"/>
      <c r="F7491" s="1"/>
      <c r="G7491" s="1"/>
      <c r="H7491" s="1"/>
      <c r="I7491" s="1"/>
      <c r="J7491" s="1"/>
      <c r="K7491" s="1"/>
      <c r="L7491" s="1"/>
    </row>
    <row r="7492" spans="1:12" ht="12" customHeight="1" x14ac:dyDescent="0.25">
      <c r="A7492" s="12"/>
      <c r="B7492" s="1"/>
      <c r="C7492" s="2"/>
      <c r="D7492" s="1"/>
      <c r="E7492" s="2"/>
      <c r="F7492" s="1"/>
      <c r="G7492" s="1"/>
      <c r="H7492" s="1"/>
      <c r="I7492" s="1"/>
      <c r="J7492" s="1"/>
      <c r="K7492" s="1"/>
      <c r="L7492" s="1"/>
    </row>
    <row r="7493" spans="1:12" ht="12" customHeight="1" x14ac:dyDescent="0.25">
      <c r="A7493" s="12"/>
      <c r="B7493" s="1"/>
      <c r="C7493" s="2"/>
      <c r="D7493" s="1"/>
      <c r="E7493" s="2"/>
      <c r="F7493" s="1"/>
      <c r="G7493" s="1"/>
      <c r="H7493" s="1"/>
      <c r="I7493" s="1"/>
      <c r="J7493" s="1"/>
      <c r="K7493" s="1"/>
      <c r="L7493" s="1"/>
    </row>
    <row r="7494" spans="1:12" ht="12" customHeight="1" x14ac:dyDescent="0.25">
      <c r="A7494" s="12"/>
      <c r="B7494" s="1"/>
      <c r="C7494" s="2"/>
      <c r="D7494" s="1"/>
      <c r="E7494" s="2"/>
      <c r="F7494" s="1"/>
      <c r="G7494" s="1"/>
      <c r="H7494" s="1"/>
      <c r="I7494" s="1"/>
      <c r="J7494" s="1"/>
      <c r="K7494" s="1"/>
      <c r="L7494" s="1"/>
    </row>
    <row r="7495" spans="1:12" ht="12" customHeight="1" x14ac:dyDescent="0.25">
      <c r="A7495" s="12"/>
      <c r="B7495" s="1"/>
      <c r="C7495" s="2"/>
      <c r="D7495" s="1"/>
      <c r="E7495" s="2"/>
      <c r="F7495" s="1"/>
      <c r="G7495" s="1"/>
      <c r="H7495" s="1"/>
      <c r="I7495" s="1"/>
      <c r="J7495" s="1"/>
      <c r="K7495" s="1"/>
      <c r="L7495" s="1"/>
    </row>
    <row r="7496" spans="1:12" ht="12" customHeight="1" x14ac:dyDescent="0.25">
      <c r="A7496" s="12"/>
      <c r="B7496" s="1"/>
      <c r="C7496" s="2"/>
      <c r="D7496" s="1"/>
      <c r="E7496" s="2"/>
      <c r="F7496" s="1"/>
      <c r="G7496" s="1"/>
      <c r="H7496" s="1"/>
      <c r="I7496" s="1"/>
      <c r="J7496" s="1"/>
      <c r="K7496" s="1"/>
      <c r="L7496" s="1"/>
    </row>
    <row r="7497" spans="1:12" ht="12" customHeight="1" x14ac:dyDescent="0.25">
      <c r="A7497" s="12"/>
      <c r="B7497" s="1"/>
      <c r="C7497" s="2"/>
      <c r="D7497" s="1"/>
      <c r="E7497" s="2"/>
      <c r="F7497" s="1"/>
      <c r="G7497" s="1"/>
      <c r="H7497" s="1"/>
      <c r="I7497" s="1"/>
      <c r="J7497" s="1"/>
      <c r="K7497" s="1"/>
      <c r="L7497" s="1"/>
    </row>
    <row r="7498" spans="1:12" ht="12" customHeight="1" x14ac:dyDescent="0.25">
      <c r="A7498" s="12"/>
      <c r="B7498" s="1"/>
      <c r="C7498" s="2"/>
      <c r="D7498" s="1"/>
      <c r="E7498" s="2"/>
      <c r="F7498" s="1"/>
      <c r="G7498" s="1"/>
      <c r="H7498" s="1"/>
      <c r="I7498" s="1"/>
      <c r="J7498" s="1"/>
      <c r="K7498" s="1"/>
      <c r="L7498" s="1"/>
    </row>
    <row r="7499" spans="1:12" ht="12" customHeight="1" x14ac:dyDescent="0.25">
      <c r="A7499" s="12"/>
      <c r="B7499" s="1"/>
      <c r="C7499" s="2"/>
      <c r="D7499" s="1"/>
      <c r="E7499" s="2"/>
      <c r="F7499" s="1"/>
      <c r="G7499" s="1"/>
      <c r="H7499" s="1"/>
      <c r="I7499" s="1"/>
      <c r="J7499" s="1"/>
      <c r="K7499" s="1"/>
      <c r="L7499" s="1"/>
    </row>
    <row r="7500" spans="1:12" ht="12" customHeight="1" x14ac:dyDescent="0.25">
      <c r="A7500" s="12"/>
      <c r="B7500" s="1"/>
      <c r="C7500" s="2"/>
      <c r="D7500" s="1"/>
      <c r="E7500" s="2"/>
      <c r="F7500" s="1"/>
      <c r="G7500" s="1"/>
      <c r="H7500" s="1"/>
      <c r="I7500" s="1"/>
      <c r="J7500" s="1"/>
      <c r="K7500" s="1"/>
      <c r="L7500" s="1"/>
    </row>
    <row r="7501" spans="1:12" ht="12" customHeight="1" x14ac:dyDescent="0.25">
      <c r="A7501" s="12"/>
      <c r="B7501" s="1"/>
      <c r="C7501" s="2"/>
      <c r="D7501" s="1"/>
      <c r="E7501" s="2"/>
      <c r="F7501" s="1"/>
      <c r="G7501" s="1"/>
      <c r="H7501" s="1"/>
      <c r="I7501" s="1"/>
      <c r="J7501" s="1"/>
      <c r="K7501" s="1"/>
      <c r="L7501" s="1"/>
    </row>
    <row r="7502" spans="1:12" ht="12" customHeight="1" x14ac:dyDescent="0.25">
      <c r="A7502" s="12"/>
      <c r="B7502" s="1"/>
      <c r="C7502" s="2"/>
      <c r="D7502" s="1"/>
      <c r="E7502" s="2"/>
      <c r="F7502" s="1"/>
      <c r="G7502" s="1"/>
      <c r="H7502" s="1"/>
      <c r="I7502" s="1"/>
      <c r="J7502" s="1"/>
      <c r="K7502" s="1"/>
      <c r="L7502" s="1"/>
    </row>
    <row r="7503" spans="1:12" ht="12" customHeight="1" x14ac:dyDescent="0.25">
      <c r="A7503" s="12"/>
      <c r="B7503" s="1"/>
      <c r="C7503" s="2"/>
      <c r="D7503" s="1"/>
      <c r="E7503" s="2"/>
      <c r="F7503" s="1"/>
      <c r="G7503" s="1"/>
      <c r="H7503" s="1"/>
      <c r="I7503" s="1"/>
      <c r="J7503" s="1"/>
      <c r="K7503" s="1"/>
      <c r="L7503" s="1"/>
    </row>
    <row r="7504" spans="1:12" ht="12" customHeight="1" x14ac:dyDescent="0.25">
      <c r="A7504" s="12"/>
      <c r="B7504" s="1"/>
      <c r="C7504" s="2"/>
      <c r="D7504" s="1"/>
      <c r="E7504" s="2"/>
      <c r="F7504" s="1"/>
      <c r="G7504" s="1"/>
      <c r="H7504" s="1"/>
      <c r="I7504" s="1"/>
      <c r="J7504" s="1"/>
      <c r="K7504" s="1"/>
      <c r="L7504" s="1"/>
    </row>
    <row r="7505" spans="1:12" ht="12" customHeight="1" x14ac:dyDescent="0.25">
      <c r="A7505" s="12"/>
      <c r="B7505" s="1"/>
      <c r="C7505" s="2"/>
      <c r="D7505" s="1"/>
      <c r="E7505" s="2"/>
      <c r="F7505" s="1"/>
      <c r="G7505" s="1"/>
      <c r="H7505" s="1"/>
      <c r="I7505" s="1"/>
      <c r="J7505" s="1"/>
      <c r="K7505" s="1"/>
      <c r="L7505" s="1"/>
    </row>
    <row r="7506" spans="1:12" ht="12" customHeight="1" x14ac:dyDescent="0.25">
      <c r="A7506" s="12"/>
      <c r="B7506" s="1"/>
      <c r="C7506" s="2"/>
      <c r="D7506" s="1"/>
      <c r="E7506" s="2"/>
      <c r="F7506" s="1"/>
      <c r="G7506" s="1"/>
      <c r="H7506" s="1"/>
      <c r="I7506" s="1"/>
      <c r="J7506" s="1"/>
      <c r="K7506" s="1"/>
      <c r="L7506" s="1"/>
    </row>
    <row r="7507" spans="1:12" ht="12" customHeight="1" x14ac:dyDescent="0.25">
      <c r="A7507" s="12"/>
      <c r="B7507" s="1"/>
      <c r="C7507" s="2"/>
      <c r="D7507" s="1"/>
      <c r="E7507" s="2"/>
      <c r="F7507" s="1"/>
      <c r="G7507" s="1"/>
      <c r="H7507" s="1"/>
      <c r="I7507" s="1"/>
      <c r="J7507" s="1"/>
      <c r="K7507" s="1"/>
      <c r="L7507" s="1"/>
    </row>
    <row r="7508" spans="1:12" ht="12" customHeight="1" x14ac:dyDescent="0.25">
      <c r="A7508" s="12"/>
      <c r="B7508" s="1"/>
      <c r="C7508" s="2"/>
      <c r="D7508" s="1"/>
      <c r="E7508" s="2"/>
      <c r="F7508" s="1"/>
      <c r="G7508" s="1"/>
      <c r="H7508" s="1"/>
      <c r="I7508" s="1"/>
      <c r="J7508" s="1"/>
      <c r="K7508" s="1"/>
      <c r="L7508" s="1"/>
    </row>
    <row r="7509" spans="1:12" ht="12" customHeight="1" x14ac:dyDescent="0.25">
      <c r="A7509" s="12"/>
      <c r="B7509" s="1"/>
      <c r="C7509" s="2"/>
      <c r="D7509" s="1"/>
      <c r="E7509" s="2"/>
      <c r="F7509" s="1"/>
      <c r="G7509" s="1"/>
      <c r="H7509" s="1"/>
      <c r="I7509" s="1"/>
      <c r="J7509" s="1"/>
      <c r="K7509" s="1"/>
      <c r="L7509" s="1"/>
    </row>
    <row r="7510" spans="1:12" ht="12" customHeight="1" x14ac:dyDescent="0.25">
      <c r="A7510" s="12"/>
      <c r="B7510" s="1"/>
      <c r="C7510" s="2"/>
      <c r="D7510" s="1"/>
      <c r="E7510" s="2"/>
      <c r="F7510" s="1"/>
      <c r="G7510" s="1"/>
      <c r="H7510" s="1"/>
      <c r="I7510" s="1"/>
      <c r="J7510" s="1"/>
      <c r="K7510" s="1"/>
      <c r="L7510" s="1"/>
    </row>
    <row r="7511" spans="1:12" ht="12" customHeight="1" x14ac:dyDescent="0.25">
      <c r="A7511" s="12"/>
      <c r="B7511" s="1"/>
      <c r="C7511" s="2"/>
      <c r="D7511" s="1"/>
      <c r="E7511" s="2"/>
      <c r="F7511" s="1"/>
      <c r="G7511" s="1"/>
      <c r="H7511" s="1"/>
      <c r="I7511" s="1"/>
      <c r="J7511" s="1"/>
      <c r="K7511" s="1"/>
      <c r="L7511" s="1"/>
    </row>
    <row r="7512" spans="1:12" ht="12" customHeight="1" x14ac:dyDescent="0.25">
      <c r="A7512" s="12"/>
      <c r="B7512" s="1"/>
      <c r="C7512" s="2"/>
      <c r="D7512" s="1"/>
      <c r="E7512" s="2"/>
      <c r="F7512" s="1"/>
      <c r="G7512" s="1"/>
      <c r="H7512" s="1"/>
      <c r="I7512" s="1"/>
      <c r="J7512" s="1"/>
      <c r="K7512" s="1"/>
      <c r="L7512" s="1"/>
    </row>
    <row r="7513" spans="1:12" ht="12" customHeight="1" x14ac:dyDescent="0.25">
      <c r="A7513" s="12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ht="12" customHeight="1" x14ac:dyDescent="0.25">
      <c r="A7514" s="12"/>
      <c r="B7514" s="1"/>
      <c r="C7514" s="2"/>
      <c r="D7514" s="1"/>
      <c r="E7514" s="2"/>
      <c r="F7514" s="1"/>
      <c r="G7514" s="1"/>
      <c r="H7514" s="1"/>
      <c r="I7514" s="1"/>
      <c r="J7514" s="1"/>
      <c r="K7514" s="1"/>
      <c r="L7514" s="1"/>
    </row>
    <row r="7515" spans="1:12" x14ac:dyDescent="0.25">
      <c r="A7515" s="12"/>
      <c r="B7515" s="1"/>
      <c r="C7515" s="8"/>
      <c r="D7515" s="1"/>
      <c r="E7515" s="9"/>
      <c r="F7515" s="1"/>
      <c r="G7515" s="1"/>
      <c r="H7515" s="1"/>
      <c r="I7515" s="1"/>
      <c r="J7515" s="1"/>
      <c r="K7515" s="1"/>
      <c r="L7515" s="1"/>
    </row>
  </sheetData>
  <autoFilter ref="A1:A7515">
    <sortState ref="A2:K7514">
      <sortCondition descending="1" ref="A1:A7514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2024-10-09T15:06:44Z</dcterms:modified>
</cp:coreProperties>
</file>