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Penjualan!$A$1:$A$7516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9" i="13" l="1"/>
  <c r="G9" i="13"/>
  <c r="I9" i="13" s="1"/>
  <c r="F9" i="13"/>
  <c r="H9" i="13" s="1"/>
  <c r="D9" i="13"/>
  <c r="K8" i="13"/>
  <c r="G8" i="13"/>
  <c r="I8" i="13" s="1"/>
  <c r="F8" i="13"/>
  <c r="H8" i="13" s="1"/>
  <c r="J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J4" i="13" s="1"/>
  <c r="D4" i="13"/>
  <c r="K3" i="13"/>
  <c r="G3" i="13"/>
  <c r="I3" i="13" s="1"/>
  <c r="F3" i="13"/>
  <c r="H3" i="13" s="1"/>
  <c r="D3" i="13"/>
  <c r="K15" i="13"/>
  <c r="G15" i="13"/>
  <c r="I15" i="13" s="1"/>
  <c r="F15" i="13"/>
  <c r="H15" i="13" s="1"/>
  <c r="D15" i="13"/>
  <c r="K14" i="13"/>
  <c r="G14" i="13"/>
  <c r="I14" i="13" s="1"/>
  <c r="F14" i="13"/>
  <c r="H14" i="13" s="1"/>
  <c r="D14" i="13"/>
  <c r="K13" i="13"/>
  <c r="G13" i="13"/>
  <c r="I13" i="13" s="1"/>
  <c r="F13" i="13"/>
  <c r="H13" i="13" s="1"/>
  <c r="D13" i="13"/>
  <c r="K12" i="13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21" i="13"/>
  <c r="G21" i="13"/>
  <c r="I21" i="13" s="1"/>
  <c r="F21" i="13"/>
  <c r="H21" i="13" s="1"/>
  <c r="D21" i="13"/>
  <c r="K20" i="13"/>
  <c r="I20" i="13"/>
  <c r="G20" i="13"/>
  <c r="F20" i="13"/>
  <c r="H20" i="13" s="1"/>
  <c r="D20" i="13"/>
  <c r="K19" i="13"/>
  <c r="G19" i="13"/>
  <c r="I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J17" i="13" s="1"/>
  <c r="F17" i="13"/>
  <c r="H17" i="13" s="1"/>
  <c r="D17" i="13"/>
  <c r="K16" i="13"/>
  <c r="G16" i="13"/>
  <c r="I16" i="13" s="1"/>
  <c r="F16" i="13"/>
  <c r="H16" i="13" s="1"/>
  <c r="D16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G23" i="13"/>
  <c r="I23" i="13" s="1"/>
  <c r="F23" i="13"/>
  <c r="H23" i="13" s="1"/>
  <c r="D23" i="13"/>
  <c r="K22" i="13"/>
  <c r="G22" i="13"/>
  <c r="I22" i="13" s="1"/>
  <c r="F22" i="13"/>
  <c r="H22" i="13" s="1"/>
  <c r="D22" i="13"/>
  <c r="K33" i="13"/>
  <c r="G33" i="13"/>
  <c r="I33" i="13" s="1"/>
  <c r="F33" i="13"/>
  <c r="H33" i="13" s="1"/>
  <c r="D33" i="13"/>
  <c r="K32" i="13"/>
  <c r="I32" i="13"/>
  <c r="J32" i="13" s="1"/>
  <c r="G32" i="13"/>
  <c r="F32" i="13"/>
  <c r="H32" i="13" s="1"/>
  <c r="D32" i="13"/>
  <c r="K31" i="13"/>
  <c r="G31" i="13"/>
  <c r="I31" i="13" s="1"/>
  <c r="F31" i="13"/>
  <c r="H31" i="13" s="1"/>
  <c r="D31" i="13"/>
  <c r="K30" i="13"/>
  <c r="G30" i="13"/>
  <c r="I30" i="13" s="1"/>
  <c r="F30" i="13"/>
  <c r="H30" i="13" s="1"/>
  <c r="D30" i="13"/>
  <c r="K29" i="13"/>
  <c r="G29" i="13"/>
  <c r="I29" i="13" s="1"/>
  <c r="F29" i="13"/>
  <c r="H29" i="13" s="1"/>
  <c r="D29" i="13"/>
  <c r="K28" i="13"/>
  <c r="G28" i="13"/>
  <c r="I28" i="13" s="1"/>
  <c r="F28" i="13"/>
  <c r="H28" i="13" s="1"/>
  <c r="D28" i="13"/>
  <c r="K27" i="13"/>
  <c r="G27" i="13"/>
  <c r="I27" i="13" s="1"/>
  <c r="F27" i="13"/>
  <c r="H27" i="13" s="1"/>
  <c r="D27" i="13"/>
  <c r="K38" i="13"/>
  <c r="H38" i="13"/>
  <c r="G38" i="13"/>
  <c r="I38" i="13" s="1"/>
  <c r="J38" i="13" s="1"/>
  <c r="F38" i="13"/>
  <c r="D38" i="13"/>
  <c r="K37" i="13"/>
  <c r="G37" i="13"/>
  <c r="I37" i="13" s="1"/>
  <c r="J37" i="13" s="1"/>
  <c r="F37" i="13"/>
  <c r="H37" i="13" s="1"/>
  <c r="D37" i="13"/>
  <c r="K36" i="13"/>
  <c r="G36" i="13"/>
  <c r="I36" i="13" s="1"/>
  <c r="J36" i="13" s="1"/>
  <c r="F36" i="13"/>
  <c r="H36" i="13" s="1"/>
  <c r="D36" i="13"/>
  <c r="K35" i="13"/>
  <c r="H35" i="13"/>
  <c r="G35" i="13"/>
  <c r="I35" i="13" s="1"/>
  <c r="F35" i="13"/>
  <c r="D35" i="13"/>
  <c r="K34" i="13"/>
  <c r="G34" i="13"/>
  <c r="I34" i="13" s="1"/>
  <c r="F34" i="13"/>
  <c r="H34" i="13" s="1"/>
  <c r="D34" i="13"/>
  <c r="K47" i="13"/>
  <c r="G47" i="13"/>
  <c r="I47" i="13" s="1"/>
  <c r="F47" i="13"/>
  <c r="H47" i="13" s="1"/>
  <c r="D47" i="13"/>
  <c r="K46" i="13"/>
  <c r="G46" i="13"/>
  <c r="I46" i="13" s="1"/>
  <c r="F46" i="13"/>
  <c r="H46" i="13" s="1"/>
  <c r="D46" i="13"/>
  <c r="K45" i="13"/>
  <c r="G45" i="13"/>
  <c r="I45" i="13" s="1"/>
  <c r="F45" i="13"/>
  <c r="H45" i="13" s="1"/>
  <c r="D45" i="13"/>
  <c r="K44" i="13"/>
  <c r="H44" i="13"/>
  <c r="G44" i="13"/>
  <c r="I44" i="13" s="1"/>
  <c r="F44" i="13"/>
  <c r="D44" i="13"/>
  <c r="K43" i="13"/>
  <c r="G43" i="13"/>
  <c r="I43" i="13" s="1"/>
  <c r="F43" i="13"/>
  <c r="H43" i="13" s="1"/>
  <c r="D43" i="13"/>
  <c r="K42" i="13"/>
  <c r="G42" i="13"/>
  <c r="I42" i="13" s="1"/>
  <c r="J42" i="13" s="1"/>
  <c r="F42" i="13"/>
  <c r="H42" i="13" s="1"/>
  <c r="D42" i="13"/>
  <c r="K41" i="13"/>
  <c r="I41" i="13"/>
  <c r="G41" i="13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55" i="13"/>
  <c r="G55" i="13"/>
  <c r="I55" i="13" s="1"/>
  <c r="F55" i="13"/>
  <c r="H55" i="13" s="1"/>
  <c r="D55" i="13"/>
  <c r="K54" i="13"/>
  <c r="H54" i="13"/>
  <c r="G54" i="13"/>
  <c r="I54" i="13" s="1"/>
  <c r="F54" i="13"/>
  <c r="D54" i="13"/>
  <c r="K53" i="13"/>
  <c r="G53" i="13"/>
  <c r="I53" i="13" s="1"/>
  <c r="F53" i="13"/>
  <c r="H53" i="13" s="1"/>
  <c r="D53" i="13"/>
  <c r="K52" i="13"/>
  <c r="G52" i="13"/>
  <c r="I52" i="13" s="1"/>
  <c r="F52" i="13"/>
  <c r="H52" i="13" s="1"/>
  <c r="D52" i="13"/>
  <c r="K51" i="13"/>
  <c r="G51" i="13"/>
  <c r="I51" i="13" s="1"/>
  <c r="J51" i="13" s="1"/>
  <c r="F51" i="13"/>
  <c r="H51" i="13" s="1"/>
  <c r="D51" i="13"/>
  <c r="K50" i="13"/>
  <c r="I50" i="13"/>
  <c r="G50" i="13"/>
  <c r="F50" i="13"/>
  <c r="H50" i="13" s="1"/>
  <c r="D50" i="13"/>
  <c r="K49" i="13"/>
  <c r="G49" i="13"/>
  <c r="I49" i="13" s="1"/>
  <c r="F49" i="13"/>
  <c r="H49" i="13" s="1"/>
  <c r="D49" i="13"/>
  <c r="K48" i="13"/>
  <c r="G48" i="13"/>
  <c r="I48" i="13" s="1"/>
  <c r="F48" i="13"/>
  <c r="H48" i="13" s="1"/>
  <c r="D48" i="13"/>
  <c r="K58" i="13"/>
  <c r="G58" i="13"/>
  <c r="I58" i="13" s="1"/>
  <c r="F58" i="13"/>
  <c r="H58" i="13" s="1"/>
  <c r="D58" i="13"/>
  <c r="K57" i="13"/>
  <c r="I57" i="13"/>
  <c r="G57" i="13"/>
  <c r="F57" i="13"/>
  <c r="H57" i="13" s="1"/>
  <c r="D57" i="13"/>
  <c r="K56" i="13"/>
  <c r="G56" i="13"/>
  <c r="I56" i="13" s="1"/>
  <c r="F56" i="13"/>
  <c r="H56" i="13" s="1"/>
  <c r="D5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G63" i="13"/>
  <c r="I63" i="13" s="1"/>
  <c r="F63" i="13"/>
  <c r="H63" i="13" s="1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60" i="13"/>
  <c r="I60" i="13"/>
  <c r="G60" i="13"/>
  <c r="F60" i="13"/>
  <c r="H60" i="13" s="1"/>
  <c r="D60" i="13"/>
  <c r="K59" i="13"/>
  <c r="G59" i="13"/>
  <c r="I59" i="13" s="1"/>
  <c r="F59" i="13"/>
  <c r="H59" i="13" s="1"/>
  <c r="D59" i="13"/>
  <c r="K68" i="13"/>
  <c r="H68" i="13"/>
  <c r="G68" i="13"/>
  <c r="I68" i="13" s="1"/>
  <c r="F68" i="13"/>
  <c r="D68" i="13"/>
  <c r="K67" i="13"/>
  <c r="G67" i="13"/>
  <c r="I67" i="13" s="1"/>
  <c r="F67" i="13"/>
  <c r="H67" i="13" s="1"/>
  <c r="D67" i="13"/>
  <c r="K66" i="13"/>
  <c r="G66" i="13"/>
  <c r="I66" i="13" s="1"/>
  <c r="F66" i="13"/>
  <c r="H66" i="13" s="1"/>
  <c r="D66" i="13"/>
  <c r="K74" i="13"/>
  <c r="G74" i="13"/>
  <c r="I74" i="13" s="1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F71" i="13"/>
  <c r="H71" i="13" s="1"/>
  <c r="D71" i="13"/>
  <c r="K70" i="13"/>
  <c r="H70" i="13"/>
  <c r="G70" i="13"/>
  <c r="I70" i="13" s="1"/>
  <c r="F70" i="13"/>
  <c r="D70" i="13"/>
  <c r="K69" i="13"/>
  <c r="H69" i="13"/>
  <c r="G69" i="13"/>
  <c r="I69" i="13" s="1"/>
  <c r="F69" i="13"/>
  <c r="D69" i="13"/>
  <c r="K75" i="13"/>
  <c r="G75" i="13"/>
  <c r="I75" i="13" s="1"/>
  <c r="F75" i="13"/>
  <c r="H75" i="13" s="1"/>
  <c r="D75" i="13"/>
  <c r="K81" i="13"/>
  <c r="G81" i="13"/>
  <c r="I81" i="13" s="1"/>
  <c r="F81" i="13"/>
  <c r="H81" i="13" s="1"/>
  <c r="D81" i="13"/>
  <c r="K80" i="13"/>
  <c r="G80" i="13"/>
  <c r="I80" i="13" s="1"/>
  <c r="F80" i="13"/>
  <c r="H80" i="13" s="1"/>
  <c r="D80" i="13"/>
  <c r="K79" i="13"/>
  <c r="G79" i="13"/>
  <c r="I79" i="13" s="1"/>
  <c r="F79" i="13"/>
  <c r="H79" i="13" s="1"/>
  <c r="D79" i="13"/>
  <c r="K78" i="13"/>
  <c r="G78" i="13"/>
  <c r="I78" i="13" s="1"/>
  <c r="F78" i="13"/>
  <c r="H78" i="13" s="1"/>
  <c r="D78" i="13"/>
  <c r="K77" i="13"/>
  <c r="G77" i="13"/>
  <c r="I77" i="13" s="1"/>
  <c r="F77" i="13"/>
  <c r="H77" i="13" s="1"/>
  <c r="D77" i="13"/>
  <c r="K76" i="13"/>
  <c r="I76" i="13"/>
  <c r="H76" i="13"/>
  <c r="G76" i="13"/>
  <c r="F76" i="13"/>
  <c r="D76" i="13"/>
  <c r="K86" i="13"/>
  <c r="G86" i="13"/>
  <c r="I86" i="13" s="1"/>
  <c r="F86" i="13"/>
  <c r="H86" i="13" s="1"/>
  <c r="D86" i="13"/>
  <c r="K85" i="13"/>
  <c r="G85" i="13"/>
  <c r="I85" i="13" s="1"/>
  <c r="F85" i="13"/>
  <c r="H85" i="13" s="1"/>
  <c r="D85" i="13"/>
  <c r="K84" i="13"/>
  <c r="G84" i="13"/>
  <c r="I84" i="13" s="1"/>
  <c r="F84" i="13"/>
  <c r="H84" i="13" s="1"/>
  <c r="D84" i="13"/>
  <c r="K83" i="13"/>
  <c r="G83" i="13"/>
  <c r="I83" i="13" s="1"/>
  <c r="F83" i="13"/>
  <c r="H83" i="13" s="1"/>
  <c r="D83" i="13"/>
  <c r="K82" i="13"/>
  <c r="G82" i="13"/>
  <c r="I82" i="13" s="1"/>
  <c r="F82" i="13"/>
  <c r="H82" i="13" s="1"/>
  <c r="D82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88" i="13"/>
  <c r="G88" i="13"/>
  <c r="I88" i="13" s="1"/>
  <c r="F88" i="13"/>
  <c r="H88" i="13" s="1"/>
  <c r="D88" i="13"/>
  <c r="K87" i="13"/>
  <c r="I87" i="13"/>
  <c r="J87" i="13" s="1"/>
  <c r="G87" i="13"/>
  <c r="F87" i="13"/>
  <c r="H87" i="13" s="1"/>
  <c r="D87" i="13"/>
  <c r="K98" i="13"/>
  <c r="G98" i="13"/>
  <c r="I98" i="13" s="1"/>
  <c r="F98" i="13"/>
  <c r="H98" i="13" s="1"/>
  <c r="D98" i="13"/>
  <c r="K97" i="13"/>
  <c r="H97" i="13"/>
  <c r="G97" i="13"/>
  <c r="I97" i="13" s="1"/>
  <c r="F97" i="13"/>
  <c r="D97" i="13"/>
  <c r="K96" i="13"/>
  <c r="G96" i="13"/>
  <c r="I96" i="13" s="1"/>
  <c r="F96" i="13"/>
  <c r="H96" i="13" s="1"/>
  <c r="D96" i="13"/>
  <c r="K95" i="13"/>
  <c r="G95" i="13"/>
  <c r="I95" i="13" s="1"/>
  <c r="F95" i="13"/>
  <c r="H95" i="13" s="1"/>
  <c r="D95" i="13"/>
  <c r="K94" i="13"/>
  <c r="G94" i="13"/>
  <c r="I94" i="13" s="1"/>
  <c r="F94" i="13"/>
  <c r="H94" i="13" s="1"/>
  <c r="D94" i="13"/>
  <c r="K93" i="13"/>
  <c r="G93" i="13"/>
  <c r="I93" i="13" s="1"/>
  <c r="J93" i="13" s="1"/>
  <c r="F93" i="13"/>
  <c r="H93" i="13" s="1"/>
  <c r="D93" i="13"/>
  <c r="K103" i="13"/>
  <c r="G103" i="13"/>
  <c r="I103" i="13" s="1"/>
  <c r="J103" i="13" s="1"/>
  <c r="F103" i="13"/>
  <c r="H103" i="13" s="1"/>
  <c r="D103" i="13"/>
  <c r="K102" i="13"/>
  <c r="J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H100" i="13"/>
  <c r="G100" i="13"/>
  <c r="I100" i="13" s="1"/>
  <c r="F100" i="13"/>
  <c r="D100" i="13"/>
  <c r="K99" i="13"/>
  <c r="G99" i="13"/>
  <c r="I99" i="13" s="1"/>
  <c r="F99" i="13"/>
  <c r="H99" i="13" s="1"/>
  <c r="D99" i="13"/>
  <c r="K108" i="13"/>
  <c r="G108" i="13"/>
  <c r="I108" i="13" s="1"/>
  <c r="F108" i="13"/>
  <c r="H108" i="13" s="1"/>
  <c r="D108" i="13"/>
  <c r="K107" i="13"/>
  <c r="G107" i="13"/>
  <c r="I107" i="13" s="1"/>
  <c r="F107" i="13"/>
  <c r="H107" i="13" s="1"/>
  <c r="D107" i="13"/>
  <c r="K106" i="13"/>
  <c r="G106" i="13"/>
  <c r="I106" i="13" s="1"/>
  <c r="J106" i="13" s="1"/>
  <c r="F106" i="13"/>
  <c r="H106" i="13" s="1"/>
  <c r="D106" i="13"/>
  <c r="K105" i="13"/>
  <c r="J105" i="13"/>
  <c r="G105" i="13"/>
  <c r="I105" i="13" s="1"/>
  <c r="F105" i="13"/>
  <c r="H105" i="13" s="1"/>
  <c r="D105" i="13"/>
  <c r="K104" i="13"/>
  <c r="G104" i="13"/>
  <c r="I104" i="13" s="1"/>
  <c r="F104" i="13"/>
  <c r="H104" i="13" s="1"/>
  <c r="D104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13" i="13"/>
  <c r="G113" i="13"/>
  <c r="I113" i="13" s="1"/>
  <c r="J113" i="13" s="1"/>
  <c r="F113" i="13"/>
  <c r="H113" i="13" s="1"/>
  <c r="D113" i="13"/>
  <c r="K112" i="13"/>
  <c r="I112" i="13"/>
  <c r="G112" i="13"/>
  <c r="F112" i="13"/>
  <c r="H112" i="13" s="1"/>
  <c r="D112" i="13"/>
  <c r="K111" i="13"/>
  <c r="G111" i="13"/>
  <c r="I111" i="13" s="1"/>
  <c r="F111" i="13"/>
  <c r="H111" i="13" s="1"/>
  <c r="D111" i="13"/>
  <c r="K110" i="13"/>
  <c r="G110" i="13"/>
  <c r="I110" i="13" s="1"/>
  <c r="F110" i="13"/>
  <c r="H110" i="13" s="1"/>
  <c r="D110" i="13"/>
  <c r="K109" i="13"/>
  <c r="G109" i="13"/>
  <c r="I109" i="13" s="1"/>
  <c r="F109" i="13"/>
  <c r="H109" i="13" s="1"/>
  <c r="D109" i="13"/>
  <c r="K121" i="13"/>
  <c r="G121" i="13"/>
  <c r="I121" i="13" s="1"/>
  <c r="F121" i="13"/>
  <c r="H121" i="13" s="1"/>
  <c r="D121" i="13"/>
  <c r="K120" i="13"/>
  <c r="G120" i="13"/>
  <c r="I120" i="13" s="1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H117" i="13"/>
  <c r="G117" i="13"/>
  <c r="I117" i="13" s="1"/>
  <c r="F117" i="13"/>
  <c r="D117" i="13"/>
  <c r="K126" i="13"/>
  <c r="G126" i="13"/>
  <c r="I126" i="13" s="1"/>
  <c r="F126" i="13"/>
  <c r="H126" i="13" s="1"/>
  <c r="D126" i="13"/>
  <c r="K125" i="13"/>
  <c r="G125" i="13"/>
  <c r="I125" i="13" s="1"/>
  <c r="J125" i="13" s="1"/>
  <c r="F125" i="13"/>
  <c r="H125" i="13" s="1"/>
  <c r="D125" i="13"/>
  <c r="K124" i="13"/>
  <c r="G124" i="13"/>
  <c r="I124" i="13" s="1"/>
  <c r="J124" i="13" s="1"/>
  <c r="F124" i="13"/>
  <c r="H124" i="13" s="1"/>
  <c r="D124" i="13"/>
  <c r="K123" i="13"/>
  <c r="I123" i="13"/>
  <c r="G123" i="13"/>
  <c r="F123" i="13"/>
  <c r="H123" i="13" s="1"/>
  <c r="D123" i="13"/>
  <c r="K122" i="13"/>
  <c r="G122" i="13"/>
  <c r="I122" i="13" s="1"/>
  <c r="F122" i="13"/>
  <c r="H122" i="13" s="1"/>
  <c r="D122" i="13"/>
  <c r="K130" i="13"/>
  <c r="G130" i="13"/>
  <c r="I130" i="13" s="1"/>
  <c r="F130" i="13"/>
  <c r="H130" i="13" s="1"/>
  <c r="D130" i="13"/>
  <c r="K129" i="13"/>
  <c r="G129" i="13"/>
  <c r="I129" i="13" s="1"/>
  <c r="F129" i="13"/>
  <c r="H129" i="13" s="1"/>
  <c r="D129" i="13"/>
  <c r="K128" i="13"/>
  <c r="G128" i="13"/>
  <c r="I128" i="13" s="1"/>
  <c r="F128" i="13"/>
  <c r="H128" i="13" s="1"/>
  <c r="D128" i="13"/>
  <c r="K127" i="13"/>
  <c r="G127" i="13"/>
  <c r="I127" i="13" s="1"/>
  <c r="F127" i="13"/>
  <c r="H127" i="13" s="1"/>
  <c r="D127" i="13"/>
  <c r="K135" i="13"/>
  <c r="G135" i="13"/>
  <c r="I135" i="13" s="1"/>
  <c r="F135" i="13"/>
  <c r="H135" i="13" s="1"/>
  <c r="D135" i="13"/>
  <c r="K134" i="13"/>
  <c r="G134" i="13"/>
  <c r="I134" i="13" s="1"/>
  <c r="F134" i="13"/>
  <c r="H134" i="13" s="1"/>
  <c r="D134" i="13"/>
  <c r="K133" i="13"/>
  <c r="G133" i="13"/>
  <c r="I133" i="13" s="1"/>
  <c r="F133" i="13"/>
  <c r="H133" i="13" s="1"/>
  <c r="D133" i="13"/>
  <c r="K132" i="13"/>
  <c r="G132" i="13"/>
  <c r="I132" i="13" s="1"/>
  <c r="F132" i="13"/>
  <c r="H132" i="13" s="1"/>
  <c r="D132" i="13"/>
  <c r="K131" i="13"/>
  <c r="H131" i="13"/>
  <c r="G131" i="13"/>
  <c r="I131" i="13" s="1"/>
  <c r="F131" i="13"/>
  <c r="D131" i="13"/>
  <c r="K141" i="13"/>
  <c r="G141" i="13"/>
  <c r="I141" i="13" s="1"/>
  <c r="J141" i="13" s="1"/>
  <c r="F141" i="13"/>
  <c r="H141" i="13" s="1"/>
  <c r="D141" i="13"/>
  <c r="K140" i="13"/>
  <c r="G140" i="13"/>
  <c r="I140" i="13" s="1"/>
  <c r="F140" i="13"/>
  <c r="H140" i="13" s="1"/>
  <c r="D140" i="13"/>
  <c r="K139" i="13"/>
  <c r="I139" i="13"/>
  <c r="G139" i="13"/>
  <c r="F139" i="13"/>
  <c r="H139" i="13" s="1"/>
  <c r="J139" i="13" s="1"/>
  <c r="D139" i="13"/>
  <c r="K138" i="13"/>
  <c r="G138" i="13"/>
  <c r="I138" i="13" s="1"/>
  <c r="F138" i="13"/>
  <c r="H138" i="13" s="1"/>
  <c r="D138" i="13"/>
  <c r="K137" i="13"/>
  <c r="G137" i="13"/>
  <c r="I137" i="13" s="1"/>
  <c r="F137" i="13"/>
  <c r="H137" i="13" s="1"/>
  <c r="D137" i="13"/>
  <c r="K136" i="13"/>
  <c r="G136" i="13"/>
  <c r="I136" i="13" s="1"/>
  <c r="F136" i="13"/>
  <c r="H136" i="13" s="1"/>
  <c r="D136" i="13"/>
  <c r="K145" i="13"/>
  <c r="I145" i="13"/>
  <c r="H145" i="13"/>
  <c r="G145" i="13"/>
  <c r="F145" i="13"/>
  <c r="D145" i="13"/>
  <c r="K144" i="13"/>
  <c r="G144" i="13"/>
  <c r="I144" i="13" s="1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F142" i="13"/>
  <c r="H142" i="13" s="1"/>
  <c r="D142" i="13"/>
  <c r="K152" i="13"/>
  <c r="H152" i="13"/>
  <c r="G152" i="13"/>
  <c r="I152" i="13" s="1"/>
  <c r="F152" i="13"/>
  <c r="D152" i="13"/>
  <c r="K151" i="13"/>
  <c r="G151" i="13"/>
  <c r="I151" i="13" s="1"/>
  <c r="F151" i="13"/>
  <c r="H151" i="13" s="1"/>
  <c r="D151" i="13"/>
  <c r="K150" i="13"/>
  <c r="G150" i="13"/>
  <c r="I150" i="13" s="1"/>
  <c r="J150" i="13" s="1"/>
  <c r="F150" i="13"/>
  <c r="H150" i="13" s="1"/>
  <c r="D150" i="13"/>
  <c r="K149" i="13"/>
  <c r="I149" i="13"/>
  <c r="G149" i="13"/>
  <c r="F149" i="13"/>
  <c r="H149" i="13" s="1"/>
  <c r="D149" i="13"/>
  <c r="K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59" i="13"/>
  <c r="G159" i="13"/>
  <c r="I159" i="13" s="1"/>
  <c r="F159" i="13"/>
  <c r="H159" i="13" s="1"/>
  <c r="D159" i="13"/>
  <c r="K158" i="13"/>
  <c r="I158" i="13"/>
  <c r="G158" i="13"/>
  <c r="F158" i="13"/>
  <c r="H158" i="13" s="1"/>
  <c r="D158" i="13"/>
  <c r="K157" i="13"/>
  <c r="G157" i="13"/>
  <c r="I157" i="13" s="1"/>
  <c r="F157" i="13"/>
  <c r="H157" i="13" s="1"/>
  <c r="D157" i="13"/>
  <c r="K156" i="13"/>
  <c r="G156" i="13"/>
  <c r="I156" i="13" s="1"/>
  <c r="F156" i="13"/>
  <c r="H156" i="13" s="1"/>
  <c r="D156" i="13"/>
  <c r="K155" i="13"/>
  <c r="G155" i="13"/>
  <c r="I155" i="13" s="1"/>
  <c r="F155" i="13"/>
  <c r="H155" i="13" s="1"/>
  <c r="D155" i="13"/>
  <c r="K154" i="13"/>
  <c r="I154" i="13"/>
  <c r="G154" i="13"/>
  <c r="F154" i="13"/>
  <c r="H154" i="13" s="1"/>
  <c r="D154" i="13"/>
  <c r="K153" i="13"/>
  <c r="G153" i="13"/>
  <c r="I153" i="13" s="1"/>
  <c r="F153" i="13"/>
  <c r="H153" i="13" s="1"/>
  <c r="D153" i="13"/>
  <c r="K164" i="13"/>
  <c r="G164" i="13"/>
  <c r="I164" i="13" s="1"/>
  <c r="F164" i="13"/>
  <c r="H164" i="13" s="1"/>
  <c r="D164" i="13"/>
  <c r="K163" i="13"/>
  <c r="G163" i="13"/>
  <c r="I163" i="13" s="1"/>
  <c r="F163" i="13"/>
  <c r="H163" i="13" s="1"/>
  <c r="D163" i="13"/>
  <c r="K162" i="13"/>
  <c r="G162" i="13"/>
  <c r="I162" i="13" s="1"/>
  <c r="F162" i="13"/>
  <c r="H162" i="13" s="1"/>
  <c r="D162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72" i="13"/>
  <c r="G172" i="13"/>
  <c r="I172" i="13" s="1"/>
  <c r="F172" i="13"/>
  <c r="H172" i="13" s="1"/>
  <c r="D172" i="13"/>
  <c r="K171" i="13"/>
  <c r="G171" i="13"/>
  <c r="I171" i="13" s="1"/>
  <c r="F171" i="13"/>
  <c r="H171" i="13" s="1"/>
  <c r="D171" i="13"/>
  <c r="K170" i="13"/>
  <c r="G170" i="13"/>
  <c r="I170" i="13" s="1"/>
  <c r="F170" i="13"/>
  <c r="H170" i="13" s="1"/>
  <c r="D170" i="13"/>
  <c r="K169" i="13"/>
  <c r="G169" i="13"/>
  <c r="I169" i="13" s="1"/>
  <c r="J169" i="13" s="1"/>
  <c r="F169" i="13"/>
  <c r="H169" i="13" s="1"/>
  <c r="D169" i="13"/>
  <c r="K168" i="13"/>
  <c r="I168" i="13"/>
  <c r="G168" i="13"/>
  <c r="F168" i="13"/>
  <c r="H168" i="13" s="1"/>
  <c r="D168" i="13"/>
  <c r="K167" i="13"/>
  <c r="G167" i="13"/>
  <c r="I167" i="13" s="1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74" i="13"/>
  <c r="H174" i="13"/>
  <c r="G174" i="13"/>
  <c r="I174" i="13" s="1"/>
  <c r="J174" i="13" s="1"/>
  <c r="F174" i="13"/>
  <c r="D174" i="13"/>
  <c r="K173" i="13"/>
  <c r="G173" i="13"/>
  <c r="I173" i="13" s="1"/>
  <c r="J173" i="13" s="1"/>
  <c r="F173" i="13"/>
  <c r="H173" i="13" s="1"/>
  <c r="D173" i="13"/>
  <c r="K184" i="13"/>
  <c r="I184" i="13"/>
  <c r="J184" i="13" s="1"/>
  <c r="G184" i="13"/>
  <c r="F184" i="13"/>
  <c r="H184" i="13" s="1"/>
  <c r="D184" i="13"/>
  <c r="K183" i="13"/>
  <c r="G183" i="13"/>
  <c r="I183" i="13" s="1"/>
  <c r="F183" i="13"/>
  <c r="H183" i="13" s="1"/>
  <c r="D183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80" i="13"/>
  <c r="G180" i="13"/>
  <c r="I180" i="13" s="1"/>
  <c r="F180" i="13"/>
  <c r="H180" i="13" s="1"/>
  <c r="D180" i="13"/>
  <c r="K179" i="13"/>
  <c r="G179" i="13"/>
  <c r="I179" i="13" s="1"/>
  <c r="F179" i="13"/>
  <c r="H179" i="13" s="1"/>
  <c r="D179" i="13"/>
  <c r="K178" i="13"/>
  <c r="H178" i="13"/>
  <c r="G178" i="13"/>
  <c r="I178" i="13" s="1"/>
  <c r="J178" i="13" s="1"/>
  <c r="F178" i="13"/>
  <c r="D178" i="13"/>
  <c r="K177" i="13"/>
  <c r="J177" i="13"/>
  <c r="G177" i="13"/>
  <c r="I177" i="13" s="1"/>
  <c r="F177" i="13"/>
  <c r="H177" i="13" s="1"/>
  <c r="D177" i="13"/>
  <c r="K193" i="13"/>
  <c r="G193" i="13"/>
  <c r="I193" i="13" s="1"/>
  <c r="J193" i="13" s="1"/>
  <c r="F193" i="13"/>
  <c r="H193" i="13" s="1"/>
  <c r="D193" i="13"/>
  <c r="K192" i="13"/>
  <c r="G192" i="13"/>
  <c r="I192" i="13" s="1"/>
  <c r="F192" i="13"/>
  <c r="H192" i="13" s="1"/>
  <c r="D192" i="13"/>
  <c r="K191" i="13"/>
  <c r="G191" i="13"/>
  <c r="I191" i="13" s="1"/>
  <c r="F191" i="13"/>
  <c r="H191" i="13" s="1"/>
  <c r="D191" i="13"/>
  <c r="K190" i="13"/>
  <c r="G190" i="13"/>
  <c r="I190" i="13" s="1"/>
  <c r="F190" i="13"/>
  <c r="H190" i="13" s="1"/>
  <c r="J190" i="13" s="1"/>
  <c r="D190" i="13"/>
  <c r="K189" i="13"/>
  <c r="G189" i="13"/>
  <c r="I189" i="13" s="1"/>
  <c r="F189" i="13"/>
  <c r="H189" i="13" s="1"/>
  <c r="D189" i="13"/>
  <c r="K188" i="13"/>
  <c r="G188" i="13"/>
  <c r="I188" i="13" s="1"/>
  <c r="F188" i="13"/>
  <c r="H188" i="13" s="1"/>
  <c r="D188" i="13"/>
  <c r="K187" i="13"/>
  <c r="H187" i="13"/>
  <c r="G187" i="13"/>
  <c r="I187" i="13" s="1"/>
  <c r="J187" i="13" s="1"/>
  <c r="F187" i="13"/>
  <c r="D187" i="13"/>
  <c r="K186" i="13"/>
  <c r="G186" i="13"/>
  <c r="I186" i="13" s="1"/>
  <c r="F186" i="13"/>
  <c r="H186" i="13" s="1"/>
  <c r="D186" i="13"/>
  <c r="K185" i="13"/>
  <c r="G185" i="13"/>
  <c r="I185" i="13" s="1"/>
  <c r="J185" i="13" s="1"/>
  <c r="F185" i="13"/>
  <c r="H185" i="13" s="1"/>
  <c r="D185" i="13"/>
  <c r="K197" i="13"/>
  <c r="I197" i="13"/>
  <c r="G197" i="13"/>
  <c r="F197" i="13"/>
  <c r="H197" i="13" s="1"/>
  <c r="D197" i="13"/>
  <c r="K196" i="13"/>
  <c r="G196" i="13"/>
  <c r="I196" i="13" s="1"/>
  <c r="F196" i="13"/>
  <c r="H196" i="13" s="1"/>
  <c r="D196" i="13"/>
  <c r="K195" i="13"/>
  <c r="G195" i="13"/>
  <c r="I195" i="13" s="1"/>
  <c r="F195" i="13"/>
  <c r="H195" i="13" s="1"/>
  <c r="D195" i="13"/>
  <c r="K194" i="13"/>
  <c r="G194" i="13"/>
  <c r="I194" i="13" s="1"/>
  <c r="F194" i="13"/>
  <c r="H194" i="13" s="1"/>
  <c r="D194" i="13"/>
  <c r="K203" i="13"/>
  <c r="G203" i="13"/>
  <c r="I203" i="13" s="1"/>
  <c r="F203" i="13"/>
  <c r="H203" i="13" s="1"/>
  <c r="D203" i="13"/>
  <c r="K202" i="13"/>
  <c r="G202" i="13"/>
  <c r="I202" i="13" s="1"/>
  <c r="F202" i="13"/>
  <c r="H202" i="13" s="1"/>
  <c r="J202" i="13" s="1"/>
  <c r="D202" i="13"/>
  <c r="K201" i="13"/>
  <c r="H201" i="13"/>
  <c r="G201" i="13"/>
  <c r="I201" i="13" s="1"/>
  <c r="J201" i="13" s="1"/>
  <c r="F201" i="13"/>
  <c r="D201" i="13"/>
  <c r="K200" i="13"/>
  <c r="G200" i="13"/>
  <c r="I200" i="13" s="1"/>
  <c r="J200" i="13" s="1"/>
  <c r="F200" i="13"/>
  <c r="H200" i="13" s="1"/>
  <c r="D200" i="13"/>
  <c r="K199" i="13"/>
  <c r="I199" i="13"/>
  <c r="J199" i="13" s="1"/>
  <c r="G199" i="13"/>
  <c r="F199" i="13"/>
  <c r="H199" i="13" s="1"/>
  <c r="D199" i="13"/>
  <c r="K198" i="13"/>
  <c r="G198" i="13"/>
  <c r="I198" i="13" s="1"/>
  <c r="F198" i="13"/>
  <c r="H198" i="13" s="1"/>
  <c r="J198" i="13" s="1"/>
  <c r="D198" i="13"/>
  <c r="K208" i="13"/>
  <c r="G208" i="13"/>
  <c r="I208" i="13" s="1"/>
  <c r="F208" i="13"/>
  <c r="H208" i="13" s="1"/>
  <c r="D208" i="13"/>
  <c r="K207" i="13"/>
  <c r="G207" i="13"/>
  <c r="I207" i="13" s="1"/>
  <c r="F207" i="13"/>
  <c r="H207" i="13" s="1"/>
  <c r="D207" i="13"/>
  <c r="K206" i="13"/>
  <c r="G206" i="13"/>
  <c r="I206" i="13" s="1"/>
  <c r="F206" i="13"/>
  <c r="H206" i="13" s="1"/>
  <c r="D206" i="13"/>
  <c r="K205" i="13"/>
  <c r="G205" i="13"/>
  <c r="I205" i="13" s="1"/>
  <c r="F205" i="13"/>
  <c r="H205" i="13" s="1"/>
  <c r="J205" i="13" s="1"/>
  <c r="D205" i="13"/>
  <c r="K204" i="13"/>
  <c r="H204" i="13"/>
  <c r="G204" i="13"/>
  <c r="I204" i="13" s="1"/>
  <c r="J204" i="13" s="1"/>
  <c r="F204" i="13"/>
  <c r="D204" i="13"/>
  <c r="K213" i="13"/>
  <c r="G213" i="13"/>
  <c r="I213" i="13" s="1"/>
  <c r="J213" i="13" s="1"/>
  <c r="F213" i="13"/>
  <c r="H213" i="13" s="1"/>
  <c r="D213" i="13"/>
  <c r="K212" i="13"/>
  <c r="I212" i="13"/>
  <c r="J212" i="13" s="1"/>
  <c r="G212" i="13"/>
  <c r="F212" i="13"/>
  <c r="H212" i="13" s="1"/>
  <c r="D212" i="13"/>
  <c r="K211" i="13"/>
  <c r="G211" i="13"/>
  <c r="I211" i="13" s="1"/>
  <c r="F211" i="13"/>
  <c r="H211" i="13" s="1"/>
  <c r="J211" i="13" s="1"/>
  <c r="D211" i="13"/>
  <c r="K210" i="13"/>
  <c r="G210" i="13"/>
  <c r="I210" i="13" s="1"/>
  <c r="F210" i="13"/>
  <c r="H210" i="13" s="1"/>
  <c r="D210" i="13"/>
  <c r="K209" i="13"/>
  <c r="G209" i="13"/>
  <c r="I209" i="13" s="1"/>
  <c r="F209" i="13"/>
  <c r="H209" i="13" s="1"/>
  <c r="D209" i="13"/>
  <c r="K219" i="13"/>
  <c r="G219" i="13"/>
  <c r="I219" i="13" s="1"/>
  <c r="F219" i="13"/>
  <c r="H219" i="13" s="1"/>
  <c r="D219" i="13"/>
  <c r="K218" i="13"/>
  <c r="G218" i="13"/>
  <c r="I218" i="13" s="1"/>
  <c r="F218" i="13"/>
  <c r="H218" i="13" s="1"/>
  <c r="J218" i="13" s="1"/>
  <c r="D218" i="13"/>
  <c r="K217" i="13"/>
  <c r="H217" i="13"/>
  <c r="G217" i="13"/>
  <c r="I217" i="13" s="1"/>
  <c r="J217" i="13" s="1"/>
  <c r="F217" i="13"/>
  <c r="D217" i="13"/>
  <c r="K216" i="13"/>
  <c r="G216" i="13"/>
  <c r="I216" i="13" s="1"/>
  <c r="J216" i="13" s="1"/>
  <c r="F216" i="13"/>
  <c r="H216" i="13" s="1"/>
  <c r="D216" i="13"/>
  <c r="K215" i="13"/>
  <c r="I215" i="13"/>
  <c r="J215" i="13" s="1"/>
  <c r="G215" i="13"/>
  <c r="F215" i="13"/>
  <c r="H215" i="13" s="1"/>
  <c r="D215" i="13"/>
  <c r="K214" i="13"/>
  <c r="G214" i="13"/>
  <c r="I214" i="13" s="1"/>
  <c r="F214" i="13"/>
  <c r="H214" i="13" s="1"/>
  <c r="J214" i="13" s="1"/>
  <c r="D214" i="13"/>
  <c r="K227" i="13"/>
  <c r="G227" i="13"/>
  <c r="I227" i="13" s="1"/>
  <c r="F227" i="13"/>
  <c r="H227" i="13" s="1"/>
  <c r="D227" i="13"/>
  <c r="K226" i="13"/>
  <c r="G226" i="13"/>
  <c r="I226" i="13" s="1"/>
  <c r="F226" i="13"/>
  <c r="H226" i="13" s="1"/>
  <c r="D226" i="13"/>
  <c r="K225" i="13"/>
  <c r="G225" i="13"/>
  <c r="I225" i="13" s="1"/>
  <c r="F225" i="13"/>
  <c r="H225" i="13" s="1"/>
  <c r="D225" i="13"/>
  <c r="K224" i="13"/>
  <c r="G224" i="13"/>
  <c r="I224" i="13" s="1"/>
  <c r="F224" i="13"/>
  <c r="H224" i="13" s="1"/>
  <c r="J224" i="13" s="1"/>
  <c r="D224" i="13"/>
  <c r="K223" i="13"/>
  <c r="H223" i="13"/>
  <c r="G223" i="13"/>
  <c r="I223" i="13" s="1"/>
  <c r="J223" i="13" s="1"/>
  <c r="F223" i="13"/>
  <c r="D223" i="13"/>
  <c r="K222" i="13"/>
  <c r="G222" i="13"/>
  <c r="I222" i="13" s="1"/>
  <c r="J222" i="13" s="1"/>
  <c r="F222" i="13"/>
  <c r="H222" i="13" s="1"/>
  <c r="D222" i="13"/>
  <c r="K221" i="13"/>
  <c r="I221" i="13"/>
  <c r="J221" i="13" s="1"/>
  <c r="G221" i="13"/>
  <c r="F221" i="13"/>
  <c r="H221" i="13" s="1"/>
  <c r="D221" i="13"/>
  <c r="K220" i="13"/>
  <c r="G220" i="13"/>
  <c r="I220" i="13" s="1"/>
  <c r="F220" i="13"/>
  <c r="H220" i="13" s="1"/>
  <c r="J220" i="13" s="1"/>
  <c r="D220" i="13"/>
  <c r="K236" i="13"/>
  <c r="G236" i="13"/>
  <c r="I236" i="13" s="1"/>
  <c r="F236" i="13"/>
  <c r="H236" i="13" s="1"/>
  <c r="D236" i="13"/>
  <c r="K235" i="13"/>
  <c r="G235" i="13"/>
  <c r="I235" i="13" s="1"/>
  <c r="F235" i="13"/>
  <c r="H235" i="13" s="1"/>
  <c r="D235" i="13"/>
  <c r="K234" i="13"/>
  <c r="G234" i="13"/>
  <c r="I234" i="13" s="1"/>
  <c r="F234" i="13"/>
  <c r="H234" i="13" s="1"/>
  <c r="D234" i="13"/>
  <c r="K233" i="13"/>
  <c r="G233" i="13"/>
  <c r="I233" i="13" s="1"/>
  <c r="F233" i="13"/>
  <c r="H233" i="13" s="1"/>
  <c r="J233" i="13" s="1"/>
  <c r="D233" i="13"/>
  <c r="K232" i="13"/>
  <c r="H232" i="13"/>
  <c r="G232" i="13"/>
  <c r="I232" i="13" s="1"/>
  <c r="J232" i="13" s="1"/>
  <c r="F232" i="13"/>
  <c r="D232" i="13"/>
  <c r="K231" i="13"/>
  <c r="G231" i="13"/>
  <c r="I231" i="13" s="1"/>
  <c r="J231" i="13" s="1"/>
  <c r="F231" i="13"/>
  <c r="H231" i="13" s="1"/>
  <c r="D231" i="13"/>
  <c r="K230" i="13"/>
  <c r="I230" i="13"/>
  <c r="J230" i="13" s="1"/>
  <c r="G230" i="13"/>
  <c r="F230" i="13"/>
  <c r="H230" i="13" s="1"/>
  <c r="D230" i="13"/>
  <c r="K229" i="13"/>
  <c r="G229" i="13"/>
  <c r="I229" i="13" s="1"/>
  <c r="F229" i="13"/>
  <c r="H229" i="13" s="1"/>
  <c r="J229" i="13" s="1"/>
  <c r="D229" i="13"/>
  <c r="K228" i="13"/>
  <c r="G228" i="13"/>
  <c r="I228" i="13" s="1"/>
  <c r="F228" i="13"/>
  <c r="H228" i="13" s="1"/>
  <c r="D228" i="13"/>
  <c r="K239" i="13"/>
  <c r="G239" i="13"/>
  <c r="I239" i="13" s="1"/>
  <c r="F239" i="13"/>
  <c r="H239" i="13" s="1"/>
  <c r="D239" i="13"/>
  <c r="K238" i="13"/>
  <c r="G238" i="13"/>
  <c r="I238" i="13" s="1"/>
  <c r="F238" i="13"/>
  <c r="H238" i="13" s="1"/>
  <c r="D238" i="13"/>
  <c r="K237" i="13"/>
  <c r="G237" i="13"/>
  <c r="I237" i="13" s="1"/>
  <c r="F237" i="13"/>
  <c r="H237" i="13" s="1"/>
  <c r="J237" i="13" s="1"/>
  <c r="D237" i="13"/>
  <c r="K245" i="13"/>
  <c r="H245" i="13"/>
  <c r="G245" i="13"/>
  <c r="I245" i="13" s="1"/>
  <c r="F245" i="13"/>
  <c r="D245" i="13"/>
  <c r="K244" i="13"/>
  <c r="G244" i="13"/>
  <c r="I244" i="13" s="1"/>
  <c r="J244" i="13" s="1"/>
  <c r="F244" i="13"/>
  <c r="H244" i="13" s="1"/>
  <c r="D244" i="13"/>
  <c r="K243" i="13"/>
  <c r="I243" i="13"/>
  <c r="J243" i="13" s="1"/>
  <c r="G243" i="13"/>
  <c r="F243" i="13"/>
  <c r="H243" i="13" s="1"/>
  <c r="D243" i="13"/>
  <c r="K242" i="13"/>
  <c r="G242" i="13"/>
  <c r="I242" i="13" s="1"/>
  <c r="F242" i="13"/>
  <c r="H242" i="13" s="1"/>
  <c r="J242" i="13" s="1"/>
  <c r="D242" i="13"/>
  <c r="K241" i="13"/>
  <c r="G241" i="13"/>
  <c r="I241" i="13" s="1"/>
  <c r="F241" i="13"/>
  <c r="H241" i="13" s="1"/>
  <c r="D241" i="13"/>
  <c r="K240" i="13"/>
  <c r="G240" i="13"/>
  <c r="I240" i="13" s="1"/>
  <c r="F240" i="13"/>
  <c r="H240" i="13" s="1"/>
  <c r="D240" i="13"/>
  <c r="K252" i="13"/>
  <c r="G252" i="13"/>
  <c r="I252" i="13" s="1"/>
  <c r="F252" i="13"/>
  <c r="H252" i="13" s="1"/>
  <c r="D252" i="13"/>
  <c r="K251" i="13"/>
  <c r="G251" i="13"/>
  <c r="I251" i="13" s="1"/>
  <c r="F251" i="13"/>
  <c r="H251" i="13" s="1"/>
  <c r="J251" i="13" s="1"/>
  <c r="D251" i="13"/>
  <c r="K250" i="13"/>
  <c r="H250" i="13"/>
  <c r="G250" i="13"/>
  <c r="I250" i="13" s="1"/>
  <c r="F250" i="13"/>
  <c r="D250" i="13"/>
  <c r="K249" i="13"/>
  <c r="G249" i="13"/>
  <c r="I249" i="13" s="1"/>
  <c r="J249" i="13" s="1"/>
  <c r="F249" i="13"/>
  <c r="H249" i="13" s="1"/>
  <c r="D249" i="13"/>
  <c r="K248" i="13"/>
  <c r="I248" i="13"/>
  <c r="J248" i="13" s="1"/>
  <c r="G248" i="13"/>
  <c r="F248" i="13"/>
  <c r="H248" i="13" s="1"/>
  <c r="D248" i="13"/>
  <c r="K247" i="13"/>
  <c r="G247" i="13"/>
  <c r="I247" i="13" s="1"/>
  <c r="F247" i="13"/>
  <c r="H247" i="13" s="1"/>
  <c r="J247" i="13" s="1"/>
  <c r="D247" i="13"/>
  <c r="K246" i="13"/>
  <c r="G246" i="13"/>
  <c r="I246" i="13" s="1"/>
  <c r="F246" i="13"/>
  <c r="H246" i="13" s="1"/>
  <c r="D246" i="13"/>
  <c r="K259" i="13"/>
  <c r="G259" i="13"/>
  <c r="I259" i="13" s="1"/>
  <c r="F259" i="13"/>
  <c r="H259" i="13" s="1"/>
  <c r="D259" i="13"/>
  <c r="K258" i="13"/>
  <c r="G258" i="13"/>
  <c r="I258" i="13" s="1"/>
  <c r="F258" i="13"/>
  <c r="H258" i="13" s="1"/>
  <c r="D258" i="13"/>
  <c r="K257" i="13"/>
  <c r="G257" i="13"/>
  <c r="I257" i="13" s="1"/>
  <c r="F257" i="13"/>
  <c r="H257" i="13" s="1"/>
  <c r="J257" i="13" s="1"/>
  <c r="D257" i="13"/>
  <c r="K256" i="13"/>
  <c r="H256" i="13"/>
  <c r="G256" i="13"/>
  <c r="I256" i="13" s="1"/>
  <c r="F256" i="13"/>
  <c r="D256" i="13"/>
  <c r="K255" i="13"/>
  <c r="J255" i="13"/>
  <c r="G255" i="13"/>
  <c r="I255" i="13" s="1"/>
  <c r="F255" i="13"/>
  <c r="H255" i="13" s="1"/>
  <c r="D255" i="13"/>
  <c r="K254" i="13"/>
  <c r="G254" i="13"/>
  <c r="I254" i="13" s="1"/>
  <c r="F254" i="13"/>
  <c r="H254" i="13" s="1"/>
  <c r="D254" i="13"/>
  <c r="K253" i="13"/>
  <c r="G253" i="13"/>
  <c r="I253" i="13" s="1"/>
  <c r="F253" i="13"/>
  <c r="H253" i="13" s="1"/>
  <c r="D253" i="13"/>
  <c r="K265" i="13"/>
  <c r="G265" i="13"/>
  <c r="I265" i="13" s="1"/>
  <c r="F265" i="13"/>
  <c r="H265" i="13" s="1"/>
  <c r="D265" i="13"/>
  <c r="K264" i="13"/>
  <c r="G264" i="13"/>
  <c r="I264" i="13" s="1"/>
  <c r="F264" i="13"/>
  <c r="H264" i="13" s="1"/>
  <c r="D264" i="13"/>
  <c r="K263" i="13"/>
  <c r="G263" i="13"/>
  <c r="I263" i="13" s="1"/>
  <c r="F263" i="13"/>
  <c r="H263" i="13" s="1"/>
  <c r="D263" i="13"/>
  <c r="K262" i="13"/>
  <c r="G262" i="13"/>
  <c r="I262" i="13" s="1"/>
  <c r="F262" i="13"/>
  <c r="H262" i="13" s="1"/>
  <c r="D262" i="13"/>
  <c r="K261" i="13"/>
  <c r="H261" i="13"/>
  <c r="G261" i="13"/>
  <c r="I261" i="13" s="1"/>
  <c r="F261" i="13"/>
  <c r="D261" i="13"/>
  <c r="K260" i="13"/>
  <c r="G260" i="13"/>
  <c r="I260" i="13" s="1"/>
  <c r="F260" i="13"/>
  <c r="H260" i="13" s="1"/>
  <c r="D260" i="13"/>
  <c r="K269" i="13"/>
  <c r="I269" i="13"/>
  <c r="G269" i="13"/>
  <c r="F269" i="13"/>
  <c r="H269" i="13" s="1"/>
  <c r="D269" i="13"/>
  <c r="K268" i="13"/>
  <c r="G268" i="13"/>
  <c r="I268" i="13" s="1"/>
  <c r="F268" i="13"/>
  <c r="H268" i="13" s="1"/>
  <c r="D268" i="13"/>
  <c r="K267" i="13"/>
  <c r="G267" i="13"/>
  <c r="I267" i="13" s="1"/>
  <c r="F267" i="13"/>
  <c r="H267" i="13" s="1"/>
  <c r="D267" i="13"/>
  <c r="K266" i="13"/>
  <c r="G266" i="13"/>
  <c r="I266" i="13" s="1"/>
  <c r="F266" i="13"/>
  <c r="H266" i="13" s="1"/>
  <c r="D266" i="13"/>
  <c r="K277" i="13"/>
  <c r="G277" i="13"/>
  <c r="I277" i="13" s="1"/>
  <c r="F277" i="13"/>
  <c r="H277" i="13" s="1"/>
  <c r="D277" i="13"/>
  <c r="K276" i="13"/>
  <c r="G276" i="13"/>
  <c r="I276" i="13" s="1"/>
  <c r="F276" i="13"/>
  <c r="H276" i="13" s="1"/>
  <c r="D276" i="13"/>
  <c r="K275" i="13"/>
  <c r="H275" i="13"/>
  <c r="G275" i="13"/>
  <c r="I275" i="13" s="1"/>
  <c r="F275" i="13"/>
  <c r="D275" i="13"/>
  <c r="K274" i="13"/>
  <c r="G274" i="13"/>
  <c r="I274" i="13" s="1"/>
  <c r="J274" i="13" s="1"/>
  <c r="F274" i="13"/>
  <c r="H274" i="13" s="1"/>
  <c r="D274" i="13"/>
  <c r="K273" i="13"/>
  <c r="G273" i="13"/>
  <c r="I273" i="13" s="1"/>
  <c r="F273" i="13"/>
  <c r="H273" i="13" s="1"/>
  <c r="D273" i="13"/>
  <c r="K272" i="13"/>
  <c r="G272" i="13"/>
  <c r="I272" i="13" s="1"/>
  <c r="F272" i="13"/>
  <c r="H272" i="13" s="1"/>
  <c r="D272" i="13"/>
  <c r="K271" i="13"/>
  <c r="H271" i="13"/>
  <c r="G271" i="13"/>
  <c r="I271" i="13" s="1"/>
  <c r="F271" i="13"/>
  <c r="D271" i="13"/>
  <c r="K270" i="13"/>
  <c r="G270" i="13"/>
  <c r="I270" i="13" s="1"/>
  <c r="F270" i="13"/>
  <c r="H270" i="13" s="1"/>
  <c r="D270" i="13"/>
  <c r="K281" i="13"/>
  <c r="G281" i="13"/>
  <c r="I281" i="13" s="1"/>
  <c r="F281" i="13"/>
  <c r="H281" i="13" s="1"/>
  <c r="D281" i="13"/>
  <c r="K280" i="13"/>
  <c r="H280" i="13"/>
  <c r="G280" i="13"/>
  <c r="I280" i="13" s="1"/>
  <c r="F280" i="13"/>
  <c r="D280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92" i="13"/>
  <c r="G292" i="13"/>
  <c r="I292" i="13" s="1"/>
  <c r="F292" i="13"/>
  <c r="H292" i="13" s="1"/>
  <c r="D292" i="13"/>
  <c r="K291" i="13"/>
  <c r="G291" i="13"/>
  <c r="I291" i="13" s="1"/>
  <c r="F291" i="13"/>
  <c r="H291" i="13" s="1"/>
  <c r="D291" i="13"/>
  <c r="K290" i="13"/>
  <c r="H290" i="13"/>
  <c r="G290" i="13"/>
  <c r="I290" i="13" s="1"/>
  <c r="F290" i="13"/>
  <c r="D290" i="13"/>
  <c r="K289" i="13"/>
  <c r="G289" i="13"/>
  <c r="I289" i="13" s="1"/>
  <c r="F289" i="13"/>
  <c r="H289" i="13" s="1"/>
  <c r="D289" i="13"/>
  <c r="K288" i="13"/>
  <c r="G288" i="13"/>
  <c r="I288" i="13" s="1"/>
  <c r="J288" i="13" s="1"/>
  <c r="F288" i="13"/>
  <c r="H288" i="13" s="1"/>
  <c r="D288" i="13"/>
  <c r="K287" i="13"/>
  <c r="H287" i="13"/>
  <c r="G287" i="13"/>
  <c r="I287" i="13" s="1"/>
  <c r="F287" i="13"/>
  <c r="D287" i="13"/>
  <c r="K286" i="13"/>
  <c r="G286" i="13"/>
  <c r="I286" i="13" s="1"/>
  <c r="F286" i="13"/>
  <c r="H286" i="13" s="1"/>
  <c r="D286" i="13"/>
  <c r="K285" i="13"/>
  <c r="G285" i="13"/>
  <c r="I285" i="13" s="1"/>
  <c r="F285" i="13"/>
  <c r="H285" i="13" s="1"/>
  <c r="D285" i="13"/>
  <c r="K284" i="13"/>
  <c r="G284" i="13"/>
  <c r="I284" i="13" s="1"/>
  <c r="F284" i="13"/>
  <c r="H284" i="13" s="1"/>
  <c r="D284" i="13"/>
  <c r="K283" i="13"/>
  <c r="I283" i="13"/>
  <c r="H283" i="13"/>
  <c r="J283" i="13" s="1"/>
  <c r="G283" i="13"/>
  <c r="F283" i="13"/>
  <c r="D283" i="13"/>
  <c r="K282" i="13"/>
  <c r="G282" i="13"/>
  <c r="I282" i="13" s="1"/>
  <c r="F282" i="13"/>
  <c r="H282" i="13" s="1"/>
  <c r="D282" i="13"/>
  <c r="K298" i="13"/>
  <c r="G298" i="13"/>
  <c r="I298" i="13" s="1"/>
  <c r="F298" i="13"/>
  <c r="H298" i="13" s="1"/>
  <c r="D298" i="13"/>
  <c r="K297" i="13"/>
  <c r="G297" i="13"/>
  <c r="I297" i="13" s="1"/>
  <c r="F297" i="13"/>
  <c r="H297" i="13" s="1"/>
  <c r="D297" i="13"/>
  <c r="K296" i="13"/>
  <c r="G296" i="13"/>
  <c r="I296" i="13" s="1"/>
  <c r="F296" i="13"/>
  <c r="H296" i="13" s="1"/>
  <c r="D296" i="13"/>
  <c r="K295" i="13"/>
  <c r="G295" i="13"/>
  <c r="I295" i="13" s="1"/>
  <c r="F295" i="13"/>
  <c r="H295" i="13" s="1"/>
  <c r="D295" i="13"/>
  <c r="K294" i="13"/>
  <c r="H294" i="13"/>
  <c r="G294" i="13"/>
  <c r="I294" i="13" s="1"/>
  <c r="F294" i="13"/>
  <c r="D294" i="13"/>
  <c r="K293" i="13"/>
  <c r="G293" i="13"/>
  <c r="I293" i="13" s="1"/>
  <c r="J293" i="13" s="1"/>
  <c r="F293" i="13"/>
  <c r="H293" i="13" s="1"/>
  <c r="D293" i="13"/>
  <c r="K307" i="13"/>
  <c r="I307" i="13"/>
  <c r="G307" i="13"/>
  <c r="F307" i="13"/>
  <c r="H307" i="13" s="1"/>
  <c r="D307" i="13"/>
  <c r="K306" i="13"/>
  <c r="G306" i="13"/>
  <c r="I306" i="13" s="1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G303" i="13"/>
  <c r="I303" i="13" s="1"/>
  <c r="F303" i="13"/>
  <c r="H303" i="13" s="1"/>
  <c r="D303" i="13"/>
  <c r="K302" i="13"/>
  <c r="G302" i="13"/>
  <c r="I302" i="13" s="1"/>
  <c r="F302" i="13"/>
  <c r="H302" i="13" s="1"/>
  <c r="D302" i="13"/>
  <c r="K301" i="13"/>
  <c r="H301" i="13"/>
  <c r="G301" i="13"/>
  <c r="I301" i="13" s="1"/>
  <c r="F301" i="13"/>
  <c r="D301" i="13"/>
  <c r="K300" i="13"/>
  <c r="G300" i="13"/>
  <c r="I300" i="13" s="1"/>
  <c r="F300" i="13"/>
  <c r="H300" i="13" s="1"/>
  <c r="D300" i="13"/>
  <c r="K299" i="13"/>
  <c r="G299" i="13"/>
  <c r="I299" i="13" s="1"/>
  <c r="J299" i="13" s="1"/>
  <c r="F299" i="13"/>
  <c r="H299" i="13" s="1"/>
  <c r="D299" i="13"/>
  <c r="K312" i="13"/>
  <c r="I312" i="13"/>
  <c r="G312" i="13"/>
  <c r="F312" i="13"/>
  <c r="H312" i="13" s="1"/>
  <c r="D312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G309" i="13"/>
  <c r="I309" i="13" s="1"/>
  <c r="F309" i="13"/>
  <c r="H309" i="13" s="1"/>
  <c r="D309" i="13"/>
  <c r="K308" i="13"/>
  <c r="G308" i="13"/>
  <c r="I308" i="13" s="1"/>
  <c r="F308" i="13"/>
  <c r="H308" i="13" s="1"/>
  <c r="D308" i="13"/>
  <c r="K314" i="13"/>
  <c r="I314" i="13"/>
  <c r="G314" i="13"/>
  <c r="F314" i="13"/>
  <c r="H314" i="13" s="1"/>
  <c r="D314" i="13"/>
  <c r="K313" i="13"/>
  <c r="G313" i="13"/>
  <c r="I313" i="13" s="1"/>
  <c r="F313" i="13"/>
  <c r="H313" i="13" s="1"/>
  <c r="D313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9" i="13"/>
  <c r="I319" i="13"/>
  <c r="H319" i="13"/>
  <c r="G319" i="13"/>
  <c r="F319" i="13"/>
  <c r="D319" i="13"/>
  <c r="K318" i="13"/>
  <c r="G318" i="13"/>
  <c r="I318" i="13" s="1"/>
  <c r="F318" i="13"/>
  <c r="H318" i="13" s="1"/>
  <c r="D318" i="13"/>
  <c r="K317" i="13"/>
  <c r="G317" i="13"/>
  <c r="I317" i="13" s="1"/>
  <c r="F317" i="13"/>
  <c r="H317" i="13" s="1"/>
  <c r="D317" i="13"/>
  <c r="K329" i="13"/>
  <c r="G329" i="13"/>
  <c r="I329" i="13" s="1"/>
  <c r="F329" i="13"/>
  <c r="H329" i="13" s="1"/>
  <c r="D329" i="13"/>
  <c r="K328" i="13"/>
  <c r="H328" i="13"/>
  <c r="G328" i="13"/>
  <c r="I328" i="13" s="1"/>
  <c r="F328" i="13"/>
  <c r="D328" i="13"/>
  <c r="K327" i="13"/>
  <c r="G327" i="13"/>
  <c r="I327" i="13" s="1"/>
  <c r="F327" i="13"/>
  <c r="H327" i="13" s="1"/>
  <c r="D327" i="13"/>
  <c r="K326" i="13"/>
  <c r="G326" i="13"/>
  <c r="I326" i="13" s="1"/>
  <c r="J326" i="13" s="1"/>
  <c r="F326" i="13"/>
  <c r="H326" i="13" s="1"/>
  <c r="D326" i="13"/>
  <c r="K325" i="13"/>
  <c r="I325" i="13"/>
  <c r="G325" i="13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D323" i="13"/>
  <c r="K322" i="13"/>
  <c r="G322" i="13"/>
  <c r="I322" i="13" s="1"/>
  <c r="F322" i="13"/>
  <c r="H322" i="13" s="1"/>
  <c r="D322" i="13"/>
  <c r="K321" i="13"/>
  <c r="G321" i="13"/>
  <c r="I321" i="13" s="1"/>
  <c r="F321" i="13"/>
  <c r="H321" i="13" s="1"/>
  <c r="D321" i="13"/>
  <c r="K320" i="13"/>
  <c r="I320" i="13"/>
  <c r="G320" i="13"/>
  <c r="F320" i="13"/>
  <c r="H320" i="13" s="1"/>
  <c r="D320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I331" i="13"/>
  <c r="H331" i="13"/>
  <c r="G331" i="13"/>
  <c r="F331" i="13"/>
  <c r="D331" i="13"/>
  <c r="K330" i="13"/>
  <c r="G330" i="13"/>
  <c r="I330" i="13" s="1"/>
  <c r="F330" i="13"/>
  <c r="H330" i="13" s="1"/>
  <c r="D330" i="13"/>
  <c r="K338" i="13"/>
  <c r="G338" i="13"/>
  <c r="I338" i="13" s="1"/>
  <c r="F338" i="13"/>
  <c r="H338" i="13" s="1"/>
  <c r="D338" i="13"/>
  <c r="K337" i="13"/>
  <c r="G337" i="13"/>
  <c r="I337" i="13" s="1"/>
  <c r="F337" i="13"/>
  <c r="H337" i="13" s="1"/>
  <c r="D337" i="13"/>
  <c r="K336" i="13"/>
  <c r="H336" i="13"/>
  <c r="G336" i="13"/>
  <c r="I336" i="13" s="1"/>
  <c r="F336" i="13"/>
  <c r="D336" i="13"/>
  <c r="K335" i="13"/>
  <c r="G335" i="13"/>
  <c r="I335" i="13" s="1"/>
  <c r="F335" i="13"/>
  <c r="H335" i="13" s="1"/>
  <c r="D335" i="13"/>
  <c r="K344" i="13"/>
  <c r="G344" i="13"/>
  <c r="I344" i="13" s="1"/>
  <c r="J344" i="13" s="1"/>
  <c r="F344" i="13"/>
  <c r="H344" i="13" s="1"/>
  <c r="D344" i="13"/>
  <c r="K343" i="13"/>
  <c r="I343" i="13"/>
  <c r="G343" i="13"/>
  <c r="F343" i="13"/>
  <c r="H343" i="13" s="1"/>
  <c r="D343" i="13"/>
  <c r="K342" i="13"/>
  <c r="G342" i="13"/>
  <c r="I342" i="13" s="1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F340" i="13"/>
  <c r="H340" i="13" s="1"/>
  <c r="D340" i="13"/>
  <c r="K339" i="13"/>
  <c r="G339" i="13"/>
  <c r="I339" i="13" s="1"/>
  <c r="F339" i="13"/>
  <c r="H339" i="13" s="1"/>
  <c r="D339" i="13"/>
  <c r="K346" i="13"/>
  <c r="I346" i="13"/>
  <c r="G346" i="13"/>
  <c r="F346" i="13"/>
  <c r="H346" i="13" s="1"/>
  <c r="D346" i="13"/>
  <c r="K345" i="13"/>
  <c r="G345" i="13"/>
  <c r="I345" i="13" s="1"/>
  <c r="F345" i="13"/>
  <c r="H345" i="13" s="1"/>
  <c r="D345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I351" i="13"/>
  <c r="H351" i="13"/>
  <c r="J351" i="13" s="1"/>
  <c r="G351" i="13"/>
  <c r="F351" i="13"/>
  <c r="D351" i="13"/>
  <c r="K350" i="13"/>
  <c r="G350" i="13"/>
  <c r="I350" i="13" s="1"/>
  <c r="F350" i="13"/>
  <c r="H350" i="13" s="1"/>
  <c r="D350" i="13"/>
  <c r="K349" i="13"/>
  <c r="G349" i="13"/>
  <c r="I349" i="13" s="1"/>
  <c r="F349" i="13"/>
  <c r="H349" i="13" s="1"/>
  <c r="D349" i="13"/>
  <c r="K348" i="13"/>
  <c r="G348" i="13"/>
  <c r="I348" i="13" s="1"/>
  <c r="F348" i="13"/>
  <c r="H348" i="13" s="1"/>
  <c r="D348" i="13"/>
  <c r="K347" i="13"/>
  <c r="H347" i="13"/>
  <c r="G347" i="13"/>
  <c r="I347" i="13" s="1"/>
  <c r="F347" i="13"/>
  <c r="D347" i="13"/>
  <c r="K360" i="13"/>
  <c r="G360" i="13"/>
  <c r="I360" i="13" s="1"/>
  <c r="F360" i="13"/>
  <c r="H360" i="13" s="1"/>
  <c r="D360" i="13"/>
  <c r="K359" i="13"/>
  <c r="G359" i="13"/>
  <c r="I359" i="13" s="1"/>
  <c r="J359" i="13" s="1"/>
  <c r="F359" i="13"/>
  <c r="H359" i="13" s="1"/>
  <c r="D359" i="13"/>
  <c r="K358" i="13"/>
  <c r="I358" i="13"/>
  <c r="G358" i="13"/>
  <c r="F358" i="13"/>
  <c r="H358" i="13" s="1"/>
  <c r="D358" i="13"/>
  <c r="K357" i="13"/>
  <c r="G357" i="13"/>
  <c r="I357" i="13" s="1"/>
  <c r="F357" i="13"/>
  <c r="H357" i="13" s="1"/>
  <c r="J357" i="13" s="1"/>
  <c r="D357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64" i="13"/>
  <c r="I364" i="13"/>
  <c r="G364" i="13"/>
  <c r="F364" i="13"/>
  <c r="H364" i="13" s="1"/>
  <c r="D364" i="13"/>
  <c r="K363" i="13"/>
  <c r="G363" i="13"/>
  <c r="I363" i="13" s="1"/>
  <c r="F363" i="13"/>
  <c r="H363" i="13" s="1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72" i="13"/>
  <c r="I372" i="13"/>
  <c r="G372" i="13"/>
  <c r="F372" i="13"/>
  <c r="H372" i="13" s="1"/>
  <c r="D372" i="13"/>
  <c r="K371" i="13"/>
  <c r="G371" i="13"/>
  <c r="I371" i="13" s="1"/>
  <c r="F371" i="13"/>
  <c r="H371" i="13" s="1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H368" i="13"/>
  <c r="G368" i="13"/>
  <c r="I368" i="13" s="1"/>
  <c r="F368" i="13"/>
  <c r="D368" i="13"/>
  <c r="K367" i="13"/>
  <c r="G367" i="13"/>
  <c r="I367" i="13" s="1"/>
  <c r="F367" i="13"/>
  <c r="H367" i="13" s="1"/>
  <c r="D367" i="13"/>
  <c r="K366" i="13"/>
  <c r="G366" i="13"/>
  <c r="I366" i="13" s="1"/>
  <c r="J366" i="13" s="1"/>
  <c r="F366" i="13"/>
  <c r="H366" i="13" s="1"/>
  <c r="D366" i="13"/>
  <c r="K365" i="13"/>
  <c r="I365" i="13"/>
  <c r="G365" i="13"/>
  <c r="F365" i="13"/>
  <c r="H365" i="13" s="1"/>
  <c r="D365" i="13"/>
  <c r="K378" i="13"/>
  <c r="G378" i="13"/>
  <c r="I378" i="13" s="1"/>
  <c r="F378" i="13"/>
  <c r="H378" i="13" s="1"/>
  <c r="D378" i="13"/>
  <c r="K377" i="13"/>
  <c r="G377" i="13"/>
  <c r="I377" i="13" s="1"/>
  <c r="F377" i="13"/>
  <c r="H377" i="13" s="1"/>
  <c r="D377" i="13"/>
  <c r="K376" i="13"/>
  <c r="G376" i="13"/>
  <c r="I376" i="13" s="1"/>
  <c r="F376" i="13"/>
  <c r="H376" i="13" s="1"/>
  <c r="D376" i="13"/>
  <c r="K375" i="13"/>
  <c r="G375" i="13"/>
  <c r="I375" i="13" s="1"/>
  <c r="F375" i="13"/>
  <c r="H375" i="13" s="1"/>
  <c r="D375" i="13"/>
  <c r="K374" i="13"/>
  <c r="G374" i="13"/>
  <c r="I374" i="13" s="1"/>
  <c r="F374" i="13"/>
  <c r="H374" i="13" s="1"/>
  <c r="D374" i="13"/>
  <c r="K373" i="13"/>
  <c r="G373" i="13"/>
  <c r="I373" i="13" s="1"/>
  <c r="F373" i="13"/>
  <c r="H373" i="13" s="1"/>
  <c r="D373" i="13"/>
  <c r="K382" i="13"/>
  <c r="G382" i="13"/>
  <c r="I382" i="13" s="1"/>
  <c r="J382" i="13" s="1"/>
  <c r="F382" i="13"/>
  <c r="H382" i="13" s="1"/>
  <c r="D382" i="13"/>
  <c r="K381" i="13"/>
  <c r="I381" i="13"/>
  <c r="G381" i="13"/>
  <c r="F381" i="13"/>
  <c r="H381" i="13" s="1"/>
  <c r="D381" i="13"/>
  <c r="K380" i="13"/>
  <c r="I380" i="13"/>
  <c r="G380" i="13"/>
  <c r="F380" i="13"/>
  <c r="H380" i="13" s="1"/>
  <c r="J380" i="13" s="1"/>
  <c r="D380" i="13"/>
  <c r="K379" i="13"/>
  <c r="G379" i="13"/>
  <c r="I379" i="13" s="1"/>
  <c r="F379" i="13"/>
  <c r="H379" i="13" s="1"/>
  <c r="D379" i="13"/>
  <c r="K390" i="13"/>
  <c r="G390" i="13"/>
  <c r="I390" i="13" s="1"/>
  <c r="F390" i="13"/>
  <c r="H390" i="13" s="1"/>
  <c r="D390" i="13"/>
  <c r="K389" i="13"/>
  <c r="G389" i="13"/>
  <c r="I389" i="13" s="1"/>
  <c r="F389" i="13"/>
  <c r="H389" i="13" s="1"/>
  <c r="D389" i="13"/>
  <c r="K388" i="13"/>
  <c r="I388" i="13"/>
  <c r="H388" i="13"/>
  <c r="G388" i="13"/>
  <c r="F388" i="13"/>
  <c r="D388" i="13"/>
  <c r="K387" i="13"/>
  <c r="G387" i="13"/>
  <c r="I387" i="13" s="1"/>
  <c r="F387" i="13"/>
  <c r="H387" i="13" s="1"/>
  <c r="D387" i="13"/>
  <c r="K386" i="13"/>
  <c r="G386" i="13"/>
  <c r="I386" i="13" s="1"/>
  <c r="J386" i="13" s="1"/>
  <c r="F386" i="13"/>
  <c r="H386" i="13" s="1"/>
  <c r="D386" i="13"/>
  <c r="K385" i="13"/>
  <c r="I385" i="13"/>
  <c r="G385" i="13"/>
  <c r="F385" i="13"/>
  <c r="H385" i="13" s="1"/>
  <c r="D385" i="13"/>
  <c r="K384" i="13"/>
  <c r="G384" i="13"/>
  <c r="I384" i="13" s="1"/>
  <c r="F384" i="13"/>
  <c r="H384" i="13" s="1"/>
  <c r="D384" i="13"/>
  <c r="K383" i="13"/>
  <c r="G383" i="13"/>
  <c r="I383" i="13" s="1"/>
  <c r="F383" i="13"/>
  <c r="H383" i="13" s="1"/>
  <c r="D383" i="13"/>
  <c r="K395" i="13"/>
  <c r="G395" i="13"/>
  <c r="I395" i="13" s="1"/>
  <c r="F395" i="13"/>
  <c r="H395" i="13" s="1"/>
  <c r="D395" i="13"/>
  <c r="K394" i="13"/>
  <c r="G394" i="13"/>
  <c r="I394" i="13" s="1"/>
  <c r="F394" i="13"/>
  <c r="H394" i="13" s="1"/>
  <c r="D394" i="13"/>
  <c r="K393" i="13"/>
  <c r="I393" i="13"/>
  <c r="G393" i="13"/>
  <c r="F393" i="13"/>
  <c r="H393" i="13" s="1"/>
  <c r="D393" i="13"/>
  <c r="K392" i="13"/>
  <c r="G392" i="13"/>
  <c r="I392" i="13" s="1"/>
  <c r="F392" i="13"/>
  <c r="H392" i="13" s="1"/>
  <c r="D392" i="13"/>
  <c r="K391" i="13"/>
  <c r="G391" i="13"/>
  <c r="I391" i="13" s="1"/>
  <c r="F391" i="13"/>
  <c r="H391" i="13" s="1"/>
  <c r="D391" i="13"/>
  <c r="K402" i="13"/>
  <c r="G402" i="13"/>
  <c r="I402" i="13" s="1"/>
  <c r="F402" i="13"/>
  <c r="H402" i="13" s="1"/>
  <c r="D402" i="13"/>
  <c r="K401" i="13"/>
  <c r="I401" i="13"/>
  <c r="H401" i="13"/>
  <c r="G401" i="13"/>
  <c r="F401" i="13"/>
  <c r="D401" i="13"/>
  <c r="K400" i="13"/>
  <c r="G400" i="13"/>
  <c r="I400" i="13" s="1"/>
  <c r="F400" i="13"/>
  <c r="H400" i="13" s="1"/>
  <c r="D400" i="13"/>
  <c r="K399" i="13"/>
  <c r="G399" i="13"/>
  <c r="I399" i="13" s="1"/>
  <c r="F399" i="13"/>
  <c r="H399" i="13" s="1"/>
  <c r="D399" i="13"/>
  <c r="K398" i="13"/>
  <c r="G398" i="13"/>
  <c r="I398" i="13" s="1"/>
  <c r="F398" i="13"/>
  <c r="H398" i="13" s="1"/>
  <c r="D398" i="13"/>
  <c r="K397" i="13"/>
  <c r="I397" i="13"/>
  <c r="H397" i="13"/>
  <c r="G397" i="13"/>
  <c r="F397" i="13"/>
  <c r="D397" i="13"/>
  <c r="K396" i="13"/>
  <c r="G396" i="13"/>
  <c r="I396" i="13" s="1"/>
  <c r="F396" i="13"/>
  <c r="H396" i="13" s="1"/>
  <c r="D396" i="13"/>
  <c r="K409" i="13"/>
  <c r="G409" i="13"/>
  <c r="I409" i="13" s="1"/>
  <c r="F409" i="13"/>
  <c r="H409" i="13" s="1"/>
  <c r="D409" i="13"/>
  <c r="K408" i="13"/>
  <c r="G408" i="13"/>
  <c r="I408" i="13" s="1"/>
  <c r="F408" i="13"/>
  <c r="H408" i="13" s="1"/>
  <c r="D408" i="13"/>
  <c r="K407" i="13"/>
  <c r="I407" i="13"/>
  <c r="H407" i="13"/>
  <c r="G407" i="13"/>
  <c r="F407" i="13"/>
  <c r="D407" i="13"/>
  <c r="K406" i="13"/>
  <c r="G406" i="13"/>
  <c r="I406" i="13" s="1"/>
  <c r="F406" i="13"/>
  <c r="H406" i="13" s="1"/>
  <c r="D406" i="13"/>
  <c r="K405" i="13"/>
  <c r="G405" i="13"/>
  <c r="I405" i="13" s="1"/>
  <c r="F405" i="13"/>
  <c r="H405" i="13" s="1"/>
  <c r="D405" i="13"/>
  <c r="K404" i="13"/>
  <c r="G404" i="13"/>
  <c r="I404" i="13" s="1"/>
  <c r="F404" i="13"/>
  <c r="H404" i="13" s="1"/>
  <c r="D404" i="13"/>
  <c r="K403" i="13"/>
  <c r="H403" i="13"/>
  <c r="G403" i="13"/>
  <c r="I403" i="13" s="1"/>
  <c r="F403" i="13"/>
  <c r="D403" i="13"/>
  <c r="K414" i="13"/>
  <c r="G414" i="13"/>
  <c r="I414" i="13" s="1"/>
  <c r="F414" i="13"/>
  <c r="H414" i="13" s="1"/>
  <c r="D414" i="13"/>
  <c r="K413" i="13"/>
  <c r="G413" i="13"/>
  <c r="I413" i="13" s="1"/>
  <c r="J413" i="13" s="1"/>
  <c r="F413" i="13"/>
  <c r="H413" i="13" s="1"/>
  <c r="D413" i="13"/>
  <c r="K412" i="13"/>
  <c r="I412" i="13"/>
  <c r="G412" i="13"/>
  <c r="F412" i="13"/>
  <c r="H412" i="13" s="1"/>
  <c r="D412" i="13"/>
  <c r="K411" i="13"/>
  <c r="G411" i="13"/>
  <c r="I411" i="13" s="1"/>
  <c r="F411" i="13"/>
  <c r="H411" i="13" s="1"/>
  <c r="D411" i="13"/>
  <c r="K410" i="13"/>
  <c r="G410" i="13"/>
  <c r="I410" i="13" s="1"/>
  <c r="F410" i="13"/>
  <c r="H410" i="13" s="1"/>
  <c r="D410" i="13"/>
  <c r="K418" i="13"/>
  <c r="G418" i="13"/>
  <c r="I418" i="13" s="1"/>
  <c r="F418" i="13"/>
  <c r="H418" i="13" s="1"/>
  <c r="D418" i="13"/>
  <c r="K417" i="13"/>
  <c r="G417" i="13"/>
  <c r="I417" i="13" s="1"/>
  <c r="F417" i="13"/>
  <c r="H417" i="13" s="1"/>
  <c r="D417" i="13"/>
  <c r="K416" i="13"/>
  <c r="I416" i="13"/>
  <c r="G416" i="13"/>
  <c r="F416" i="13"/>
  <c r="H416" i="13" s="1"/>
  <c r="D416" i="13"/>
  <c r="K415" i="13"/>
  <c r="G415" i="13"/>
  <c r="I415" i="13" s="1"/>
  <c r="F415" i="13"/>
  <c r="H415" i="13" s="1"/>
  <c r="D415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I421" i="13"/>
  <c r="H421" i="13"/>
  <c r="G421" i="13"/>
  <c r="F421" i="13"/>
  <c r="D421" i="13"/>
  <c r="K420" i="13"/>
  <c r="G420" i="13"/>
  <c r="I420" i="13" s="1"/>
  <c r="F420" i="13"/>
  <c r="H420" i="13" s="1"/>
  <c r="D420" i="13"/>
  <c r="K419" i="13"/>
  <c r="G419" i="13"/>
  <c r="I419" i="13" s="1"/>
  <c r="F419" i="13"/>
  <c r="H419" i="13" s="1"/>
  <c r="D419" i="13"/>
  <c r="K428" i="13"/>
  <c r="G428" i="13"/>
  <c r="I428" i="13" s="1"/>
  <c r="F428" i="13"/>
  <c r="H428" i="13" s="1"/>
  <c r="D428" i="13"/>
  <c r="K427" i="13"/>
  <c r="H427" i="13"/>
  <c r="G427" i="13"/>
  <c r="I427" i="13" s="1"/>
  <c r="F427" i="13"/>
  <c r="D427" i="13"/>
  <c r="K426" i="13"/>
  <c r="G426" i="13"/>
  <c r="I426" i="13" s="1"/>
  <c r="F426" i="13"/>
  <c r="H426" i="13" s="1"/>
  <c r="D426" i="13"/>
  <c r="K425" i="13"/>
  <c r="G425" i="13"/>
  <c r="I425" i="13" s="1"/>
  <c r="J425" i="13" s="1"/>
  <c r="F425" i="13"/>
  <c r="H425" i="13" s="1"/>
  <c r="D425" i="13"/>
  <c r="K424" i="13"/>
  <c r="I424" i="13"/>
  <c r="G424" i="13"/>
  <c r="F424" i="13"/>
  <c r="H424" i="13" s="1"/>
  <c r="D424" i="13"/>
  <c r="K433" i="13"/>
  <c r="G433" i="13"/>
  <c r="I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I429" i="13"/>
  <c r="G429" i="13"/>
  <c r="F429" i="13"/>
  <c r="H429" i="13" s="1"/>
  <c r="D429" i="13"/>
  <c r="K441" i="13"/>
  <c r="G441" i="13"/>
  <c r="I441" i="13" s="1"/>
  <c r="F441" i="13"/>
  <c r="H441" i="13" s="1"/>
  <c r="D441" i="13"/>
  <c r="K440" i="13"/>
  <c r="G440" i="13"/>
  <c r="I440" i="13" s="1"/>
  <c r="F440" i="13"/>
  <c r="H440" i="13" s="1"/>
  <c r="D440" i="13"/>
  <c r="K439" i="13"/>
  <c r="G439" i="13"/>
  <c r="I439" i="13" s="1"/>
  <c r="F439" i="13"/>
  <c r="H439" i="13" s="1"/>
  <c r="D439" i="13"/>
  <c r="K438" i="13"/>
  <c r="I438" i="13"/>
  <c r="H438" i="13"/>
  <c r="G438" i="13"/>
  <c r="F438" i="13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D436" i="13"/>
  <c r="K435" i="13"/>
  <c r="G435" i="13"/>
  <c r="I435" i="13" s="1"/>
  <c r="F435" i="13"/>
  <c r="H435" i="13" s="1"/>
  <c r="D435" i="13"/>
  <c r="K434" i="13"/>
  <c r="H434" i="13"/>
  <c r="G434" i="13"/>
  <c r="I434" i="13" s="1"/>
  <c r="F434" i="13"/>
  <c r="D434" i="13"/>
  <c r="K449" i="13"/>
  <c r="G449" i="13"/>
  <c r="I449" i="13" s="1"/>
  <c r="F449" i="13"/>
  <c r="H449" i="13" s="1"/>
  <c r="D449" i="13"/>
  <c r="K448" i="13"/>
  <c r="G448" i="13"/>
  <c r="I448" i="13" s="1"/>
  <c r="J448" i="13" s="1"/>
  <c r="F448" i="13"/>
  <c r="H448" i="13" s="1"/>
  <c r="D448" i="13"/>
  <c r="K447" i="13"/>
  <c r="I447" i="13"/>
  <c r="G447" i="13"/>
  <c r="F447" i="13"/>
  <c r="H447" i="13" s="1"/>
  <c r="D447" i="13"/>
  <c r="K446" i="13"/>
  <c r="G446" i="13"/>
  <c r="I446" i="13" s="1"/>
  <c r="F446" i="13"/>
  <c r="H446" i="13" s="1"/>
  <c r="D446" i="13"/>
  <c r="K445" i="13"/>
  <c r="G445" i="13"/>
  <c r="I445" i="13" s="1"/>
  <c r="F445" i="13"/>
  <c r="H445" i="13" s="1"/>
  <c r="D445" i="13"/>
  <c r="K444" i="13"/>
  <c r="G444" i="13"/>
  <c r="I444" i="13" s="1"/>
  <c r="F444" i="13"/>
  <c r="H444" i="13" s="1"/>
  <c r="D444" i="13"/>
  <c r="K443" i="13"/>
  <c r="G443" i="13"/>
  <c r="I443" i="13" s="1"/>
  <c r="J443" i="13" s="1"/>
  <c r="F443" i="13"/>
  <c r="H443" i="13" s="1"/>
  <c r="D443" i="13"/>
  <c r="K442" i="13"/>
  <c r="I442" i="13"/>
  <c r="G442" i="13"/>
  <c r="F442" i="13"/>
  <c r="H442" i="13" s="1"/>
  <c r="D442" i="13"/>
  <c r="K456" i="13"/>
  <c r="G456" i="13"/>
  <c r="I456" i="13" s="1"/>
  <c r="F456" i="13"/>
  <c r="H456" i="13" s="1"/>
  <c r="D456" i="13"/>
  <c r="K455" i="13"/>
  <c r="G455" i="13"/>
  <c r="I455" i="13" s="1"/>
  <c r="F455" i="13"/>
  <c r="H455" i="13" s="1"/>
  <c r="D455" i="13"/>
  <c r="K454" i="13"/>
  <c r="G454" i="13"/>
  <c r="I454" i="13" s="1"/>
  <c r="J454" i="13" s="1"/>
  <c r="F454" i="13"/>
  <c r="H454" i="13" s="1"/>
  <c r="D454" i="13"/>
  <c r="K453" i="13"/>
  <c r="G453" i="13"/>
  <c r="I453" i="13" s="1"/>
  <c r="F453" i="13"/>
  <c r="H453" i="13" s="1"/>
  <c r="D453" i="13"/>
  <c r="K452" i="13"/>
  <c r="G452" i="13"/>
  <c r="I452" i="13" s="1"/>
  <c r="F452" i="13"/>
  <c r="H452" i="13" s="1"/>
  <c r="D452" i="13"/>
  <c r="K451" i="13"/>
  <c r="G451" i="13"/>
  <c r="I451" i="13" s="1"/>
  <c r="F451" i="13"/>
  <c r="H451" i="13" s="1"/>
  <c r="J451" i="13" s="1"/>
  <c r="D451" i="13"/>
  <c r="K450" i="13"/>
  <c r="G450" i="13"/>
  <c r="I450" i="13" s="1"/>
  <c r="F450" i="13"/>
  <c r="H450" i="13" s="1"/>
  <c r="D450" i="13"/>
  <c r="K460" i="13"/>
  <c r="I460" i="13"/>
  <c r="H460" i="13"/>
  <c r="G460" i="13"/>
  <c r="F460" i="13"/>
  <c r="D460" i="13"/>
  <c r="K459" i="13"/>
  <c r="G459" i="13"/>
  <c r="I459" i="13" s="1"/>
  <c r="F459" i="13"/>
  <c r="H459" i="13" s="1"/>
  <c r="D459" i="13"/>
  <c r="K458" i="13"/>
  <c r="G458" i="13"/>
  <c r="I458" i="13" s="1"/>
  <c r="F458" i="13"/>
  <c r="H458" i="13" s="1"/>
  <c r="D458" i="13"/>
  <c r="K457" i="13"/>
  <c r="G457" i="13"/>
  <c r="I457" i="13" s="1"/>
  <c r="F457" i="13"/>
  <c r="H457" i="13" s="1"/>
  <c r="D457" i="13"/>
  <c r="K468" i="13"/>
  <c r="G468" i="13"/>
  <c r="I468" i="13" s="1"/>
  <c r="F468" i="13"/>
  <c r="H468" i="13" s="1"/>
  <c r="D468" i="13"/>
  <c r="K467" i="13"/>
  <c r="G467" i="13"/>
  <c r="I467" i="13" s="1"/>
  <c r="J467" i="13" s="1"/>
  <c r="F467" i="13"/>
  <c r="H467" i="13" s="1"/>
  <c r="D467" i="13"/>
  <c r="K466" i="13"/>
  <c r="G466" i="13"/>
  <c r="I466" i="13" s="1"/>
  <c r="F466" i="13"/>
  <c r="H466" i="13" s="1"/>
  <c r="D466" i="13"/>
  <c r="K465" i="13"/>
  <c r="G465" i="13"/>
  <c r="I465" i="13" s="1"/>
  <c r="J465" i="13" s="1"/>
  <c r="F465" i="13"/>
  <c r="H465" i="13" s="1"/>
  <c r="D465" i="13"/>
  <c r="K464" i="13"/>
  <c r="G464" i="13"/>
  <c r="I464" i="13" s="1"/>
  <c r="F464" i="13"/>
  <c r="H464" i="13" s="1"/>
  <c r="D464" i="13"/>
  <c r="K463" i="13"/>
  <c r="G463" i="13"/>
  <c r="I463" i="13" s="1"/>
  <c r="F463" i="13"/>
  <c r="H463" i="13" s="1"/>
  <c r="D463" i="13"/>
  <c r="K462" i="13"/>
  <c r="H462" i="13"/>
  <c r="G462" i="13"/>
  <c r="I462" i="13" s="1"/>
  <c r="F462" i="13"/>
  <c r="D462" i="13"/>
  <c r="K461" i="13"/>
  <c r="G461" i="13"/>
  <c r="I461" i="13" s="1"/>
  <c r="F461" i="13"/>
  <c r="H461" i="13" s="1"/>
  <c r="D461" i="13"/>
  <c r="K473" i="13"/>
  <c r="G473" i="13"/>
  <c r="I473" i="13" s="1"/>
  <c r="J473" i="13" s="1"/>
  <c r="F473" i="13"/>
  <c r="H473" i="13" s="1"/>
  <c r="D473" i="13"/>
  <c r="K472" i="13"/>
  <c r="G472" i="13"/>
  <c r="I472" i="13" s="1"/>
  <c r="F472" i="13"/>
  <c r="H472" i="13" s="1"/>
  <c r="D472" i="13"/>
  <c r="K471" i="13"/>
  <c r="G471" i="13"/>
  <c r="I471" i="13" s="1"/>
  <c r="F471" i="13"/>
  <c r="H471" i="13" s="1"/>
  <c r="J471" i="13" s="1"/>
  <c r="D471" i="13"/>
  <c r="K470" i="13"/>
  <c r="G470" i="13"/>
  <c r="I470" i="13" s="1"/>
  <c r="F470" i="13"/>
  <c r="H470" i="13" s="1"/>
  <c r="D470" i="13"/>
  <c r="K469" i="13"/>
  <c r="G469" i="13"/>
  <c r="I469" i="13" s="1"/>
  <c r="F469" i="13"/>
  <c r="H469" i="13" s="1"/>
  <c r="D469" i="13"/>
  <c r="K480" i="13"/>
  <c r="H480" i="13"/>
  <c r="G480" i="13"/>
  <c r="I480" i="13" s="1"/>
  <c r="F480" i="13"/>
  <c r="D480" i="13"/>
  <c r="K479" i="13"/>
  <c r="G479" i="13"/>
  <c r="I479" i="13" s="1"/>
  <c r="F479" i="13"/>
  <c r="H479" i="13" s="1"/>
  <c r="D479" i="13"/>
  <c r="K478" i="13"/>
  <c r="G478" i="13"/>
  <c r="I478" i="13" s="1"/>
  <c r="J478" i="13" s="1"/>
  <c r="F478" i="13"/>
  <c r="H478" i="13" s="1"/>
  <c r="D478" i="13"/>
  <c r="K477" i="13"/>
  <c r="H477" i="13"/>
  <c r="G477" i="13"/>
  <c r="I477" i="13" s="1"/>
  <c r="F477" i="13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85" i="13"/>
  <c r="H485" i="13"/>
  <c r="G485" i="13"/>
  <c r="I485" i="13" s="1"/>
  <c r="F485" i="13"/>
  <c r="D485" i="13"/>
  <c r="K484" i="13"/>
  <c r="G484" i="13"/>
  <c r="I484" i="13" s="1"/>
  <c r="F484" i="13"/>
  <c r="H484" i="13" s="1"/>
  <c r="D484" i="13"/>
  <c r="K483" i="13"/>
  <c r="H483" i="13"/>
  <c r="G483" i="13"/>
  <c r="I483" i="13" s="1"/>
  <c r="F483" i="13"/>
  <c r="D483" i="13"/>
  <c r="K482" i="13"/>
  <c r="G482" i="13"/>
  <c r="I482" i="13" s="1"/>
  <c r="F482" i="13"/>
  <c r="H482" i="13" s="1"/>
  <c r="D482" i="13"/>
  <c r="K481" i="13"/>
  <c r="G481" i="13"/>
  <c r="I481" i="13" s="1"/>
  <c r="F481" i="13"/>
  <c r="H481" i="13" s="1"/>
  <c r="D481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J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G492" i="13"/>
  <c r="I492" i="13" s="1"/>
  <c r="F492" i="13"/>
  <c r="H492" i="13" s="1"/>
  <c r="D492" i="13"/>
  <c r="K491" i="13"/>
  <c r="G491" i="13"/>
  <c r="I491" i="13" s="1"/>
  <c r="F491" i="13"/>
  <c r="H491" i="13" s="1"/>
  <c r="D491" i="13"/>
  <c r="K490" i="13"/>
  <c r="G490" i="13"/>
  <c r="I490" i="13" s="1"/>
  <c r="F490" i="13"/>
  <c r="H490" i="13" s="1"/>
  <c r="D490" i="13"/>
  <c r="K489" i="13"/>
  <c r="G489" i="13"/>
  <c r="I489" i="13" s="1"/>
  <c r="F489" i="13"/>
  <c r="H489" i="13" s="1"/>
  <c r="D489" i="13"/>
  <c r="K488" i="13"/>
  <c r="H488" i="13"/>
  <c r="G488" i="13"/>
  <c r="I488" i="13" s="1"/>
  <c r="F488" i="13"/>
  <c r="D488" i="13"/>
  <c r="K487" i="13"/>
  <c r="G487" i="13"/>
  <c r="I487" i="13" s="1"/>
  <c r="F487" i="13"/>
  <c r="H487" i="13" s="1"/>
  <c r="D487" i="13"/>
  <c r="K486" i="13"/>
  <c r="G486" i="13"/>
  <c r="I486" i="13" s="1"/>
  <c r="F486" i="13"/>
  <c r="H486" i="13" s="1"/>
  <c r="D486" i="13"/>
  <c r="K500" i="13"/>
  <c r="G500" i="13"/>
  <c r="I500" i="13" s="1"/>
  <c r="F500" i="13"/>
  <c r="H500" i="13" s="1"/>
  <c r="D500" i="13"/>
  <c r="K499" i="13"/>
  <c r="G499" i="13"/>
  <c r="I499" i="13" s="1"/>
  <c r="F499" i="13"/>
  <c r="H499" i="13" s="1"/>
  <c r="D499" i="13"/>
  <c r="K498" i="13"/>
  <c r="G498" i="13"/>
  <c r="I498" i="13" s="1"/>
  <c r="F498" i="13"/>
  <c r="H498" i="13" s="1"/>
  <c r="D498" i="13"/>
  <c r="K497" i="13"/>
  <c r="G497" i="13"/>
  <c r="I497" i="13" s="1"/>
  <c r="F497" i="13"/>
  <c r="H497" i="13" s="1"/>
  <c r="D497" i="13"/>
  <c r="K505" i="13"/>
  <c r="G505" i="13"/>
  <c r="I505" i="13" s="1"/>
  <c r="F505" i="13"/>
  <c r="H505" i="13" s="1"/>
  <c r="D505" i="13"/>
  <c r="K504" i="13"/>
  <c r="H504" i="13"/>
  <c r="G504" i="13"/>
  <c r="I504" i="13" s="1"/>
  <c r="F504" i="13"/>
  <c r="D504" i="13"/>
  <c r="K503" i="13"/>
  <c r="G503" i="13"/>
  <c r="I503" i="13" s="1"/>
  <c r="F503" i="13"/>
  <c r="H503" i="13" s="1"/>
  <c r="D503" i="13"/>
  <c r="K502" i="13"/>
  <c r="G502" i="13"/>
  <c r="I502" i="13" s="1"/>
  <c r="J502" i="13" s="1"/>
  <c r="F502" i="13"/>
  <c r="H502" i="13" s="1"/>
  <c r="D502" i="13"/>
  <c r="K501" i="13"/>
  <c r="I501" i="13"/>
  <c r="G501" i="13"/>
  <c r="F501" i="13"/>
  <c r="H501" i="13" s="1"/>
  <c r="D501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H509" i="13"/>
  <c r="G509" i="13"/>
  <c r="I509" i="13" s="1"/>
  <c r="F509" i="13"/>
  <c r="D509" i="13"/>
  <c r="K508" i="13"/>
  <c r="G508" i="13"/>
  <c r="I508" i="13" s="1"/>
  <c r="F508" i="13"/>
  <c r="H508" i="13" s="1"/>
  <c r="D508" i="13"/>
  <c r="K507" i="13"/>
  <c r="G507" i="13"/>
  <c r="I507" i="13" s="1"/>
  <c r="F507" i="13"/>
  <c r="H507" i="13" s="1"/>
  <c r="D507" i="13"/>
  <c r="K506" i="13"/>
  <c r="H506" i="13"/>
  <c r="G506" i="13"/>
  <c r="I506" i="13" s="1"/>
  <c r="F506" i="13"/>
  <c r="D506" i="13"/>
  <c r="K523" i="13"/>
  <c r="G523" i="13"/>
  <c r="I523" i="13" s="1"/>
  <c r="F523" i="13"/>
  <c r="H523" i="13" s="1"/>
  <c r="J523" i="13" s="1"/>
  <c r="D523" i="13"/>
  <c r="K522" i="13"/>
  <c r="G522" i="13"/>
  <c r="I522" i="13" s="1"/>
  <c r="F522" i="13"/>
  <c r="H522" i="13" s="1"/>
  <c r="D522" i="13"/>
  <c r="K521" i="13"/>
  <c r="G521" i="13"/>
  <c r="I521" i="13" s="1"/>
  <c r="F521" i="13"/>
  <c r="H521" i="13" s="1"/>
  <c r="D521" i="13"/>
  <c r="K520" i="13"/>
  <c r="G520" i="13"/>
  <c r="I520" i="13" s="1"/>
  <c r="F520" i="13"/>
  <c r="H520" i="13" s="1"/>
  <c r="D520" i="13"/>
  <c r="K519" i="13"/>
  <c r="G519" i="13"/>
  <c r="I519" i="13" s="1"/>
  <c r="F519" i="13"/>
  <c r="H519" i="13" s="1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G516" i="13"/>
  <c r="I516" i="13" s="1"/>
  <c r="F516" i="13"/>
  <c r="H516" i="13" s="1"/>
  <c r="D516" i="13"/>
  <c r="K515" i="13"/>
  <c r="I515" i="13"/>
  <c r="G515" i="13"/>
  <c r="F515" i="13"/>
  <c r="H515" i="13" s="1"/>
  <c r="D515" i="13"/>
  <c r="K529" i="13"/>
  <c r="G529" i="13"/>
  <c r="I529" i="13" s="1"/>
  <c r="F529" i="13"/>
  <c r="H529" i="13" s="1"/>
  <c r="D529" i="13"/>
  <c r="K528" i="13"/>
  <c r="G528" i="13"/>
  <c r="I528" i="13" s="1"/>
  <c r="F528" i="13"/>
  <c r="H528" i="13" s="1"/>
  <c r="D528" i="13"/>
  <c r="K527" i="13"/>
  <c r="G527" i="13"/>
  <c r="I527" i="13" s="1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37" i="13"/>
  <c r="G537" i="13"/>
  <c r="I537" i="13" s="1"/>
  <c r="F537" i="13"/>
  <c r="H537" i="13" s="1"/>
  <c r="D537" i="13"/>
  <c r="K536" i="13"/>
  <c r="I536" i="13"/>
  <c r="G536" i="13"/>
  <c r="F536" i="13"/>
  <c r="H536" i="13" s="1"/>
  <c r="D536" i="13"/>
  <c r="K535" i="13"/>
  <c r="G535" i="13"/>
  <c r="I535" i="13" s="1"/>
  <c r="F535" i="13"/>
  <c r="H535" i="13" s="1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G532" i="13"/>
  <c r="I532" i="13" s="1"/>
  <c r="F532" i="13"/>
  <c r="H532" i="13" s="1"/>
  <c r="D532" i="13"/>
  <c r="K531" i="13"/>
  <c r="G531" i="13"/>
  <c r="I531" i="13" s="1"/>
  <c r="F531" i="13"/>
  <c r="H531" i="13" s="1"/>
  <c r="D531" i="13"/>
  <c r="K530" i="13"/>
  <c r="G530" i="13"/>
  <c r="I530" i="13" s="1"/>
  <c r="F530" i="13"/>
  <c r="H530" i="13" s="1"/>
  <c r="D530" i="13"/>
  <c r="K543" i="13"/>
  <c r="G543" i="13"/>
  <c r="I543" i="13" s="1"/>
  <c r="F543" i="13"/>
  <c r="H543" i="13" s="1"/>
  <c r="D543" i="13"/>
  <c r="K542" i="13"/>
  <c r="I542" i="13"/>
  <c r="G542" i="13"/>
  <c r="F542" i="13"/>
  <c r="H542" i="13" s="1"/>
  <c r="D542" i="13"/>
  <c r="K541" i="13"/>
  <c r="G541" i="13"/>
  <c r="I541" i="13" s="1"/>
  <c r="F541" i="13"/>
  <c r="H541" i="13" s="1"/>
  <c r="D541" i="13"/>
  <c r="K540" i="13"/>
  <c r="G540" i="13"/>
  <c r="I540" i="13" s="1"/>
  <c r="F540" i="13"/>
  <c r="H540" i="13" s="1"/>
  <c r="D540" i="13"/>
  <c r="K539" i="13"/>
  <c r="G539" i="13"/>
  <c r="I539" i="13" s="1"/>
  <c r="F539" i="13"/>
  <c r="H539" i="13" s="1"/>
  <c r="D539" i="13"/>
  <c r="K538" i="13"/>
  <c r="G538" i="13"/>
  <c r="I538" i="13" s="1"/>
  <c r="F538" i="13"/>
  <c r="H538" i="13" s="1"/>
  <c r="D538" i="13"/>
  <c r="K550" i="13"/>
  <c r="G550" i="13"/>
  <c r="I550" i="13" s="1"/>
  <c r="F550" i="13"/>
  <c r="H550" i="13" s="1"/>
  <c r="D550" i="13"/>
  <c r="K549" i="13"/>
  <c r="G549" i="13"/>
  <c r="I549" i="13" s="1"/>
  <c r="F549" i="13"/>
  <c r="H549" i="13" s="1"/>
  <c r="D549" i="13"/>
  <c r="K548" i="13"/>
  <c r="I548" i="13"/>
  <c r="G548" i="13"/>
  <c r="F548" i="13"/>
  <c r="H548" i="13" s="1"/>
  <c r="D548" i="13"/>
  <c r="K547" i="13"/>
  <c r="I547" i="13"/>
  <c r="G547" i="13"/>
  <c r="F547" i="13"/>
  <c r="H547" i="13" s="1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G544" i="13"/>
  <c r="I544" i="13" s="1"/>
  <c r="F544" i="13"/>
  <c r="H544" i="13" s="1"/>
  <c r="D544" i="13"/>
  <c r="K554" i="13"/>
  <c r="G554" i="13"/>
  <c r="I554" i="13" s="1"/>
  <c r="F554" i="13"/>
  <c r="H554" i="13" s="1"/>
  <c r="D554" i="13"/>
  <c r="K553" i="13"/>
  <c r="G553" i="13"/>
  <c r="I553" i="13" s="1"/>
  <c r="F553" i="13"/>
  <c r="H553" i="13" s="1"/>
  <c r="D553" i="13"/>
  <c r="K552" i="13"/>
  <c r="G552" i="13"/>
  <c r="I552" i="13" s="1"/>
  <c r="F552" i="13"/>
  <c r="H552" i="13" s="1"/>
  <c r="D552" i="13"/>
  <c r="K551" i="13"/>
  <c r="I551" i="13"/>
  <c r="G551" i="13"/>
  <c r="F551" i="13"/>
  <c r="H551" i="13" s="1"/>
  <c r="D551" i="13"/>
  <c r="K558" i="13"/>
  <c r="I558" i="13"/>
  <c r="G558" i="13"/>
  <c r="F558" i="13"/>
  <c r="H558" i="13" s="1"/>
  <c r="D558" i="13"/>
  <c r="K557" i="13"/>
  <c r="G557" i="13"/>
  <c r="I557" i="13" s="1"/>
  <c r="F557" i="13"/>
  <c r="H557" i="13" s="1"/>
  <c r="D557" i="13"/>
  <c r="K556" i="13"/>
  <c r="G556" i="13"/>
  <c r="I556" i="13" s="1"/>
  <c r="F556" i="13"/>
  <c r="H556" i="13" s="1"/>
  <c r="D556" i="13"/>
  <c r="K555" i="13"/>
  <c r="G555" i="13"/>
  <c r="I555" i="13" s="1"/>
  <c r="F555" i="13"/>
  <c r="H555" i="13" s="1"/>
  <c r="D555" i="13"/>
  <c r="K565" i="13"/>
  <c r="G565" i="13"/>
  <c r="I565" i="13" s="1"/>
  <c r="F565" i="13"/>
  <c r="H565" i="13" s="1"/>
  <c r="D565" i="13"/>
  <c r="K564" i="13"/>
  <c r="G564" i="13"/>
  <c r="I564" i="13" s="1"/>
  <c r="F564" i="13"/>
  <c r="H564" i="13" s="1"/>
  <c r="D564" i="13"/>
  <c r="K563" i="13"/>
  <c r="G563" i="13"/>
  <c r="I563" i="13" s="1"/>
  <c r="F563" i="13"/>
  <c r="H563" i="13" s="1"/>
  <c r="D563" i="13"/>
  <c r="K562" i="13"/>
  <c r="I562" i="13"/>
  <c r="G562" i="13"/>
  <c r="F562" i="13"/>
  <c r="H562" i="13" s="1"/>
  <c r="D562" i="13"/>
  <c r="K561" i="13"/>
  <c r="I561" i="13"/>
  <c r="G561" i="13"/>
  <c r="F561" i="13"/>
  <c r="H561" i="13" s="1"/>
  <c r="D561" i="13"/>
  <c r="K560" i="13"/>
  <c r="G560" i="13"/>
  <c r="I560" i="13" s="1"/>
  <c r="F560" i="13"/>
  <c r="H560" i="13" s="1"/>
  <c r="D560" i="13"/>
  <c r="K559" i="13"/>
  <c r="G559" i="13"/>
  <c r="I559" i="13" s="1"/>
  <c r="F559" i="13"/>
  <c r="H559" i="13" s="1"/>
  <c r="D559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G568" i="13"/>
  <c r="I568" i="13" s="1"/>
  <c r="F568" i="13"/>
  <c r="H568" i="13" s="1"/>
  <c r="D568" i="13"/>
  <c r="K567" i="13"/>
  <c r="I567" i="13"/>
  <c r="G567" i="13"/>
  <c r="F567" i="13"/>
  <c r="H567" i="13" s="1"/>
  <c r="D567" i="13"/>
  <c r="K566" i="13"/>
  <c r="G566" i="13"/>
  <c r="I566" i="13" s="1"/>
  <c r="F566" i="13"/>
  <c r="H566" i="13" s="1"/>
  <c r="D566" i="13"/>
  <c r="K574" i="13"/>
  <c r="G574" i="13"/>
  <c r="I574" i="13" s="1"/>
  <c r="F574" i="13"/>
  <c r="H574" i="13" s="1"/>
  <c r="D574" i="13"/>
  <c r="K573" i="13"/>
  <c r="G573" i="13"/>
  <c r="I573" i="13" s="1"/>
  <c r="F573" i="13"/>
  <c r="H573" i="13" s="1"/>
  <c r="D573" i="13"/>
  <c r="K572" i="13"/>
  <c r="I572" i="13"/>
  <c r="G572" i="13"/>
  <c r="F572" i="13"/>
  <c r="H572" i="13" s="1"/>
  <c r="D572" i="13"/>
  <c r="K579" i="13"/>
  <c r="G579" i="13"/>
  <c r="I579" i="13" s="1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J576" i="13" s="1"/>
  <c r="F576" i="13"/>
  <c r="H576" i="13" s="1"/>
  <c r="D576" i="13"/>
  <c r="K575" i="13"/>
  <c r="G575" i="13"/>
  <c r="I575" i="13" s="1"/>
  <c r="F575" i="13"/>
  <c r="H575" i="13" s="1"/>
  <c r="D575" i="13"/>
  <c r="K586" i="13"/>
  <c r="G586" i="13"/>
  <c r="I586" i="13" s="1"/>
  <c r="F586" i="13"/>
  <c r="H586" i="13" s="1"/>
  <c r="D586" i="13"/>
  <c r="K585" i="13"/>
  <c r="G585" i="13"/>
  <c r="I585" i="13" s="1"/>
  <c r="F585" i="13"/>
  <c r="H585" i="13" s="1"/>
  <c r="D585" i="13"/>
  <c r="K584" i="13"/>
  <c r="G584" i="13"/>
  <c r="I584" i="13" s="1"/>
  <c r="F584" i="13"/>
  <c r="H584" i="13" s="1"/>
  <c r="D584" i="13"/>
  <c r="K583" i="13"/>
  <c r="G583" i="13"/>
  <c r="I583" i="13" s="1"/>
  <c r="F583" i="13"/>
  <c r="H583" i="13" s="1"/>
  <c r="D583" i="13"/>
  <c r="K582" i="13"/>
  <c r="H582" i="13"/>
  <c r="G582" i="13"/>
  <c r="I582" i="13" s="1"/>
  <c r="F582" i="13"/>
  <c r="D582" i="13"/>
  <c r="K581" i="13"/>
  <c r="G581" i="13"/>
  <c r="I581" i="13" s="1"/>
  <c r="F581" i="13"/>
  <c r="H581" i="13" s="1"/>
  <c r="D581" i="13"/>
  <c r="K580" i="13"/>
  <c r="G580" i="13"/>
  <c r="I580" i="13" s="1"/>
  <c r="J580" i="13" s="1"/>
  <c r="F580" i="13"/>
  <c r="H580" i="13" s="1"/>
  <c r="D580" i="13"/>
  <c r="K589" i="13"/>
  <c r="G589" i="13"/>
  <c r="I589" i="13" s="1"/>
  <c r="F589" i="13"/>
  <c r="H589" i="13" s="1"/>
  <c r="D589" i="13"/>
  <c r="K588" i="13"/>
  <c r="H588" i="13"/>
  <c r="G588" i="13"/>
  <c r="I588" i="13" s="1"/>
  <c r="F588" i="13"/>
  <c r="D588" i="13"/>
  <c r="K587" i="13"/>
  <c r="G587" i="13"/>
  <c r="I587" i="13" s="1"/>
  <c r="F587" i="13"/>
  <c r="H587" i="13" s="1"/>
  <c r="D587" i="13"/>
  <c r="K597" i="13"/>
  <c r="G597" i="13"/>
  <c r="I597" i="13" s="1"/>
  <c r="F597" i="13"/>
  <c r="H597" i="13" s="1"/>
  <c r="D597" i="13"/>
  <c r="K596" i="13"/>
  <c r="G596" i="13"/>
  <c r="I596" i="13" s="1"/>
  <c r="F596" i="13"/>
  <c r="H596" i="13" s="1"/>
  <c r="D596" i="13"/>
  <c r="K595" i="13"/>
  <c r="G595" i="13"/>
  <c r="I595" i="13" s="1"/>
  <c r="F595" i="13"/>
  <c r="H595" i="13" s="1"/>
  <c r="D595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J590" i="13" s="1"/>
  <c r="F590" i="13"/>
  <c r="H590" i="13" s="1"/>
  <c r="D590" i="13"/>
  <c r="K600" i="13"/>
  <c r="I600" i="13"/>
  <c r="G600" i="13"/>
  <c r="F600" i="13"/>
  <c r="H600" i="13" s="1"/>
  <c r="D600" i="13"/>
  <c r="K599" i="13"/>
  <c r="G599" i="13"/>
  <c r="I599" i="13" s="1"/>
  <c r="F599" i="13"/>
  <c r="H599" i="13" s="1"/>
  <c r="D599" i="13"/>
  <c r="K598" i="13"/>
  <c r="G598" i="13"/>
  <c r="I598" i="13" s="1"/>
  <c r="F598" i="13"/>
  <c r="H598" i="13" s="1"/>
  <c r="D598" i="13"/>
  <c r="K604" i="13"/>
  <c r="G604" i="13"/>
  <c r="I604" i="13" s="1"/>
  <c r="F604" i="13"/>
  <c r="H604" i="13" s="1"/>
  <c r="D604" i="13"/>
  <c r="K603" i="13"/>
  <c r="H603" i="13"/>
  <c r="G603" i="13"/>
  <c r="I603" i="13" s="1"/>
  <c r="F603" i="13"/>
  <c r="D603" i="13"/>
  <c r="K602" i="13"/>
  <c r="G602" i="13"/>
  <c r="I602" i="13" s="1"/>
  <c r="F602" i="13"/>
  <c r="H602" i="13" s="1"/>
  <c r="D602" i="13"/>
  <c r="K601" i="13"/>
  <c r="G601" i="13"/>
  <c r="I601" i="13" s="1"/>
  <c r="F601" i="13"/>
  <c r="H601" i="13" s="1"/>
  <c r="D601" i="13"/>
  <c r="K612" i="13"/>
  <c r="G612" i="13"/>
  <c r="I612" i="13" s="1"/>
  <c r="F612" i="13"/>
  <c r="H612" i="13" s="1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G608" i="13"/>
  <c r="I608" i="13" s="1"/>
  <c r="J608" i="13" s="1"/>
  <c r="F608" i="13"/>
  <c r="H608" i="13" s="1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F613" i="13"/>
  <c r="H613" i="13" s="1"/>
  <c r="D613" i="13"/>
  <c r="K619" i="13"/>
  <c r="G619" i="13"/>
  <c r="I619" i="13" s="1"/>
  <c r="F619" i="13"/>
  <c r="H619" i="13" s="1"/>
  <c r="D619" i="13"/>
  <c r="K618" i="13"/>
  <c r="I618" i="13"/>
  <c r="G618" i="13"/>
  <c r="F618" i="13"/>
  <c r="H618" i="13" s="1"/>
  <c r="D618" i="13"/>
  <c r="K617" i="13"/>
  <c r="G617" i="13"/>
  <c r="I617" i="13" s="1"/>
  <c r="F617" i="13"/>
  <c r="H617" i="13" s="1"/>
  <c r="D617" i="13"/>
  <c r="K616" i="13"/>
  <c r="G616" i="13"/>
  <c r="I616" i="13" s="1"/>
  <c r="F616" i="13"/>
  <c r="H616" i="13" s="1"/>
  <c r="D616" i="13"/>
  <c r="K625" i="13"/>
  <c r="G625" i="13"/>
  <c r="I625" i="13" s="1"/>
  <c r="F625" i="13"/>
  <c r="H625" i="13" s="1"/>
  <c r="D625" i="13"/>
  <c r="K624" i="13"/>
  <c r="I624" i="13"/>
  <c r="J624" i="13" s="1"/>
  <c r="G624" i="13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21" i="13"/>
  <c r="G621" i="13"/>
  <c r="I621" i="13" s="1"/>
  <c r="F621" i="13"/>
  <c r="H621" i="13" s="1"/>
  <c r="D621" i="13"/>
  <c r="K620" i="13"/>
  <c r="G620" i="13"/>
  <c r="I620" i="13" s="1"/>
  <c r="J620" i="13" s="1"/>
  <c r="F620" i="13"/>
  <c r="H620" i="13" s="1"/>
  <c r="D620" i="13"/>
  <c r="K631" i="13"/>
  <c r="G631" i="13"/>
  <c r="I631" i="13" s="1"/>
  <c r="F631" i="13"/>
  <c r="H631" i="13" s="1"/>
  <c r="D631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28" i="13"/>
  <c r="G628" i="13"/>
  <c r="I628" i="13" s="1"/>
  <c r="F628" i="13"/>
  <c r="H628" i="13" s="1"/>
  <c r="D628" i="13"/>
  <c r="K627" i="13"/>
  <c r="G627" i="13"/>
  <c r="I627" i="13" s="1"/>
  <c r="F627" i="13"/>
  <c r="H627" i="13" s="1"/>
  <c r="D627" i="13"/>
  <c r="K626" i="13"/>
  <c r="G626" i="13"/>
  <c r="I626" i="13" s="1"/>
  <c r="F626" i="13"/>
  <c r="H626" i="13" s="1"/>
  <c r="D626" i="13"/>
  <c r="K634" i="13"/>
  <c r="G634" i="13"/>
  <c r="I634" i="13" s="1"/>
  <c r="F634" i="13"/>
  <c r="H634" i="13" s="1"/>
  <c r="D634" i="13"/>
  <c r="K633" i="13"/>
  <c r="I633" i="13"/>
  <c r="G633" i="13"/>
  <c r="F633" i="13"/>
  <c r="H633" i="13" s="1"/>
  <c r="D633" i="13"/>
  <c r="K632" i="13"/>
  <c r="G632" i="13"/>
  <c r="I632" i="13" s="1"/>
  <c r="F632" i="13"/>
  <c r="H632" i="13" s="1"/>
  <c r="D632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G635" i="13"/>
  <c r="I635" i="13" s="1"/>
  <c r="J635" i="13" s="1"/>
  <c r="F635" i="13"/>
  <c r="H635" i="13" s="1"/>
  <c r="D635" i="13"/>
  <c r="K640" i="13"/>
  <c r="H640" i="13"/>
  <c r="G640" i="13"/>
  <c r="I640" i="13" s="1"/>
  <c r="F640" i="13"/>
  <c r="D640" i="13"/>
  <c r="K639" i="13"/>
  <c r="G639" i="13"/>
  <c r="I639" i="13" s="1"/>
  <c r="F639" i="13"/>
  <c r="H639" i="13" s="1"/>
  <c r="D639" i="13"/>
  <c r="K638" i="13"/>
  <c r="G638" i="13"/>
  <c r="I638" i="13" s="1"/>
  <c r="F638" i="13"/>
  <c r="H638" i="13" s="1"/>
  <c r="D638" i="13"/>
  <c r="K644" i="13"/>
  <c r="G644" i="13"/>
  <c r="I644" i="13" s="1"/>
  <c r="F644" i="13"/>
  <c r="H644" i="13" s="1"/>
  <c r="D644" i="13"/>
  <c r="K643" i="13"/>
  <c r="G643" i="13"/>
  <c r="I643" i="13" s="1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48" i="13"/>
  <c r="G648" i="13"/>
  <c r="I648" i="13" s="1"/>
  <c r="F648" i="13"/>
  <c r="H648" i="13" s="1"/>
  <c r="D648" i="13"/>
  <c r="K647" i="13"/>
  <c r="G647" i="13"/>
  <c r="I647" i="13" s="1"/>
  <c r="F647" i="13"/>
  <c r="H647" i="13" s="1"/>
  <c r="D647" i="13"/>
  <c r="K646" i="13"/>
  <c r="G646" i="13"/>
  <c r="I646" i="13" s="1"/>
  <c r="F646" i="13"/>
  <c r="H646" i="13" s="1"/>
  <c r="D646" i="13"/>
  <c r="K645" i="13"/>
  <c r="G645" i="13"/>
  <c r="I645" i="13" s="1"/>
  <c r="J645" i="13" s="1"/>
  <c r="F645" i="13"/>
  <c r="H645" i="13" s="1"/>
  <c r="D645" i="13"/>
  <c r="K656" i="13"/>
  <c r="G656" i="13"/>
  <c r="I656" i="13" s="1"/>
  <c r="J656" i="13" s="1"/>
  <c r="F656" i="13"/>
  <c r="H656" i="13" s="1"/>
  <c r="D656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G653" i="13"/>
  <c r="I653" i="13" s="1"/>
  <c r="J653" i="13" s="1"/>
  <c r="F653" i="13"/>
  <c r="H653" i="13" s="1"/>
  <c r="D653" i="13"/>
  <c r="K652" i="13"/>
  <c r="I652" i="13"/>
  <c r="J652" i="13" s="1"/>
  <c r="G652" i="13"/>
  <c r="F652" i="13"/>
  <c r="H652" i="13" s="1"/>
  <c r="D652" i="13"/>
  <c r="K651" i="13"/>
  <c r="G651" i="13"/>
  <c r="I651" i="13" s="1"/>
  <c r="F651" i="13"/>
  <c r="H651" i="13" s="1"/>
  <c r="D651" i="13"/>
  <c r="K650" i="13"/>
  <c r="G650" i="13"/>
  <c r="I650" i="13" s="1"/>
  <c r="J650" i="13" s="1"/>
  <c r="F650" i="13"/>
  <c r="H650" i="13" s="1"/>
  <c r="D650" i="13"/>
  <c r="K649" i="13"/>
  <c r="I649" i="13"/>
  <c r="J649" i="13" s="1"/>
  <c r="G649" i="13"/>
  <c r="F649" i="13"/>
  <c r="H649" i="13" s="1"/>
  <c r="D649" i="13"/>
  <c r="K659" i="13"/>
  <c r="G659" i="13"/>
  <c r="I659" i="13" s="1"/>
  <c r="F659" i="13"/>
  <c r="H659" i="13" s="1"/>
  <c r="D659" i="13"/>
  <c r="K658" i="13"/>
  <c r="G658" i="13"/>
  <c r="I658" i="13" s="1"/>
  <c r="F658" i="13"/>
  <c r="H658" i="13" s="1"/>
  <c r="D658" i="13"/>
  <c r="K657" i="13"/>
  <c r="G657" i="13"/>
  <c r="I657" i="13" s="1"/>
  <c r="F657" i="13"/>
  <c r="H657" i="13" s="1"/>
  <c r="D657" i="13"/>
  <c r="K662" i="13"/>
  <c r="G662" i="13"/>
  <c r="I662" i="13" s="1"/>
  <c r="F662" i="13"/>
  <c r="H662" i="13" s="1"/>
  <c r="D662" i="13"/>
  <c r="K661" i="13"/>
  <c r="G661" i="13"/>
  <c r="I661" i="13" s="1"/>
  <c r="F661" i="13"/>
  <c r="H661" i="13" s="1"/>
  <c r="D661" i="13"/>
  <c r="K660" i="13"/>
  <c r="G660" i="13"/>
  <c r="I660" i="13" s="1"/>
  <c r="F660" i="13"/>
  <c r="H660" i="13" s="1"/>
  <c r="D660" i="13"/>
  <c r="K665" i="13"/>
  <c r="G665" i="13"/>
  <c r="I665" i="13" s="1"/>
  <c r="F665" i="13"/>
  <c r="H665" i="13" s="1"/>
  <c r="D665" i="13"/>
  <c r="K664" i="13"/>
  <c r="G664" i="13"/>
  <c r="I664" i="13" s="1"/>
  <c r="J664" i="13" s="1"/>
  <c r="F664" i="13"/>
  <c r="H664" i="13" s="1"/>
  <c r="D664" i="13"/>
  <c r="K663" i="13"/>
  <c r="G663" i="13"/>
  <c r="I663" i="13" s="1"/>
  <c r="F663" i="13"/>
  <c r="H663" i="13" s="1"/>
  <c r="D663" i="13"/>
  <c r="K670" i="13"/>
  <c r="H670" i="13"/>
  <c r="G670" i="13"/>
  <c r="I670" i="13" s="1"/>
  <c r="F670" i="13"/>
  <c r="D670" i="13"/>
  <c r="K669" i="13"/>
  <c r="G669" i="13"/>
  <c r="I669" i="13" s="1"/>
  <c r="F669" i="13"/>
  <c r="H669" i="13" s="1"/>
  <c r="D669" i="13"/>
  <c r="K668" i="13"/>
  <c r="G668" i="13"/>
  <c r="I668" i="13" s="1"/>
  <c r="J668" i="13" s="1"/>
  <c r="F668" i="13"/>
  <c r="H668" i="13" s="1"/>
  <c r="D668" i="13"/>
  <c r="K667" i="13"/>
  <c r="G667" i="13"/>
  <c r="I667" i="13" s="1"/>
  <c r="F667" i="13"/>
  <c r="H667" i="13" s="1"/>
  <c r="D667" i="13"/>
  <c r="K666" i="13"/>
  <c r="H666" i="13"/>
  <c r="G666" i="13"/>
  <c r="I666" i="13" s="1"/>
  <c r="F666" i="13"/>
  <c r="D666" i="13"/>
  <c r="K676" i="13"/>
  <c r="G676" i="13"/>
  <c r="I676" i="13" s="1"/>
  <c r="F676" i="13"/>
  <c r="H676" i="13" s="1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F672" i="13"/>
  <c r="H672" i="13" s="1"/>
  <c r="D672" i="13"/>
  <c r="K671" i="13"/>
  <c r="G671" i="13"/>
  <c r="I671" i="13" s="1"/>
  <c r="F671" i="13"/>
  <c r="H671" i="13" s="1"/>
  <c r="D671" i="13"/>
  <c r="K683" i="13"/>
  <c r="G683" i="13"/>
  <c r="I683" i="13" s="1"/>
  <c r="F683" i="13"/>
  <c r="H683" i="13" s="1"/>
  <c r="D683" i="13"/>
  <c r="K682" i="13"/>
  <c r="G682" i="13"/>
  <c r="I682" i="13" s="1"/>
  <c r="F682" i="13"/>
  <c r="H682" i="13" s="1"/>
  <c r="D682" i="13"/>
  <c r="K681" i="13"/>
  <c r="G681" i="13"/>
  <c r="I681" i="13" s="1"/>
  <c r="F681" i="13"/>
  <c r="H681" i="13" s="1"/>
  <c r="D681" i="13"/>
  <c r="K680" i="13"/>
  <c r="G680" i="13"/>
  <c r="I680" i="13" s="1"/>
  <c r="J680" i="13" s="1"/>
  <c r="F680" i="13"/>
  <c r="H680" i="13" s="1"/>
  <c r="D680" i="13"/>
  <c r="K679" i="13"/>
  <c r="G679" i="13"/>
  <c r="I679" i="13" s="1"/>
  <c r="J679" i="13" s="1"/>
  <c r="F679" i="13"/>
  <c r="H679" i="13" s="1"/>
  <c r="D679" i="13"/>
  <c r="K678" i="13"/>
  <c r="H678" i="13"/>
  <c r="G678" i="13"/>
  <c r="I678" i="13" s="1"/>
  <c r="F678" i="13"/>
  <c r="D678" i="13"/>
  <c r="K677" i="13"/>
  <c r="G677" i="13"/>
  <c r="I677" i="13" s="1"/>
  <c r="F677" i="13"/>
  <c r="H677" i="13" s="1"/>
  <c r="D677" i="13"/>
  <c r="K689" i="13"/>
  <c r="G689" i="13"/>
  <c r="I689" i="13" s="1"/>
  <c r="J689" i="13" s="1"/>
  <c r="F689" i="13"/>
  <c r="H689" i="13" s="1"/>
  <c r="D689" i="13"/>
  <c r="K688" i="13"/>
  <c r="G688" i="13"/>
  <c r="I688" i="13" s="1"/>
  <c r="F688" i="13"/>
  <c r="H688" i="13" s="1"/>
  <c r="D688" i="13"/>
  <c r="K687" i="13"/>
  <c r="H687" i="13"/>
  <c r="G687" i="13"/>
  <c r="I687" i="13" s="1"/>
  <c r="F687" i="13"/>
  <c r="D687" i="13"/>
  <c r="K686" i="13"/>
  <c r="G686" i="13"/>
  <c r="I686" i="13" s="1"/>
  <c r="F686" i="13"/>
  <c r="H686" i="13" s="1"/>
  <c r="D686" i="13"/>
  <c r="K685" i="13"/>
  <c r="G685" i="13"/>
  <c r="I685" i="13" s="1"/>
  <c r="F685" i="13"/>
  <c r="H685" i="13" s="1"/>
  <c r="D685" i="13"/>
  <c r="K684" i="13"/>
  <c r="G684" i="13"/>
  <c r="I684" i="13" s="1"/>
  <c r="F684" i="13"/>
  <c r="H684" i="13" s="1"/>
  <c r="D684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G692" i="13"/>
  <c r="I692" i="13" s="1"/>
  <c r="F692" i="13"/>
  <c r="H692" i="13" s="1"/>
  <c r="D692" i="13"/>
  <c r="K691" i="13"/>
  <c r="G691" i="13"/>
  <c r="I691" i="13" s="1"/>
  <c r="F691" i="13"/>
  <c r="H691" i="13" s="1"/>
  <c r="D691" i="13"/>
  <c r="K690" i="13"/>
  <c r="G690" i="13"/>
  <c r="I690" i="13" s="1"/>
  <c r="F690" i="13"/>
  <c r="H690" i="13" s="1"/>
  <c r="D690" i="13"/>
  <c r="K701" i="13"/>
  <c r="G701" i="13"/>
  <c r="I701" i="13" s="1"/>
  <c r="F701" i="13"/>
  <c r="H701" i="13" s="1"/>
  <c r="D701" i="13"/>
  <c r="K700" i="13"/>
  <c r="G700" i="13"/>
  <c r="I700" i="13" s="1"/>
  <c r="J700" i="13" s="1"/>
  <c r="F700" i="13"/>
  <c r="H700" i="13" s="1"/>
  <c r="D700" i="13"/>
  <c r="K699" i="13"/>
  <c r="G699" i="13"/>
  <c r="I699" i="13" s="1"/>
  <c r="J699" i="13" s="1"/>
  <c r="F699" i="13"/>
  <c r="H699" i="13" s="1"/>
  <c r="D699" i="13"/>
  <c r="K698" i="13"/>
  <c r="H698" i="13"/>
  <c r="G698" i="13"/>
  <c r="I698" i="13" s="1"/>
  <c r="F698" i="13"/>
  <c r="D698" i="13"/>
  <c r="K697" i="13"/>
  <c r="G697" i="13"/>
  <c r="I697" i="13" s="1"/>
  <c r="F697" i="13"/>
  <c r="H697" i="13" s="1"/>
  <c r="D697" i="13"/>
  <c r="K696" i="13"/>
  <c r="G696" i="13"/>
  <c r="I696" i="13" s="1"/>
  <c r="J696" i="13" s="1"/>
  <c r="F696" i="13"/>
  <c r="H696" i="13" s="1"/>
  <c r="D696" i="13"/>
  <c r="K695" i="13"/>
  <c r="H695" i="13"/>
  <c r="G695" i="13"/>
  <c r="I695" i="13" s="1"/>
  <c r="F695" i="13"/>
  <c r="D695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11" i="13"/>
  <c r="G711" i="13"/>
  <c r="I711" i="13" s="1"/>
  <c r="F711" i="13"/>
  <c r="H711" i="13" s="1"/>
  <c r="D711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J707" i="13" s="1"/>
  <c r="F707" i="13"/>
  <c r="H707" i="13" s="1"/>
  <c r="D707" i="13"/>
  <c r="K706" i="13"/>
  <c r="G706" i="13"/>
  <c r="I706" i="13" s="1"/>
  <c r="J706" i="13" s="1"/>
  <c r="F706" i="13"/>
  <c r="H706" i="13" s="1"/>
  <c r="D706" i="13"/>
  <c r="K705" i="13"/>
  <c r="H705" i="13"/>
  <c r="G705" i="13"/>
  <c r="I705" i="13" s="1"/>
  <c r="F705" i="13"/>
  <c r="D705" i="13"/>
  <c r="K704" i="13"/>
  <c r="G704" i="13"/>
  <c r="I704" i="13" s="1"/>
  <c r="F704" i="13"/>
  <c r="H704" i="13" s="1"/>
  <c r="D704" i="13"/>
  <c r="K719" i="13"/>
  <c r="G719" i="13"/>
  <c r="I719" i="13" s="1"/>
  <c r="J719" i="13" s="1"/>
  <c r="F719" i="13"/>
  <c r="H719" i="13" s="1"/>
  <c r="D719" i="13"/>
  <c r="K718" i="13"/>
  <c r="G718" i="13"/>
  <c r="I718" i="13" s="1"/>
  <c r="F718" i="13"/>
  <c r="H718" i="13" s="1"/>
  <c r="D718" i="13"/>
  <c r="K717" i="13"/>
  <c r="H717" i="13"/>
  <c r="G717" i="13"/>
  <c r="I717" i="13" s="1"/>
  <c r="F717" i="13"/>
  <c r="D717" i="13"/>
  <c r="K716" i="13"/>
  <c r="G716" i="13"/>
  <c r="I716" i="13" s="1"/>
  <c r="F716" i="13"/>
  <c r="H716" i="13" s="1"/>
  <c r="D716" i="13"/>
  <c r="K715" i="13"/>
  <c r="G715" i="13"/>
  <c r="I715" i="13" s="1"/>
  <c r="F715" i="13"/>
  <c r="H715" i="13" s="1"/>
  <c r="D715" i="13"/>
  <c r="K714" i="13"/>
  <c r="G714" i="13"/>
  <c r="I714" i="13" s="1"/>
  <c r="F714" i="13"/>
  <c r="H714" i="13" s="1"/>
  <c r="D714" i="13"/>
  <c r="K713" i="13"/>
  <c r="G713" i="13"/>
  <c r="I713" i="13" s="1"/>
  <c r="F713" i="13"/>
  <c r="H713" i="13" s="1"/>
  <c r="D713" i="13"/>
  <c r="K712" i="13"/>
  <c r="G712" i="13"/>
  <c r="I712" i="13" s="1"/>
  <c r="F712" i="13"/>
  <c r="H712" i="13" s="1"/>
  <c r="D712" i="13"/>
  <c r="K729" i="13"/>
  <c r="G729" i="13"/>
  <c r="I729" i="13" s="1"/>
  <c r="F729" i="13"/>
  <c r="H729" i="13" s="1"/>
  <c r="D729" i="13"/>
  <c r="K728" i="13"/>
  <c r="G728" i="13"/>
  <c r="I728" i="13" s="1"/>
  <c r="F728" i="13"/>
  <c r="H728" i="13" s="1"/>
  <c r="D728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25" i="13"/>
  <c r="G725" i="13"/>
  <c r="I725" i="13" s="1"/>
  <c r="F725" i="13"/>
  <c r="H725" i="13" s="1"/>
  <c r="D725" i="13"/>
  <c r="K724" i="13"/>
  <c r="G724" i="13"/>
  <c r="I724" i="13" s="1"/>
  <c r="F724" i="13"/>
  <c r="H724" i="13" s="1"/>
  <c r="D724" i="13"/>
  <c r="K723" i="13"/>
  <c r="H723" i="13"/>
  <c r="G723" i="13"/>
  <c r="I723" i="13" s="1"/>
  <c r="F723" i="13"/>
  <c r="D723" i="13"/>
  <c r="K722" i="13"/>
  <c r="G722" i="13"/>
  <c r="I722" i="13" s="1"/>
  <c r="F722" i="13"/>
  <c r="H722" i="13" s="1"/>
  <c r="D722" i="13"/>
  <c r="K721" i="13"/>
  <c r="G721" i="13"/>
  <c r="I721" i="13" s="1"/>
  <c r="J721" i="13" s="1"/>
  <c r="F721" i="13"/>
  <c r="H721" i="13" s="1"/>
  <c r="D721" i="13"/>
  <c r="K720" i="13"/>
  <c r="G720" i="13"/>
  <c r="I720" i="13" s="1"/>
  <c r="F720" i="13"/>
  <c r="H720" i="13" s="1"/>
  <c r="D720" i="13"/>
  <c r="K733" i="13"/>
  <c r="H733" i="13"/>
  <c r="G733" i="13"/>
  <c r="I733" i="13" s="1"/>
  <c r="F733" i="13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38" i="13"/>
  <c r="G738" i="13"/>
  <c r="I738" i="13" s="1"/>
  <c r="F738" i="13"/>
  <c r="H738" i="13" s="1"/>
  <c r="D738" i="13"/>
  <c r="K737" i="13"/>
  <c r="G737" i="13"/>
  <c r="I737" i="13" s="1"/>
  <c r="F737" i="13"/>
  <c r="H737" i="13" s="1"/>
  <c r="D737" i="13"/>
  <c r="K736" i="13"/>
  <c r="G736" i="13"/>
  <c r="I736" i="13" s="1"/>
  <c r="F736" i="13"/>
  <c r="H736" i="13" s="1"/>
  <c r="D736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45" i="13"/>
  <c r="G745" i="13"/>
  <c r="I745" i="13" s="1"/>
  <c r="F745" i="13"/>
  <c r="H745" i="13" s="1"/>
  <c r="D745" i="13"/>
  <c r="K744" i="13"/>
  <c r="G744" i="13"/>
  <c r="I744" i="13" s="1"/>
  <c r="J744" i="13" s="1"/>
  <c r="F744" i="13"/>
  <c r="H744" i="13" s="1"/>
  <c r="D744" i="13"/>
  <c r="K743" i="13"/>
  <c r="G743" i="13"/>
  <c r="I743" i="13" s="1"/>
  <c r="J743" i="13" s="1"/>
  <c r="F743" i="13"/>
  <c r="H743" i="13" s="1"/>
  <c r="D743" i="13"/>
  <c r="K742" i="13"/>
  <c r="H742" i="13"/>
  <c r="G742" i="13"/>
  <c r="I742" i="13" s="1"/>
  <c r="F742" i="13"/>
  <c r="D742" i="13"/>
  <c r="K741" i="13"/>
  <c r="G741" i="13"/>
  <c r="I741" i="13" s="1"/>
  <c r="F741" i="13"/>
  <c r="H741" i="13" s="1"/>
  <c r="D741" i="13"/>
  <c r="K740" i="13"/>
  <c r="G740" i="13"/>
  <c r="I740" i="13" s="1"/>
  <c r="J740" i="13" s="1"/>
  <c r="F740" i="13"/>
  <c r="H740" i="13" s="1"/>
  <c r="D740" i="13"/>
  <c r="K739" i="13"/>
  <c r="G739" i="13"/>
  <c r="I739" i="13" s="1"/>
  <c r="F739" i="13"/>
  <c r="H739" i="13" s="1"/>
  <c r="D739" i="13"/>
  <c r="K748" i="13"/>
  <c r="H748" i="13"/>
  <c r="G748" i="13"/>
  <c r="I748" i="13" s="1"/>
  <c r="F748" i="13"/>
  <c r="D748" i="13"/>
  <c r="K747" i="13"/>
  <c r="G747" i="13"/>
  <c r="I747" i="13" s="1"/>
  <c r="F747" i="13"/>
  <c r="H747" i="13" s="1"/>
  <c r="D747" i="13"/>
  <c r="K746" i="13"/>
  <c r="G746" i="13"/>
  <c r="I746" i="13" s="1"/>
  <c r="F746" i="13"/>
  <c r="H746" i="13" s="1"/>
  <c r="D746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49" i="13"/>
  <c r="G749" i="13"/>
  <c r="I749" i="13" s="1"/>
  <c r="F749" i="13"/>
  <c r="H749" i="13" s="1"/>
  <c r="D749" i="13"/>
  <c r="K754" i="13"/>
  <c r="G754" i="13"/>
  <c r="I754" i="13" s="1"/>
  <c r="F754" i="13"/>
  <c r="H754" i="13" s="1"/>
  <c r="D754" i="13"/>
  <c r="K753" i="13"/>
  <c r="H753" i="13"/>
  <c r="G753" i="13"/>
  <c r="I753" i="13" s="1"/>
  <c r="F753" i="13"/>
  <c r="D753" i="13"/>
  <c r="K761" i="13"/>
  <c r="G761" i="13"/>
  <c r="I761" i="13" s="1"/>
  <c r="F761" i="13"/>
  <c r="H761" i="13" s="1"/>
  <c r="D761" i="13"/>
  <c r="K760" i="13"/>
  <c r="G760" i="13"/>
  <c r="I760" i="13" s="1"/>
  <c r="J760" i="13" s="1"/>
  <c r="F760" i="13"/>
  <c r="H760" i="13" s="1"/>
  <c r="D760" i="13"/>
  <c r="K759" i="13"/>
  <c r="G759" i="13"/>
  <c r="I759" i="13" s="1"/>
  <c r="J759" i="13" s="1"/>
  <c r="F759" i="13"/>
  <c r="H759" i="13" s="1"/>
  <c r="D759" i="13"/>
  <c r="K758" i="13"/>
  <c r="G758" i="13"/>
  <c r="I758" i="13" s="1"/>
  <c r="F758" i="13"/>
  <c r="H758" i="13" s="1"/>
  <c r="D758" i="13"/>
  <c r="K757" i="13"/>
  <c r="G757" i="13"/>
  <c r="I757" i="13" s="1"/>
  <c r="F757" i="13"/>
  <c r="H757" i="13" s="1"/>
  <c r="D757" i="13"/>
  <c r="K756" i="13"/>
  <c r="G756" i="13"/>
  <c r="I756" i="13" s="1"/>
  <c r="J756" i="13" s="1"/>
  <c r="F756" i="13"/>
  <c r="H756" i="13" s="1"/>
  <c r="D756" i="13"/>
  <c r="K755" i="13"/>
  <c r="H755" i="13"/>
  <c r="G755" i="13"/>
  <c r="I755" i="13" s="1"/>
  <c r="F755" i="13"/>
  <c r="D755" i="13"/>
  <c r="K767" i="13"/>
  <c r="G767" i="13"/>
  <c r="I767" i="13" s="1"/>
  <c r="F767" i="13"/>
  <c r="H767" i="13" s="1"/>
  <c r="D767" i="13"/>
  <c r="K766" i="13"/>
  <c r="G766" i="13"/>
  <c r="I766" i="13" s="1"/>
  <c r="F766" i="13"/>
  <c r="H766" i="13" s="1"/>
  <c r="D766" i="13"/>
  <c r="K765" i="13"/>
  <c r="G765" i="13"/>
  <c r="I765" i="13" s="1"/>
  <c r="F765" i="13"/>
  <c r="H765" i="13" s="1"/>
  <c r="D765" i="13"/>
  <c r="K764" i="13"/>
  <c r="H764" i="13"/>
  <c r="G764" i="13"/>
  <c r="I764" i="13" s="1"/>
  <c r="F764" i="13"/>
  <c r="D764" i="13"/>
  <c r="K763" i="13"/>
  <c r="H763" i="13"/>
  <c r="G763" i="13"/>
  <c r="I763" i="13" s="1"/>
  <c r="F763" i="13"/>
  <c r="D763" i="13"/>
  <c r="K762" i="13"/>
  <c r="G762" i="13"/>
  <c r="I762" i="13" s="1"/>
  <c r="F762" i="13"/>
  <c r="H762" i="13" s="1"/>
  <c r="D762" i="13"/>
  <c r="K771" i="13"/>
  <c r="G771" i="13"/>
  <c r="I771" i="13" s="1"/>
  <c r="F771" i="13"/>
  <c r="H771" i="13" s="1"/>
  <c r="D771" i="13"/>
  <c r="K770" i="13"/>
  <c r="G770" i="13"/>
  <c r="I770" i="13" s="1"/>
  <c r="F770" i="13"/>
  <c r="H770" i="13" s="1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H776" i="13"/>
  <c r="G776" i="13"/>
  <c r="I776" i="13" s="1"/>
  <c r="F776" i="13"/>
  <c r="D776" i="13"/>
  <c r="K775" i="13"/>
  <c r="G775" i="13"/>
  <c r="I775" i="13" s="1"/>
  <c r="F775" i="13"/>
  <c r="H775" i="13" s="1"/>
  <c r="D775" i="13"/>
  <c r="K774" i="13"/>
  <c r="G774" i="13"/>
  <c r="I774" i="13" s="1"/>
  <c r="F774" i="13"/>
  <c r="H774" i="13" s="1"/>
  <c r="D774" i="13"/>
  <c r="K773" i="13"/>
  <c r="G773" i="13"/>
  <c r="I773" i="13" s="1"/>
  <c r="J773" i="13" s="1"/>
  <c r="F773" i="13"/>
  <c r="H773" i="13" s="1"/>
  <c r="D773" i="13"/>
  <c r="K772" i="13"/>
  <c r="G772" i="13"/>
  <c r="I772" i="13" s="1"/>
  <c r="F772" i="13"/>
  <c r="H772" i="13" s="1"/>
  <c r="D772" i="13"/>
  <c r="K782" i="13"/>
  <c r="G782" i="13"/>
  <c r="I782" i="13" s="1"/>
  <c r="F782" i="13"/>
  <c r="H782" i="13" s="1"/>
  <c r="D782" i="13"/>
  <c r="K781" i="13"/>
  <c r="G781" i="13"/>
  <c r="I781" i="13" s="1"/>
  <c r="J781" i="13" s="1"/>
  <c r="F781" i="13"/>
  <c r="H781" i="13" s="1"/>
  <c r="D781" i="13"/>
  <c r="K780" i="13"/>
  <c r="G780" i="13"/>
  <c r="I780" i="13" s="1"/>
  <c r="F780" i="13"/>
  <c r="H780" i="13" s="1"/>
  <c r="D780" i="13"/>
  <c r="K779" i="13"/>
  <c r="H779" i="13"/>
  <c r="G779" i="13"/>
  <c r="I779" i="13" s="1"/>
  <c r="F779" i="13"/>
  <c r="D779" i="13"/>
  <c r="K787" i="13"/>
  <c r="G787" i="13"/>
  <c r="I787" i="13" s="1"/>
  <c r="F787" i="13"/>
  <c r="H787" i="13" s="1"/>
  <c r="D787" i="13"/>
  <c r="K786" i="13"/>
  <c r="G786" i="13"/>
  <c r="I786" i="13" s="1"/>
  <c r="F786" i="13"/>
  <c r="H786" i="13" s="1"/>
  <c r="D786" i="13"/>
  <c r="K785" i="13"/>
  <c r="H785" i="13"/>
  <c r="G785" i="13"/>
  <c r="I785" i="13" s="1"/>
  <c r="F785" i="13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93" i="13"/>
  <c r="G793" i="13"/>
  <c r="I793" i="13" s="1"/>
  <c r="F793" i="13"/>
  <c r="H793" i="13" s="1"/>
  <c r="D793" i="13"/>
  <c r="K792" i="13"/>
  <c r="G792" i="13"/>
  <c r="I792" i="13" s="1"/>
  <c r="F792" i="13"/>
  <c r="H792" i="13" s="1"/>
  <c r="D792" i="13"/>
  <c r="K791" i="13"/>
  <c r="H791" i="13"/>
  <c r="G791" i="13"/>
  <c r="I791" i="13" s="1"/>
  <c r="F791" i="13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D789" i="13"/>
  <c r="K788" i="13"/>
  <c r="I788" i="13"/>
  <c r="G788" i="13"/>
  <c r="F788" i="13"/>
  <c r="H788" i="13" s="1"/>
  <c r="D788" i="13"/>
  <c r="K798" i="13"/>
  <c r="G798" i="13"/>
  <c r="I798" i="13" s="1"/>
  <c r="F798" i="13"/>
  <c r="H798" i="13" s="1"/>
  <c r="D798" i="13"/>
  <c r="K797" i="13"/>
  <c r="G797" i="13"/>
  <c r="I797" i="13" s="1"/>
  <c r="F797" i="13"/>
  <c r="H797" i="13" s="1"/>
  <c r="D797" i="13"/>
  <c r="K796" i="13"/>
  <c r="G796" i="13"/>
  <c r="I796" i="13" s="1"/>
  <c r="F796" i="13"/>
  <c r="H796" i="13" s="1"/>
  <c r="D796" i="13"/>
  <c r="K795" i="13"/>
  <c r="H795" i="13"/>
  <c r="G795" i="13"/>
  <c r="I795" i="13" s="1"/>
  <c r="F795" i="13"/>
  <c r="D795" i="13"/>
  <c r="K794" i="13"/>
  <c r="G794" i="13"/>
  <c r="I794" i="13" s="1"/>
  <c r="F794" i="13"/>
  <c r="H794" i="13" s="1"/>
  <c r="D794" i="13"/>
  <c r="K805" i="13"/>
  <c r="G805" i="13"/>
  <c r="I805" i="13" s="1"/>
  <c r="J805" i="13" s="1"/>
  <c r="F805" i="13"/>
  <c r="H805" i="13" s="1"/>
  <c r="D805" i="13"/>
  <c r="K804" i="13"/>
  <c r="G804" i="13"/>
  <c r="I804" i="13" s="1"/>
  <c r="F804" i="13"/>
  <c r="H804" i="13" s="1"/>
  <c r="D804" i="13"/>
  <c r="K803" i="13"/>
  <c r="I803" i="13"/>
  <c r="G803" i="13"/>
  <c r="F803" i="13"/>
  <c r="H803" i="13" s="1"/>
  <c r="D803" i="13"/>
  <c r="K802" i="13"/>
  <c r="G802" i="13"/>
  <c r="I802" i="13" s="1"/>
  <c r="F802" i="13"/>
  <c r="H802" i="13" s="1"/>
  <c r="D802" i="13"/>
  <c r="K801" i="13"/>
  <c r="G801" i="13"/>
  <c r="I801" i="13" s="1"/>
  <c r="F801" i="13"/>
  <c r="H801" i="13" s="1"/>
  <c r="D801" i="13"/>
  <c r="K800" i="13"/>
  <c r="G800" i="13"/>
  <c r="I800" i="13" s="1"/>
  <c r="F800" i="13"/>
  <c r="H800" i="13" s="1"/>
  <c r="D800" i="13"/>
  <c r="K799" i="13"/>
  <c r="G799" i="13"/>
  <c r="I799" i="13" s="1"/>
  <c r="F799" i="13"/>
  <c r="H799" i="13" s="1"/>
  <c r="D799" i="13"/>
  <c r="K811" i="13"/>
  <c r="G811" i="13"/>
  <c r="I811" i="13" s="1"/>
  <c r="F811" i="13"/>
  <c r="H811" i="13" s="1"/>
  <c r="D811" i="13"/>
  <c r="K810" i="13"/>
  <c r="G810" i="13"/>
  <c r="I810" i="13" s="1"/>
  <c r="J810" i="13" s="1"/>
  <c r="F810" i="13"/>
  <c r="H810" i="13" s="1"/>
  <c r="D810" i="13"/>
  <c r="K809" i="13"/>
  <c r="G809" i="13"/>
  <c r="I809" i="13" s="1"/>
  <c r="F809" i="13"/>
  <c r="H809" i="13" s="1"/>
  <c r="D809" i="13"/>
  <c r="K808" i="13"/>
  <c r="G808" i="13"/>
  <c r="I808" i="13" s="1"/>
  <c r="F808" i="13"/>
  <c r="H808" i="13" s="1"/>
  <c r="D808" i="13"/>
  <c r="K807" i="13"/>
  <c r="H807" i="13"/>
  <c r="G807" i="13"/>
  <c r="I807" i="13" s="1"/>
  <c r="F807" i="13"/>
  <c r="D807" i="13"/>
  <c r="K806" i="13"/>
  <c r="G806" i="13"/>
  <c r="I806" i="13" s="1"/>
  <c r="J806" i="13" s="1"/>
  <c r="F806" i="13"/>
  <c r="H806" i="13" s="1"/>
  <c r="D806" i="13"/>
  <c r="K816" i="13"/>
  <c r="I816" i="13"/>
  <c r="J816" i="13" s="1"/>
  <c r="G816" i="13"/>
  <c r="F816" i="13"/>
  <c r="H816" i="13" s="1"/>
  <c r="D816" i="13"/>
  <c r="K815" i="13"/>
  <c r="G815" i="13"/>
  <c r="I815" i="13" s="1"/>
  <c r="F815" i="13"/>
  <c r="H815" i="13" s="1"/>
  <c r="D815" i="13"/>
  <c r="K814" i="13"/>
  <c r="H814" i="13"/>
  <c r="G814" i="13"/>
  <c r="I814" i="13" s="1"/>
  <c r="F814" i="13"/>
  <c r="D814" i="13"/>
  <c r="K813" i="13"/>
  <c r="G813" i="13"/>
  <c r="I813" i="13" s="1"/>
  <c r="J813" i="13" s="1"/>
  <c r="F813" i="13"/>
  <c r="H813" i="13" s="1"/>
  <c r="D813" i="13"/>
  <c r="K812" i="13"/>
  <c r="G812" i="13"/>
  <c r="I812" i="13" s="1"/>
  <c r="F812" i="13"/>
  <c r="H812" i="13" s="1"/>
  <c r="D812" i="13"/>
  <c r="K821" i="13"/>
  <c r="G821" i="13"/>
  <c r="I821" i="13" s="1"/>
  <c r="J821" i="13" s="1"/>
  <c r="F821" i="13"/>
  <c r="H821" i="13" s="1"/>
  <c r="D821" i="13"/>
  <c r="K820" i="13"/>
  <c r="H820" i="13"/>
  <c r="G820" i="13"/>
  <c r="I820" i="13" s="1"/>
  <c r="F820" i="13"/>
  <c r="D820" i="13"/>
  <c r="K819" i="13"/>
  <c r="G819" i="13"/>
  <c r="I819" i="13" s="1"/>
  <c r="J819" i="13" s="1"/>
  <c r="F819" i="13"/>
  <c r="H819" i="13" s="1"/>
  <c r="D819" i="13"/>
  <c r="K818" i="13"/>
  <c r="I818" i="13"/>
  <c r="J818" i="13" s="1"/>
  <c r="G818" i="13"/>
  <c r="F818" i="13"/>
  <c r="H818" i="13" s="1"/>
  <c r="D818" i="13"/>
  <c r="K817" i="13"/>
  <c r="G817" i="13"/>
  <c r="I817" i="13" s="1"/>
  <c r="F817" i="13"/>
  <c r="H817" i="13" s="1"/>
  <c r="D817" i="13"/>
  <c r="K823" i="13"/>
  <c r="G823" i="13"/>
  <c r="I823" i="13" s="1"/>
  <c r="F823" i="13"/>
  <c r="H823" i="13" s="1"/>
  <c r="D823" i="13"/>
  <c r="K822" i="13"/>
  <c r="G822" i="13"/>
  <c r="I822" i="13" s="1"/>
  <c r="F822" i="13"/>
  <c r="H822" i="13" s="1"/>
  <c r="D822" i="13"/>
  <c r="K829" i="13"/>
  <c r="G829" i="13"/>
  <c r="I829" i="13" s="1"/>
  <c r="J829" i="13" s="1"/>
  <c r="F829" i="13"/>
  <c r="H829" i="13" s="1"/>
  <c r="D829" i="13"/>
  <c r="K828" i="13"/>
  <c r="G828" i="13"/>
  <c r="I828" i="13" s="1"/>
  <c r="F828" i="13"/>
  <c r="H828" i="13" s="1"/>
  <c r="D828" i="13"/>
  <c r="K827" i="13"/>
  <c r="H827" i="13"/>
  <c r="G827" i="13"/>
  <c r="I827" i="13" s="1"/>
  <c r="F827" i="13"/>
  <c r="D827" i="13"/>
  <c r="K826" i="13"/>
  <c r="G826" i="13"/>
  <c r="I826" i="13" s="1"/>
  <c r="J826" i="13" s="1"/>
  <c r="F826" i="13"/>
  <c r="H826" i="13" s="1"/>
  <c r="D826" i="13"/>
  <c r="K825" i="13"/>
  <c r="I825" i="13"/>
  <c r="J825" i="13" s="1"/>
  <c r="G825" i="13"/>
  <c r="F825" i="13"/>
  <c r="H825" i="13" s="1"/>
  <c r="D825" i="13"/>
  <c r="K824" i="13"/>
  <c r="G824" i="13"/>
  <c r="I824" i="13" s="1"/>
  <c r="F824" i="13"/>
  <c r="H824" i="13" s="1"/>
  <c r="D824" i="13"/>
  <c r="K834" i="13"/>
  <c r="G834" i="13"/>
  <c r="I834" i="13" s="1"/>
  <c r="F834" i="13"/>
  <c r="H834" i="13" s="1"/>
  <c r="D834" i="13"/>
  <c r="K833" i="13"/>
  <c r="G833" i="13"/>
  <c r="I833" i="13" s="1"/>
  <c r="F833" i="13"/>
  <c r="H833" i="13" s="1"/>
  <c r="D833" i="13"/>
  <c r="K832" i="13"/>
  <c r="G832" i="13"/>
  <c r="I832" i="13" s="1"/>
  <c r="J832" i="13" s="1"/>
  <c r="F832" i="13"/>
  <c r="H832" i="13" s="1"/>
  <c r="D832" i="13"/>
  <c r="K831" i="13"/>
  <c r="G831" i="13"/>
  <c r="I831" i="13" s="1"/>
  <c r="F831" i="13"/>
  <c r="H831" i="13" s="1"/>
  <c r="D831" i="13"/>
  <c r="K830" i="13"/>
  <c r="H830" i="13"/>
  <c r="G830" i="13"/>
  <c r="I830" i="13" s="1"/>
  <c r="F830" i="13"/>
  <c r="D830" i="13"/>
  <c r="K840" i="13"/>
  <c r="G840" i="13"/>
  <c r="I840" i="13" s="1"/>
  <c r="J840" i="13" s="1"/>
  <c r="F840" i="13"/>
  <c r="H840" i="13" s="1"/>
  <c r="D840" i="13"/>
  <c r="K839" i="13"/>
  <c r="I839" i="13"/>
  <c r="J839" i="13" s="1"/>
  <c r="G839" i="13"/>
  <c r="F839" i="13"/>
  <c r="H839" i="13" s="1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36" i="13"/>
  <c r="G836" i="13"/>
  <c r="I836" i="13" s="1"/>
  <c r="F836" i="13"/>
  <c r="H836" i="13" s="1"/>
  <c r="D836" i="13"/>
  <c r="K835" i="13"/>
  <c r="G835" i="13"/>
  <c r="I835" i="13" s="1"/>
  <c r="J835" i="13" s="1"/>
  <c r="F835" i="13"/>
  <c r="H835" i="13" s="1"/>
  <c r="D835" i="13"/>
  <c r="K847" i="13"/>
  <c r="G847" i="13"/>
  <c r="I847" i="13" s="1"/>
  <c r="F847" i="13"/>
  <c r="H847" i="13" s="1"/>
  <c r="D847" i="13"/>
  <c r="K846" i="13"/>
  <c r="H846" i="13"/>
  <c r="G846" i="13"/>
  <c r="I846" i="13" s="1"/>
  <c r="F846" i="13"/>
  <c r="D846" i="13"/>
  <c r="K845" i="13"/>
  <c r="G845" i="13"/>
  <c r="I845" i="13" s="1"/>
  <c r="J845" i="13" s="1"/>
  <c r="F845" i="13"/>
  <c r="H845" i="13" s="1"/>
  <c r="D845" i="13"/>
  <c r="K844" i="13"/>
  <c r="I844" i="13"/>
  <c r="G844" i="13"/>
  <c r="F844" i="13"/>
  <c r="H844" i="13" s="1"/>
  <c r="D844" i="13"/>
  <c r="K843" i="13"/>
  <c r="G843" i="13"/>
  <c r="I843" i="13" s="1"/>
  <c r="F843" i="13"/>
  <c r="H843" i="13" s="1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D841" i="13"/>
  <c r="K850" i="13"/>
  <c r="G850" i="13"/>
  <c r="I850" i="13" s="1"/>
  <c r="J850" i="13" s="1"/>
  <c r="F850" i="13"/>
  <c r="H850" i="13" s="1"/>
  <c r="D850" i="13"/>
  <c r="K849" i="13"/>
  <c r="G849" i="13"/>
  <c r="I849" i="13" s="1"/>
  <c r="F849" i="13"/>
  <c r="H849" i="13" s="1"/>
  <c r="D849" i="13"/>
  <c r="K848" i="13"/>
  <c r="H848" i="13"/>
  <c r="G848" i="13"/>
  <c r="I848" i="13" s="1"/>
  <c r="F848" i="13"/>
  <c r="D848" i="13"/>
  <c r="K861" i="13"/>
  <c r="G861" i="13"/>
  <c r="I861" i="13" s="1"/>
  <c r="J861" i="13" s="1"/>
  <c r="F861" i="13"/>
  <c r="H861" i="13" s="1"/>
  <c r="D861" i="13"/>
  <c r="K860" i="13"/>
  <c r="I860" i="13"/>
  <c r="J860" i="13" s="1"/>
  <c r="G860" i="13"/>
  <c r="F860" i="13"/>
  <c r="H860" i="13" s="1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57" i="13"/>
  <c r="G857" i="13"/>
  <c r="I857" i="13" s="1"/>
  <c r="F857" i="13"/>
  <c r="H857" i="13" s="1"/>
  <c r="D857" i="13"/>
  <c r="K856" i="13"/>
  <c r="G856" i="13"/>
  <c r="I856" i="13" s="1"/>
  <c r="J856" i="13" s="1"/>
  <c r="F856" i="13"/>
  <c r="H856" i="13" s="1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D854" i="13"/>
  <c r="K853" i="13"/>
  <c r="G853" i="13"/>
  <c r="I853" i="13" s="1"/>
  <c r="F853" i="13"/>
  <c r="H853" i="13" s="1"/>
  <c r="D853" i="13"/>
  <c r="K852" i="13"/>
  <c r="G852" i="13"/>
  <c r="I852" i="13" s="1"/>
  <c r="J852" i="13" s="1"/>
  <c r="F852" i="13"/>
  <c r="H852" i="13" s="1"/>
  <c r="D852" i="13"/>
  <c r="K851" i="13"/>
  <c r="G851" i="13"/>
  <c r="I851" i="13" s="1"/>
  <c r="J851" i="13" s="1"/>
  <c r="F851" i="13"/>
  <c r="H851" i="13" s="1"/>
  <c r="D851" i="13"/>
  <c r="K868" i="13"/>
  <c r="H868" i="13"/>
  <c r="G868" i="13"/>
  <c r="I868" i="13" s="1"/>
  <c r="F868" i="13"/>
  <c r="D868" i="13"/>
  <c r="K867" i="13"/>
  <c r="G867" i="13"/>
  <c r="I867" i="13" s="1"/>
  <c r="F867" i="13"/>
  <c r="H867" i="13" s="1"/>
  <c r="D867" i="13"/>
  <c r="K866" i="13"/>
  <c r="G866" i="13"/>
  <c r="I866" i="13" s="1"/>
  <c r="J866" i="13" s="1"/>
  <c r="F866" i="13"/>
  <c r="H866" i="13" s="1"/>
  <c r="D866" i="13"/>
  <c r="K865" i="13"/>
  <c r="G865" i="13"/>
  <c r="I865" i="13" s="1"/>
  <c r="F865" i="13"/>
  <c r="H865" i="13" s="1"/>
  <c r="D865" i="13"/>
  <c r="K864" i="13"/>
  <c r="G864" i="13"/>
  <c r="I864" i="13" s="1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J862" i="13" s="1"/>
  <c r="F862" i="13"/>
  <c r="H862" i="13" s="1"/>
  <c r="D862" i="13"/>
  <c r="K871" i="13"/>
  <c r="G871" i="13"/>
  <c r="I871" i="13" s="1"/>
  <c r="J871" i="13" s="1"/>
  <c r="F871" i="13"/>
  <c r="H871" i="13" s="1"/>
  <c r="D871" i="13"/>
  <c r="K870" i="13"/>
  <c r="H870" i="13"/>
  <c r="G870" i="13"/>
  <c r="I870" i="13" s="1"/>
  <c r="F870" i="13"/>
  <c r="D870" i="13"/>
  <c r="K869" i="13"/>
  <c r="G869" i="13"/>
  <c r="I869" i="13" s="1"/>
  <c r="F869" i="13"/>
  <c r="H869" i="13" s="1"/>
  <c r="D869" i="13"/>
  <c r="K875" i="13"/>
  <c r="G875" i="13"/>
  <c r="I875" i="13" s="1"/>
  <c r="J875" i="13" s="1"/>
  <c r="F875" i="13"/>
  <c r="H875" i="13" s="1"/>
  <c r="D875" i="13"/>
  <c r="K874" i="13"/>
  <c r="G874" i="13"/>
  <c r="I874" i="13" s="1"/>
  <c r="F874" i="13"/>
  <c r="H874" i="13" s="1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80" i="13"/>
  <c r="G880" i="13"/>
  <c r="I880" i="13" s="1"/>
  <c r="J880" i="13" s="1"/>
  <c r="F880" i="13"/>
  <c r="H880" i="13" s="1"/>
  <c r="D880" i="13"/>
  <c r="K879" i="13"/>
  <c r="G879" i="13"/>
  <c r="I879" i="13" s="1"/>
  <c r="J879" i="13" s="1"/>
  <c r="F879" i="13"/>
  <c r="H879" i="13" s="1"/>
  <c r="D879" i="13"/>
  <c r="K878" i="13"/>
  <c r="H878" i="13"/>
  <c r="G878" i="13"/>
  <c r="I878" i="13" s="1"/>
  <c r="F878" i="13"/>
  <c r="D878" i="13"/>
  <c r="K877" i="13"/>
  <c r="G877" i="13"/>
  <c r="I877" i="13" s="1"/>
  <c r="F877" i="13"/>
  <c r="H877" i="13" s="1"/>
  <c r="D877" i="13"/>
  <c r="K876" i="13"/>
  <c r="G876" i="13"/>
  <c r="I876" i="13" s="1"/>
  <c r="J876" i="13" s="1"/>
  <c r="F876" i="13"/>
  <c r="H876" i="13" s="1"/>
  <c r="D876" i="13"/>
  <c r="K885" i="13"/>
  <c r="G885" i="13"/>
  <c r="I885" i="13" s="1"/>
  <c r="F885" i="13"/>
  <c r="H885" i="13" s="1"/>
  <c r="D885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82" i="13"/>
  <c r="G882" i="13"/>
  <c r="I882" i="13" s="1"/>
  <c r="J882" i="13" s="1"/>
  <c r="F882" i="13"/>
  <c r="H882" i="13" s="1"/>
  <c r="D882" i="13"/>
  <c r="K881" i="13"/>
  <c r="G881" i="13"/>
  <c r="I881" i="13" s="1"/>
  <c r="J881" i="13" s="1"/>
  <c r="F881" i="13"/>
  <c r="H881" i="13" s="1"/>
  <c r="D881" i="13"/>
  <c r="K887" i="13"/>
  <c r="H887" i="13"/>
  <c r="G887" i="13"/>
  <c r="I887" i="13" s="1"/>
  <c r="F887" i="13"/>
  <c r="D887" i="13"/>
  <c r="K886" i="13"/>
  <c r="G886" i="13"/>
  <c r="I886" i="13" s="1"/>
  <c r="F886" i="13"/>
  <c r="H886" i="13" s="1"/>
  <c r="D886" i="13"/>
  <c r="K891" i="13"/>
  <c r="G891" i="13"/>
  <c r="I891" i="13" s="1"/>
  <c r="F891" i="13"/>
  <c r="H891" i="13" s="1"/>
  <c r="D891" i="13"/>
  <c r="K890" i="13"/>
  <c r="G890" i="13"/>
  <c r="I890" i="13" s="1"/>
  <c r="F890" i="13"/>
  <c r="H890" i="13" s="1"/>
  <c r="D890" i="13"/>
  <c r="K889" i="13"/>
  <c r="G889" i="13"/>
  <c r="I889" i="13" s="1"/>
  <c r="F889" i="13"/>
  <c r="H889" i="13" s="1"/>
  <c r="D889" i="13"/>
  <c r="K888" i="13"/>
  <c r="G888" i="13"/>
  <c r="I888" i="13" s="1"/>
  <c r="F888" i="13"/>
  <c r="H888" i="13" s="1"/>
  <c r="D888" i="13"/>
  <c r="K895" i="13"/>
  <c r="G895" i="13"/>
  <c r="I895" i="13" s="1"/>
  <c r="F895" i="13"/>
  <c r="H895" i="13" s="1"/>
  <c r="D895" i="13"/>
  <c r="K894" i="13"/>
  <c r="G894" i="13"/>
  <c r="I894" i="13" s="1"/>
  <c r="J894" i="13" s="1"/>
  <c r="F894" i="13"/>
  <c r="H894" i="13" s="1"/>
  <c r="D894" i="13"/>
  <c r="K893" i="13"/>
  <c r="H893" i="13"/>
  <c r="G893" i="13"/>
  <c r="I893" i="13" s="1"/>
  <c r="F893" i="13"/>
  <c r="D893" i="13"/>
  <c r="K892" i="13"/>
  <c r="G892" i="13"/>
  <c r="I892" i="13" s="1"/>
  <c r="F892" i="13"/>
  <c r="H892" i="13" s="1"/>
  <c r="D892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F897" i="13"/>
  <c r="H897" i="13" s="1"/>
  <c r="D897" i="13"/>
  <c r="K896" i="13"/>
  <c r="G896" i="13"/>
  <c r="I896" i="13" s="1"/>
  <c r="F896" i="13"/>
  <c r="H896" i="13" s="1"/>
  <c r="D896" i="13"/>
  <c r="K904" i="13"/>
  <c r="G904" i="13"/>
  <c r="I904" i="13" s="1"/>
  <c r="F904" i="13"/>
  <c r="H904" i="13" s="1"/>
  <c r="D904" i="13"/>
  <c r="K903" i="13"/>
  <c r="G903" i="13"/>
  <c r="I903" i="13" s="1"/>
  <c r="J903" i="13" s="1"/>
  <c r="F903" i="13"/>
  <c r="H903" i="13" s="1"/>
  <c r="D903" i="13"/>
  <c r="K902" i="13"/>
  <c r="H902" i="13"/>
  <c r="G902" i="13"/>
  <c r="I902" i="13" s="1"/>
  <c r="F902" i="13"/>
  <c r="D902" i="13"/>
  <c r="K901" i="13"/>
  <c r="G901" i="13"/>
  <c r="I901" i="13" s="1"/>
  <c r="F901" i="13"/>
  <c r="H901" i="13" s="1"/>
  <c r="D901" i="13"/>
  <c r="K900" i="13"/>
  <c r="G900" i="13"/>
  <c r="I900" i="13" s="1"/>
  <c r="F900" i="13"/>
  <c r="H900" i="13" s="1"/>
  <c r="D900" i="13"/>
  <c r="K907" i="13"/>
  <c r="G907" i="13"/>
  <c r="I907" i="13" s="1"/>
  <c r="F907" i="13"/>
  <c r="H907" i="13" s="1"/>
  <c r="D907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12" i="13"/>
  <c r="G912" i="13"/>
  <c r="I912" i="13" s="1"/>
  <c r="F912" i="13"/>
  <c r="H912" i="13" s="1"/>
  <c r="D912" i="13"/>
  <c r="K911" i="13"/>
  <c r="G911" i="13"/>
  <c r="I911" i="13" s="1"/>
  <c r="J911" i="13" s="1"/>
  <c r="F911" i="13"/>
  <c r="H911" i="13" s="1"/>
  <c r="D911" i="13"/>
  <c r="K910" i="13"/>
  <c r="H910" i="13"/>
  <c r="G910" i="13"/>
  <c r="I910" i="13" s="1"/>
  <c r="F910" i="13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16" i="13"/>
  <c r="G916" i="13"/>
  <c r="I916" i="13" s="1"/>
  <c r="F916" i="13"/>
  <c r="H916" i="13" s="1"/>
  <c r="D916" i="13"/>
  <c r="K915" i="13"/>
  <c r="G915" i="13"/>
  <c r="I915" i="13" s="1"/>
  <c r="F915" i="13"/>
  <c r="H915" i="13" s="1"/>
  <c r="D915" i="13"/>
  <c r="K914" i="13"/>
  <c r="G914" i="13"/>
  <c r="I914" i="13" s="1"/>
  <c r="J914" i="13" s="1"/>
  <c r="F914" i="13"/>
  <c r="H914" i="13" s="1"/>
  <c r="D914" i="13"/>
  <c r="K913" i="13"/>
  <c r="H913" i="13"/>
  <c r="G913" i="13"/>
  <c r="I913" i="13" s="1"/>
  <c r="F913" i="13"/>
  <c r="D913" i="13"/>
  <c r="K924" i="13"/>
  <c r="G924" i="13"/>
  <c r="I924" i="13" s="1"/>
  <c r="F924" i="13"/>
  <c r="H924" i="13" s="1"/>
  <c r="D924" i="13"/>
  <c r="K923" i="13"/>
  <c r="G923" i="13"/>
  <c r="I923" i="13" s="1"/>
  <c r="F923" i="13"/>
  <c r="H923" i="13" s="1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G919" i="13"/>
  <c r="I919" i="13" s="1"/>
  <c r="J919" i="13" s="1"/>
  <c r="F919" i="13"/>
  <c r="H919" i="13" s="1"/>
  <c r="D919" i="13"/>
  <c r="K930" i="13"/>
  <c r="G930" i="13"/>
  <c r="I930" i="13" s="1"/>
  <c r="J930" i="13" s="1"/>
  <c r="F930" i="13"/>
  <c r="H930" i="13" s="1"/>
  <c r="D930" i="13"/>
  <c r="K929" i="13"/>
  <c r="H929" i="13"/>
  <c r="G929" i="13"/>
  <c r="I929" i="13" s="1"/>
  <c r="F929" i="13"/>
  <c r="D929" i="13"/>
  <c r="K928" i="13"/>
  <c r="G928" i="13"/>
  <c r="I928" i="13" s="1"/>
  <c r="F928" i="13"/>
  <c r="H928" i="13" s="1"/>
  <c r="D928" i="13"/>
  <c r="K927" i="13"/>
  <c r="G927" i="13"/>
  <c r="I927" i="13" s="1"/>
  <c r="F927" i="13"/>
  <c r="H927" i="13" s="1"/>
  <c r="D92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37" i="13"/>
  <c r="G937" i="13"/>
  <c r="I937" i="13" s="1"/>
  <c r="F937" i="13"/>
  <c r="H937" i="13" s="1"/>
  <c r="D937" i="13"/>
  <c r="K936" i="13"/>
  <c r="G936" i="13"/>
  <c r="I936" i="13" s="1"/>
  <c r="J936" i="13" s="1"/>
  <c r="F936" i="13"/>
  <c r="H936" i="13" s="1"/>
  <c r="D936" i="13"/>
  <c r="K935" i="13"/>
  <c r="G935" i="13"/>
  <c r="I935" i="13" s="1"/>
  <c r="F935" i="13"/>
  <c r="H935" i="13" s="1"/>
  <c r="D935" i="13"/>
  <c r="K934" i="13"/>
  <c r="G934" i="13"/>
  <c r="I934" i="13" s="1"/>
  <c r="F934" i="13"/>
  <c r="H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31" i="13"/>
  <c r="G931" i="13"/>
  <c r="I931" i="13" s="1"/>
  <c r="F931" i="13"/>
  <c r="H931" i="13" s="1"/>
  <c r="D931" i="13"/>
  <c r="K940" i="13"/>
  <c r="H940" i="13"/>
  <c r="G940" i="13"/>
  <c r="I940" i="13" s="1"/>
  <c r="F940" i="13"/>
  <c r="D940" i="13"/>
  <c r="K939" i="13"/>
  <c r="G939" i="13"/>
  <c r="I939" i="13" s="1"/>
  <c r="F939" i="13"/>
  <c r="H939" i="13" s="1"/>
  <c r="D939" i="13"/>
  <c r="K938" i="13"/>
  <c r="G938" i="13"/>
  <c r="I938" i="13" s="1"/>
  <c r="J938" i="13" s="1"/>
  <c r="F938" i="13"/>
  <c r="H938" i="13" s="1"/>
  <c r="D938" i="13"/>
  <c r="K945" i="13"/>
  <c r="G945" i="13"/>
  <c r="I945" i="13" s="1"/>
  <c r="J945" i="13" s="1"/>
  <c r="F945" i="13"/>
  <c r="H945" i="13" s="1"/>
  <c r="D945" i="13"/>
  <c r="K944" i="13"/>
  <c r="H944" i="13"/>
  <c r="G944" i="13"/>
  <c r="I944" i="13" s="1"/>
  <c r="F944" i="13"/>
  <c r="D944" i="13"/>
  <c r="K943" i="13"/>
  <c r="G943" i="13"/>
  <c r="I943" i="13" s="1"/>
  <c r="F943" i="13"/>
  <c r="H943" i="13" s="1"/>
  <c r="D943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7" i="13"/>
  <c r="G947" i="13"/>
  <c r="I947" i="13" s="1"/>
  <c r="F947" i="13"/>
  <c r="H947" i="13" s="1"/>
  <c r="D947" i="13"/>
  <c r="K946" i="13"/>
  <c r="G946" i="13"/>
  <c r="I946" i="13" s="1"/>
  <c r="F946" i="13"/>
  <c r="H946" i="13" s="1"/>
  <c r="D946" i="13"/>
  <c r="K953" i="13"/>
  <c r="G953" i="13"/>
  <c r="I953" i="13" s="1"/>
  <c r="J953" i="13" s="1"/>
  <c r="F953" i="13"/>
  <c r="H953" i="13" s="1"/>
  <c r="D953" i="13"/>
  <c r="K952" i="13"/>
  <c r="G952" i="13"/>
  <c r="I952" i="13" s="1"/>
  <c r="F952" i="13"/>
  <c r="H952" i="13" s="1"/>
  <c r="D952" i="13"/>
  <c r="K951" i="13"/>
  <c r="G951" i="13"/>
  <c r="I951" i="13" s="1"/>
  <c r="F951" i="13"/>
  <c r="H951" i="13" s="1"/>
  <c r="D951" i="13"/>
  <c r="K950" i="13"/>
  <c r="G950" i="13"/>
  <c r="I950" i="13" s="1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57" i="13"/>
  <c r="H957" i="13"/>
  <c r="G957" i="13"/>
  <c r="I957" i="13" s="1"/>
  <c r="F957" i="13"/>
  <c r="D957" i="13"/>
  <c r="K956" i="13"/>
  <c r="G956" i="13"/>
  <c r="I956" i="13" s="1"/>
  <c r="F956" i="13"/>
  <c r="H956" i="13" s="1"/>
  <c r="D956" i="13"/>
  <c r="K955" i="13"/>
  <c r="G955" i="13"/>
  <c r="I955" i="13" s="1"/>
  <c r="J955" i="13" s="1"/>
  <c r="F955" i="13"/>
  <c r="H955" i="13" s="1"/>
  <c r="D955" i="13"/>
  <c r="K954" i="13"/>
  <c r="G954" i="13"/>
  <c r="I954" i="13" s="1"/>
  <c r="J954" i="13" s="1"/>
  <c r="F954" i="13"/>
  <c r="H954" i="13" s="1"/>
  <c r="D954" i="13"/>
  <c r="K964" i="13"/>
  <c r="H964" i="13"/>
  <c r="G964" i="13"/>
  <c r="I964" i="13" s="1"/>
  <c r="F964" i="13"/>
  <c r="D964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G960" i="13"/>
  <c r="I960" i="13" s="1"/>
  <c r="F960" i="13"/>
  <c r="H960" i="13" s="1"/>
  <c r="D960" i="13"/>
  <c r="K959" i="13"/>
  <c r="G959" i="13"/>
  <c r="I959" i="13" s="1"/>
  <c r="F959" i="13"/>
  <c r="H959" i="13" s="1"/>
  <c r="D959" i="13"/>
  <c r="K958" i="13"/>
  <c r="G958" i="13"/>
  <c r="I958" i="13" s="1"/>
  <c r="J958" i="13" s="1"/>
  <c r="F958" i="13"/>
  <c r="H958" i="13" s="1"/>
  <c r="D958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G969" i="13"/>
  <c r="I969" i="13" s="1"/>
  <c r="F969" i="13"/>
  <c r="H969" i="13" s="1"/>
  <c r="D969" i="13"/>
  <c r="K968" i="13"/>
  <c r="G968" i="13"/>
  <c r="I968" i="13" s="1"/>
  <c r="F968" i="13"/>
  <c r="H968" i="13" s="1"/>
  <c r="D968" i="13"/>
  <c r="K967" i="13"/>
  <c r="G967" i="13"/>
  <c r="I967" i="13" s="1"/>
  <c r="F967" i="13"/>
  <c r="H967" i="13" s="1"/>
  <c r="D967" i="13"/>
  <c r="K966" i="13"/>
  <c r="H966" i="13"/>
  <c r="G966" i="13"/>
  <c r="I966" i="13" s="1"/>
  <c r="F966" i="13"/>
  <c r="D966" i="13"/>
  <c r="K965" i="13"/>
  <c r="G965" i="13"/>
  <c r="I965" i="13" s="1"/>
  <c r="F965" i="13"/>
  <c r="H965" i="13" s="1"/>
  <c r="D965" i="13"/>
  <c r="K973" i="13"/>
  <c r="G973" i="13"/>
  <c r="I973" i="13" s="1"/>
  <c r="J973" i="13" s="1"/>
  <c r="F973" i="13"/>
  <c r="H973" i="13" s="1"/>
  <c r="D973" i="13"/>
  <c r="K972" i="13"/>
  <c r="G972" i="13"/>
  <c r="I972" i="13" s="1"/>
  <c r="J972" i="13" s="1"/>
  <c r="F972" i="13"/>
  <c r="H972" i="13" s="1"/>
  <c r="D972" i="13"/>
  <c r="K978" i="13"/>
  <c r="H978" i="13"/>
  <c r="G978" i="13"/>
  <c r="I978" i="13" s="1"/>
  <c r="F978" i="13"/>
  <c r="D978" i="13"/>
  <c r="K977" i="13"/>
  <c r="G977" i="13"/>
  <c r="I977" i="13" s="1"/>
  <c r="F977" i="13"/>
  <c r="H977" i="13" s="1"/>
  <c r="D977" i="13"/>
  <c r="K976" i="13"/>
  <c r="G976" i="13"/>
  <c r="I976" i="13" s="1"/>
  <c r="F976" i="13"/>
  <c r="H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82" i="13"/>
  <c r="G982" i="13"/>
  <c r="I982" i="13" s="1"/>
  <c r="F982" i="13"/>
  <c r="H982" i="13" s="1"/>
  <c r="D982" i="13"/>
  <c r="K981" i="13"/>
  <c r="G981" i="13"/>
  <c r="I981" i="13" s="1"/>
  <c r="J981" i="13" s="1"/>
  <c r="F981" i="13"/>
  <c r="H981" i="13" s="1"/>
  <c r="D981" i="13"/>
  <c r="K980" i="13"/>
  <c r="G980" i="13"/>
  <c r="I980" i="13" s="1"/>
  <c r="F980" i="13"/>
  <c r="H980" i="13" s="1"/>
  <c r="D980" i="13"/>
  <c r="K979" i="13"/>
  <c r="G979" i="13"/>
  <c r="I979" i="13" s="1"/>
  <c r="F979" i="13"/>
  <c r="H979" i="13" s="1"/>
  <c r="D979" i="13"/>
  <c r="K987" i="13"/>
  <c r="G987" i="13"/>
  <c r="I987" i="13" s="1"/>
  <c r="F987" i="13"/>
  <c r="H987" i="13" s="1"/>
  <c r="D987" i="13"/>
  <c r="K986" i="13"/>
  <c r="G986" i="13"/>
  <c r="I986" i="13" s="1"/>
  <c r="F986" i="13"/>
  <c r="H986" i="13" s="1"/>
  <c r="D986" i="13"/>
  <c r="K985" i="13"/>
  <c r="G985" i="13"/>
  <c r="I985" i="13" s="1"/>
  <c r="F985" i="13"/>
  <c r="H985" i="13" s="1"/>
  <c r="D985" i="13"/>
  <c r="K984" i="13"/>
  <c r="H984" i="13"/>
  <c r="G984" i="13"/>
  <c r="I984" i="13" s="1"/>
  <c r="F984" i="13"/>
  <c r="D984" i="13"/>
  <c r="K983" i="13"/>
  <c r="G983" i="13"/>
  <c r="I983" i="13" s="1"/>
  <c r="J983" i="13" s="1"/>
  <c r="F983" i="13"/>
  <c r="H983" i="13" s="1"/>
  <c r="D983" i="13"/>
  <c r="K989" i="13"/>
  <c r="I989" i="13"/>
  <c r="J989" i="13" s="1"/>
  <c r="G989" i="13"/>
  <c r="F989" i="13"/>
  <c r="H989" i="13" s="1"/>
  <c r="D989" i="13"/>
  <c r="K988" i="13"/>
  <c r="G988" i="13"/>
  <c r="I988" i="13" s="1"/>
  <c r="F988" i="13"/>
  <c r="H988" i="13" s="1"/>
  <c r="D988" i="13"/>
  <c r="K992" i="13"/>
  <c r="G992" i="13"/>
  <c r="I992" i="13" s="1"/>
  <c r="F992" i="13"/>
  <c r="H992" i="13" s="1"/>
  <c r="D992" i="13"/>
  <c r="K991" i="13"/>
  <c r="G991" i="13"/>
  <c r="I991" i="13" s="1"/>
  <c r="J991" i="13" s="1"/>
  <c r="F991" i="13"/>
  <c r="H991" i="13" s="1"/>
  <c r="D991" i="13"/>
  <c r="K990" i="13"/>
  <c r="I990" i="13"/>
  <c r="G990" i="13"/>
  <c r="F990" i="13"/>
  <c r="H990" i="13" s="1"/>
  <c r="D990" i="13"/>
  <c r="K998" i="13"/>
  <c r="G998" i="13"/>
  <c r="I998" i="13" s="1"/>
  <c r="F998" i="13"/>
  <c r="H998" i="13" s="1"/>
  <c r="D998" i="13"/>
  <c r="K997" i="13"/>
  <c r="H997" i="13"/>
  <c r="G997" i="13"/>
  <c r="I997" i="13" s="1"/>
  <c r="F997" i="13"/>
  <c r="D997" i="13"/>
  <c r="K996" i="13"/>
  <c r="G996" i="13"/>
  <c r="I996" i="13" s="1"/>
  <c r="J996" i="13" s="1"/>
  <c r="F996" i="13"/>
  <c r="H996" i="13" s="1"/>
  <c r="D996" i="13"/>
  <c r="K995" i="13"/>
  <c r="I995" i="13"/>
  <c r="J995" i="13" s="1"/>
  <c r="G995" i="13"/>
  <c r="F995" i="13"/>
  <c r="H995" i="13" s="1"/>
  <c r="D995" i="13"/>
  <c r="K994" i="13"/>
  <c r="G994" i="13"/>
  <c r="I994" i="13" s="1"/>
  <c r="F994" i="13"/>
  <c r="H994" i="13" s="1"/>
  <c r="D994" i="13"/>
  <c r="K993" i="13"/>
  <c r="G993" i="13"/>
  <c r="I993" i="13" s="1"/>
  <c r="F993" i="13"/>
  <c r="H993" i="13" s="1"/>
  <c r="D993" i="13"/>
  <c r="K1002" i="13"/>
  <c r="G1002" i="13"/>
  <c r="I1002" i="13" s="1"/>
  <c r="J1002" i="13" s="1"/>
  <c r="F1002" i="13"/>
  <c r="H1002" i="13" s="1"/>
  <c r="D1002" i="13"/>
  <c r="K1001" i="13"/>
  <c r="G1001" i="13"/>
  <c r="I1001" i="13" s="1"/>
  <c r="J1001" i="13" s="1"/>
  <c r="F1001" i="13"/>
  <c r="H1001" i="13" s="1"/>
  <c r="D1001" i="13"/>
  <c r="K1000" i="13"/>
  <c r="G1000" i="13"/>
  <c r="I1000" i="13" s="1"/>
  <c r="F1000" i="13"/>
  <c r="H1000" i="13" s="1"/>
  <c r="D1000" i="13"/>
  <c r="K999" i="13"/>
  <c r="G999" i="13"/>
  <c r="I999" i="13" s="1"/>
  <c r="F999" i="13"/>
  <c r="H999" i="13" s="1"/>
  <c r="D999" i="13"/>
  <c r="K1011" i="13"/>
  <c r="G1011" i="13"/>
  <c r="I1011" i="13" s="1"/>
  <c r="F1011" i="13"/>
  <c r="H1011" i="13" s="1"/>
  <c r="D1011" i="13"/>
  <c r="K1010" i="13"/>
  <c r="G1010" i="13"/>
  <c r="I1010" i="13" s="1"/>
  <c r="J1010" i="13" s="1"/>
  <c r="F1010" i="13"/>
  <c r="H1010" i="13" s="1"/>
  <c r="D1010" i="13"/>
  <c r="K1009" i="13"/>
  <c r="G1009" i="13"/>
  <c r="I1009" i="13" s="1"/>
  <c r="J1009" i="13" s="1"/>
  <c r="F1009" i="13"/>
  <c r="H1009" i="13" s="1"/>
  <c r="D1009" i="13"/>
  <c r="K1008" i="13"/>
  <c r="H1008" i="13"/>
  <c r="G1008" i="13"/>
  <c r="I1008" i="13" s="1"/>
  <c r="F1008" i="13"/>
  <c r="D1008" i="13"/>
  <c r="K1007" i="13"/>
  <c r="G1007" i="13"/>
  <c r="I1007" i="13" s="1"/>
  <c r="F1007" i="13"/>
  <c r="H1007" i="13" s="1"/>
  <c r="D1007" i="13"/>
  <c r="K1006" i="13"/>
  <c r="G1006" i="13"/>
  <c r="I1006" i="13" s="1"/>
  <c r="J1006" i="13" s="1"/>
  <c r="F1006" i="13"/>
  <c r="H1006" i="13" s="1"/>
  <c r="D1006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G1003" i="13"/>
  <c r="I1003" i="13" s="1"/>
  <c r="F1003" i="13"/>
  <c r="H1003" i="13" s="1"/>
  <c r="D1003" i="13"/>
  <c r="K1016" i="13"/>
  <c r="G1016" i="13"/>
  <c r="I1016" i="13" s="1"/>
  <c r="F1016" i="13"/>
  <c r="H1016" i="13" s="1"/>
  <c r="D1016" i="13"/>
  <c r="K1015" i="13"/>
  <c r="G1015" i="13"/>
  <c r="I1015" i="13" s="1"/>
  <c r="F1015" i="13"/>
  <c r="H1015" i="13" s="1"/>
  <c r="D1015" i="13"/>
  <c r="K1014" i="13"/>
  <c r="H1014" i="13"/>
  <c r="G1014" i="13"/>
  <c r="I1014" i="13" s="1"/>
  <c r="F1014" i="13"/>
  <c r="D1014" i="13"/>
  <c r="K1013" i="13"/>
  <c r="G1013" i="13"/>
  <c r="I1013" i="13" s="1"/>
  <c r="J1013" i="13" s="1"/>
  <c r="F1013" i="13"/>
  <c r="H1013" i="13" s="1"/>
  <c r="D1013" i="13"/>
  <c r="K1012" i="13"/>
  <c r="I1012" i="13"/>
  <c r="J1012" i="13" s="1"/>
  <c r="G1012" i="13"/>
  <c r="F1012" i="13"/>
  <c r="H1012" i="13" s="1"/>
  <c r="D1012" i="13"/>
  <c r="K1020" i="13"/>
  <c r="G1020" i="13"/>
  <c r="I1020" i="13" s="1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I1017" i="13"/>
  <c r="G1017" i="13"/>
  <c r="F1017" i="13"/>
  <c r="H1017" i="13" s="1"/>
  <c r="D1017" i="13"/>
  <c r="K1021" i="13"/>
  <c r="G1021" i="13"/>
  <c r="I1021" i="13" s="1"/>
  <c r="F1021" i="13"/>
  <c r="H1021" i="13" s="1"/>
  <c r="D1021" i="13"/>
  <c r="K1026" i="13"/>
  <c r="H1026" i="13"/>
  <c r="G1026" i="13"/>
  <c r="I1026" i="13" s="1"/>
  <c r="J1026" i="13" s="1"/>
  <c r="F1026" i="13"/>
  <c r="D1026" i="13"/>
  <c r="K1025" i="13"/>
  <c r="G1025" i="13"/>
  <c r="I1025" i="13" s="1"/>
  <c r="J1025" i="13" s="1"/>
  <c r="F1025" i="13"/>
  <c r="H1025" i="13" s="1"/>
  <c r="D1025" i="13"/>
  <c r="K1024" i="13"/>
  <c r="I1024" i="13"/>
  <c r="J1024" i="13" s="1"/>
  <c r="G1024" i="13"/>
  <c r="F1024" i="13"/>
  <c r="H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34" i="13"/>
  <c r="G1034" i="13"/>
  <c r="I1034" i="13" s="1"/>
  <c r="J1034" i="13" s="1"/>
  <c r="F1034" i="13"/>
  <c r="H1034" i="13" s="1"/>
  <c r="D1034" i="13"/>
  <c r="K1033" i="13"/>
  <c r="I1033" i="13"/>
  <c r="G1033" i="13"/>
  <c r="F1033" i="13"/>
  <c r="H1033" i="13" s="1"/>
  <c r="D1033" i="13"/>
  <c r="K1032" i="13"/>
  <c r="G1032" i="13"/>
  <c r="I1032" i="13" s="1"/>
  <c r="F1032" i="13"/>
  <c r="H1032" i="13" s="1"/>
  <c r="D1032" i="13"/>
  <c r="K1031" i="13"/>
  <c r="H1031" i="13"/>
  <c r="G1031" i="13"/>
  <c r="I1031" i="13" s="1"/>
  <c r="F1031" i="13"/>
  <c r="D1031" i="13"/>
  <c r="K1030" i="13"/>
  <c r="G1030" i="13"/>
  <c r="I1030" i="13" s="1"/>
  <c r="J1030" i="13" s="1"/>
  <c r="F1030" i="13"/>
  <c r="H1030" i="13" s="1"/>
  <c r="D1030" i="13"/>
  <c r="K1029" i="13"/>
  <c r="I1029" i="13"/>
  <c r="J1029" i="13" s="1"/>
  <c r="G1029" i="13"/>
  <c r="F1029" i="13"/>
  <c r="H1029" i="13" s="1"/>
  <c r="D1029" i="13"/>
  <c r="K1028" i="13"/>
  <c r="G1028" i="13"/>
  <c r="I1028" i="13" s="1"/>
  <c r="F1028" i="13"/>
  <c r="H1028" i="13" s="1"/>
  <c r="D1028" i="13"/>
  <c r="K1027" i="13"/>
  <c r="G1027" i="13"/>
  <c r="I1027" i="13" s="1"/>
  <c r="F1027" i="13"/>
  <c r="H1027" i="13" s="1"/>
  <c r="D1027" i="13"/>
  <c r="K1037" i="13"/>
  <c r="H1037" i="13"/>
  <c r="G1037" i="13"/>
  <c r="I1037" i="13" s="1"/>
  <c r="F1037" i="13"/>
  <c r="D1037" i="13"/>
  <c r="K1036" i="13"/>
  <c r="G1036" i="13"/>
  <c r="I1036" i="13" s="1"/>
  <c r="F1036" i="13"/>
  <c r="H1036" i="13" s="1"/>
  <c r="D1036" i="13"/>
  <c r="K1035" i="13"/>
  <c r="G1035" i="13"/>
  <c r="I1035" i="13" s="1"/>
  <c r="F1035" i="13"/>
  <c r="H1035" i="13" s="1"/>
  <c r="D1035" i="13"/>
  <c r="K1042" i="13"/>
  <c r="I1042" i="13"/>
  <c r="G1042" i="13"/>
  <c r="F1042" i="13"/>
  <c r="H1042" i="13" s="1"/>
  <c r="D1042" i="13"/>
  <c r="K1041" i="13"/>
  <c r="G1041" i="13"/>
  <c r="I1041" i="13" s="1"/>
  <c r="F1041" i="13"/>
  <c r="H1041" i="13" s="1"/>
  <c r="D1041" i="13"/>
  <c r="K1040" i="13"/>
  <c r="G1040" i="13"/>
  <c r="I1040" i="13" s="1"/>
  <c r="F1040" i="13"/>
  <c r="H1040" i="13" s="1"/>
  <c r="D1040" i="13"/>
  <c r="K1039" i="13"/>
  <c r="G1039" i="13"/>
  <c r="I1039" i="13" s="1"/>
  <c r="F1039" i="13"/>
  <c r="H1039" i="13" s="1"/>
  <c r="D1039" i="13"/>
  <c r="K1038" i="13"/>
  <c r="G1038" i="13"/>
  <c r="I1038" i="13" s="1"/>
  <c r="F1038" i="13"/>
  <c r="H1038" i="13" s="1"/>
  <c r="D1038" i="13"/>
  <c r="K1044" i="13"/>
  <c r="G1044" i="13"/>
  <c r="I1044" i="13" s="1"/>
  <c r="F1044" i="13"/>
  <c r="H1044" i="13" s="1"/>
  <c r="D1044" i="13"/>
  <c r="K1043" i="13"/>
  <c r="G1043" i="13"/>
  <c r="I1043" i="13" s="1"/>
  <c r="F1043" i="13"/>
  <c r="H1043" i="13" s="1"/>
  <c r="D1043" i="13"/>
  <c r="K1052" i="13"/>
  <c r="G1052" i="13"/>
  <c r="I1052" i="13" s="1"/>
  <c r="F1052" i="13"/>
  <c r="H1052" i="13" s="1"/>
  <c r="D1052" i="13"/>
  <c r="K1051" i="13"/>
  <c r="H1051" i="13"/>
  <c r="G1051" i="13"/>
  <c r="I1051" i="13" s="1"/>
  <c r="F1051" i="13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D1049" i="13"/>
  <c r="K1048" i="13"/>
  <c r="G1048" i="13"/>
  <c r="I1048" i="13" s="1"/>
  <c r="J1048" i="13" s="1"/>
  <c r="F1048" i="13"/>
  <c r="H1048" i="13" s="1"/>
  <c r="D1048" i="13"/>
  <c r="K1047" i="13"/>
  <c r="I1047" i="13"/>
  <c r="G1047" i="13"/>
  <c r="F1047" i="13"/>
  <c r="H1047" i="13" s="1"/>
  <c r="D1047" i="13"/>
  <c r="K1046" i="13"/>
  <c r="G1046" i="13"/>
  <c r="I1046" i="13" s="1"/>
  <c r="F1046" i="13"/>
  <c r="H1046" i="13" s="1"/>
  <c r="D1046" i="13"/>
  <c r="K1045" i="13"/>
  <c r="G1045" i="13"/>
  <c r="I1045" i="13" s="1"/>
  <c r="F1045" i="13"/>
  <c r="H1045" i="13" s="1"/>
  <c r="D1045" i="13"/>
  <c r="K1055" i="13"/>
  <c r="G1055" i="13"/>
  <c r="I1055" i="13" s="1"/>
  <c r="J1055" i="13" s="1"/>
  <c r="F1055" i="13"/>
  <c r="H1055" i="13" s="1"/>
  <c r="D1055" i="13"/>
  <c r="K1054" i="13"/>
  <c r="H1054" i="13"/>
  <c r="G1054" i="13"/>
  <c r="I1054" i="13" s="1"/>
  <c r="F1054" i="13"/>
  <c r="D1054" i="13"/>
  <c r="K1053" i="13"/>
  <c r="G1053" i="13"/>
  <c r="I1053" i="13" s="1"/>
  <c r="F1053" i="13"/>
  <c r="H1053" i="13" s="1"/>
  <c r="D1053" i="13"/>
  <c r="K1058" i="13"/>
  <c r="G1058" i="13"/>
  <c r="I1058" i="13" s="1"/>
  <c r="F1058" i="13"/>
  <c r="H1058" i="13" s="1"/>
  <c r="D1058" i="13"/>
  <c r="K1057" i="13"/>
  <c r="G1057" i="13"/>
  <c r="I1057" i="13" s="1"/>
  <c r="J1057" i="13" s="1"/>
  <c r="F1057" i="13"/>
  <c r="H1057" i="13" s="1"/>
  <c r="D1057" i="13"/>
  <c r="K1056" i="13"/>
  <c r="I1056" i="13"/>
  <c r="G1056" i="13"/>
  <c r="F1056" i="13"/>
  <c r="H1056" i="13" s="1"/>
  <c r="D1056" i="13"/>
  <c r="K1063" i="13"/>
  <c r="G1063" i="13"/>
  <c r="I1063" i="13" s="1"/>
  <c r="F1063" i="13"/>
  <c r="H1063" i="13" s="1"/>
  <c r="D1063" i="13"/>
  <c r="K1062" i="13"/>
  <c r="G1062" i="13"/>
  <c r="I1062" i="13" s="1"/>
  <c r="F1062" i="13"/>
  <c r="H1062" i="13" s="1"/>
  <c r="D1062" i="13"/>
  <c r="K1061" i="13"/>
  <c r="G1061" i="13"/>
  <c r="I1061" i="13" s="1"/>
  <c r="J1061" i="13" s="1"/>
  <c r="F1061" i="13"/>
  <c r="H1061" i="13" s="1"/>
  <c r="D1061" i="13"/>
  <c r="K1060" i="13"/>
  <c r="H1060" i="13"/>
  <c r="G1060" i="13"/>
  <c r="I1060" i="13" s="1"/>
  <c r="F1060" i="13"/>
  <c r="D1060" i="13"/>
  <c r="K1059" i="13"/>
  <c r="G1059" i="13"/>
  <c r="I1059" i="13" s="1"/>
  <c r="F1059" i="13"/>
  <c r="H1059" i="13" s="1"/>
  <c r="D1059" i="13"/>
  <c r="K1066" i="13"/>
  <c r="G1066" i="13"/>
  <c r="I1066" i="13" s="1"/>
  <c r="F1066" i="13"/>
  <c r="H1066" i="13" s="1"/>
  <c r="D1066" i="13"/>
  <c r="K1065" i="13"/>
  <c r="G1065" i="13"/>
  <c r="I1065" i="13" s="1"/>
  <c r="J1065" i="13" s="1"/>
  <c r="F1065" i="13"/>
  <c r="H1065" i="13" s="1"/>
  <c r="D1065" i="13"/>
  <c r="K1064" i="13"/>
  <c r="I1064" i="13"/>
  <c r="G1064" i="13"/>
  <c r="F1064" i="13"/>
  <c r="H1064" i="13" s="1"/>
  <c r="D1064" i="13"/>
  <c r="K1072" i="13"/>
  <c r="G1072" i="13"/>
  <c r="I1072" i="13" s="1"/>
  <c r="F1072" i="13"/>
  <c r="H1072" i="13" s="1"/>
  <c r="D1072" i="13"/>
  <c r="K1071" i="13"/>
  <c r="G1071" i="13"/>
  <c r="I1071" i="13" s="1"/>
  <c r="F1071" i="13"/>
  <c r="H1071" i="13" s="1"/>
  <c r="D1071" i="13"/>
  <c r="K1070" i="13"/>
  <c r="G1070" i="13"/>
  <c r="I1070" i="13" s="1"/>
  <c r="J1070" i="13" s="1"/>
  <c r="F1070" i="13"/>
  <c r="H1070" i="13" s="1"/>
  <c r="D1070" i="13"/>
  <c r="K1069" i="13"/>
  <c r="H1069" i="13"/>
  <c r="G1069" i="13"/>
  <c r="I1069" i="13" s="1"/>
  <c r="F1069" i="13"/>
  <c r="D1069" i="13"/>
  <c r="K1068" i="13"/>
  <c r="G1068" i="13"/>
  <c r="I1068" i="13" s="1"/>
  <c r="F1068" i="13"/>
  <c r="H1068" i="13" s="1"/>
  <c r="D1068" i="13"/>
  <c r="K1067" i="13"/>
  <c r="G1067" i="13"/>
  <c r="I1067" i="13" s="1"/>
  <c r="F1067" i="13"/>
  <c r="H1067" i="13" s="1"/>
  <c r="D1067" i="13"/>
  <c r="K1078" i="13"/>
  <c r="G1078" i="13"/>
  <c r="I1078" i="13" s="1"/>
  <c r="J1078" i="13" s="1"/>
  <c r="F1078" i="13"/>
  <c r="H1078" i="13" s="1"/>
  <c r="D1078" i="13"/>
  <c r="K1077" i="13"/>
  <c r="I1077" i="13"/>
  <c r="G1077" i="13"/>
  <c r="F1077" i="13"/>
  <c r="H1077" i="13" s="1"/>
  <c r="D1077" i="13"/>
  <c r="K1076" i="13"/>
  <c r="G1076" i="13"/>
  <c r="I1076" i="13" s="1"/>
  <c r="F1076" i="13"/>
  <c r="H1076" i="13" s="1"/>
  <c r="D1076" i="13"/>
  <c r="K1075" i="13"/>
  <c r="G1075" i="13"/>
  <c r="I1075" i="13" s="1"/>
  <c r="F1075" i="13"/>
  <c r="H1075" i="13" s="1"/>
  <c r="D1075" i="13"/>
  <c r="K1074" i="13"/>
  <c r="G1074" i="13"/>
  <c r="I1074" i="13" s="1"/>
  <c r="J1074" i="13" s="1"/>
  <c r="F1074" i="13"/>
  <c r="H1074" i="13" s="1"/>
  <c r="D1074" i="13"/>
  <c r="K1073" i="13"/>
  <c r="H1073" i="13"/>
  <c r="G1073" i="13"/>
  <c r="I1073" i="13" s="1"/>
  <c r="F1073" i="13"/>
  <c r="D1073" i="13"/>
  <c r="K1085" i="13"/>
  <c r="G1085" i="13"/>
  <c r="I1085" i="13" s="1"/>
  <c r="F1085" i="13"/>
  <c r="H1085" i="13" s="1"/>
  <c r="D1085" i="13"/>
  <c r="K1084" i="13"/>
  <c r="G1084" i="13"/>
  <c r="I1084" i="13" s="1"/>
  <c r="F1084" i="13"/>
  <c r="H1084" i="13" s="1"/>
  <c r="D1084" i="13"/>
  <c r="K1083" i="13"/>
  <c r="G1083" i="13"/>
  <c r="I1083" i="13" s="1"/>
  <c r="J1083" i="13" s="1"/>
  <c r="F1083" i="13"/>
  <c r="H1083" i="13" s="1"/>
  <c r="D1083" i="13"/>
  <c r="K1082" i="13"/>
  <c r="I1082" i="13"/>
  <c r="G1082" i="13"/>
  <c r="F1082" i="13"/>
  <c r="H1082" i="13" s="1"/>
  <c r="D1082" i="13"/>
  <c r="K1081" i="13"/>
  <c r="G1081" i="13"/>
  <c r="I1081" i="13" s="1"/>
  <c r="F1081" i="13"/>
  <c r="H1081" i="13" s="1"/>
  <c r="D1081" i="13"/>
  <c r="K1080" i="13"/>
  <c r="G1080" i="13"/>
  <c r="I1080" i="13" s="1"/>
  <c r="F1080" i="13"/>
  <c r="H1080" i="13" s="1"/>
  <c r="D1080" i="13"/>
  <c r="K1079" i="13"/>
  <c r="G1079" i="13"/>
  <c r="I1079" i="13" s="1"/>
  <c r="J1079" i="13" s="1"/>
  <c r="F1079" i="13"/>
  <c r="H1079" i="13" s="1"/>
  <c r="D1079" i="13"/>
  <c r="K1090" i="13"/>
  <c r="H1090" i="13"/>
  <c r="G1090" i="13"/>
  <c r="I1090" i="13" s="1"/>
  <c r="F1090" i="13"/>
  <c r="D1090" i="13"/>
  <c r="K1089" i="13"/>
  <c r="G1089" i="13"/>
  <c r="I1089" i="13" s="1"/>
  <c r="F1089" i="13"/>
  <c r="H1089" i="13" s="1"/>
  <c r="D1089" i="13"/>
  <c r="K1088" i="13"/>
  <c r="G1088" i="13"/>
  <c r="I1088" i="13" s="1"/>
  <c r="F1088" i="13"/>
  <c r="H1088" i="13" s="1"/>
  <c r="D1088" i="13"/>
  <c r="K1087" i="13"/>
  <c r="G1087" i="13"/>
  <c r="I1087" i="13" s="1"/>
  <c r="J1087" i="13" s="1"/>
  <c r="F1087" i="13"/>
  <c r="H1087" i="13" s="1"/>
  <c r="D1087" i="13"/>
  <c r="K1086" i="13"/>
  <c r="I1086" i="13"/>
  <c r="G1086" i="13"/>
  <c r="F1086" i="13"/>
  <c r="H1086" i="13" s="1"/>
  <c r="D1086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J1094" i="13" s="1"/>
  <c r="F1094" i="13"/>
  <c r="H1094" i="13" s="1"/>
  <c r="D1094" i="13"/>
  <c r="K1093" i="13"/>
  <c r="H1093" i="13"/>
  <c r="G1093" i="13"/>
  <c r="I1093" i="13" s="1"/>
  <c r="F1093" i="13"/>
  <c r="D1093" i="13"/>
  <c r="K1092" i="13"/>
  <c r="G1092" i="13"/>
  <c r="I1092" i="13" s="1"/>
  <c r="F1092" i="13"/>
  <c r="H1092" i="13" s="1"/>
  <c r="D1092" i="13"/>
  <c r="K1091" i="13"/>
  <c r="G1091" i="13"/>
  <c r="I1091" i="13" s="1"/>
  <c r="F1091" i="13"/>
  <c r="H1091" i="13" s="1"/>
  <c r="D1091" i="13"/>
  <c r="K1099" i="13"/>
  <c r="G1099" i="13"/>
  <c r="I1099" i="13" s="1"/>
  <c r="J1099" i="13" s="1"/>
  <c r="F1099" i="13"/>
  <c r="H1099" i="13" s="1"/>
  <c r="D1099" i="13"/>
  <c r="K1098" i="13"/>
  <c r="I1098" i="13"/>
  <c r="G1098" i="13"/>
  <c r="F1098" i="13"/>
  <c r="H1098" i="13" s="1"/>
  <c r="D1098" i="13"/>
  <c r="K1097" i="13"/>
  <c r="G1097" i="13"/>
  <c r="I1097" i="13" s="1"/>
  <c r="F1097" i="13"/>
  <c r="H1097" i="13" s="1"/>
  <c r="D1097" i="13"/>
  <c r="K1104" i="13"/>
  <c r="G1104" i="13"/>
  <c r="I1104" i="13" s="1"/>
  <c r="F1104" i="13"/>
  <c r="H1104" i="13" s="1"/>
  <c r="D1104" i="13"/>
  <c r="K1103" i="13"/>
  <c r="G1103" i="13"/>
  <c r="I1103" i="13" s="1"/>
  <c r="J1103" i="13" s="1"/>
  <c r="F1103" i="13"/>
  <c r="H1103" i="13" s="1"/>
  <c r="D1103" i="13"/>
  <c r="K1102" i="13"/>
  <c r="H1102" i="13"/>
  <c r="G1102" i="13"/>
  <c r="I1102" i="13" s="1"/>
  <c r="F1102" i="13"/>
  <c r="D1102" i="13"/>
  <c r="K1101" i="13"/>
  <c r="G1101" i="13"/>
  <c r="I1101" i="13" s="1"/>
  <c r="F1101" i="13"/>
  <c r="H1101" i="13" s="1"/>
  <c r="D1101" i="13"/>
  <c r="K1100" i="13"/>
  <c r="G1100" i="13"/>
  <c r="I1100" i="13" s="1"/>
  <c r="F1100" i="13"/>
  <c r="H1100" i="13" s="1"/>
  <c r="D1100" i="13"/>
  <c r="K1110" i="13"/>
  <c r="G1110" i="13"/>
  <c r="I1110" i="13" s="1"/>
  <c r="J1110" i="13" s="1"/>
  <c r="F1110" i="13"/>
  <c r="H1110" i="13" s="1"/>
  <c r="D1110" i="13"/>
  <c r="K1109" i="13"/>
  <c r="I1109" i="13"/>
  <c r="G1109" i="13"/>
  <c r="F1109" i="13"/>
  <c r="H1109" i="13" s="1"/>
  <c r="D1109" i="13"/>
  <c r="K1108" i="13"/>
  <c r="G1108" i="13"/>
  <c r="I1108" i="13" s="1"/>
  <c r="F1108" i="13"/>
  <c r="H1108" i="13" s="1"/>
  <c r="D1108" i="13"/>
  <c r="K1107" i="13"/>
  <c r="G1107" i="13"/>
  <c r="I1107" i="13" s="1"/>
  <c r="F1107" i="13"/>
  <c r="H1107" i="13" s="1"/>
  <c r="D1107" i="13"/>
  <c r="K1106" i="13"/>
  <c r="G1106" i="13"/>
  <c r="I1106" i="13" s="1"/>
  <c r="J1106" i="13" s="1"/>
  <c r="F1106" i="13"/>
  <c r="H1106" i="13" s="1"/>
  <c r="D1106" i="13"/>
  <c r="K1105" i="13"/>
  <c r="H1105" i="13"/>
  <c r="G1105" i="13"/>
  <c r="I1105" i="13" s="1"/>
  <c r="F1105" i="13"/>
  <c r="D1105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12" i="13"/>
  <c r="G1112" i="13"/>
  <c r="I1112" i="13" s="1"/>
  <c r="J1112" i="13" s="1"/>
  <c r="F1112" i="13"/>
  <c r="H1112" i="13" s="1"/>
  <c r="D1112" i="13"/>
  <c r="K1111" i="13"/>
  <c r="I1111" i="13"/>
  <c r="G1111" i="13"/>
  <c r="F1111" i="13"/>
  <c r="H1111" i="13" s="1"/>
  <c r="D1111" i="13"/>
  <c r="K1121" i="13"/>
  <c r="G1121" i="13"/>
  <c r="I1121" i="13" s="1"/>
  <c r="F1121" i="13"/>
  <c r="H1121" i="13" s="1"/>
  <c r="D1121" i="13"/>
  <c r="K1120" i="13"/>
  <c r="G1120" i="13"/>
  <c r="I1120" i="13" s="1"/>
  <c r="F1120" i="13"/>
  <c r="H1120" i="13" s="1"/>
  <c r="D1120" i="13"/>
  <c r="K1119" i="13"/>
  <c r="G1119" i="13"/>
  <c r="I1119" i="13" s="1"/>
  <c r="J1119" i="13" s="1"/>
  <c r="F1119" i="13"/>
  <c r="H1119" i="13" s="1"/>
  <c r="D1119" i="13"/>
  <c r="K1118" i="13"/>
  <c r="H1118" i="13"/>
  <c r="G1118" i="13"/>
  <c r="I1118" i="13" s="1"/>
  <c r="F1118" i="13"/>
  <c r="D1118" i="13"/>
  <c r="K1117" i="13"/>
  <c r="G1117" i="13"/>
  <c r="I1117" i="13" s="1"/>
  <c r="F1117" i="13"/>
  <c r="H1117" i="13" s="1"/>
  <c r="D1117" i="13"/>
  <c r="K1116" i="13"/>
  <c r="G1116" i="13"/>
  <c r="I1116" i="13" s="1"/>
  <c r="F1116" i="13"/>
  <c r="H1116" i="13" s="1"/>
  <c r="D1116" i="13"/>
  <c r="K1115" i="13"/>
  <c r="G1115" i="13"/>
  <c r="I1115" i="13" s="1"/>
  <c r="J1115" i="13" s="1"/>
  <c r="F1115" i="13"/>
  <c r="H1115" i="13" s="1"/>
  <c r="D1115" i="13"/>
  <c r="K1122" i="13"/>
  <c r="I1122" i="13"/>
  <c r="G1122" i="13"/>
  <c r="F1122" i="13"/>
  <c r="H1122" i="13" s="1"/>
  <c r="D1122" i="13"/>
  <c r="K1128" i="13"/>
  <c r="G1128" i="13"/>
  <c r="I1128" i="13" s="1"/>
  <c r="F1128" i="13"/>
  <c r="H1128" i="13" s="1"/>
  <c r="D1128" i="13"/>
  <c r="K1127" i="13"/>
  <c r="G1127" i="13"/>
  <c r="I1127" i="13" s="1"/>
  <c r="F1127" i="13"/>
  <c r="H1127" i="13" s="1"/>
  <c r="D1127" i="13"/>
  <c r="K1126" i="13"/>
  <c r="G1126" i="13"/>
  <c r="I1126" i="13" s="1"/>
  <c r="J1126" i="13" s="1"/>
  <c r="F1126" i="13"/>
  <c r="H1126" i="13" s="1"/>
  <c r="D1126" i="13"/>
  <c r="K1125" i="13"/>
  <c r="H1125" i="13"/>
  <c r="G1125" i="13"/>
  <c r="I1125" i="13" s="1"/>
  <c r="F1125" i="13"/>
  <c r="D1125" i="13"/>
  <c r="K1124" i="13"/>
  <c r="G1124" i="13"/>
  <c r="I1124" i="13" s="1"/>
  <c r="F1124" i="13"/>
  <c r="H1124" i="13" s="1"/>
  <c r="D1124" i="13"/>
  <c r="K1123" i="13"/>
  <c r="G1123" i="13"/>
  <c r="I1123" i="13" s="1"/>
  <c r="F1123" i="13"/>
  <c r="H1123" i="13" s="1"/>
  <c r="D1123" i="13"/>
  <c r="K1135" i="13"/>
  <c r="G1135" i="13"/>
  <c r="I1135" i="13" s="1"/>
  <c r="J1135" i="13" s="1"/>
  <c r="F1135" i="13"/>
  <c r="H1135" i="13" s="1"/>
  <c r="D1135" i="13"/>
  <c r="K1134" i="13"/>
  <c r="I1134" i="13"/>
  <c r="G1134" i="13"/>
  <c r="F1134" i="13"/>
  <c r="H1134" i="13" s="1"/>
  <c r="D1134" i="13"/>
  <c r="K1133" i="13"/>
  <c r="G1133" i="13"/>
  <c r="I1133" i="13" s="1"/>
  <c r="F1133" i="13"/>
  <c r="H1133" i="13" s="1"/>
  <c r="D1133" i="13"/>
  <c r="K1132" i="13"/>
  <c r="G1132" i="13"/>
  <c r="I1132" i="13" s="1"/>
  <c r="F1132" i="13"/>
  <c r="H1132" i="13" s="1"/>
  <c r="D1132" i="13"/>
  <c r="K1131" i="13"/>
  <c r="G1131" i="13"/>
  <c r="I1131" i="13" s="1"/>
  <c r="J1131" i="13" s="1"/>
  <c r="F1131" i="13"/>
  <c r="H1131" i="13" s="1"/>
  <c r="D1131" i="13"/>
  <c r="K1130" i="13"/>
  <c r="H1130" i="13"/>
  <c r="G1130" i="13"/>
  <c r="I1130" i="13" s="1"/>
  <c r="F1130" i="13"/>
  <c r="D1130" i="13"/>
  <c r="K1129" i="13"/>
  <c r="G1129" i="13"/>
  <c r="I1129" i="13" s="1"/>
  <c r="F1129" i="13"/>
  <c r="H1129" i="13" s="1"/>
  <c r="D1129" i="13"/>
  <c r="K1139" i="13"/>
  <c r="G1139" i="13"/>
  <c r="I1139" i="13" s="1"/>
  <c r="F1139" i="13"/>
  <c r="H1139" i="13" s="1"/>
  <c r="D1139" i="13"/>
  <c r="K1138" i="13"/>
  <c r="G1138" i="13"/>
  <c r="I1138" i="13" s="1"/>
  <c r="J1138" i="13" s="1"/>
  <c r="F1138" i="13"/>
  <c r="H1138" i="13" s="1"/>
  <c r="D1138" i="13"/>
  <c r="K1137" i="13"/>
  <c r="I1137" i="13"/>
  <c r="G1137" i="13"/>
  <c r="F1137" i="13"/>
  <c r="H1137" i="13" s="1"/>
  <c r="D1137" i="13"/>
  <c r="K1136" i="13"/>
  <c r="G1136" i="13"/>
  <c r="I1136" i="13" s="1"/>
  <c r="F1136" i="13"/>
  <c r="H1136" i="13" s="1"/>
  <c r="D1136" i="13"/>
  <c r="K1145" i="13"/>
  <c r="G1145" i="13"/>
  <c r="I1145" i="13" s="1"/>
  <c r="F1145" i="13"/>
  <c r="H1145" i="13" s="1"/>
  <c r="D1145" i="13"/>
  <c r="K1144" i="13"/>
  <c r="G1144" i="13"/>
  <c r="I1144" i="13" s="1"/>
  <c r="J1144" i="13" s="1"/>
  <c r="F1144" i="13"/>
  <c r="H1144" i="13" s="1"/>
  <c r="D1144" i="13"/>
  <c r="K1143" i="13"/>
  <c r="H1143" i="13"/>
  <c r="G1143" i="13"/>
  <c r="I1143" i="13" s="1"/>
  <c r="F1143" i="13"/>
  <c r="D1143" i="13"/>
  <c r="K1142" i="13"/>
  <c r="G1142" i="13"/>
  <c r="I1142" i="13" s="1"/>
  <c r="F1142" i="13"/>
  <c r="H1142" i="13" s="1"/>
  <c r="D1142" i="13"/>
  <c r="K1141" i="13"/>
  <c r="G1141" i="13"/>
  <c r="I1141" i="13" s="1"/>
  <c r="F1141" i="13"/>
  <c r="H1141" i="13" s="1"/>
  <c r="D1141" i="13"/>
  <c r="K1140" i="13"/>
  <c r="G1140" i="13"/>
  <c r="I1140" i="13" s="1"/>
  <c r="J1140" i="13" s="1"/>
  <c r="F1140" i="13"/>
  <c r="H1140" i="13" s="1"/>
  <c r="D1140" i="13"/>
  <c r="K1148" i="13"/>
  <c r="I1148" i="13"/>
  <c r="G1148" i="13"/>
  <c r="F1148" i="13"/>
  <c r="H1148" i="13" s="1"/>
  <c r="D1148" i="13"/>
  <c r="K1147" i="13"/>
  <c r="G1147" i="13"/>
  <c r="I1147" i="13" s="1"/>
  <c r="F1147" i="13"/>
  <c r="H1147" i="13" s="1"/>
  <c r="D1147" i="13"/>
  <c r="K1146" i="13"/>
  <c r="G1146" i="13"/>
  <c r="I1146" i="13" s="1"/>
  <c r="F1146" i="13"/>
  <c r="H1146" i="13" s="1"/>
  <c r="D1146" i="13"/>
  <c r="K1151" i="13"/>
  <c r="G1151" i="13"/>
  <c r="I1151" i="13" s="1"/>
  <c r="J1151" i="13" s="1"/>
  <c r="F1151" i="13"/>
  <c r="H1151" i="13" s="1"/>
  <c r="D1151" i="13"/>
  <c r="K1150" i="13"/>
  <c r="H1150" i="13"/>
  <c r="G1150" i="13"/>
  <c r="I1150" i="13" s="1"/>
  <c r="F1150" i="13"/>
  <c r="D1150" i="13"/>
  <c r="K1149" i="13"/>
  <c r="G1149" i="13"/>
  <c r="I1149" i="13" s="1"/>
  <c r="F1149" i="13"/>
  <c r="H1149" i="13" s="1"/>
  <c r="D1149" i="13"/>
  <c r="K1155" i="13"/>
  <c r="G1155" i="13"/>
  <c r="I1155" i="13" s="1"/>
  <c r="F1155" i="13"/>
  <c r="H1155" i="13" s="1"/>
  <c r="D1155" i="13"/>
  <c r="K1154" i="13"/>
  <c r="G1154" i="13"/>
  <c r="I1154" i="13" s="1"/>
  <c r="J1154" i="13" s="1"/>
  <c r="F1154" i="13"/>
  <c r="H1154" i="13" s="1"/>
  <c r="D1154" i="13"/>
  <c r="K1153" i="13"/>
  <c r="I1153" i="13"/>
  <c r="G1153" i="13"/>
  <c r="F1153" i="13"/>
  <c r="H1153" i="13" s="1"/>
  <c r="D1153" i="13"/>
  <c r="K1152" i="13"/>
  <c r="G1152" i="13"/>
  <c r="I1152" i="13" s="1"/>
  <c r="F1152" i="13"/>
  <c r="H1152" i="13" s="1"/>
  <c r="D1152" i="13"/>
  <c r="K1161" i="13"/>
  <c r="G1161" i="13"/>
  <c r="I1161" i="13" s="1"/>
  <c r="F1161" i="13"/>
  <c r="H1161" i="13" s="1"/>
  <c r="D1161" i="13"/>
  <c r="K1160" i="13"/>
  <c r="G1160" i="13"/>
  <c r="I1160" i="13" s="1"/>
  <c r="J1160" i="13" s="1"/>
  <c r="F1160" i="13"/>
  <c r="H1160" i="13" s="1"/>
  <c r="D1160" i="13"/>
  <c r="K1159" i="13"/>
  <c r="H1159" i="13"/>
  <c r="G1159" i="13"/>
  <c r="I1159" i="13" s="1"/>
  <c r="F1159" i="13"/>
  <c r="D1159" i="13"/>
  <c r="K1158" i="13"/>
  <c r="G1158" i="13"/>
  <c r="I1158" i="13" s="1"/>
  <c r="F1158" i="13"/>
  <c r="H1158" i="13" s="1"/>
  <c r="D1158" i="13"/>
  <c r="K1157" i="13"/>
  <c r="G1157" i="13"/>
  <c r="I1157" i="13" s="1"/>
  <c r="F1157" i="13"/>
  <c r="H1157" i="13" s="1"/>
  <c r="D1157" i="13"/>
  <c r="K1156" i="13"/>
  <c r="G1156" i="13"/>
  <c r="I1156" i="13" s="1"/>
  <c r="F1156" i="13"/>
  <c r="H1156" i="13" s="1"/>
  <c r="D1156" i="13"/>
  <c r="K1165" i="13"/>
  <c r="I1165" i="13"/>
  <c r="G1165" i="13"/>
  <c r="F1165" i="13"/>
  <c r="H1165" i="13" s="1"/>
  <c r="D1165" i="13"/>
  <c r="K1164" i="13"/>
  <c r="G1164" i="13"/>
  <c r="I1164" i="13" s="1"/>
  <c r="F1164" i="13"/>
  <c r="H1164" i="13" s="1"/>
  <c r="D1164" i="13"/>
  <c r="K1163" i="13"/>
  <c r="G1163" i="13"/>
  <c r="I1163" i="13" s="1"/>
  <c r="F1163" i="13"/>
  <c r="H1163" i="13" s="1"/>
  <c r="D1163" i="13"/>
  <c r="K1162" i="13"/>
  <c r="G1162" i="13"/>
  <c r="I1162" i="13" s="1"/>
  <c r="J1162" i="13" s="1"/>
  <c r="F1162" i="13"/>
  <c r="H1162" i="13" s="1"/>
  <c r="D1162" i="13"/>
  <c r="K1167" i="13"/>
  <c r="H1167" i="13"/>
  <c r="G1167" i="13"/>
  <c r="I1167" i="13" s="1"/>
  <c r="F1167" i="13"/>
  <c r="D1167" i="13"/>
  <c r="K1166" i="13"/>
  <c r="G1166" i="13"/>
  <c r="I1166" i="13" s="1"/>
  <c r="F1166" i="13"/>
  <c r="H1166" i="13" s="1"/>
  <c r="D1166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70" i="13"/>
  <c r="I1170" i="13"/>
  <c r="G1170" i="13"/>
  <c r="F1170" i="13"/>
  <c r="H1170" i="13" s="1"/>
  <c r="D1170" i="13"/>
  <c r="K1169" i="13"/>
  <c r="G1169" i="13"/>
  <c r="I1169" i="13" s="1"/>
  <c r="F1169" i="13"/>
  <c r="H1169" i="13" s="1"/>
  <c r="D1169" i="13"/>
  <c r="K1168" i="13"/>
  <c r="G1168" i="13"/>
  <c r="I1168" i="13" s="1"/>
  <c r="F1168" i="13"/>
  <c r="H1168" i="13" s="1"/>
  <c r="D1168" i="13"/>
  <c r="K1176" i="13"/>
  <c r="G1176" i="13"/>
  <c r="I1176" i="13" s="1"/>
  <c r="F1176" i="13"/>
  <c r="H1176" i="13" s="1"/>
  <c r="D1176" i="13"/>
  <c r="K1175" i="13"/>
  <c r="H1175" i="13"/>
  <c r="G1175" i="13"/>
  <c r="I1175" i="13" s="1"/>
  <c r="F1175" i="13"/>
  <c r="D1175" i="13"/>
  <c r="K1174" i="13"/>
  <c r="G1174" i="13"/>
  <c r="I1174" i="13" s="1"/>
  <c r="F1174" i="13"/>
  <c r="H1174" i="13" s="1"/>
  <c r="D1174" i="13"/>
  <c r="K1173" i="13"/>
  <c r="G1173" i="13"/>
  <c r="I1173" i="13" s="1"/>
  <c r="F1173" i="13"/>
  <c r="H1173" i="13" s="1"/>
  <c r="D1173" i="13"/>
  <c r="K1181" i="13"/>
  <c r="G1181" i="13"/>
  <c r="I1181" i="13" s="1"/>
  <c r="F1181" i="13"/>
  <c r="H1181" i="13" s="1"/>
  <c r="D1181" i="13"/>
  <c r="K1180" i="13"/>
  <c r="I1180" i="13"/>
  <c r="G1180" i="13"/>
  <c r="F1180" i="13"/>
  <c r="H1180" i="13" s="1"/>
  <c r="D1180" i="13"/>
  <c r="K1179" i="13"/>
  <c r="G1179" i="13"/>
  <c r="I1179" i="13" s="1"/>
  <c r="F1179" i="13"/>
  <c r="H1179" i="13" s="1"/>
  <c r="D1179" i="13"/>
  <c r="K1178" i="13"/>
  <c r="G1178" i="13"/>
  <c r="I1178" i="13" s="1"/>
  <c r="F1178" i="13"/>
  <c r="H1178" i="13" s="1"/>
  <c r="D1178" i="13"/>
  <c r="K1177" i="13"/>
  <c r="G1177" i="13"/>
  <c r="I1177" i="13" s="1"/>
  <c r="F1177" i="13"/>
  <c r="H1177" i="13" s="1"/>
  <c r="D1177" i="13"/>
  <c r="K1185" i="13"/>
  <c r="H1185" i="13"/>
  <c r="G1185" i="13"/>
  <c r="I1185" i="13" s="1"/>
  <c r="F1185" i="13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82" i="13"/>
  <c r="G1182" i="13"/>
  <c r="I1182" i="13" s="1"/>
  <c r="F1182" i="13"/>
  <c r="H1182" i="13" s="1"/>
  <c r="D1182" i="13"/>
  <c r="K1187" i="13"/>
  <c r="I1187" i="13"/>
  <c r="G1187" i="13"/>
  <c r="F1187" i="13"/>
  <c r="H1187" i="13" s="1"/>
  <c r="D1187" i="13"/>
  <c r="K1186" i="13"/>
  <c r="G1186" i="13"/>
  <c r="I1186" i="13" s="1"/>
  <c r="F1186" i="13"/>
  <c r="H1186" i="13" s="1"/>
  <c r="D1186" i="13"/>
  <c r="K1189" i="13"/>
  <c r="G1189" i="13"/>
  <c r="I1189" i="13" s="1"/>
  <c r="F1189" i="13"/>
  <c r="H1189" i="13" s="1"/>
  <c r="D1189" i="13"/>
  <c r="K1188" i="13"/>
  <c r="G1188" i="13"/>
  <c r="I1188" i="13" s="1"/>
  <c r="F1188" i="13"/>
  <c r="H1188" i="13" s="1"/>
  <c r="D1188" i="13"/>
  <c r="K1190" i="13"/>
  <c r="H1190" i="13"/>
  <c r="G1190" i="13"/>
  <c r="I1190" i="13" s="1"/>
  <c r="F1190" i="13"/>
  <c r="D1190" i="13"/>
  <c r="K1196" i="13"/>
  <c r="G1196" i="13"/>
  <c r="I1196" i="13" s="1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I1193" i="13"/>
  <c r="G1193" i="13"/>
  <c r="F1193" i="13"/>
  <c r="H1193" i="13" s="1"/>
  <c r="D1193" i="13"/>
  <c r="K1192" i="13"/>
  <c r="G1192" i="13"/>
  <c r="I1192" i="13" s="1"/>
  <c r="F1192" i="13"/>
  <c r="H1192" i="13" s="1"/>
  <c r="D1192" i="13"/>
  <c r="K1191" i="13"/>
  <c r="G1191" i="13"/>
  <c r="I1191" i="13" s="1"/>
  <c r="F1191" i="13"/>
  <c r="H1191" i="13" s="1"/>
  <c r="D1191" i="13"/>
  <c r="K1198" i="13"/>
  <c r="G1198" i="13"/>
  <c r="I1198" i="13" s="1"/>
  <c r="F1198" i="13"/>
  <c r="H1198" i="13" s="1"/>
  <c r="D1198" i="13"/>
  <c r="K1197" i="13"/>
  <c r="H1197" i="13"/>
  <c r="G1197" i="13"/>
  <c r="I1197" i="13" s="1"/>
  <c r="F1197" i="13"/>
  <c r="D1197" i="13"/>
  <c r="K1199" i="13"/>
  <c r="H1199" i="13"/>
  <c r="G1199" i="13"/>
  <c r="I1199" i="13" s="1"/>
  <c r="F1199" i="13"/>
  <c r="D1199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207" i="13"/>
  <c r="G1207" i="13"/>
  <c r="I1207" i="13" s="1"/>
  <c r="F1207" i="13"/>
  <c r="H1207" i="13" s="1"/>
  <c r="D1207" i="13"/>
  <c r="K1206" i="13"/>
  <c r="G1206" i="13"/>
  <c r="I1206" i="13" s="1"/>
  <c r="F1206" i="13"/>
  <c r="H1206" i="13" s="1"/>
  <c r="D1206" i="13"/>
  <c r="K1205" i="13"/>
  <c r="H1205" i="13"/>
  <c r="G1205" i="13"/>
  <c r="I1205" i="13" s="1"/>
  <c r="J1205" i="13" s="1"/>
  <c r="F1205" i="13"/>
  <c r="D1205" i="13"/>
  <c r="K1204" i="13"/>
  <c r="H1204" i="13"/>
  <c r="G1204" i="13"/>
  <c r="I1204" i="13" s="1"/>
  <c r="F1204" i="13"/>
  <c r="D1204" i="13"/>
  <c r="K1212" i="13"/>
  <c r="G1212" i="13"/>
  <c r="I1212" i="13" s="1"/>
  <c r="F1212" i="13"/>
  <c r="H1212" i="13" s="1"/>
  <c r="D1212" i="13"/>
  <c r="K1211" i="13"/>
  <c r="G1211" i="13"/>
  <c r="I1211" i="13" s="1"/>
  <c r="J1211" i="13" s="1"/>
  <c r="F1211" i="13"/>
  <c r="H1211" i="13" s="1"/>
  <c r="D1211" i="13"/>
  <c r="K1210" i="13"/>
  <c r="G1210" i="13"/>
  <c r="I1210" i="13" s="1"/>
  <c r="J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G1208" i="13"/>
  <c r="I1208" i="13" s="1"/>
  <c r="F1208" i="13"/>
  <c r="H1208" i="13" s="1"/>
  <c r="D1208" i="13"/>
  <c r="K1215" i="13"/>
  <c r="G1215" i="13"/>
  <c r="I1215" i="13" s="1"/>
  <c r="F1215" i="13"/>
  <c r="H1215" i="13" s="1"/>
  <c r="D1215" i="13"/>
  <c r="K1214" i="13"/>
  <c r="G1214" i="13"/>
  <c r="I1214" i="13" s="1"/>
  <c r="F1214" i="13"/>
  <c r="H1214" i="13" s="1"/>
  <c r="D1214" i="13"/>
  <c r="K1213" i="13"/>
  <c r="G1213" i="13"/>
  <c r="I1213" i="13" s="1"/>
  <c r="F1213" i="13"/>
  <c r="H1213" i="13" s="1"/>
  <c r="D1213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H1216" i="13"/>
  <c r="G1216" i="13"/>
  <c r="I1216" i="13" s="1"/>
  <c r="J1216" i="13" s="1"/>
  <c r="F1216" i="13"/>
  <c r="D1216" i="13"/>
  <c r="K1225" i="13"/>
  <c r="H1225" i="13"/>
  <c r="G1225" i="13"/>
  <c r="I1225" i="13" s="1"/>
  <c r="F1225" i="13"/>
  <c r="D1225" i="13"/>
  <c r="K1224" i="13"/>
  <c r="G1224" i="13"/>
  <c r="I1224" i="13" s="1"/>
  <c r="F1224" i="13"/>
  <c r="H1224" i="13" s="1"/>
  <c r="D1224" i="13"/>
  <c r="K1223" i="13"/>
  <c r="G1223" i="13"/>
  <c r="I1223" i="13" s="1"/>
  <c r="F1223" i="13"/>
  <c r="H1223" i="13" s="1"/>
  <c r="D1223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G1220" i="13"/>
  <c r="I1220" i="13" s="1"/>
  <c r="F1220" i="13"/>
  <c r="H1220" i="13" s="1"/>
  <c r="D1220" i="13"/>
  <c r="K1219" i="13"/>
  <c r="G1219" i="13"/>
  <c r="I1219" i="13" s="1"/>
  <c r="F1219" i="13"/>
  <c r="H1219" i="13" s="1"/>
  <c r="D1219" i="13"/>
  <c r="K1228" i="13"/>
  <c r="H1228" i="13"/>
  <c r="G1228" i="13"/>
  <c r="I1228" i="13" s="1"/>
  <c r="J1228" i="13" s="1"/>
  <c r="F1228" i="13"/>
  <c r="D1228" i="13"/>
  <c r="K1227" i="13"/>
  <c r="H1227" i="13"/>
  <c r="G1227" i="13"/>
  <c r="I1227" i="13" s="1"/>
  <c r="F1227" i="13"/>
  <c r="D1227" i="13"/>
  <c r="K1226" i="13"/>
  <c r="G1226" i="13"/>
  <c r="I1226" i="13" s="1"/>
  <c r="F1226" i="13"/>
  <c r="H1226" i="13" s="1"/>
  <c r="D1226" i="13"/>
  <c r="K1231" i="13"/>
  <c r="G1231" i="13"/>
  <c r="I1231" i="13" s="1"/>
  <c r="F1231" i="13"/>
  <c r="H1231" i="13" s="1"/>
  <c r="D1231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37" i="13"/>
  <c r="G1237" i="13"/>
  <c r="I1237" i="13" s="1"/>
  <c r="F1237" i="13"/>
  <c r="H1237" i="13" s="1"/>
  <c r="D1237" i="13"/>
  <c r="K1236" i="13"/>
  <c r="I1236" i="13"/>
  <c r="G1236" i="13"/>
  <c r="F1236" i="13"/>
  <c r="H1236" i="13" s="1"/>
  <c r="D1236" i="13"/>
  <c r="K1235" i="13"/>
  <c r="H1235" i="13"/>
  <c r="G1235" i="13"/>
  <c r="I1235" i="13" s="1"/>
  <c r="J1235" i="13" s="1"/>
  <c r="F1235" i="13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43" i="13"/>
  <c r="H1243" i="13"/>
  <c r="G1243" i="13"/>
  <c r="I1243" i="13" s="1"/>
  <c r="F1243" i="13"/>
  <c r="D1243" i="13"/>
  <c r="K1242" i="13"/>
  <c r="H1242" i="13"/>
  <c r="G1242" i="13"/>
  <c r="I1242" i="13" s="1"/>
  <c r="F1242" i="13"/>
  <c r="D1242" i="13"/>
  <c r="K1241" i="13"/>
  <c r="G1241" i="13"/>
  <c r="I1241" i="13" s="1"/>
  <c r="F1241" i="13"/>
  <c r="H1241" i="13" s="1"/>
  <c r="D1241" i="13"/>
  <c r="K1240" i="13"/>
  <c r="G1240" i="13"/>
  <c r="I1240" i="13" s="1"/>
  <c r="J1240" i="13" s="1"/>
  <c r="F1240" i="13"/>
  <c r="H1240" i="13" s="1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44" i="13"/>
  <c r="G1244" i="13"/>
  <c r="I1244" i="13" s="1"/>
  <c r="F1244" i="13"/>
  <c r="H1244" i="13" s="1"/>
  <c r="D1244" i="13"/>
  <c r="K1248" i="13"/>
  <c r="G1248" i="13"/>
  <c r="I1248" i="13" s="1"/>
  <c r="F1248" i="13"/>
  <c r="H1248" i="13" s="1"/>
  <c r="D1248" i="13"/>
  <c r="K1247" i="13"/>
  <c r="H1247" i="13"/>
  <c r="G1247" i="13"/>
  <c r="I1247" i="13" s="1"/>
  <c r="F1247" i="13"/>
  <c r="D1247" i="13"/>
  <c r="K1246" i="13"/>
  <c r="H1246" i="13"/>
  <c r="G1246" i="13"/>
  <c r="I1246" i="13" s="1"/>
  <c r="F1246" i="13"/>
  <c r="D1246" i="13"/>
  <c r="K1245" i="13"/>
  <c r="G1245" i="13"/>
  <c r="I1245" i="13" s="1"/>
  <c r="F1245" i="13"/>
  <c r="H1245" i="13" s="1"/>
  <c r="D1245" i="13"/>
  <c r="K1254" i="13"/>
  <c r="G1254" i="13"/>
  <c r="I1254" i="13" s="1"/>
  <c r="F1254" i="13"/>
  <c r="H1254" i="13" s="1"/>
  <c r="D1254" i="13"/>
  <c r="K1253" i="13"/>
  <c r="G1253" i="13"/>
  <c r="I1253" i="13" s="1"/>
  <c r="F1253" i="13"/>
  <c r="H1253" i="13" s="1"/>
  <c r="D1253" i="13"/>
  <c r="K1252" i="13"/>
  <c r="G1252" i="13"/>
  <c r="I1252" i="13" s="1"/>
  <c r="F1252" i="13"/>
  <c r="H1252" i="13" s="1"/>
  <c r="D1252" i="13"/>
  <c r="K1251" i="13"/>
  <c r="G1251" i="13"/>
  <c r="I1251" i="13" s="1"/>
  <c r="F1251" i="13"/>
  <c r="H1251" i="13" s="1"/>
  <c r="D1251" i="13"/>
  <c r="K1250" i="13"/>
  <c r="G1250" i="13"/>
  <c r="I1250" i="13" s="1"/>
  <c r="J1250" i="13" s="1"/>
  <c r="F1250" i="13"/>
  <c r="H1250" i="13" s="1"/>
  <c r="D1250" i="13"/>
  <c r="K1249" i="13"/>
  <c r="H1249" i="13"/>
  <c r="G1249" i="13"/>
  <c r="I1249" i="13" s="1"/>
  <c r="F1249" i="13"/>
  <c r="D1249" i="13"/>
  <c r="K1261" i="13"/>
  <c r="H1261" i="13"/>
  <c r="G1261" i="13"/>
  <c r="I1261" i="13" s="1"/>
  <c r="F1261" i="13"/>
  <c r="D1261" i="13"/>
  <c r="K1260" i="13"/>
  <c r="G1260" i="13"/>
  <c r="I1260" i="13" s="1"/>
  <c r="F1260" i="13"/>
  <c r="H1260" i="13" s="1"/>
  <c r="D1260" i="13"/>
  <c r="K1259" i="13"/>
  <c r="G1259" i="13"/>
  <c r="I1259" i="13" s="1"/>
  <c r="J1259" i="13" s="1"/>
  <c r="F1259" i="13"/>
  <c r="H1259" i="13" s="1"/>
  <c r="D1259" i="13"/>
  <c r="K1258" i="13"/>
  <c r="G1258" i="13"/>
  <c r="I1258" i="13" s="1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J1255" i="13" s="1"/>
  <c r="F1255" i="13"/>
  <c r="H1255" i="13" s="1"/>
  <c r="D1255" i="13"/>
  <c r="K1265" i="13"/>
  <c r="H1265" i="13"/>
  <c r="G1265" i="13"/>
  <c r="I1265" i="13" s="1"/>
  <c r="F1265" i="13"/>
  <c r="D1265" i="13"/>
  <c r="K1264" i="13"/>
  <c r="H1264" i="13"/>
  <c r="G1264" i="13"/>
  <c r="I1264" i="13" s="1"/>
  <c r="F1264" i="13"/>
  <c r="D1264" i="13"/>
  <c r="K1263" i="13"/>
  <c r="G1263" i="13"/>
  <c r="I1263" i="13" s="1"/>
  <c r="F1263" i="13"/>
  <c r="H1263" i="13" s="1"/>
  <c r="D1263" i="13"/>
  <c r="K1262" i="13"/>
  <c r="G1262" i="13"/>
  <c r="I1262" i="13" s="1"/>
  <c r="J1262" i="13" s="1"/>
  <c r="F1262" i="13"/>
  <c r="H1262" i="13" s="1"/>
  <c r="D1262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67" i="13"/>
  <c r="G1267" i="13"/>
  <c r="I1267" i="13" s="1"/>
  <c r="F1267" i="13"/>
  <c r="H1267" i="13" s="1"/>
  <c r="D1267" i="13"/>
  <c r="K1266" i="13"/>
  <c r="G1266" i="13"/>
  <c r="I1266" i="13" s="1"/>
  <c r="J1266" i="13" s="1"/>
  <c r="F1266" i="13"/>
  <c r="H1266" i="13" s="1"/>
  <c r="D1266" i="13"/>
  <c r="K1272" i="13"/>
  <c r="H1272" i="13"/>
  <c r="G1272" i="13"/>
  <c r="I1272" i="13" s="1"/>
  <c r="F1272" i="13"/>
  <c r="D1272" i="13"/>
  <c r="K1271" i="13"/>
  <c r="H1271" i="13"/>
  <c r="G1271" i="13"/>
  <c r="I1271" i="13" s="1"/>
  <c r="F1271" i="13"/>
  <c r="D1271" i="13"/>
  <c r="K1270" i="13"/>
  <c r="G1270" i="13"/>
  <c r="I1270" i="13" s="1"/>
  <c r="F1270" i="13"/>
  <c r="H1270" i="13" s="1"/>
  <c r="D1270" i="13"/>
  <c r="K1278" i="13"/>
  <c r="G1278" i="13"/>
  <c r="I1278" i="13" s="1"/>
  <c r="J1278" i="13" s="1"/>
  <c r="F1278" i="13"/>
  <c r="H1278" i="13" s="1"/>
  <c r="D1278" i="13"/>
  <c r="K1277" i="13"/>
  <c r="G1277" i="13"/>
  <c r="I1277" i="13" s="1"/>
  <c r="F1277" i="13"/>
  <c r="H1277" i="13" s="1"/>
  <c r="D1277" i="13"/>
  <c r="K1276" i="13"/>
  <c r="G1276" i="13"/>
  <c r="I1276" i="13" s="1"/>
  <c r="F1276" i="13"/>
  <c r="H1276" i="13" s="1"/>
  <c r="D1276" i="13"/>
  <c r="K1275" i="13"/>
  <c r="G1275" i="13"/>
  <c r="I1275" i="13" s="1"/>
  <c r="F1275" i="13"/>
  <c r="H1275" i="13" s="1"/>
  <c r="D1275" i="13"/>
  <c r="K1274" i="13"/>
  <c r="G1274" i="13"/>
  <c r="I1274" i="13" s="1"/>
  <c r="J1274" i="13" s="1"/>
  <c r="F1274" i="13"/>
  <c r="H1274" i="13" s="1"/>
  <c r="D1274" i="13"/>
  <c r="K1273" i="13"/>
  <c r="H1273" i="13"/>
  <c r="G1273" i="13"/>
  <c r="I1273" i="13" s="1"/>
  <c r="F1273" i="13"/>
  <c r="D1273" i="13"/>
  <c r="K1283" i="13"/>
  <c r="H1283" i="13"/>
  <c r="G1283" i="13"/>
  <c r="I1283" i="13" s="1"/>
  <c r="F1283" i="13"/>
  <c r="D1283" i="13"/>
  <c r="K1282" i="13"/>
  <c r="G1282" i="13"/>
  <c r="I1282" i="13" s="1"/>
  <c r="F1282" i="13"/>
  <c r="H1282" i="13" s="1"/>
  <c r="D1282" i="13"/>
  <c r="K1281" i="13"/>
  <c r="G1281" i="13"/>
  <c r="I1281" i="13" s="1"/>
  <c r="J1281" i="13" s="1"/>
  <c r="F1281" i="13"/>
  <c r="H1281" i="13" s="1"/>
  <c r="D1281" i="13"/>
  <c r="K1280" i="13"/>
  <c r="G1280" i="13"/>
  <c r="I1280" i="13" s="1"/>
  <c r="F1280" i="13"/>
  <c r="H1280" i="13" s="1"/>
  <c r="D1280" i="13"/>
  <c r="K1279" i="13"/>
  <c r="G1279" i="13"/>
  <c r="I1279" i="13" s="1"/>
  <c r="F1279" i="13"/>
  <c r="H1279" i="13" s="1"/>
  <c r="D1279" i="13"/>
  <c r="K1288" i="13"/>
  <c r="G1288" i="13"/>
  <c r="I1288" i="13" s="1"/>
  <c r="F1288" i="13"/>
  <c r="H1288" i="13" s="1"/>
  <c r="D1288" i="13"/>
  <c r="K1287" i="13"/>
  <c r="G1287" i="13"/>
  <c r="I1287" i="13" s="1"/>
  <c r="J1287" i="13" s="1"/>
  <c r="F1287" i="13"/>
  <c r="H1287" i="13" s="1"/>
  <c r="D1287" i="13"/>
  <c r="K1286" i="13"/>
  <c r="H1286" i="13"/>
  <c r="G1286" i="13"/>
  <c r="I1286" i="13" s="1"/>
  <c r="F1286" i="13"/>
  <c r="D1286" i="13"/>
  <c r="K1285" i="13"/>
  <c r="H1285" i="13"/>
  <c r="G1285" i="13"/>
  <c r="I1285" i="13" s="1"/>
  <c r="F1285" i="13"/>
  <c r="D1285" i="13"/>
  <c r="K1284" i="13"/>
  <c r="G1284" i="13"/>
  <c r="I1284" i="13" s="1"/>
  <c r="F1284" i="13"/>
  <c r="H1284" i="13" s="1"/>
  <c r="D1284" i="13"/>
  <c r="K1291" i="13"/>
  <c r="G1291" i="13"/>
  <c r="I1291" i="13" s="1"/>
  <c r="J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94" i="13"/>
  <c r="G1294" i="13"/>
  <c r="I1294" i="13" s="1"/>
  <c r="F1294" i="13"/>
  <c r="H1294" i="13" s="1"/>
  <c r="D1294" i="13"/>
  <c r="K1293" i="13"/>
  <c r="G1293" i="13"/>
  <c r="I1293" i="13" s="1"/>
  <c r="J1293" i="13" s="1"/>
  <c r="F1293" i="13"/>
  <c r="H1293" i="13" s="1"/>
  <c r="D1293" i="13"/>
  <c r="K1292" i="13"/>
  <c r="H1292" i="13"/>
  <c r="G1292" i="13"/>
  <c r="I1292" i="13" s="1"/>
  <c r="F1292" i="13"/>
  <c r="D1292" i="13"/>
  <c r="K1296" i="13"/>
  <c r="H1296" i="13"/>
  <c r="G1296" i="13"/>
  <c r="I1296" i="13" s="1"/>
  <c r="F1296" i="13"/>
  <c r="D1296" i="13"/>
  <c r="K1295" i="13"/>
  <c r="G1295" i="13"/>
  <c r="I1295" i="13" s="1"/>
  <c r="F1295" i="13"/>
  <c r="H1295" i="13" s="1"/>
  <c r="D1295" i="13"/>
  <c r="K1303" i="13"/>
  <c r="G1303" i="13"/>
  <c r="I1303" i="13" s="1"/>
  <c r="J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G1301" i="13"/>
  <c r="I1301" i="13" s="1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J1299" i="13" s="1"/>
  <c r="F1299" i="13"/>
  <c r="H1299" i="13" s="1"/>
  <c r="D1299" i="13"/>
  <c r="K1298" i="13"/>
  <c r="H1298" i="13"/>
  <c r="G1298" i="13"/>
  <c r="I1298" i="13" s="1"/>
  <c r="F1298" i="13"/>
  <c r="D1298" i="13"/>
  <c r="K1297" i="13"/>
  <c r="H1297" i="13"/>
  <c r="G1297" i="13"/>
  <c r="I1297" i="13" s="1"/>
  <c r="F1297" i="13"/>
  <c r="D1297" i="13"/>
  <c r="K1306" i="13"/>
  <c r="G1306" i="13"/>
  <c r="I1306" i="13" s="1"/>
  <c r="F1306" i="13"/>
  <c r="H1306" i="13" s="1"/>
  <c r="D1306" i="13"/>
  <c r="K1305" i="13"/>
  <c r="G1305" i="13"/>
  <c r="I1305" i="13" s="1"/>
  <c r="J1305" i="13" s="1"/>
  <c r="F1305" i="13"/>
  <c r="H1305" i="13" s="1"/>
  <c r="D1305" i="13"/>
  <c r="K1304" i="13"/>
  <c r="G1304" i="13"/>
  <c r="I1304" i="13" s="1"/>
  <c r="F1304" i="13"/>
  <c r="H1304" i="13" s="1"/>
  <c r="D1304" i="13"/>
  <c r="K1309" i="13"/>
  <c r="G1309" i="13"/>
  <c r="I1309" i="13" s="1"/>
  <c r="F1309" i="13"/>
  <c r="H1309" i="13" s="1"/>
  <c r="D1309" i="13"/>
  <c r="K1308" i="13"/>
  <c r="G1308" i="13"/>
  <c r="I1308" i="13" s="1"/>
  <c r="F1308" i="13"/>
  <c r="H1308" i="13" s="1"/>
  <c r="D1308" i="13"/>
  <c r="K1307" i="13"/>
  <c r="G1307" i="13"/>
  <c r="I1307" i="13" s="1"/>
  <c r="J1307" i="13" s="1"/>
  <c r="F1307" i="13"/>
  <c r="H1307" i="13" s="1"/>
  <c r="D1307" i="13"/>
  <c r="K1315" i="13"/>
  <c r="H1315" i="13"/>
  <c r="G1315" i="13"/>
  <c r="I1315" i="13" s="1"/>
  <c r="F1315" i="13"/>
  <c r="D1315" i="13"/>
  <c r="K1314" i="13"/>
  <c r="H1314" i="13"/>
  <c r="G1314" i="13"/>
  <c r="I1314" i="13" s="1"/>
  <c r="F1314" i="13"/>
  <c r="D1314" i="13"/>
  <c r="K1313" i="13"/>
  <c r="G1313" i="13"/>
  <c r="I1313" i="13" s="1"/>
  <c r="F1313" i="13"/>
  <c r="H1313" i="13" s="1"/>
  <c r="D1313" i="13"/>
  <c r="K1312" i="13"/>
  <c r="G1312" i="13"/>
  <c r="I1312" i="13" s="1"/>
  <c r="J1312" i="13" s="1"/>
  <c r="F1312" i="13"/>
  <c r="H1312" i="13" s="1"/>
  <c r="D1312" i="13"/>
  <c r="K1311" i="13"/>
  <c r="G1311" i="13"/>
  <c r="I1311" i="13" s="1"/>
  <c r="F1311" i="13"/>
  <c r="H1311" i="13" s="1"/>
  <c r="D1311" i="13"/>
  <c r="K1310" i="13"/>
  <c r="G1310" i="13"/>
  <c r="I1310" i="13" s="1"/>
  <c r="F1310" i="13"/>
  <c r="H1310" i="13" s="1"/>
  <c r="D1310" i="13"/>
  <c r="K1319" i="13"/>
  <c r="G1319" i="13"/>
  <c r="I1319" i="13" s="1"/>
  <c r="F1319" i="13"/>
  <c r="H1319" i="13" s="1"/>
  <c r="D1319" i="13"/>
  <c r="K1318" i="13"/>
  <c r="G1318" i="13"/>
  <c r="I1318" i="13" s="1"/>
  <c r="J1318" i="13" s="1"/>
  <c r="F1318" i="13"/>
  <c r="H1318" i="13" s="1"/>
  <c r="D1318" i="13"/>
  <c r="K1317" i="13"/>
  <c r="H1317" i="13"/>
  <c r="G1317" i="13"/>
  <c r="I1317" i="13" s="1"/>
  <c r="F1317" i="13"/>
  <c r="D1317" i="13"/>
  <c r="K1316" i="13"/>
  <c r="H1316" i="13"/>
  <c r="G1316" i="13"/>
  <c r="I1316" i="13" s="1"/>
  <c r="F1316" i="13"/>
  <c r="D1316" i="13"/>
  <c r="K1322" i="13"/>
  <c r="G1322" i="13"/>
  <c r="I1322" i="13" s="1"/>
  <c r="F1322" i="13"/>
  <c r="H1322" i="13" s="1"/>
  <c r="D1322" i="13"/>
  <c r="K1321" i="13"/>
  <c r="G1321" i="13"/>
  <c r="I1321" i="13" s="1"/>
  <c r="J1321" i="13" s="1"/>
  <c r="F1321" i="13"/>
  <c r="H1321" i="13" s="1"/>
  <c r="D1321" i="13"/>
  <c r="K1320" i="13"/>
  <c r="G1320" i="13"/>
  <c r="I1320" i="13" s="1"/>
  <c r="F1320" i="13"/>
  <c r="H1320" i="13" s="1"/>
  <c r="D132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G1327" i="13"/>
  <c r="I1327" i="13" s="1"/>
  <c r="J1327" i="13" s="1"/>
  <c r="F1327" i="13"/>
  <c r="H1327" i="13" s="1"/>
  <c r="D1327" i="13"/>
  <c r="K1326" i="13"/>
  <c r="H1326" i="13"/>
  <c r="G1326" i="13"/>
  <c r="I1326" i="13" s="1"/>
  <c r="F1326" i="13"/>
  <c r="D1326" i="13"/>
  <c r="K1325" i="13"/>
  <c r="H1325" i="13"/>
  <c r="G1325" i="13"/>
  <c r="I1325" i="13" s="1"/>
  <c r="F1325" i="13"/>
  <c r="D1325" i="13"/>
  <c r="K1324" i="13"/>
  <c r="G1324" i="13"/>
  <c r="I1324" i="13" s="1"/>
  <c r="F1324" i="13"/>
  <c r="H1324" i="13" s="1"/>
  <c r="D1324" i="13"/>
  <c r="K1323" i="13"/>
  <c r="G1323" i="13"/>
  <c r="I1323" i="13" s="1"/>
  <c r="J1323" i="13" s="1"/>
  <c r="F1323" i="13"/>
  <c r="H1323" i="13" s="1"/>
  <c r="D1323" i="13"/>
  <c r="K1330" i="13"/>
  <c r="G1330" i="13"/>
  <c r="I1330" i="13" s="1"/>
  <c r="F1330" i="13"/>
  <c r="H1330" i="13" s="1"/>
  <c r="D1330" i="13"/>
  <c r="K1334" i="13"/>
  <c r="G1334" i="13"/>
  <c r="I1334" i="13" s="1"/>
  <c r="F1334" i="13"/>
  <c r="H1334" i="13" s="1"/>
  <c r="D1334" i="13"/>
  <c r="K1333" i="13"/>
  <c r="G1333" i="13"/>
  <c r="I1333" i="13" s="1"/>
  <c r="F1333" i="13"/>
  <c r="H1333" i="13" s="1"/>
  <c r="D1333" i="13"/>
  <c r="K1332" i="13"/>
  <c r="G1332" i="13"/>
  <c r="I1332" i="13" s="1"/>
  <c r="J1332" i="13" s="1"/>
  <c r="F1332" i="13"/>
  <c r="H1332" i="13" s="1"/>
  <c r="D1332" i="13"/>
  <c r="K1331" i="13"/>
  <c r="H1331" i="13"/>
  <c r="G1331" i="13"/>
  <c r="I1331" i="13" s="1"/>
  <c r="F1331" i="13"/>
  <c r="D1331" i="13"/>
  <c r="K1338" i="13"/>
  <c r="H1338" i="13"/>
  <c r="G1338" i="13"/>
  <c r="I1338" i="13" s="1"/>
  <c r="F1338" i="13"/>
  <c r="D1338" i="13"/>
  <c r="K1337" i="13"/>
  <c r="G1337" i="13"/>
  <c r="I1337" i="13" s="1"/>
  <c r="F1337" i="13"/>
  <c r="H1337" i="13" s="1"/>
  <c r="D1337" i="13"/>
  <c r="K1336" i="13"/>
  <c r="G1336" i="13"/>
  <c r="I1336" i="13" s="1"/>
  <c r="J1336" i="13" s="1"/>
  <c r="F1336" i="13"/>
  <c r="H1336" i="13" s="1"/>
  <c r="D1336" i="13"/>
  <c r="K1335" i="13"/>
  <c r="G1335" i="13"/>
  <c r="I1335" i="13" s="1"/>
  <c r="F1335" i="13"/>
  <c r="H1335" i="13" s="1"/>
  <c r="D1335" i="13"/>
  <c r="K1341" i="13"/>
  <c r="G1341" i="13"/>
  <c r="I1341" i="13" s="1"/>
  <c r="F1341" i="13"/>
  <c r="H1341" i="13" s="1"/>
  <c r="D1341" i="13"/>
  <c r="K1340" i="13"/>
  <c r="G1340" i="13"/>
  <c r="I1340" i="13" s="1"/>
  <c r="F1340" i="13"/>
  <c r="H1340" i="13" s="1"/>
  <c r="D1340" i="13"/>
  <c r="K1339" i="13"/>
  <c r="G1339" i="13"/>
  <c r="I1339" i="13" s="1"/>
  <c r="J1339" i="13" s="1"/>
  <c r="F1339" i="13"/>
  <c r="H1339" i="13" s="1"/>
  <c r="D1339" i="13"/>
  <c r="K1346" i="13"/>
  <c r="H1346" i="13"/>
  <c r="G1346" i="13"/>
  <c r="I1346" i="13" s="1"/>
  <c r="F1346" i="13"/>
  <c r="D1346" i="13"/>
  <c r="K1345" i="13"/>
  <c r="H1345" i="13"/>
  <c r="G1345" i="13"/>
  <c r="I1345" i="13" s="1"/>
  <c r="F1345" i="13"/>
  <c r="D1345" i="13"/>
  <c r="K1344" i="13"/>
  <c r="G1344" i="13"/>
  <c r="I1344" i="13" s="1"/>
  <c r="F1344" i="13"/>
  <c r="H1344" i="13" s="1"/>
  <c r="D1344" i="13"/>
  <c r="K1343" i="13"/>
  <c r="G1343" i="13"/>
  <c r="I1343" i="13" s="1"/>
  <c r="J1343" i="13" s="1"/>
  <c r="F1343" i="13"/>
  <c r="H1343" i="13" s="1"/>
  <c r="D1343" i="13"/>
  <c r="K1342" i="13"/>
  <c r="G1342" i="13"/>
  <c r="I1342" i="13" s="1"/>
  <c r="F1342" i="13"/>
  <c r="H1342" i="13" s="1"/>
  <c r="D1342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J1347" i="13" s="1"/>
  <c r="F1347" i="13"/>
  <c r="H1347" i="13" s="1"/>
  <c r="D1347" i="13"/>
  <c r="K1353" i="13"/>
  <c r="H1353" i="13"/>
  <c r="G1353" i="13"/>
  <c r="I1353" i="13" s="1"/>
  <c r="F1353" i="13"/>
  <c r="D1353" i="13"/>
  <c r="K1352" i="13"/>
  <c r="H1352" i="13"/>
  <c r="G1352" i="13"/>
  <c r="I1352" i="13" s="1"/>
  <c r="F1352" i="13"/>
  <c r="D1352" i="13"/>
  <c r="K1351" i="13"/>
  <c r="G1351" i="13"/>
  <c r="I1351" i="13" s="1"/>
  <c r="F1351" i="13"/>
  <c r="H1351" i="13" s="1"/>
  <c r="D1351" i="13"/>
  <c r="K1350" i="13"/>
  <c r="I1350" i="13"/>
  <c r="G1350" i="13"/>
  <c r="F1350" i="13"/>
  <c r="H1350" i="13" s="1"/>
  <c r="D1350" i="13"/>
  <c r="K1359" i="13"/>
  <c r="G1359" i="13"/>
  <c r="I1359" i="13" s="1"/>
  <c r="F1359" i="13"/>
  <c r="H1359" i="13" s="1"/>
  <c r="D1359" i="13"/>
  <c r="K1358" i="13"/>
  <c r="H1358" i="13"/>
  <c r="G1358" i="13"/>
  <c r="I1358" i="13" s="1"/>
  <c r="F1358" i="13"/>
  <c r="D1358" i="13"/>
  <c r="K1357" i="13"/>
  <c r="G1357" i="13"/>
  <c r="I1357" i="13" s="1"/>
  <c r="F1357" i="13"/>
  <c r="H1357" i="13" s="1"/>
  <c r="D1357" i="13"/>
  <c r="K1356" i="13"/>
  <c r="G1356" i="13"/>
  <c r="I1356" i="13" s="1"/>
  <c r="J1356" i="13" s="1"/>
  <c r="F1356" i="13"/>
  <c r="H1356" i="13" s="1"/>
  <c r="D1356" i="13"/>
  <c r="K1355" i="13"/>
  <c r="H1355" i="13"/>
  <c r="G1355" i="13"/>
  <c r="I1355" i="13" s="1"/>
  <c r="F1355" i="13"/>
  <c r="D1355" i="13"/>
  <c r="K1354" i="13"/>
  <c r="G1354" i="13"/>
  <c r="I1354" i="13" s="1"/>
  <c r="F1354" i="13"/>
  <c r="H1354" i="13" s="1"/>
  <c r="D1354" i="13"/>
  <c r="K1362" i="13"/>
  <c r="G1362" i="13"/>
  <c r="I1362" i="13" s="1"/>
  <c r="F1362" i="13"/>
  <c r="H1362" i="13" s="1"/>
  <c r="D1362" i="13"/>
  <c r="K1361" i="13"/>
  <c r="G1361" i="13"/>
  <c r="I1361" i="13" s="1"/>
  <c r="F1361" i="13"/>
  <c r="H1361" i="13" s="1"/>
  <c r="D1361" i="13"/>
  <c r="K1360" i="13"/>
  <c r="G1360" i="13"/>
  <c r="I1360" i="13" s="1"/>
  <c r="F1360" i="13"/>
  <c r="H1360" i="13" s="1"/>
  <c r="D1360" i="13"/>
  <c r="K1368" i="13"/>
  <c r="H1368" i="13"/>
  <c r="G1368" i="13"/>
  <c r="I1368" i="13" s="1"/>
  <c r="F1368" i="13"/>
  <c r="D1368" i="13"/>
  <c r="K1367" i="13"/>
  <c r="G1367" i="13"/>
  <c r="I1367" i="13" s="1"/>
  <c r="F1367" i="13"/>
  <c r="H1367" i="13" s="1"/>
  <c r="D1367" i="13"/>
  <c r="K1366" i="13"/>
  <c r="G1366" i="13"/>
  <c r="I1366" i="13" s="1"/>
  <c r="J1366" i="13" s="1"/>
  <c r="F1366" i="13"/>
  <c r="H1366" i="13" s="1"/>
  <c r="D1366" i="13"/>
  <c r="K1365" i="13"/>
  <c r="H1365" i="13"/>
  <c r="G1365" i="13"/>
  <c r="I1365" i="13" s="1"/>
  <c r="F1365" i="13"/>
  <c r="D1365" i="13"/>
  <c r="K1364" i="13"/>
  <c r="G1364" i="13"/>
  <c r="I1364" i="13" s="1"/>
  <c r="F1364" i="13"/>
  <c r="H1364" i="13" s="1"/>
  <c r="D1364" i="13"/>
  <c r="K1363" i="13"/>
  <c r="G1363" i="13"/>
  <c r="I1363" i="13" s="1"/>
  <c r="F1363" i="13"/>
  <c r="H1363" i="13" s="1"/>
  <c r="D1363" i="13"/>
  <c r="K1374" i="13"/>
  <c r="G1374" i="13"/>
  <c r="I1374" i="13" s="1"/>
  <c r="F1374" i="13"/>
  <c r="H1374" i="13" s="1"/>
  <c r="D1374" i="13"/>
  <c r="K1373" i="13"/>
  <c r="H1373" i="13"/>
  <c r="G1373" i="13"/>
  <c r="I1373" i="13" s="1"/>
  <c r="F1373" i="13"/>
  <c r="D1373" i="13"/>
  <c r="K1372" i="13"/>
  <c r="G1372" i="13"/>
  <c r="I1372" i="13" s="1"/>
  <c r="F1372" i="13"/>
  <c r="H1372" i="13" s="1"/>
  <c r="D1372" i="13"/>
  <c r="K1371" i="13"/>
  <c r="G1371" i="13"/>
  <c r="I1371" i="13" s="1"/>
  <c r="F1371" i="13"/>
  <c r="H1371" i="13" s="1"/>
  <c r="D1371" i="13"/>
  <c r="K1370" i="13"/>
  <c r="G1370" i="13"/>
  <c r="I1370" i="13" s="1"/>
  <c r="J1370" i="13" s="1"/>
  <c r="F1370" i="13"/>
  <c r="H1370" i="13" s="1"/>
  <c r="D1370" i="13"/>
  <c r="K1369" i="13"/>
  <c r="I1369" i="13"/>
  <c r="G1369" i="13"/>
  <c r="F1369" i="13"/>
  <c r="H1369" i="13" s="1"/>
  <c r="D1369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76" i="13"/>
  <c r="G1376" i="13"/>
  <c r="I1376" i="13" s="1"/>
  <c r="F1376" i="13"/>
  <c r="H1376" i="13" s="1"/>
  <c r="D1376" i="13"/>
  <c r="K1375" i="13"/>
  <c r="G1375" i="13"/>
  <c r="I1375" i="13" s="1"/>
  <c r="F1375" i="13"/>
  <c r="H1375" i="13" s="1"/>
  <c r="D1375" i="13"/>
  <c r="K1384" i="13"/>
  <c r="G1384" i="13"/>
  <c r="I1384" i="13" s="1"/>
  <c r="F1384" i="13"/>
  <c r="H1384" i="13" s="1"/>
  <c r="D1384" i="13"/>
  <c r="K1383" i="13"/>
  <c r="G1383" i="13"/>
  <c r="I1383" i="13" s="1"/>
  <c r="J1383" i="13" s="1"/>
  <c r="F1383" i="13"/>
  <c r="H1383" i="13" s="1"/>
  <c r="D1383" i="13"/>
  <c r="K1382" i="13"/>
  <c r="I1382" i="13"/>
  <c r="G1382" i="13"/>
  <c r="F1382" i="13"/>
  <c r="H1382" i="13" s="1"/>
  <c r="D1382" i="13"/>
  <c r="K1381" i="13"/>
  <c r="G1381" i="13"/>
  <c r="I1381" i="13" s="1"/>
  <c r="F1381" i="13"/>
  <c r="H1381" i="13" s="1"/>
  <c r="D1381" i="13"/>
  <c r="K1380" i="13"/>
  <c r="G1380" i="13"/>
  <c r="I1380" i="13" s="1"/>
  <c r="F1380" i="13"/>
  <c r="H1380" i="13" s="1"/>
  <c r="D1380" i="13"/>
  <c r="K1386" i="13"/>
  <c r="G1386" i="13"/>
  <c r="I1386" i="13" s="1"/>
  <c r="J1386" i="13" s="1"/>
  <c r="F1386" i="13"/>
  <c r="H1386" i="13" s="1"/>
  <c r="D1386" i="13"/>
  <c r="K1385" i="13"/>
  <c r="G1385" i="13"/>
  <c r="I1385" i="13" s="1"/>
  <c r="F1385" i="13"/>
  <c r="H1385" i="13" s="1"/>
  <c r="D1385" i="13"/>
  <c r="K1392" i="13"/>
  <c r="G1392" i="13"/>
  <c r="I1392" i="13" s="1"/>
  <c r="F1392" i="13"/>
  <c r="H1392" i="13" s="1"/>
  <c r="D1392" i="13"/>
  <c r="K1391" i="13"/>
  <c r="G1391" i="13"/>
  <c r="I1391" i="13" s="1"/>
  <c r="F1391" i="13"/>
  <c r="H1391" i="13" s="1"/>
  <c r="D1391" i="13"/>
  <c r="K1390" i="13"/>
  <c r="G1390" i="13"/>
  <c r="I1390" i="13" s="1"/>
  <c r="J1390" i="13" s="1"/>
  <c r="F1390" i="13"/>
  <c r="H1390" i="13" s="1"/>
  <c r="D1390" i="13"/>
  <c r="K1389" i="13"/>
  <c r="G1389" i="13"/>
  <c r="I1389" i="13" s="1"/>
  <c r="F1389" i="13"/>
  <c r="H1389" i="13" s="1"/>
  <c r="D1389" i="13"/>
  <c r="K1388" i="13"/>
  <c r="H1388" i="13"/>
  <c r="G1388" i="13"/>
  <c r="I1388" i="13" s="1"/>
  <c r="F1388" i="13"/>
  <c r="D1388" i="13"/>
  <c r="K1387" i="13"/>
  <c r="G1387" i="13"/>
  <c r="I1387" i="13" s="1"/>
  <c r="J1387" i="13" s="1"/>
  <c r="F1387" i="13"/>
  <c r="H1387" i="13" s="1"/>
  <c r="D1387" i="13"/>
  <c r="K1397" i="13"/>
  <c r="G1397" i="13"/>
  <c r="I1397" i="13" s="1"/>
  <c r="J1397" i="13" s="1"/>
  <c r="F1397" i="13"/>
  <c r="H1397" i="13" s="1"/>
  <c r="D1397" i="13"/>
  <c r="K1396" i="13"/>
  <c r="G1396" i="13"/>
  <c r="I1396" i="13" s="1"/>
  <c r="F1396" i="13"/>
  <c r="H1396" i="13" s="1"/>
  <c r="D1396" i="13"/>
  <c r="K1395" i="13"/>
  <c r="G1395" i="13"/>
  <c r="I1395" i="13" s="1"/>
  <c r="F1395" i="13"/>
  <c r="H1395" i="13" s="1"/>
  <c r="D1395" i="13"/>
  <c r="K1394" i="13"/>
  <c r="G1394" i="13"/>
  <c r="I1394" i="13" s="1"/>
  <c r="F1394" i="13"/>
  <c r="H1394" i="13" s="1"/>
  <c r="D1394" i="13"/>
  <c r="K1393" i="13"/>
  <c r="G1393" i="13"/>
  <c r="I1393" i="13" s="1"/>
  <c r="J1393" i="13" s="1"/>
  <c r="F1393" i="13"/>
  <c r="H1393" i="13" s="1"/>
  <c r="D1393" i="13"/>
  <c r="K1403" i="13"/>
  <c r="H1403" i="13"/>
  <c r="G1403" i="13"/>
  <c r="I1403" i="13" s="1"/>
  <c r="F1403" i="13"/>
  <c r="D1403" i="13"/>
  <c r="K1402" i="13"/>
  <c r="H1402" i="13"/>
  <c r="G1402" i="13"/>
  <c r="I1402" i="13" s="1"/>
  <c r="F1402" i="13"/>
  <c r="D1402" i="13"/>
  <c r="K1401" i="13"/>
  <c r="G1401" i="13"/>
  <c r="I1401" i="13" s="1"/>
  <c r="J1401" i="13" s="1"/>
  <c r="F1401" i="13"/>
  <c r="H1401" i="13" s="1"/>
  <c r="D1401" i="13"/>
  <c r="K1400" i="13"/>
  <c r="G1400" i="13"/>
  <c r="I1400" i="13" s="1"/>
  <c r="J1400" i="13" s="1"/>
  <c r="F1400" i="13"/>
  <c r="H1400" i="13" s="1"/>
  <c r="D1400" i="13"/>
  <c r="K1399" i="13"/>
  <c r="G1399" i="13"/>
  <c r="I1399" i="13" s="1"/>
  <c r="F1399" i="13"/>
  <c r="H1399" i="13" s="1"/>
  <c r="D1399" i="13"/>
  <c r="K1398" i="13"/>
  <c r="G1398" i="13"/>
  <c r="I1398" i="13" s="1"/>
  <c r="F1398" i="13"/>
  <c r="H1398" i="13" s="1"/>
  <c r="D1398" i="13"/>
  <c r="K1408" i="13"/>
  <c r="G1408" i="13"/>
  <c r="I1408" i="13" s="1"/>
  <c r="F1408" i="13"/>
  <c r="H1408" i="13" s="1"/>
  <c r="D1408" i="13"/>
  <c r="K1407" i="13"/>
  <c r="G1407" i="13"/>
  <c r="I1407" i="13" s="1"/>
  <c r="J1407" i="13" s="1"/>
  <c r="F1407" i="13"/>
  <c r="H1407" i="13" s="1"/>
  <c r="D1407" i="13"/>
  <c r="K1406" i="13"/>
  <c r="I1406" i="13"/>
  <c r="H1406" i="13"/>
  <c r="G1406" i="13"/>
  <c r="F1406" i="13"/>
  <c r="D1406" i="13"/>
  <c r="K1405" i="13"/>
  <c r="G1405" i="13"/>
  <c r="I1405" i="13" s="1"/>
  <c r="F1405" i="13"/>
  <c r="H1405" i="13" s="1"/>
  <c r="D1405" i="13"/>
  <c r="K1404" i="13"/>
  <c r="G1404" i="13"/>
  <c r="I1404" i="13" s="1"/>
  <c r="J1404" i="13" s="1"/>
  <c r="F1404" i="13"/>
  <c r="H1404" i="13" s="1"/>
  <c r="D1404" i="13"/>
  <c r="K1410" i="13"/>
  <c r="G1410" i="13"/>
  <c r="I1410" i="13" s="1"/>
  <c r="J1410" i="13" s="1"/>
  <c r="F1410" i="13"/>
  <c r="H1410" i="13" s="1"/>
  <c r="D1410" i="13"/>
  <c r="K1409" i="13"/>
  <c r="I1409" i="13"/>
  <c r="G1409" i="13"/>
  <c r="F1409" i="13"/>
  <c r="H1409" i="13" s="1"/>
  <c r="D1409" i="13"/>
  <c r="K1414" i="13"/>
  <c r="G1414" i="13"/>
  <c r="I1414" i="13" s="1"/>
  <c r="F1414" i="13"/>
  <c r="H1414" i="13" s="1"/>
  <c r="D1414" i="13"/>
  <c r="K1413" i="13"/>
  <c r="G1413" i="13"/>
  <c r="I1413" i="13" s="1"/>
  <c r="F1413" i="13"/>
  <c r="H1413" i="13" s="1"/>
  <c r="D1413" i="13"/>
  <c r="K1412" i="13"/>
  <c r="G1412" i="13"/>
  <c r="I1412" i="13" s="1"/>
  <c r="F1412" i="13"/>
  <c r="H1412" i="13" s="1"/>
  <c r="D1412" i="13"/>
  <c r="K1411" i="13"/>
  <c r="G1411" i="13"/>
  <c r="I1411" i="13" s="1"/>
  <c r="F1411" i="13"/>
  <c r="H1411" i="13" s="1"/>
  <c r="D1411" i="13"/>
  <c r="K1416" i="13"/>
  <c r="G1416" i="13"/>
  <c r="I1416" i="13" s="1"/>
  <c r="F1416" i="13"/>
  <c r="H1416" i="13" s="1"/>
  <c r="D1416" i="13"/>
  <c r="K1415" i="13"/>
  <c r="G1415" i="13"/>
  <c r="I1415" i="13" s="1"/>
  <c r="J1415" i="13" s="1"/>
  <c r="F1415" i="13"/>
  <c r="H1415" i="13" s="1"/>
  <c r="D1415" i="13"/>
  <c r="K1420" i="13"/>
  <c r="I1420" i="13"/>
  <c r="J1420" i="13" s="1"/>
  <c r="G1420" i="13"/>
  <c r="F1420" i="13"/>
  <c r="H1420" i="13" s="1"/>
  <c r="D1420" i="13"/>
  <c r="K1419" i="13"/>
  <c r="G1419" i="13"/>
  <c r="I1419" i="13" s="1"/>
  <c r="F1419" i="13"/>
  <c r="H1419" i="13" s="1"/>
  <c r="D1419" i="13"/>
  <c r="K1418" i="13"/>
  <c r="H1418" i="13"/>
  <c r="G1418" i="13"/>
  <c r="I1418" i="13" s="1"/>
  <c r="J1418" i="13" s="1"/>
  <c r="F1418" i="13"/>
  <c r="D1418" i="13"/>
  <c r="K1417" i="13"/>
  <c r="G1417" i="13"/>
  <c r="I1417" i="13" s="1"/>
  <c r="J1417" i="13" s="1"/>
  <c r="F1417" i="13"/>
  <c r="H1417" i="13" s="1"/>
  <c r="D1417" i="13"/>
  <c r="K1425" i="13"/>
  <c r="I1425" i="13"/>
  <c r="G1425" i="13"/>
  <c r="F1425" i="13"/>
  <c r="H1425" i="13" s="1"/>
  <c r="D1425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J1422" i="13"/>
  <c r="G1422" i="13"/>
  <c r="I1422" i="13" s="1"/>
  <c r="F1422" i="13"/>
  <c r="H1422" i="13" s="1"/>
  <c r="D1422" i="13"/>
  <c r="K1421" i="13"/>
  <c r="G1421" i="13"/>
  <c r="I1421" i="13" s="1"/>
  <c r="F1421" i="13"/>
  <c r="H1421" i="13" s="1"/>
  <c r="D1421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26" i="13"/>
  <c r="G1426" i="13"/>
  <c r="I1426" i="13" s="1"/>
  <c r="J1426" i="13" s="1"/>
  <c r="F1426" i="13"/>
  <c r="H1426" i="13" s="1"/>
  <c r="D1426" i="13"/>
  <c r="K1430" i="13"/>
  <c r="I1430" i="13"/>
  <c r="G1430" i="13"/>
  <c r="F1430" i="13"/>
  <c r="H1430" i="13" s="1"/>
  <c r="D1430" i="13"/>
  <c r="K1429" i="13"/>
  <c r="H1429" i="13"/>
  <c r="G1429" i="13"/>
  <c r="I1429" i="13" s="1"/>
  <c r="F1429" i="13"/>
  <c r="D1429" i="13"/>
  <c r="K1433" i="13"/>
  <c r="G1433" i="13"/>
  <c r="I1433" i="13" s="1"/>
  <c r="F1433" i="13"/>
  <c r="H1433" i="13" s="1"/>
  <c r="D1433" i="13"/>
  <c r="K1432" i="13"/>
  <c r="G1432" i="13"/>
  <c r="I1432" i="13" s="1"/>
  <c r="F1432" i="13"/>
  <c r="H1432" i="13" s="1"/>
  <c r="J1432" i="13" s="1"/>
  <c r="D1432" i="13"/>
  <c r="K1431" i="13"/>
  <c r="G1431" i="13"/>
  <c r="I1431" i="13" s="1"/>
  <c r="F1431" i="13"/>
  <c r="H1431" i="13" s="1"/>
  <c r="D1431" i="13"/>
  <c r="K1439" i="13"/>
  <c r="H1439" i="13"/>
  <c r="G1439" i="13"/>
  <c r="I1439" i="13" s="1"/>
  <c r="F1439" i="13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G1436" i="13"/>
  <c r="I1436" i="13" s="1"/>
  <c r="F1436" i="13"/>
  <c r="H1436" i="13" s="1"/>
  <c r="D1436" i="13"/>
  <c r="K1435" i="13"/>
  <c r="I1435" i="13"/>
  <c r="G1435" i="13"/>
  <c r="F1435" i="13"/>
  <c r="H1435" i="13" s="1"/>
  <c r="D1435" i="13"/>
  <c r="K1434" i="13"/>
  <c r="G1434" i="13"/>
  <c r="I1434" i="13" s="1"/>
  <c r="F1434" i="13"/>
  <c r="H1434" i="13" s="1"/>
  <c r="D1434" i="13"/>
  <c r="K1443" i="13"/>
  <c r="G1443" i="13"/>
  <c r="I1443" i="13" s="1"/>
  <c r="F1443" i="13"/>
  <c r="H1443" i="13" s="1"/>
  <c r="D1443" i="13"/>
  <c r="K1442" i="13"/>
  <c r="G1442" i="13"/>
  <c r="I1442" i="13" s="1"/>
  <c r="F1442" i="13"/>
  <c r="H1442" i="13" s="1"/>
  <c r="D1442" i="13"/>
  <c r="K1441" i="13"/>
  <c r="G1441" i="13"/>
  <c r="I1441" i="13" s="1"/>
  <c r="F1441" i="13"/>
  <c r="H1441" i="13" s="1"/>
  <c r="D1441" i="13"/>
  <c r="K1440" i="13"/>
  <c r="G1440" i="13"/>
  <c r="I1440" i="13" s="1"/>
  <c r="F1440" i="13"/>
  <c r="H1440" i="13" s="1"/>
  <c r="D1440" i="13"/>
  <c r="K1445" i="13"/>
  <c r="G1445" i="13"/>
  <c r="I1445" i="13" s="1"/>
  <c r="F1445" i="13"/>
  <c r="H1445" i="13" s="1"/>
  <c r="D1445" i="13"/>
  <c r="K1444" i="13"/>
  <c r="G1444" i="13"/>
  <c r="I1444" i="13" s="1"/>
  <c r="J1444" i="13" s="1"/>
  <c r="F1444" i="13"/>
  <c r="H1444" i="13" s="1"/>
  <c r="D1444" i="13"/>
  <c r="K1449" i="13"/>
  <c r="I1449" i="13"/>
  <c r="G1449" i="13"/>
  <c r="F1449" i="13"/>
  <c r="H1449" i="13" s="1"/>
  <c r="D1449" i="13"/>
  <c r="K1448" i="13"/>
  <c r="G1448" i="13"/>
  <c r="I1448" i="13" s="1"/>
  <c r="F1448" i="13"/>
  <c r="H1448" i="13" s="1"/>
  <c r="D1448" i="13"/>
  <c r="K1447" i="13"/>
  <c r="G1447" i="13"/>
  <c r="I1447" i="13" s="1"/>
  <c r="F1447" i="13"/>
  <c r="H1447" i="13" s="1"/>
  <c r="D1447" i="13"/>
  <c r="K1446" i="13"/>
  <c r="G1446" i="13"/>
  <c r="I1446" i="13" s="1"/>
  <c r="J1446" i="13" s="1"/>
  <c r="F1446" i="13"/>
  <c r="H1446" i="13" s="1"/>
  <c r="D1446" i="13"/>
  <c r="K1452" i="13"/>
  <c r="G1452" i="13"/>
  <c r="I1452" i="13" s="1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57" i="13"/>
  <c r="G1457" i="13"/>
  <c r="I1457" i="13" s="1"/>
  <c r="J1457" i="13" s="1"/>
  <c r="F1457" i="13"/>
  <c r="H1457" i="13" s="1"/>
  <c r="D1457" i="13"/>
  <c r="K1456" i="13"/>
  <c r="G1456" i="13"/>
  <c r="I1456" i="13" s="1"/>
  <c r="F1456" i="13"/>
  <c r="H1456" i="13" s="1"/>
  <c r="D1456" i="13"/>
  <c r="K1455" i="13"/>
  <c r="H1455" i="13"/>
  <c r="G1455" i="13"/>
  <c r="I1455" i="13" s="1"/>
  <c r="F1455" i="13"/>
  <c r="D1455" i="13"/>
  <c r="K1454" i="13"/>
  <c r="G1454" i="13"/>
  <c r="I1454" i="13" s="1"/>
  <c r="J1454" i="13" s="1"/>
  <c r="F1454" i="13"/>
  <c r="H1454" i="13" s="1"/>
  <c r="D1454" i="13"/>
  <c r="K1453" i="13"/>
  <c r="G1453" i="13"/>
  <c r="I1453" i="13" s="1"/>
  <c r="J1453" i="13" s="1"/>
  <c r="F1453" i="13"/>
  <c r="H1453" i="13" s="1"/>
  <c r="D1453" i="13"/>
  <c r="K1462" i="13"/>
  <c r="G1462" i="13"/>
  <c r="I1462" i="13" s="1"/>
  <c r="F1462" i="13"/>
  <c r="H1462" i="13" s="1"/>
  <c r="D1462" i="13"/>
  <c r="K1461" i="13"/>
  <c r="G1461" i="13"/>
  <c r="I1461" i="13" s="1"/>
  <c r="F1461" i="13"/>
  <c r="H1461" i="13" s="1"/>
  <c r="D1461" i="13"/>
  <c r="K1460" i="13"/>
  <c r="G1460" i="13"/>
  <c r="I1460" i="13" s="1"/>
  <c r="J1460" i="13" s="1"/>
  <c r="F1460" i="13"/>
  <c r="H1460" i="13" s="1"/>
  <c r="D1460" i="13"/>
  <c r="K1459" i="13"/>
  <c r="G1459" i="13"/>
  <c r="I1459" i="13" s="1"/>
  <c r="J1459" i="13" s="1"/>
  <c r="F1459" i="13"/>
  <c r="H1459" i="13" s="1"/>
  <c r="D1459" i="13"/>
  <c r="K1458" i="13"/>
  <c r="H1458" i="13"/>
  <c r="G1458" i="13"/>
  <c r="I1458" i="13" s="1"/>
  <c r="F1458" i="13"/>
  <c r="D1458" i="13"/>
  <c r="K1464" i="13"/>
  <c r="G1464" i="13"/>
  <c r="I1464" i="13" s="1"/>
  <c r="F1464" i="13"/>
  <c r="H1464" i="13" s="1"/>
  <c r="D1464" i="13"/>
  <c r="K1463" i="13"/>
  <c r="G1463" i="13"/>
  <c r="I1463" i="13" s="1"/>
  <c r="F1463" i="13"/>
  <c r="H1463" i="13" s="1"/>
  <c r="D1463" i="13"/>
  <c r="K1470" i="13"/>
  <c r="G1470" i="13"/>
  <c r="I1470" i="13" s="1"/>
  <c r="J1470" i="13" s="1"/>
  <c r="F1470" i="13"/>
  <c r="H1470" i="13" s="1"/>
  <c r="D1470" i="13"/>
  <c r="K1469" i="13"/>
  <c r="G1469" i="13"/>
  <c r="I1469" i="13" s="1"/>
  <c r="F1469" i="13"/>
  <c r="H1469" i="13" s="1"/>
  <c r="D1469" i="13"/>
  <c r="K1468" i="13"/>
  <c r="G1468" i="13"/>
  <c r="I1468" i="13" s="1"/>
  <c r="J1468" i="13" s="1"/>
  <c r="F1468" i="13"/>
  <c r="H1468" i="13" s="1"/>
  <c r="D1468" i="13"/>
  <c r="K1467" i="13"/>
  <c r="H1467" i="13"/>
  <c r="G1467" i="13"/>
  <c r="I1467" i="13" s="1"/>
  <c r="F1467" i="13"/>
  <c r="D1467" i="13"/>
  <c r="K1466" i="13"/>
  <c r="G1466" i="13"/>
  <c r="I1466" i="13" s="1"/>
  <c r="F1466" i="13"/>
  <c r="H1466" i="13" s="1"/>
  <c r="D1466" i="13"/>
  <c r="K1465" i="13"/>
  <c r="G1465" i="13"/>
  <c r="I1465" i="13" s="1"/>
  <c r="F1465" i="13"/>
  <c r="H1465" i="13" s="1"/>
  <c r="D1465" i="13"/>
  <c r="K1473" i="13"/>
  <c r="G1473" i="13"/>
  <c r="I1473" i="13" s="1"/>
  <c r="F1473" i="13"/>
  <c r="H1473" i="13" s="1"/>
  <c r="D1473" i="13"/>
  <c r="K1472" i="13"/>
  <c r="G1472" i="13"/>
  <c r="I1472" i="13" s="1"/>
  <c r="F1472" i="13"/>
  <c r="H1472" i="13" s="1"/>
  <c r="D1472" i="13"/>
  <c r="K1471" i="13"/>
  <c r="G1471" i="13"/>
  <c r="I1471" i="13" s="1"/>
  <c r="F1471" i="13"/>
  <c r="H1471" i="13" s="1"/>
  <c r="D1471" i="13"/>
  <c r="K1476" i="13"/>
  <c r="G1476" i="13"/>
  <c r="I1476" i="13" s="1"/>
  <c r="F1476" i="13"/>
  <c r="H1476" i="13" s="1"/>
  <c r="D1476" i="13"/>
  <c r="K1475" i="13"/>
  <c r="G1475" i="13"/>
  <c r="I1475" i="13" s="1"/>
  <c r="F1475" i="13"/>
  <c r="H1475" i="13" s="1"/>
  <c r="D1475" i="13"/>
  <c r="K1474" i="13"/>
  <c r="G1474" i="13"/>
  <c r="I1474" i="13" s="1"/>
  <c r="F1474" i="13"/>
  <c r="H1474" i="13" s="1"/>
  <c r="D1474" i="13"/>
  <c r="K1479" i="13"/>
  <c r="G1479" i="13"/>
  <c r="I1479" i="13" s="1"/>
  <c r="F1479" i="13"/>
  <c r="H1479" i="13" s="1"/>
  <c r="D1479" i="13"/>
  <c r="K1478" i="13"/>
  <c r="G1478" i="13"/>
  <c r="I1478" i="13" s="1"/>
  <c r="F1478" i="13"/>
  <c r="H1478" i="13" s="1"/>
  <c r="D1478" i="13"/>
  <c r="K1477" i="13"/>
  <c r="I1477" i="13"/>
  <c r="H1477" i="13"/>
  <c r="G1477" i="13"/>
  <c r="F1477" i="13"/>
  <c r="D1477" i="13"/>
  <c r="K1484" i="13"/>
  <c r="G1484" i="13"/>
  <c r="I1484" i="13" s="1"/>
  <c r="F1484" i="13"/>
  <c r="H1484" i="13" s="1"/>
  <c r="D1484" i="13"/>
  <c r="K1483" i="13"/>
  <c r="G1483" i="13"/>
  <c r="I1483" i="13" s="1"/>
  <c r="J1483" i="13" s="1"/>
  <c r="F1483" i="13"/>
  <c r="H1483" i="13" s="1"/>
  <c r="D1483" i="13"/>
  <c r="K1482" i="13"/>
  <c r="G1482" i="13"/>
  <c r="I1482" i="13" s="1"/>
  <c r="F1482" i="13"/>
  <c r="H1482" i="13" s="1"/>
  <c r="D1482" i="13"/>
  <c r="K1481" i="13"/>
  <c r="G1481" i="13"/>
  <c r="I1481" i="13" s="1"/>
  <c r="F1481" i="13"/>
  <c r="H1481" i="13" s="1"/>
  <c r="D1481" i="13"/>
  <c r="K1480" i="13"/>
  <c r="G1480" i="13"/>
  <c r="I1480" i="13" s="1"/>
  <c r="F1480" i="13"/>
  <c r="H1480" i="13" s="1"/>
  <c r="D1480" i="13"/>
  <c r="K1487" i="13"/>
  <c r="G1487" i="13"/>
  <c r="I1487" i="13" s="1"/>
  <c r="F1487" i="13"/>
  <c r="H1487" i="13" s="1"/>
  <c r="D1487" i="13"/>
  <c r="K1486" i="13"/>
  <c r="I1486" i="13"/>
  <c r="H1486" i="13"/>
  <c r="G1486" i="13"/>
  <c r="F1486" i="13"/>
  <c r="D1486" i="13"/>
  <c r="K1485" i="13"/>
  <c r="G1485" i="13"/>
  <c r="I1485" i="13" s="1"/>
  <c r="F1485" i="13"/>
  <c r="H1485" i="13" s="1"/>
  <c r="D1485" i="13"/>
  <c r="K1491" i="13"/>
  <c r="I1491" i="13"/>
  <c r="G1491" i="13"/>
  <c r="F1491" i="13"/>
  <c r="H1491" i="13" s="1"/>
  <c r="D1491" i="13"/>
  <c r="K1490" i="13"/>
  <c r="G1490" i="13"/>
  <c r="I1490" i="13" s="1"/>
  <c r="F1490" i="13"/>
  <c r="H1490" i="13" s="1"/>
  <c r="D1490" i="13"/>
  <c r="K1489" i="13"/>
  <c r="H1489" i="13"/>
  <c r="G1489" i="13"/>
  <c r="I1489" i="13" s="1"/>
  <c r="F1489" i="13"/>
  <c r="D1489" i="13"/>
  <c r="K1488" i="13"/>
  <c r="G1488" i="13"/>
  <c r="I1488" i="13" s="1"/>
  <c r="F1488" i="13"/>
  <c r="H1488" i="13" s="1"/>
  <c r="D1488" i="13"/>
  <c r="K1495" i="13"/>
  <c r="G1495" i="13"/>
  <c r="I1495" i="13" s="1"/>
  <c r="F1495" i="13"/>
  <c r="H1495" i="13" s="1"/>
  <c r="D1495" i="13"/>
  <c r="K1494" i="13"/>
  <c r="G1494" i="13"/>
  <c r="I1494" i="13" s="1"/>
  <c r="F1494" i="13"/>
  <c r="H1494" i="13" s="1"/>
  <c r="D1494" i="13"/>
  <c r="K1493" i="13"/>
  <c r="G1493" i="13"/>
  <c r="I1493" i="13" s="1"/>
  <c r="F1493" i="13"/>
  <c r="H1493" i="13" s="1"/>
  <c r="D1493" i="13"/>
  <c r="K1492" i="13"/>
  <c r="G1492" i="13"/>
  <c r="I1492" i="13" s="1"/>
  <c r="F1492" i="13"/>
  <c r="H1492" i="13" s="1"/>
  <c r="D1492" i="13"/>
  <c r="K1498" i="13"/>
  <c r="I1498" i="13"/>
  <c r="G1498" i="13"/>
  <c r="F1498" i="13"/>
  <c r="H1498" i="13" s="1"/>
  <c r="D1498" i="13"/>
  <c r="K1497" i="13"/>
  <c r="H1497" i="13"/>
  <c r="G1497" i="13"/>
  <c r="I1497" i="13" s="1"/>
  <c r="J1497" i="13" s="1"/>
  <c r="F1497" i="13"/>
  <c r="D1497" i="13"/>
  <c r="K1496" i="13"/>
  <c r="G1496" i="13"/>
  <c r="I1496" i="13" s="1"/>
  <c r="F1496" i="13"/>
  <c r="H1496" i="13" s="1"/>
  <c r="D1496" i="13"/>
  <c r="K1504" i="13"/>
  <c r="G1504" i="13"/>
  <c r="I1504" i="13" s="1"/>
  <c r="F1504" i="13"/>
  <c r="H1504" i="13" s="1"/>
  <c r="D1504" i="13"/>
  <c r="K1503" i="13"/>
  <c r="G1503" i="13"/>
  <c r="I1503" i="13" s="1"/>
  <c r="J1503" i="13" s="1"/>
  <c r="F1503" i="13"/>
  <c r="H1503" i="13" s="1"/>
  <c r="D1503" i="13"/>
  <c r="K1502" i="13"/>
  <c r="G1502" i="13"/>
  <c r="I1502" i="13" s="1"/>
  <c r="J1502" i="13" s="1"/>
  <c r="F1502" i="13"/>
  <c r="H1502" i="13" s="1"/>
  <c r="D1502" i="13"/>
  <c r="K1501" i="13"/>
  <c r="H1501" i="13"/>
  <c r="G1501" i="13"/>
  <c r="I1501" i="13" s="1"/>
  <c r="F1501" i="13"/>
  <c r="D1501" i="13"/>
  <c r="K1500" i="13"/>
  <c r="G1500" i="13"/>
  <c r="I1500" i="13" s="1"/>
  <c r="F1500" i="13"/>
  <c r="H1500" i="13" s="1"/>
  <c r="D1500" i="13"/>
  <c r="K1499" i="13"/>
  <c r="G1499" i="13"/>
  <c r="I1499" i="13" s="1"/>
  <c r="J1499" i="13" s="1"/>
  <c r="F1499" i="13"/>
  <c r="H1499" i="13" s="1"/>
  <c r="D1499" i="13"/>
  <c r="K1511" i="13"/>
  <c r="G1511" i="13"/>
  <c r="I1511" i="13" s="1"/>
  <c r="J1511" i="13" s="1"/>
  <c r="F1511" i="13"/>
  <c r="H1511" i="13" s="1"/>
  <c r="D1511" i="13"/>
  <c r="K1510" i="13"/>
  <c r="G1510" i="13"/>
  <c r="I1510" i="13" s="1"/>
  <c r="F1510" i="13"/>
  <c r="H1510" i="13" s="1"/>
  <c r="D1510" i="13"/>
  <c r="K1509" i="13"/>
  <c r="G1509" i="13"/>
  <c r="I1509" i="13" s="1"/>
  <c r="F1509" i="13"/>
  <c r="H1509" i="13" s="1"/>
  <c r="D1509" i="13"/>
  <c r="K1508" i="13"/>
  <c r="G1508" i="13"/>
  <c r="I1508" i="13" s="1"/>
  <c r="J1508" i="13" s="1"/>
  <c r="F1508" i="13"/>
  <c r="H1508" i="13" s="1"/>
  <c r="D1508" i="13"/>
  <c r="K1507" i="13"/>
  <c r="G1507" i="13"/>
  <c r="I1507" i="13" s="1"/>
  <c r="J1507" i="13" s="1"/>
  <c r="F1507" i="13"/>
  <c r="H1507" i="13" s="1"/>
  <c r="D1507" i="13"/>
  <c r="K1506" i="13"/>
  <c r="H1506" i="13"/>
  <c r="G1506" i="13"/>
  <c r="I1506" i="13" s="1"/>
  <c r="F1506" i="13"/>
  <c r="D1506" i="13"/>
  <c r="K1505" i="13"/>
  <c r="G1505" i="13"/>
  <c r="I1505" i="13" s="1"/>
  <c r="F1505" i="13"/>
  <c r="H1505" i="13" s="1"/>
  <c r="D1505" i="13"/>
  <c r="K1516" i="13"/>
  <c r="G1516" i="13"/>
  <c r="I1516" i="13" s="1"/>
  <c r="J1516" i="13" s="1"/>
  <c r="F1516" i="13"/>
  <c r="H1516" i="13" s="1"/>
  <c r="D1516" i="13"/>
  <c r="K1515" i="13"/>
  <c r="G1515" i="13"/>
  <c r="I1515" i="13" s="1"/>
  <c r="J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G1513" i="13"/>
  <c r="I1513" i="13" s="1"/>
  <c r="F1513" i="13"/>
  <c r="H1513" i="13" s="1"/>
  <c r="D1513" i="13"/>
  <c r="K1512" i="13"/>
  <c r="G1512" i="13"/>
  <c r="I1512" i="13" s="1"/>
  <c r="J1512" i="13" s="1"/>
  <c r="F1512" i="13"/>
  <c r="H1512" i="13" s="1"/>
  <c r="D1512" i="13"/>
  <c r="K1522" i="13"/>
  <c r="G1522" i="13"/>
  <c r="I1522" i="13" s="1"/>
  <c r="J1522" i="13" s="1"/>
  <c r="F1522" i="13"/>
  <c r="H1522" i="13" s="1"/>
  <c r="D1522" i="13"/>
  <c r="K1521" i="13"/>
  <c r="H1521" i="13"/>
  <c r="G1521" i="13"/>
  <c r="I1521" i="13" s="1"/>
  <c r="F1521" i="13"/>
  <c r="D1521" i="13"/>
  <c r="K1520" i="13"/>
  <c r="G1520" i="13"/>
  <c r="I1520" i="13" s="1"/>
  <c r="F1520" i="13"/>
  <c r="H1520" i="13" s="1"/>
  <c r="D1520" i="13"/>
  <c r="K1519" i="13"/>
  <c r="G1519" i="13"/>
  <c r="I1519" i="13" s="1"/>
  <c r="J1519" i="13" s="1"/>
  <c r="F1519" i="13"/>
  <c r="H1519" i="13" s="1"/>
  <c r="D1519" i="13"/>
  <c r="K1518" i="13"/>
  <c r="G1518" i="13"/>
  <c r="I1518" i="13" s="1"/>
  <c r="J1518" i="13" s="1"/>
  <c r="F1518" i="13"/>
  <c r="H1518" i="13" s="1"/>
  <c r="D1518" i="13"/>
  <c r="K1517" i="13"/>
  <c r="G1517" i="13"/>
  <c r="I1517" i="13" s="1"/>
  <c r="F1517" i="13"/>
  <c r="H1517" i="13" s="1"/>
  <c r="D1517" i="13"/>
  <c r="K1526" i="13"/>
  <c r="G1526" i="13"/>
  <c r="I1526" i="13" s="1"/>
  <c r="F1526" i="13"/>
  <c r="H1526" i="13" s="1"/>
  <c r="D1526" i="13"/>
  <c r="K1525" i="13"/>
  <c r="G1525" i="13"/>
  <c r="I1525" i="13" s="1"/>
  <c r="F1525" i="13"/>
  <c r="H1525" i="13" s="1"/>
  <c r="D1525" i="13"/>
  <c r="K1524" i="13"/>
  <c r="G1524" i="13"/>
  <c r="I1524" i="13" s="1"/>
  <c r="J1524" i="13" s="1"/>
  <c r="F1524" i="13"/>
  <c r="H1524" i="13" s="1"/>
  <c r="D1524" i="13"/>
  <c r="K1523" i="13"/>
  <c r="H1523" i="13"/>
  <c r="G1523" i="13"/>
  <c r="I1523" i="13" s="1"/>
  <c r="F1523" i="13"/>
  <c r="D1523" i="13"/>
  <c r="K1528" i="13"/>
  <c r="G1528" i="13"/>
  <c r="I1528" i="13" s="1"/>
  <c r="F1528" i="13"/>
  <c r="H1528" i="13" s="1"/>
  <c r="D1528" i="13"/>
  <c r="K1527" i="13"/>
  <c r="G1527" i="13"/>
  <c r="I1527" i="13" s="1"/>
  <c r="F1527" i="13"/>
  <c r="H1527" i="13" s="1"/>
  <c r="D1527" i="13"/>
  <c r="K1532" i="13"/>
  <c r="G1532" i="13"/>
  <c r="I1532" i="13" s="1"/>
  <c r="J1532" i="13" s="1"/>
  <c r="F1532" i="13"/>
  <c r="H1532" i="13" s="1"/>
  <c r="D1532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40" i="13"/>
  <c r="G1540" i="13"/>
  <c r="I1540" i="13" s="1"/>
  <c r="J1540" i="13" s="1"/>
  <c r="F1540" i="13"/>
  <c r="H1540" i="13" s="1"/>
  <c r="D1540" i="13"/>
  <c r="K1539" i="13"/>
  <c r="H1539" i="13"/>
  <c r="G1539" i="13"/>
  <c r="I1539" i="13" s="1"/>
  <c r="F1539" i="13"/>
  <c r="D1539" i="13"/>
  <c r="K1538" i="13"/>
  <c r="G1538" i="13"/>
  <c r="I1538" i="13" s="1"/>
  <c r="F1538" i="13"/>
  <c r="H1538" i="13" s="1"/>
  <c r="D1538" i="13"/>
  <c r="K1537" i="13"/>
  <c r="G1537" i="13"/>
  <c r="I1537" i="13" s="1"/>
  <c r="J1537" i="13" s="1"/>
  <c r="F1537" i="13"/>
  <c r="H1537" i="13" s="1"/>
  <c r="D1537" i="13"/>
  <c r="K1536" i="13"/>
  <c r="G1536" i="13"/>
  <c r="I1536" i="13" s="1"/>
  <c r="J1536" i="13" s="1"/>
  <c r="F1536" i="13"/>
  <c r="H1536" i="13" s="1"/>
  <c r="D1536" i="13"/>
  <c r="K1535" i="13"/>
  <c r="G1535" i="13"/>
  <c r="I1535" i="13" s="1"/>
  <c r="F1535" i="13"/>
  <c r="H1535" i="13" s="1"/>
  <c r="D1535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45" i="13"/>
  <c r="G1545" i="13"/>
  <c r="I1545" i="13" s="1"/>
  <c r="J1545" i="13" s="1"/>
  <c r="F1545" i="13"/>
  <c r="H1545" i="13" s="1"/>
  <c r="D1545" i="13"/>
  <c r="K1544" i="13"/>
  <c r="H1544" i="13"/>
  <c r="G1544" i="13"/>
  <c r="I1544" i="13" s="1"/>
  <c r="F1544" i="13"/>
  <c r="D1544" i="13"/>
  <c r="K1543" i="13"/>
  <c r="G1543" i="13"/>
  <c r="I1543" i="13" s="1"/>
  <c r="F1543" i="13"/>
  <c r="H1543" i="13" s="1"/>
  <c r="D1543" i="13"/>
  <c r="K1542" i="13"/>
  <c r="G1542" i="13"/>
  <c r="I1542" i="13" s="1"/>
  <c r="F1542" i="13"/>
  <c r="H1542" i="13" s="1"/>
  <c r="D1542" i="13"/>
  <c r="K1541" i="13"/>
  <c r="G1541" i="13"/>
  <c r="I1541" i="13" s="1"/>
  <c r="J1541" i="13" s="1"/>
  <c r="F1541" i="13"/>
  <c r="H1541" i="13" s="1"/>
  <c r="D1541" i="13"/>
  <c r="K1551" i="13"/>
  <c r="G1551" i="13"/>
  <c r="I1551" i="13" s="1"/>
  <c r="F1551" i="13"/>
  <c r="H1551" i="13" s="1"/>
  <c r="D1551" i="13"/>
  <c r="K1550" i="13"/>
  <c r="G1550" i="13"/>
  <c r="I1550" i="13" s="1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J1548" i="13" s="1"/>
  <c r="F1548" i="13"/>
  <c r="H1548" i="13" s="1"/>
  <c r="D1548" i="13"/>
  <c r="K1547" i="13"/>
  <c r="H1547" i="13"/>
  <c r="G1547" i="13"/>
  <c r="I1547" i="13" s="1"/>
  <c r="F1547" i="13"/>
  <c r="D1547" i="13"/>
  <c r="K1546" i="13"/>
  <c r="G1546" i="13"/>
  <c r="I1546" i="13" s="1"/>
  <c r="F1546" i="13"/>
  <c r="H1546" i="13" s="1"/>
  <c r="D1546" i="13"/>
  <c r="K1558" i="13"/>
  <c r="G1558" i="13"/>
  <c r="I1558" i="13" s="1"/>
  <c r="F1558" i="13"/>
  <c r="H1558" i="13" s="1"/>
  <c r="D1558" i="13"/>
  <c r="K1557" i="13"/>
  <c r="G1557" i="13"/>
  <c r="I1557" i="13" s="1"/>
  <c r="J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54" i="13"/>
  <c r="G1554" i="13"/>
  <c r="I1554" i="13" s="1"/>
  <c r="F1554" i="13"/>
  <c r="H1554" i="13" s="1"/>
  <c r="D1554" i="13"/>
  <c r="K1553" i="13"/>
  <c r="G1553" i="13"/>
  <c r="I1553" i="13" s="1"/>
  <c r="J1553" i="13" s="1"/>
  <c r="F1553" i="13"/>
  <c r="H1553" i="13" s="1"/>
  <c r="D1553" i="13"/>
  <c r="K1552" i="13"/>
  <c r="H1552" i="13"/>
  <c r="G1552" i="13"/>
  <c r="I1552" i="13" s="1"/>
  <c r="F1552" i="13"/>
  <c r="D1552" i="13"/>
  <c r="K1561" i="13"/>
  <c r="G1561" i="13"/>
  <c r="I1561" i="13" s="1"/>
  <c r="F1561" i="13"/>
  <c r="H1561" i="13" s="1"/>
  <c r="D1561" i="13"/>
  <c r="K1560" i="13"/>
  <c r="G1560" i="13"/>
  <c r="I1560" i="13" s="1"/>
  <c r="F1560" i="13"/>
  <c r="H1560" i="13" s="1"/>
  <c r="D1560" i="13"/>
  <c r="K1559" i="13"/>
  <c r="G1559" i="13"/>
  <c r="I1559" i="13" s="1"/>
  <c r="J1559" i="13" s="1"/>
  <c r="F1559" i="13"/>
  <c r="H1559" i="13" s="1"/>
  <c r="D1559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68" i="13"/>
  <c r="G1568" i="13"/>
  <c r="I1568" i="13" s="1"/>
  <c r="J1568" i="13" s="1"/>
  <c r="F1568" i="13"/>
  <c r="H1568" i="13" s="1"/>
  <c r="D1568" i="13"/>
  <c r="K1567" i="13"/>
  <c r="G1567" i="13"/>
  <c r="I1567" i="13" s="1"/>
  <c r="J1567" i="13" s="1"/>
  <c r="F1567" i="13"/>
  <c r="H1567" i="13" s="1"/>
  <c r="D1567" i="13"/>
  <c r="K1566" i="13"/>
  <c r="H1566" i="13"/>
  <c r="G1566" i="13"/>
  <c r="I1566" i="13" s="1"/>
  <c r="F1566" i="13"/>
  <c r="D1566" i="13"/>
  <c r="K1565" i="13"/>
  <c r="G1565" i="13"/>
  <c r="I1565" i="13" s="1"/>
  <c r="F1565" i="13"/>
  <c r="H1565" i="13" s="1"/>
  <c r="D1565" i="13"/>
  <c r="K1564" i="13"/>
  <c r="G1564" i="13"/>
  <c r="I1564" i="13" s="1"/>
  <c r="J1564" i="13" s="1"/>
  <c r="F1564" i="13"/>
  <c r="H1564" i="13" s="1"/>
  <c r="D1564" i="13"/>
  <c r="K1563" i="13"/>
  <c r="G1563" i="13"/>
  <c r="I1563" i="13" s="1"/>
  <c r="J1563" i="13" s="1"/>
  <c r="F1563" i="13"/>
  <c r="H1563" i="13" s="1"/>
  <c r="D1563" i="13"/>
  <c r="K1562" i="13"/>
  <c r="G1562" i="13"/>
  <c r="I1562" i="13" s="1"/>
  <c r="F1562" i="13"/>
  <c r="H1562" i="13" s="1"/>
  <c r="D1562" i="13"/>
  <c r="K1574" i="13"/>
  <c r="G1574" i="13"/>
  <c r="I1574" i="13" s="1"/>
  <c r="F1574" i="13"/>
  <c r="H1574" i="13" s="1"/>
  <c r="D1574" i="13"/>
  <c r="K1573" i="13"/>
  <c r="G1573" i="13"/>
  <c r="I1573" i="13" s="1"/>
  <c r="J1573" i="13" s="1"/>
  <c r="F1573" i="13"/>
  <c r="H1573" i="13" s="1"/>
  <c r="D1573" i="13"/>
  <c r="K1572" i="13"/>
  <c r="G1572" i="13"/>
  <c r="I1572" i="13" s="1"/>
  <c r="J1572" i="13" s="1"/>
  <c r="F1572" i="13"/>
  <c r="H1572" i="13" s="1"/>
  <c r="D1572" i="13"/>
  <c r="K1571" i="13"/>
  <c r="H1571" i="13"/>
  <c r="G1571" i="13"/>
  <c r="I1571" i="13" s="1"/>
  <c r="F1571" i="13"/>
  <c r="D1571" i="13"/>
  <c r="K1579" i="13"/>
  <c r="G1579" i="13"/>
  <c r="I1579" i="13" s="1"/>
  <c r="F1579" i="13"/>
  <c r="H1579" i="13" s="1"/>
  <c r="D1579" i="13"/>
  <c r="K1578" i="13"/>
  <c r="G1578" i="13"/>
  <c r="I1578" i="13" s="1"/>
  <c r="J1578" i="13" s="1"/>
  <c r="F1578" i="13"/>
  <c r="H1578" i="13" s="1"/>
  <c r="D1578" i="13"/>
  <c r="K1577" i="13"/>
  <c r="G1577" i="13"/>
  <c r="I1577" i="13" s="1"/>
  <c r="J1577" i="13" s="1"/>
  <c r="F1577" i="13"/>
  <c r="H1577" i="13" s="1"/>
  <c r="D1577" i="13"/>
  <c r="K1576" i="13"/>
  <c r="G1576" i="13"/>
  <c r="I1576" i="13" s="1"/>
  <c r="F1576" i="13"/>
  <c r="H1576" i="13" s="1"/>
  <c r="D1576" i="13"/>
  <c r="K1575" i="13"/>
  <c r="G1575" i="13"/>
  <c r="I1575" i="13" s="1"/>
  <c r="F1575" i="13"/>
  <c r="H1575" i="13" s="1"/>
  <c r="D1575" i="13"/>
  <c r="K1585" i="13"/>
  <c r="G1585" i="13"/>
  <c r="I1585" i="13" s="1"/>
  <c r="J1585" i="13" s="1"/>
  <c r="F1585" i="13"/>
  <c r="H1585" i="13" s="1"/>
  <c r="D1585" i="13"/>
  <c r="K1584" i="13"/>
  <c r="G1584" i="13"/>
  <c r="I1584" i="13" s="1"/>
  <c r="J1584" i="13" s="1"/>
  <c r="F1584" i="13"/>
  <c r="H1584" i="13" s="1"/>
  <c r="D1584" i="13"/>
  <c r="K1583" i="13"/>
  <c r="H1583" i="13"/>
  <c r="G1583" i="13"/>
  <c r="I1583" i="13" s="1"/>
  <c r="F1583" i="13"/>
  <c r="D1583" i="13"/>
  <c r="K1582" i="13"/>
  <c r="G1582" i="13"/>
  <c r="I1582" i="13" s="1"/>
  <c r="F1582" i="13"/>
  <c r="H1582" i="13" s="1"/>
  <c r="D1582" i="13"/>
  <c r="K1581" i="13"/>
  <c r="G1581" i="13"/>
  <c r="I1581" i="13" s="1"/>
  <c r="J1581" i="13" s="1"/>
  <c r="F1581" i="13"/>
  <c r="H1581" i="13" s="1"/>
  <c r="D1581" i="13"/>
  <c r="K1580" i="13"/>
  <c r="G1580" i="13"/>
  <c r="I1580" i="13" s="1"/>
  <c r="J1580" i="13" s="1"/>
  <c r="F1580" i="13"/>
  <c r="H1580" i="13" s="1"/>
  <c r="D1580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93" i="13"/>
  <c r="G1593" i="13"/>
  <c r="I1593" i="13" s="1"/>
  <c r="J1593" i="13" s="1"/>
  <c r="F1593" i="13"/>
  <c r="H1593" i="13" s="1"/>
  <c r="D1593" i="13"/>
  <c r="K1592" i="13"/>
  <c r="G1592" i="13"/>
  <c r="I1592" i="13" s="1"/>
  <c r="J1592" i="13" s="1"/>
  <c r="F1592" i="13"/>
  <c r="H1592" i="13" s="1"/>
  <c r="D1592" i="13"/>
  <c r="K1591" i="13"/>
  <c r="H1591" i="13"/>
  <c r="G1591" i="13"/>
  <c r="I1591" i="13" s="1"/>
  <c r="F1591" i="13"/>
  <c r="D1591" i="13"/>
  <c r="K1590" i="13"/>
  <c r="G1590" i="13"/>
  <c r="I1590" i="13" s="1"/>
  <c r="F1590" i="13"/>
  <c r="H1590" i="13" s="1"/>
  <c r="D1590" i="13"/>
  <c r="K1589" i="13"/>
  <c r="G1589" i="13"/>
  <c r="I1589" i="13" s="1"/>
  <c r="J1589" i="13" s="1"/>
  <c r="F1589" i="13"/>
  <c r="H1589" i="13" s="1"/>
  <c r="D1589" i="13"/>
  <c r="K1588" i="13"/>
  <c r="G1588" i="13"/>
  <c r="I1588" i="13" s="1"/>
  <c r="J1588" i="13" s="1"/>
  <c r="F1588" i="13"/>
  <c r="H1588" i="13" s="1"/>
  <c r="D1588" i="13"/>
  <c r="K1601" i="13"/>
  <c r="G1601" i="13"/>
  <c r="I1601" i="13" s="1"/>
  <c r="F1601" i="13"/>
  <c r="H1601" i="13" s="1"/>
  <c r="D1601" i="13"/>
  <c r="K1600" i="13"/>
  <c r="G1600" i="13"/>
  <c r="I1600" i="13" s="1"/>
  <c r="F1600" i="13"/>
  <c r="H1600" i="13" s="1"/>
  <c r="D1600" i="13"/>
  <c r="K1599" i="13"/>
  <c r="G1599" i="13"/>
  <c r="I1599" i="13" s="1"/>
  <c r="J1599" i="13" s="1"/>
  <c r="F1599" i="13"/>
  <c r="H1599" i="13" s="1"/>
  <c r="D1599" i="13"/>
  <c r="K1598" i="13"/>
  <c r="G1598" i="13"/>
  <c r="I1598" i="13" s="1"/>
  <c r="J1598" i="13" s="1"/>
  <c r="F1598" i="13"/>
  <c r="H1598" i="13" s="1"/>
  <c r="D1598" i="13"/>
  <c r="K1597" i="13"/>
  <c r="H1597" i="13"/>
  <c r="G1597" i="13"/>
  <c r="I1597" i="13" s="1"/>
  <c r="F1597" i="13"/>
  <c r="D1597" i="13"/>
  <c r="K1596" i="13"/>
  <c r="G1596" i="13"/>
  <c r="I1596" i="13" s="1"/>
  <c r="F1596" i="13"/>
  <c r="H1596" i="13" s="1"/>
  <c r="D1596" i="13"/>
  <c r="K1595" i="13"/>
  <c r="G1595" i="13"/>
  <c r="I1595" i="13" s="1"/>
  <c r="J1595" i="13" s="1"/>
  <c r="F1595" i="13"/>
  <c r="H1595" i="13" s="1"/>
  <c r="D1595" i="13"/>
  <c r="K1594" i="13"/>
  <c r="G1594" i="13"/>
  <c r="I1594" i="13" s="1"/>
  <c r="J1594" i="13" s="1"/>
  <c r="F1594" i="13"/>
  <c r="H1594" i="13" s="1"/>
  <c r="D1594" i="13"/>
  <c r="K1610" i="13"/>
  <c r="G1610" i="13"/>
  <c r="I1610" i="13" s="1"/>
  <c r="F1610" i="13"/>
  <c r="H1610" i="13" s="1"/>
  <c r="D1610" i="13"/>
  <c r="K1609" i="13"/>
  <c r="G1609" i="13"/>
  <c r="I1609" i="13" s="1"/>
  <c r="F1609" i="13"/>
  <c r="H1609" i="13" s="1"/>
  <c r="D1609" i="13"/>
  <c r="K1608" i="13"/>
  <c r="G1608" i="13"/>
  <c r="I1608" i="13" s="1"/>
  <c r="J1608" i="13" s="1"/>
  <c r="F1608" i="13"/>
  <c r="H1608" i="13" s="1"/>
  <c r="D1608" i="13"/>
  <c r="K1607" i="13"/>
  <c r="G1607" i="13"/>
  <c r="I1607" i="13" s="1"/>
  <c r="J1607" i="13" s="1"/>
  <c r="F1607" i="13"/>
  <c r="H1607" i="13" s="1"/>
  <c r="D1607" i="13"/>
  <c r="K1606" i="13"/>
  <c r="H1606" i="13"/>
  <c r="G1606" i="13"/>
  <c r="I1606" i="13" s="1"/>
  <c r="F1606" i="13"/>
  <c r="D1606" i="13"/>
  <c r="K1605" i="13"/>
  <c r="G1605" i="13"/>
  <c r="I1605" i="13" s="1"/>
  <c r="F1605" i="13"/>
  <c r="H1605" i="13" s="1"/>
  <c r="D1605" i="13"/>
  <c r="K1604" i="13"/>
  <c r="G1604" i="13"/>
  <c r="I1604" i="13" s="1"/>
  <c r="J1604" i="13" s="1"/>
  <c r="F1604" i="13"/>
  <c r="H1604" i="13" s="1"/>
  <c r="D1604" i="13"/>
  <c r="K1603" i="13"/>
  <c r="G1603" i="13"/>
  <c r="I1603" i="13" s="1"/>
  <c r="J1603" i="13" s="1"/>
  <c r="F1603" i="13"/>
  <c r="H1603" i="13" s="1"/>
  <c r="D1603" i="13"/>
  <c r="K1602" i="13"/>
  <c r="G1602" i="13"/>
  <c r="I1602" i="13" s="1"/>
  <c r="F1602" i="13"/>
  <c r="H1602" i="13" s="1"/>
  <c r="D1602" i="13"/>
  <c r="K1613" i="13"/>
  <c r="G1613" i="13"/>
  <c r="I1613" i="13" s="1"/>
  <c r="F1613" i="13"/>
  <c r="H1613" i="13" s="1"/>
  <c r="D1613" i="13"/>
  <c r="K1612" i="13"/>
  <c r="G1612" i="13"/>
  <c r="I1612" i="13" s="1"/>
  <c r="J1612" i="13" s="1"/>
  <c r="F1612" i="13"/>
  <c r="H1612" i="13" s="1"/>
  <c r="D1612" i="13"/>
  <c r="K1611" i="13"/>
  <c r="G1611" i="13"/>
  <c r="I1611" i="13" s="1"/>
  <c r="J1611" i="13" s="1"/>
  <c r="F1611" i="13"/>
  <c r="H1611" i="13" s="1"/>
  <c r="D1611" i="13"/>
  <c r="K1617" i="13"/>
  <c r="H1617" i="13"/>
  <c r="G1617" i="13"/>
  <c r="I1617" i="13" s="1"/>
  <c r="F1617" i="13"/>
  <c r="D1617" i="13"/>
  <c r="K1616" i="13"/>
  <c r="G1616" i="13"/>
  <c r="I1616" i="13" s="1"/>
  <c r="F1616" i="13"/>
  <c r="H1616" i="13" s="1"/>
  <c r="D1616" i="13"/>
  <c r="K1615" i="13"/>
  <c r="G1615" i="13"/>
  <c r="I1615" i="13" s="1"/>
  <c r="J1615" i="13" s="1"/>
  <c r="F1615" i="13"/>
  <c r="H1615" i="13" s="1"/>
  <c r="D1615" i="13"/>
  <c r="K1614" i="13"/>
  <c r="G1614" i="13"/>
  <c r="I1614" i="13" s="1"/>
  <c r="J1614" i="13" s="1"/>
  <c r="F1614" i="13"/>
  <c r="H1614" i="13" s="1"/>
  <c r="D1614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J1619" i="13" s="1"/>
  <c r="F1619" i="13"/>
  <c r="H1619" i="13" s="1"/>
  <c r="D1619" i="13"/>
  <c r="K1618" i="13"/>
  <c r="G1618" i="13"/>
  <c r="I1618" i="13" s="1"/>
  <c r="J1618" i="13" s="1"/>
  <c r="F1618" i="13"/>
  <c r="H1618" i="13" s="1"/>
  <c r="D1618" i="13"/>
  <c r="K1623" i="13"/>
  <c r="H1623" i="13"/>
  <c r="G1623" i="13"/>
  <c r="I1623" i="13" s="1"/>
  <c r="F1623" i="13"/>
  <c r="D1623" i="13"/>
  <c r="K1622" i="13"/>
  <c r="G1622" i="13"/>
  <c r="I1622" i="13" s="1"/>
  <c r="F1622" i="13"/>
  <c r="H1622" i="13" s="1"/>
  <c r="D1622" i="13"/>
  <c r="K1627" i="13"/>
  <c r="G1627" i="13"/>
  <c r="I1627" i="13" s="1"/>
  <c r="J1627" i="13" s="1"/>
  <c r="F1627" i="13"/>
  <c r="H1627" i="13" s="1"/>
  <c r="D1627" i="13"/>
  <c r="K1626" i="13"/>
  <c r="G1626" i="13"/>
  <c r="I1626" i="13" s="1"/>
  <c r="J1626" i="13" s="1"/>
  <c r="F1626" i="13"/>
  <c r="H1626" i="13" s="1"/>
  <c r="D1626" i="13"/>
  <c r="K1625" i="13"/>
  <c r="G1625" i="13"/>
  <c r="I1625" i="13" s="1"/>
  <c r="F1625" i="13"/>
  <c r="H1625" i="13" s="1"/>
  <c r="D1625" i="13"/>
  <c r="K1624" i="13"/>
  <c r="G1624" i="13"/>
  <c r="I1624" i="13" s="1"/>
  <c r="F1624" i="13"/>
  <c r="H1624" i="13" s="1"/>
  <c r="D1624" i="13"/>
  <c r="K1631" i="13"/>
  <c r="G1631" i="13"/>
  <c r="I1631" i="13" s="1"/>
  <c r="J1631" i="13" s="1"/>
  <c r="F1631" i="13"/>
  <c r="H1631" i="13" s="1"/>
  <c r="D1631" i="13"/>
  <c r="K1630" i="13"/>
  <c r="G1630" i="13"/>
  <c r="I1630" i="13" s="1"/>
  <c r="J1630" i="13" s="1"/>
  <c r="F1630" i="13"/>
  <c r="H1630" i="13" s="1"/>
  <c r="D1630" i="13"/>
  <c r="K1629" i="13"/>
  <c r="H1629" i="13"/>
  <c r="G1629" i="13"/>
  <c r="I1629" i="13" s="1"/>
  <c r="F1629" i="13"/>
  <c r="D1629" i="13"/>
  <c r="K1628" i="13"/>
  <c r="G1628" i="13"/>
  <c r="I1628" i="13" s="1"/>
  <c r="F1628" i="13"/>
  <c r="H1628" i="13" s="1"/>
  <c r="D1628" i="13"/>
  <c r="K1635" i="13"/>
  <c r="G1635" i="13"/>
  <c r="I1635" i="13" s="1"/>
  <c r="J1635" i="13" s="1"/>
  <c r="F1635" i="13"/>
  <c r="H1635" i="13" s="1"/>
  <c r="D1635" i="13"/>
  <c r="K1634" i="13"/>
  <c r="G1634" i="13"/>
  <c r="I1634" i="13" s="1"/>
  <c r="J1634" i="13" s="1"/>
  <c r="F1634" i="13"/>
  <c r="H1634" i="13" s="1"/>
  <c r="D1634" i="13"/>
  <c r="K1633" i="13"/>
  <c r="G1633" i="13"/>
  <c r="I1633" i="13" s="1"/>
  <c r="F1633" i="13"/>
  <c r="H1633" i="13" s="1"/>
  <c r="D1633" i="13"/>
  <c r="K1632" i="13"/>
  <c r="G1632" i="13"/>
  <c r="I1632" i="13" s="1"/>
  <c r="J1632" i="13" s="1"/>
  <c r="F1632" i="13"/>
  <c r="H1632" i="13" s="1"/>
  <c r="D1632" i="13"/>
  <c r="K1640" i="13"/>
  <c r="G1640" i="13"/>
  <c r="I1640" i="13" s="1"/>
  <c r="F1640" i="13"/>
  <c r="H1640" i="13" s="1"/>
  <c r="D1640" i="13"/>
  <c r="K1639" i="13"/>
  <c r="H1639" i="13"/>
  <c r="G1639" i="13"/>
  <c r="I1639" i="13" s="1"/>
  <c r="F1639" i="13"/>
  <c r="D1639" i="13"/>
  <c r="K1638" i="13"/>
  <c r="G1638" i="13"/>
  <c r="I1638" i="13" s="1"/>
  <c r="F1638" i="13"/>
  <c r="H1638" i="13" s="1"/>
  <c r="D1638" i="13"/>
  <c r="K1637" i="13"/>
  <c r="G1637" i="13"/>
  <c r="I1637" i="13" s="1"/>
  <c r="F1637" i="13"/>
  <c r="H1637" i="13" s="1"/>
  <c r="D1637" i="13"/>
  <c r="K1636" i="13"/>
  <c r="G1636" i="13"/>
  <c r="I1636" i="13" s="1"/>
  <c r="F1636" i="13"/>
  <c r="H1636" i="13" s="1"/>
  <c r="D1636" i="13"/>
  <c r="K1644" i="13"/>
  <c r="G1644" i="13"/>
  <c r="I1644" i="13" s="1"/>
  <c r="F1644" i="13"/>
  <c r="H1644" i="13" s="1"/>
  <c r="D1644" i="13"/>
  <c r="K1643" i="13"/>
  <c r="H1643" i="13"/>
  <c r="G1643" i="13"/>
  <c r="I1643" i="13" s="1"/>
  <c r="F1643" i="13"/>
  <c r="D1643" i="13"/>
  <c r="K1642" i="13"/>
  <c r="G1642" i="13"/>
  <c r="I1642" i="13" s="1"/>
  <c r="F1642" i="13"/>
  <c r="H1642" i="13" s="1"/>
  <c r="D1642" i="13"/>
  <c r="K1641" i="13"/>
  <c r="G1641" i="13"/>
  <c r="I1641" i="13" s="1"/>
  <c r="J1641" i="13" s="1"/>
  <c r="F1641" i="13"/>
  <c r="H1641" i="13" s="1"/>
  <c r="D1641" i="13"/>
  <c r="K1651" i="13"/>
  <c r="H1651" i="13"/>
  <c r="G1651" i="13"/>
  <c r="I1651" i="13" s="1"/>
  <c r="F1651" i="13"/>
  <c r="D1651" i="13"/>
  <c r="K1650" i="13"/>
  <c r="G1650" i="13"/>
  <c r="I1650" i="13" s="1"/>
  <c r="F1650" i="13"/>
  <c r="H1650" i="13" s="1"/>
  <c r="D1650" i="13"/>
  <c r="K1649" i="13"/>
  <c r="G1649" i="13"/>
  <c r="I1649" i="13" s="1"/>
  <c r="F1649" i="13"/>
  <c r="H1649" i="13" s="1"/>
  <c r="D1649" i="13"/>
  <c r="K1648" i="13"/>
  <c r="G1648" i="13"/>
  <c r="I1648" i="13" s="1"/>
  <c r="J1648" i="13" s="1"/>
  <c r="F1648" i="13"/>
  <c r="H1648" i="13" s="1"/>
  <c r="D1648" i="13"/>
  <c r="K1647" i="13"/>
  <c r="G1647" i="13"/>
  <c r="I1647" i="13" s="1"/>
  <c r="F1647" i="13"/>
  <c r="H1647" i="13" s="1"/>
  <c r="D1647" i="13"/>
  <c r="K1646" i="13"/>
  <c r="H1646" i="13"/>
  <c r="G1646" i="13"/>
  <c r="I1646" i="13" s="1"/>
  <c r="F1646" i="13"/>
  <c r="D1646" i="13"/>
  <c r="K1645" i="13"/>
  <c r="G1645" i="13"/>
  <c r="I1645" i="13" s="1"/>
  <c r="J1645" i="13" s="1"/>
  <c r="F1645" i="13"/>
  <c r="H1645" i="13" s="1"/>
  <c r="D1645" i="13"/>
  <c r="K1661" i="13"/>
  <c r="G1661" i="13"/>
  <c r="I1661" i="13" s="1"/>
  <c r="F1661" i="13"/>
  <c r="H1661" i="13" s="1"/>
  <c r="D1661" i="13"/>
  <c r="K1660" i="13"/>
  <c r="I1660" i="13"/>
  <c r="G1660" i="13"/>
  <c r="F1660" i="13"/>
  <c r="H1660" i="13" s="1"/>
  <c r="D1660" i="13"/>
  <c r="K1659" i="13"/>
  <c r="G1659" i="13"/>
  <c r="I1659" i="13" s="1"/>
  <c r="F1659" i="13"/>
  <c r="H1659" i="13" s="1"/>
  <c r="D1659" i="13"/>
  <c r="K1658" i="13"/>
  <c r="G1658" i="13"/>
  <c r="I1658" i="13" s="1"/>
  <c r="F1658" i="13"/>
  <c r="H1658" i="13" s="1"/>
  <c r="D1658" i="13"/>
  <c r="K1657" i="13"/>
  <c r="G1657" i="13"/>
  <c r="I1657" i="13" s="1"/>
  <c r="F1657" i="13"/>
  <c r="H1657" i="13" s="1"/>
  <c r="D1657" i="13"/>
  <c r="K1656" i="13"/>
  <c r="H1656" i="13"/>
  <c r="G1656" i="13"/>
  <c r="I1656" i="13" s="1"/>
  <c r="F1656" i="13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53" i="13"/>
  <c r="G1653" i="13"/>
  <c r="I1653" i="13" s="1"/>
  <c r="J1653" i="13" s="1"/>
  <c r="F1653" i="13"/>
  <c r="H1653" i="13" s="1"/>
  <c r="D1653" i="13"/>
  <c r="K1652" i="13"/>
  <c r="I1652" i="13"/>
  <c r="G1652" i="13"/>
  <c r="F1652" i="13"/>
  <c r="H1652" i="13" s="1"/>
  <c r="D1652" i="13"/>
  <c r="K1670" i="13"/>
  <c r="G1670" i="13"/>
  <c r="I1670" i="13" s="1"/>
  <c r="F1670" i="13"/>
  <c r="H1670" i="13" s="1"/>
  <c r="D1670" i="13"/>
  <c r="K1669" i="13"/>
  <c r="G1669" i="13"/>
  <c r="I1669" i="13" s="1"/>
  <c r="F1669" i="13"/>
  <c r="H1669" i="13" s="1"/>
  <c r="D1669" i="13"/>
  <c r="K1668" i="13"/>
  <c r="G1668" i="13"/>
  <c r="I1668" i="13" s="1"/>
  <c r="J1668" i="13" s="1"/>
  <c r="F1668" i="13"/>
  <c r="H1668" i="13" s="1"/>
  <c r="D1668" i="13"/>
  <c r="K1667" i="13"/>
  <c r="H1667" i="13"/>
  <c r="G1667" i="13"/>
  <c r="I1667" i="13" s="1"/>
  <c r="J1667" i="13" s="1"/>
  <c r="F1667" i="13"/>
  <c r="D1667" i="13"/>
  <c r="K1666" i="13"/>
  <c r="G1666" i="13"/>
  <c r="I1666" i="13" s="1"/>
  <c r="F1666" i="13"/>
  <c r="H1666" i="13" s="1"/>
  <c r="D1666" i="13"/>
  <c r="K1665" i="13"/>
  <c r="G1665" i="13"/>
  <c r="I1665" i="13" s="1"/>
  <c r="J1665" i="13" s="1"/>
  <c r="F1665" i="13"/>
  <c r="H1665" i="13" s="1"/>
  <c r="D1665" i="13"/>
  <c r="K1664" i="13"/>
  <c r="I1664" i="13"/>
  <c r="G1664" i="13"/>
  <c r="F1664" i="13"/>
  <c r="H1664" i="13" s="1"/>
  <c r="D1664" i="13"/>
  <c r="K1663" i="13"/>
  <c r="G1663" i="13"/>
  <c r="I1663" i="13" s="1"/>
  <c r="F1663" i="13"/>
  <c r="H1663" i="13" s="1"/>
  <c r="D1663" i="13"/>
  <c r="K1662" i="13"/>
  <c r="G1662" i="13"/>
  <c r="I1662" i="13" s="1"/>
  <c r="J1662" i="13" s="1"/>
  <c r="F1662" i="13"/>
  <c r="H1662" i="13" s="1"/>
  <c r="D1662" i="13"/>
  <c r="K1674" i="13"/>
  <c r="G1674" i="13"/>
  <c r="I1674" i="13" s="1"/>
  <c r="J1674" i="13" s="1"/>
  <c r="F1674" i="13"/>
  <c r="H1674" i="13" s="1"/>
  <c r="D1674" i="13"/>
  <c r="K1673" i="13"/>
  <c r="I1673" i="13"/>
  <c r="G1673" i="13"/>
  <c r="F1673" i="13"/>
  <c r="H1673" i="13" s="1"/>
  <c r="D1673" i="13"/>
  <c r="K1672" i="13"/>
  <c r="G1672" i="13"/>
  <c r="I1672" i="13" s="1"/>
  <c r="F1672" i="13"/>
  <c r="H1672" i="13" s="1"/>
  <c r="D1672" i="13"/>
  <c r="K1671" i="13"/>
  <c r="G1671" i="13"/>
  <c r="I1671" i="13" s="1"/>
  <c r="J1671" i="13" s="1"/>
  <c r="F1671" i="13"/>
  <c r="H1671" i="13" s="1"/>
  <c r="D1671" i="13"/>
  <c r="K1681" i="13"/>
  <c r="G1681" i="13"/>
  <c r="I1681" i="13" s="1"/>
  <c r="J1681" i="13" s="1"/>
  <c r="F1681" i="13"/>
  <c r="H1681" i="13" s="1"/>
  <c r="D1681" i="13"/>
  <c r="K1680" i="13"/>
  <c r="I1680" i="13"/>
  <c r="J1680" i="13" s="1"/>
  <c r="G1680" i="13"/>
  <c r="F1680" i="13"/>
  <c r="H1680" i="13" s="1"/>
  <c r="D1680" i="13"/>
  <c r="K1679" i="13"/>
  <c r="G1679" i="13"/>
  <c r="I1679" i="13" s="1"/>
  <c r="F1679" i="13"/>
  <c r="H1679" i="13" s="1"/>
  <c r="D1679" i="13"/>
  <c r="K1678" i="13"/>
  <c r="G1678" i="13"/>
  <c r="I1678" i="13" s="1"/>
  <c r="J1678" i="13" s="1"/>
  <c r="F1678" i="13"/>
  <c r="H1678" i="13" s="1"/>
  <c r="D1678" i="13"/>
  <c r="K1677" i="13"/>
  <c r="G1677" i="13"/>
  <c r="I1677" i="13" s="1"/>
  <c r="J1677" i="13" s="1"/>
  <c r="F1677" i="13"/>
  <c r="H1677" i="13" s="1"/>
  <c r="D1677" i="13"/>
  <c r="K1676" i="13"/>
  <c r="I1676" i="13"/>
  <c r="G1676" i="13"/>
  <c r="F1676" i="13"/>
  <c r="H1676" i="13" s="1"/>
  <c r="D1676" i="13"/>
  <c r="K1675" i="13"/>
  <c r="G1675" i="13"/>
  <c r="I1675" i="13" s="1"/>
  <c r="F1675" i="13"/>
  <c r="H1675" i="13" s="1"/>
  <c r="D1675" i="13"/>
  <c r="K1684" i="13"/>
  <c r="G1684" i="13"/>
  <c r="I1684" i="13" s="1"/>
  <c r="J1684" i="13" s="1"/>
  <c r="F1684" i="13"/>
  <c r="H1684" i="13" s="1"/>
  <c r="D1684" i="13"/>
  <c r="K1683" i="13"/>
  <c r="J1683" i="13"/>
  <c r="G1683" i="13"/>
  <c r="I1683" i="13" s="1"/>
  <c r="F1683" i="13"/>
  <c r="H1683" i="13" s="1"/>
  <c r="D1683" i="13"/>
  <c r="K1682" i="13"/>
  <c r="G1682" i="13"/>
  <c r="I1682" i="13" s="1"/>
  <c r="F1682" i="13"/>
  <c r="H1682" i="13" s="1"/>
  <c r="D1682" i="13"/>
  <c r="K1688" i="13"/>
  <c r="G1688" i="13"/>
  <c r="I1688" i="13" s="1"/>
  <c r="F1688" i="13"/>
  <c r="H1688" i="13" s="1"/>
  <c r="D1688" i="13"/>
  <c r="K1687" i="13"/>
  <c r="G1687" i="13"/>
  <c r="I1687" i="13" s="1"/>
  <c r="F1687" i="13"/>
  <c r="H1687" i="13" s="1"/>
  <c r="D1687" i="13"/>
  <c r="K1686" i="13"/>
  <c r="G1686" i="13"/>
  <c r="I1686" i="13" s="1"/>
  <c r="F1686" i="13"/>
  <c r="H1686" i="13" s="1"/>
  <c r="D1686" i="13"/>
  <c r="K1685" i="13"/>
  <c r="G1685" i="13"/>
  <c r="I1685" i="13" s="1"/>
  <c r="F1685" i="13"/>
  <c r="H1685" i="13" s="1"/>
  <c r="D1685" i="13"/>
  <c r="K1691" i="13"/>
  <c r="G1691" i="13"/>
  <c r="I1691" i="13" s="1"/>
  <c r="F1691" i="13"/>
  <c r="H1691" i="13" s="1"/>
  <c r="D1691" i="13"/>
  <c r="K1690" i="13"/>
  <c r="H1690" i="13"/>
  <c r="G1690" i="13"/>
  <c r="I1690" i="13" s="1"/>
  <c r="F1690" i="13"/>
  <c r="D1690" i="13"/>
  <c r="K1689" i="13"/>
  <c r="G1689" i="13"/>
  <c r="I1689" i="13" s="1"/>
  <c r="F1689" i="13"/>
  <c r="H1689" i="13" s="1"/>
  <c r="D1689" i="13"/>
  <c r="K1698" i="13"/>
  <c r="G1698" i="13"/>
  <c r="I1698" i="13" s="1"/>
  <c r="J1698" i="13" s="1"/>
  <c r="F1698" i="13"/>
  <c r="H1698" i="13" s="1"/>
  <c r="D1698" i="13"/>
  <c r="K1697" i="13"/>
  <c r="G1697" i="13"/>
  <c r="I1697" i="13" s="1"/>
  <c r="F1697" i="13"/>
  <c r="H1697" i="13" s="1"/>
  <c r="D1697" i="13"/>
  <c r="K1696" i="13"/>
  <c r="G1696" i="13"/>
  <c r="I1696" i="13" s="1"/>
  <c r="F1696" i="13"/>
  <c r="H1696" i="13" s="1"/>
  <c r="D1696" i="13"/>
  <c r="K1695" i="13"/>
  <c r="G1695" i="13"/>
  <c r="I1695" i="13" s="1"/>
  <c r="F1695" i="13"/>
  <c r="H1695" i="13" s="1"/>
  <c r="D1695" i="13"/>
  <c r="K1694" i="13"/>
  <c r="G1694" i="13"/>
  <c r="I1694" i="13" s="1"/>
  <c r="J1694" i="13" s="1"/>
  <c r="F1694" i="13"/>
  <c r="H1694" i="13" s="1"/>
  <c r="D1694" i="13"/>
  <c r="K1693" i="13"/>
  <c r="G1693" i="13"/>
  <c r="I1693" i="13" s="1"/>
  <c r="J1693" i="13" s="1"/>
  <c r="F1693" i="13"/>
  <c r="H1693" i="13" s="1"/>
  <c r="D1693" i="13"/>
  <c r="K1692" i="13"/>
  <c r="H1692" i="13"/>
  <c r="G1692" i="13"/>
  <c r="I1692" i="13" s="1"/>
  <c r="F1692" i="13"/>
  <c r="D1692" i="13"/>
  <c r="K1701" i="13"/>
  <c r="G1701" i="13"/>
  <c r="I1701" i="13" s="1"/>
  <c r="J1701" i="13" s="1"/>
  <c r="F1701" i="13"/>
  <c r="H1701" i="13" s="1"/>
  <c r="D1701" i="13"/>
  <c r="K1700" i="13"/>
  <c r="G1700" i="13"/>
  <c r="I1700" i="13" s="1"/>
  <c r="F1700" i="13"/>
  <c r="H1700" i="13" s="1"/>
  <c r="D1700" i="13"/>
  <c r="K1699" i="13"/>
  <c r="G1699" i="13"/>
  <c r="I1699" i="13" s="1"/>
  <c r="F1699" i="13"/>
  <c r="H1699" i="13" s="1"/>
  <c r="D1699" i="13"/>
  <c r="K1706" i="13"/>
  <c r="H1706" i="13"/>
  <c r="G1706" i="13"/>
  <c r="I1706" i="13" s="1"/>
  <c r="F1706" i="13"/>
  <c r="D1706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H1703" i="13"/>
  <c r="G1703" i="13"/>
  <c r="I1703" i="13" s="1"/>
  <c r="F1703" i="13"/>
  <c r="D1703" i="13"/>
  <c r="K1702" i="13"/>
  <c r="G1702" i="13"/>
  <c r="I1702" i="13" s="1"/>
  <c r="F1702" i="13"/>
  <c r="H1702" i="13" s="1"/>
  <c r="D1702" i="13"/>
  <c r="K1712" i="13"/>
  <c r="G1712" i="13"/>
  <c r="I1712" i="13" s="1"/>
  <c r="F1712" i="13"/>
  <c r="H1712" i="13" s="1"/>
  <c r="D1712" i="13"/>
  <c r="K1711" i="13"/>
  <c r="G1711" i="13"/>
  <c r="I1711" i="13" s="1"/>
  <c r="J1711" i="13" s="1"/>
  <c r="F1711" i="13"/>
  <c r="H1711" i="13" s="1"/>
  <c r="D1711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J1708" i="13" s="1"/>
  <c r="F1708" i="13"/>
  <c r="H1708" i="13" s="1"/>
  <c r="D1708" i="13"/>
  <c r="K1707" i="13"/>
  <c r="G1707" i="13"/>
  <c r="I1707" i="13" s="1"/>
  <c r="J1707" i="13" s="1"/>
  <c r="F1707" i="13"/>
  <c r="H1707" i="13" s="1"/>
  <c r="D1707" i="13"/>
  <c r="K1715" i="13"/>
  <c r="H1715" i="13"/>
  <c r="G1715" i="13"/>
  <c r="I1715" i="13" s="1"/>
  <c r="F1715" i="13"/>
  <c r="D1715" i="13"/>
  <c r="K1714" i="13"/>
  <c r="G1714" i="13"/>
  <c r="I1714" i="13" s="1"/>
  <c r="F1714" i="13"/>
  <c r="H1714" i="13" s="1"/>
  <c r="J1714" i="13" s="1"/>
  <c r="D1714" i="13"/>
  <c r="K1713" i="13"/>
  <c r="G1713" i="13"/>
  <c r="I1713" i="13" s="1"/>
  <c r="F1713" i="13"/>
  <c r="H1713" i="13" s="1"/>
  <c r="D1713" i="13"/>
  <c r="K1718" i="13"/>
  <c r="G1718" i="13"/>
  <c r="I1718" i="13" s="1"/>
  <c r="J1718" i="13" s="1"/>
  <c r="F1718" i="13"/>
  <c r="H1718" i="13" s="1"/>
  <c r="D1718" i="13"/>
  <c r="K1717" i="13"/>
  <c r="G1717" i="13"/>
  <c r="I1717" i="13" s="1"/>
  <c r="J1717" i="13" s="1"/>
  <c r="F1717" i="13"/>
  <c r="H1717" i="13" s="1"/>
  <c r="D1717" i="13"/>
  <c r="K1716" i="13"/>
  <c r="G1716" i="13"/>
  <c r="I1716" i="13" s="1"/>
  <c r="F1716" i="13"/>
  <c r="H1716" i="13" s="1"/>
  <c r="D1716" i="13"/>
  <c r="K1720" i="13"/>
  <c r="G1720" i="13"/>
  <c r="I1720" i="13" s="1"/>
  <c r="J1720" i="13" s="1"/>
  <c r="F1720" i="13"/>
  <c r="H1720" i="13" s="1"/>
  <c r="D1720" i="13"/>
  <c r="K1719" i="13"/>
  <c r="I1719" i="13"/>
  <c r="G1719" i="13"/>
  <c r="F1719" i="13"/>
  <c r="H1719" i="13" s="1"/>
  <c r="D1719" i="13"/>
  <c r="K1724" i="13"/>
  <c r="G1724" i="13"/>
  <c r="I1724" i="13" s="1"/>
  <c r="F1724" i="13"/>
  <c r="H1724" i="13" s="1"/>
  <c r="D1724" i="13"/>
  <c r="K1723" i="13"/>
  <c r="G1723" i="13"/>
  <c r="I1723" i="13" s="1"/>
  <c r="F1723" i="13"/>
  <c r="H1723" i="13" s="1"/>
  <c r="D1723" i="13"/>
  <c r="K1722" i="13"/>
  <c r="G1722" i="13"/>
  <c r="I1722" i="13" s="1"/>
  <c r="J1722" i="13" s="1"/>
  <c r="F1722" i="13"/>
  <c r="H1722" i="13" s="1"/>
  <c r="D1722" i="13"/>
  <c r="K1721" i="13"/>
  <c r="I1721" i="13"/>
  <c r="G1721" i="13"/>
  <c r="F1721" i="13"/>
  <c r="H1721" i="13" s="1"/>
  <c r="D1721" i="13"/>
  <c r="K1728" i="13"/>
  <c r="G1728" i="13"/>
  <c r="I1728" i="13" s="1"/>
  <c r="J1728" i="13" s="1"/>
  <c r="F1728" i="13"/>
  <c r="H1728" i="13" s="1"/>
  <c r="D1728" i="13"/>
  <c r="K1727" i="13"/>
  <c r="G1727" i="13"/>
  <c r="I1727" i="13" s="1"/>
  <c r="F1727" i="13"/>
  <c r="H1727" i="13" s="1"/>
  <c r="D1727" i="13"/>
  <c r="K1726" i="13"/>
  <c r="G1726" i="13"/>
  <c r="I1726" i="13" s="1"/>
  <c r="F1726" i="13"/>
  <c r="H1726" i="13" s="1"/>
  <c r="D1726" i="13"/>
  <c r="K1725" i="13"/>
  <c r="G1725" i="13"/>
  <c r="I1725" i="13" s="1"/>
  <c r="F1725" i="13"/>
  <c r="H1725" i="13" s="1"/>
  <c r="D1725" i="13"/>
  <c r="K1735" i="13"/>
  <c r="H1735" i="13"/>
  <c r="G1735" i="13"/>
  <c r="I1735" i="13" s="1"/>
  <c r="F1735" i="13"/>
  <c r="D1735" i="13"/>
  <c r="K1734" i="13"/>
  <c r="G1734" i="13"/>
  <c r="I1734" i="13" s="1"/>
  <c r="F1734" i="13"/>
  <c r="H1734" i="13" s="1"/>
  <c r="D1734" i="13"/>
  <c r="K1733" i="13"/>
  <c r="I1733" i="13"/>
  <c r="G1733" i="13"/>
  <c r="F1733" i="13"/>
  <c r="H1733" i="13" s="1"/>
  <c r="D1733" i="13"/>
  <c r="K1732" i="13"/>
  <c r="G1732" i="13"/>
  <c r="I1732" i="13" s="1"/>
  <c r="F1732" i="13"/>
  <c r="H1732" i="13" s="1"/>
  <c r="D1732" i="13"/>
  <c r="K1731" i="13"/>
  <c r="G1731" i="13"/>
  <c r="I1731" i="13" s="1"/>
  <c r="F1731" i="13"/>
  <c r="H1731" i="13" s="1"/>
  <c r="D1731" i="13"/>
  <c r="K1730" i="13"/>
  <c r="I1730" i="13"/>
  <c r="G1730" i="13"/>
  <c r="F1730" i="13"/>
  <c r="H1730" i="13" s="1"/>
  <c r="D1730" i="13"/>
  <c r="K1729" i="13"/>
  <c r="G1729" i="13"/>
  <c r="I1729" i="13" s="1"/>
  <c r="F1729" i="13"/>
  <c r="H1729" i="13" s="1"/>
  <c r="D1729" i="13"/>
  <c r="K1739" i="13"/>
  <c r="G1739" i="13"/>
  <c r="I1739" i="13" s="1"/>
  <c r="F1739" i="13"/>
  <c r="H1739" i="13" s="1"/>
  <c r="D1739" i="13"/>
  <c r="K1738" i="13"/>
  <c r="G1738" i="13"/>
  <c r="I1738" i="13" s="1"/>
  <c r="F1738" i="13"/>
  <c r="H1738" i="13" s="1"/>
  <c r="D1738" i="13"/>
  <c r="K1737" i="13"/>
  <c r="G1737" i="13"/>
  <c r="I1737" i="13" s="1"/>
  <c r="F1737" i="13"/>
  <c r="H1737" i="13" s="1"/>
  <c r="D1737" i="13"/>
  <c r="K1736" i="13"/>
  <c r="G1736" i="13"/>
  <c r="I1736" i="13" s="1"/>
  <c r="J1736" i="13" s="1"/>
  <c r="F1736" i="13"/>
  <c r="H1736" i="13" s="1"/>
  <c r="D1736" i="13"/>
  <c r="K1744" i="13"/>
  <c r="G1744" i="13"/>
  <c r="I1744" i="13" s="1"/>
  <c r="F1744" i="13"/>
  <c r="H1744" i="13" s="1"/>
  <c r="D1744" i="13"/>
  <c r="K1743" i="13"/>
  <c r="G1743" i="13"/>
  <c r="I1743" i="13" s="1"/>
  <c r="F1743" i="13"/>
  <c r="H1743" i="13" s="1"/>
  <c r="D1743" i="13"/>
  <c r="K1742" i="13"/>
  <c r="I1742" i="13"/>
  <c r="G1742" i="13"/>
  <c r="F1742" i="13"/>
  <c r="H1742" i="13" s="1"/>
  <c r="D1742" i="13"/>
  <c r="K1741" i="13"/>
  <c r="G1741" i="13"/>
  <c r="I1741" i="13" s="1"/>
  <c r="F1741" i="13"/>
  <c r="H1741" i="13" s="1"/>
  <c r="D1741" i="13"/>
  <c r="K1740" i="13"/>
  <c r="G1740" i="13"/>
  <c r="I1740" i="13" s="1"/>
  <c r="F1740" i="13"/>
  <c r="H1740" i="13" s="1"/>
  <c r="D1740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48" i="13"/>
  <c r="I1748" i="13"/>
  <c r="G1748" i="13"/>
  <c r="F1748" i="13"/>
  <c r="H1748" i="13" s="1"/>
  <c r="D1748" i="13"/>
  <c r="K1747" i="13"/>
  <c r="H1747" i="13"/>
  <c r="G1747" i="13"/>
  <c r="I1747" i="13" s="1"/>
  <c r="J1747" i="13" s="1"/>
  <c r="F1747" i="13"/>
  <c r="D1747" i="13"/>
  <c r="K1746" i="13"/>
  <c r="G1746" i="13"/>
  <c r="I1746" i="13" s="1"/>
  <c r="F1746" i="13"/>
  <c r="H1746" i="13" s="1"/>
  <c r="D1746" i="13"/>
  <c r="K1745" i="13"/>
  <c r="I1745" i="13"/>
  <c r="G1745" i="13"/>
  <c r="F1745" i="13"/>
  <c r="H1745" i="13" s="1"/>
  <c r="D1745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F1755" i="13"/>
  <c r="H1755" i="13" s="1"/>
  <c r="D1755" i="13"/>
  <c r="K1754" i="13"/>
  <c r="G1754" i="13"/>
  <c r="I1754" i="13" s="1"/>
  <c r="F1754" i="13"/>
  <c r="H1754" i="13" s="1"/>
  <c r="D1754" i="13"/>
  <c r="K1753" i="13"/>
  <c r="G1753" i="13"/>
  <c r="I1753" i="13" s="1"/>
  <c r="J1753" i="13" s="1"/>
  <c r="F1753" i="13"/>
  <c r="H1753" i="13" s="1"/>
  <c r="D1753" i="13"/>
  <c r="K1752" i="13"/>
  <c r="G1752" i="13"/>
  <c r="I1752" i="13" s="1"/>
  <c r="F1752" i="13"/>
  <c r="H1752" i="13" s="1"/>
  <c r="D1752" i="13"/>
  <c r="K1751" i="13"/>
  <c r="G1751" i="13"/>
  <c r="I1751" i="13" s="1"/>
  <c r="F1751" i="13"/>
  <c r="H1751" i="13" s="1"/>
  <c r="D1751" i="13"/>
  <c r="K1761" i="13"/>
  <c r="I1761" i="13"/>
  <c r="G1761" i="13"/>
  <c r="F1761" i="13"/>
  <c r="H1761" i="13" s="1"/>
  <c r="D1761" i="13"/>
  <c r="K1760" i="13"/>
  <c r="G1760" i="13"/>
  <c r="I1760" i="13" s="1"/>
  <c r="F1760" i="13"/>
  <c r="H1760" i="13" s="1"/>
  <c r="D1760" i="13"/>
  <c r="K1759" i="13"/>
  <c r="H1759" i="13"/>
  <c r="G1759" i="13"/>
  <c r="I1759" i="13" s="1"/>
  <c r="F1759" i="13"/>
  <c r="D1759" i="13"/>
  <c r="K1758" i="13"/>
  <c r="G1758" i="13"/>
  <c r="I1758" i="13" s="1"/>
  <c r="F1758" i="13"/>
  <c r="H1758" i="13" s="1"/>
  <c r="D1758" i="13"/>
  <c r="K1769" i="13"/>
  <c r="G1769" i="13"/>
  <c r="I1769" i="13" s="1"/>
  <c r="J1769" i="13" s="1"/>
  <c r="F1769" i="13"/>
  <c r="H1769" i="13" s="1"/>
  <c r="D1769" i="13"/>
  <c r="K1768" i="13"/>
  <c r="I1768" i="13"/>
  <c r="G1768" i="13"/>
  <c r="F1768" i="13"/>
  <c r="H1768" i="13" s="1"/>
  <c r="D1768" i="13"/>
  <c r="K1767" i="13"/>
  <c r="G1767" i="13"/>
  <c r="I1767" i="13" s="1"/>
  <c r="F1767" i="13"/>
  <c r="H1767" i="13" s="1"/>
  <c r="D1767" i="13"/>
  <c r="K1766" i="13"/>
  <c r="G1766" i="13"/>
  <c r="I1766" i="13" s="1"/>
  <c r="F1766" i="13"/>
  <c r="H1766" i="13" s="1"/>
  <c r="D1766" i="13"/>
  <c r="K1765" i="13"/>
  <c r="I1765" i="13"/>
  <c r="G1765" i="13"/>
  <c r="F1765" i="13"/>
  <c r="H1765" i="13" s="1"/>
  <c r="D1765" i="13"/>
  <c r="K1764" i="13"/>
  <c r="G1764" i="13"/>
  <c r="I1764" i="13" s="1"/>
  <c r="F1764" i="13"/>
  <c r="H1764" i="13" s="1"/>
  <c r="D1764" i="13"/>
  <c r="K1763" i="13"/>
  <c r="G1763" i="13"/>
  <c r="I1763" i="13" s="1"/>
  <c r="F1763" i="13"/>
  <c r="H1763" i="13" s="1"/>
  <c r="D1763" i="13"/>
  <c r="K1762" i="13"/>
  <c r="G1762" i="13"/>
  <c r="I1762" i="13" s="1"/>
  <c r="F1762" i="13"/>
  <c r="H1762" i="13" s="1"/>
  <c r="D1762" i="13"/>
  <c r="K1775" i="13"/>
  <c r="G1775" i="13"/>
  <c r="I1775" i="13" s="1"/>
  <c r="F1775" i="13"/>
  <c r="H1775" i="13" s="1"/>
  <c r="D1775" i="13"/>
  <c r="K1774" i="13"/>
  <c r="G1774" i="13"/>
  <c r="I1774" i="13" s="1"/>
  <c r="J1774" i="13" s="1"/>
  <c r="F1774" i="13"/>
  <c r="H1774" i="13" s="1"/>
  <c r="D1774" i="13"/>
  <c r="K1773" i="13"/>
  <c r="G1773" i="13"/>
  <c r="I1773" i="13" s="1"/>
  <c r="F1773" i="13"/>
  <c r="H1773" i="13" s="1"/>
  <c r="D1773" i="13"/>
  <c r="K1772" i="13"/>
  <c r="G1772" i="13"/>
  <c r="I1772" i="13" s="1"/>
  <c r="F1772" i="13"/>
  <c r="H1772" i="13" s="1"/>
  <c r="D1772" i="13"/>
  <c r="K1771" i="13"/>
  <c r="I1771" i="13"/>
  <c r="J1771" i="13" s="1"/>
  <c r="G1771" i="13"/>
  <c r="F1771" i="13"/>
  <c r="H1771" i="13" s="1"/>
  <c r="D1771" i="13"/>
  <c r="K1770" i="13"/>
  <c r="G1770" i="13"/>
  <c r="I1770" i="13" s="1"/>
  <c r="F1770" i="13"/>
  <c r="H1770" i="13" s="1"/>
  <c r="D1770" i="13"/>
  <c r="K1777" i="13"/>
  <c r="G1777" i="13"/>
  <c r="I1777" i="13" s="1"/>
  <c r="F1777" i="13"/>
  <c r="H1777" i="13" s="1"/>
  <c r="D1777" i="13"/>
  <c r="K1776" i="13"/>
  <c r="G1776" i="13"/>
  <c r="I1776" i="13" s="1"/>
  <c r="F1776" i="13"/>
  <c r="H1776" i="13" s="1"/>
  <c r="D1776" i="13"/>
  <c r="K1780" i="13"/>
  <c r="G1780" i="13"/>
  <c r="I1780" i="13" s="1"/>
  <c r="J1780" i="13" s="1"/>
  <c r="F1780" i="13"/>
  <c r="H1780" i="13" s="1"/>
  <c r="D1780" i="13"/>
  <c r="K1779" i="13"/>
  <c r="I1779" i="13"/>
  <c r="G1779" i="13"/>
  <c r="F1779" i="13"/>
  <c r="H1779" i="13" s="1"/>
  <c r="D1779" i="13"/>
  <c r="K1778" i="13"/>
  <c r="H1778" i="13"/>
  <c r="G1778" i="13"/>
  <c r="I1778" i="13" s="1"/>
  <c r="J1778" i="13" s="1"/>
  <c r="F1778" i="13"/>
  <c r="D1778" i="13"/>
  <c r="K1784" i="13"/>
  <c r="G1784" i="13"/>
  <c r="I1784" i="13" s="1"/>
  <c r="F1784" i="13"/>
  <c r="H1784" i="13" s="1"/>
  <c r="D1784" i="13"/>
  <c r="K1783" i="13"/>
  <c r="I1783" i="13"/>
  <c r="J1783" i="13" s="1"/>
  <c r="G1783" i="13"/>
  <c r="F1783" i="13"/>
  <c r="H1783" i="13" s="1"/>
  <c r="D1783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D1781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G1789" i="13"/>
  <c r="I1789" i="13" s="1"/>
  <c r="J1789" i="13" s="1"/>
  <c r="F1789" i="13"/>
  <c r="H1789" i="13" s="1"/>
  <c r="D1789" i="13"/>
  <c r="K1788" i="13"/>
  <c r="G1788" i="13"/>
  <c r="I1788" i="13" s="1"/>
  <c r="F1788" i="13"/>
  <c r="H1788" i="13" s="1"/>
  <c r="D1788" i="13"/>
  <c r="K1787" i="13"/>
  <c r="G1787" i="13"/>
  <c r="I1787" i="13" s="1"/>
  <c r="F1787" i="13"/>
  <c r="H1787" i="13" s="1"/>
  <c r="D1787" i="13"/>
  <c r="K1786" i="13"/>
  <c r="I1786" i="13"/>
  <c r="G1786" i="13"/>
  <c r="F1786" i="13"/>
  <c r="H1786" i="13" s="1"/>
  <c r="D1786" i="13"/>
  <c r="K1785" i="13"/>
  <c r="G1785" i="13"/>
  <c r="I1785" i="13" s="1"/>
  <c r="F1785" i="13"/>
  <c r="H1785" i="13" s="1"/>
  <c r="D1785" i="13"/>
  <c r="K1798" i="13"/>
  <c r="H1798" i="13"/>
  <c r="G1798" i="13"/>
  <c r="I1798" i="13" s="1"/>
  <c r="F1798" i="13"/>
  <c r="D1798" i="13"/>
  <c r="K1797" i="13"/>
  <c r="G1797" i="13"/>
  <c r="I1797" i="13" s="1"/>
  <c r="F1797" i="13"/>
  <c r="H1797" i="13" s="1"/>
  <c r="D1797" i="13"/>
  <c r="K1796" i="13"/>
  <c r="G1796" i="13"/>
  <c r="I1796" i="13" s="1"/>
  <c r="F1796" i="13"/>
  <c r="H1796" i="13" s="1"/>
  <c r="D1796" i="13"/>
  <c r="K1795" i="13"/>
  <c r="H1795" i="13"/>
  <c r="G1795" i="13"/>
  <c r="I1795" i="13" s="1"/>
  <c r="F1795" i="13"/>
  <c r="D1795" i="13"/>
  <c r="K1794" i="13"/>
  <c r="G1794" i="13"/>
  <c r="I1794" i="13" s="1"/>
  <c r="F1794" i="13"/>
  <c r="H1794" i="13" s="1"/>
  <c r="D1794" i="13"/>
  <c r="K1793" i="13"/>
  <c r="G1793" i="13"/>
  <c r="I1793" i="13" s="1"/>
  <c r="F1793" i="13"/>
  <c r="H1793" i="13" s="1"/>
  <c r="D1793" i="13"/>
  <c r="K1792" i="13"/>
  <c r="G1792" i="13"/>
  <c r="I1792" i="13" s="1"/>
  <c r="F1792" i="13"/>
  <c r="H1792" i="13" s="1"/>
  <c r="D1792" i="13"/>
  <c r="K1804" i="13"/>
  <c r="G1804" i="13"/>
  <c r="I1804" i="13" s="1"/>
  <c r="F1804" i="13"/>
  <c r="H1804" i="13" s="1"/>
  <c r="D1804" i="13"/>
  <c r="K1803" i="13"/>
  <c r="H1803" i="13"/>
  <c r="G1803" i="13"/>
  <c r="I1803" i="13" s="1"/>
  <c r="F1803" i="13"/>
  <c r="D1803" i="13"/>
  <c r="K1802" i="13"/>
  <c r="G1802" i="13"/>
  <c r="I1802" i="13" s="1"/>
  <c r="F1802" i="13"/>
  <c r="H1802" i="13" s="1"/>
  <c r="D1802" i="13"/>
  <c r="K1801" i="13"/>
  <c r="G1801" i="13"/>
  <c r="I1801" i="13" s="1"/>
  <c r="J1801" i="13" s="1"/>
  <c r="F1801" i="13"/>
  <c r="H1801" i="13" s="1"/>
  <c r="D1801" i="13"/>
  <c r="K1800" i="13"/>
  <c r="H1800" i="13"/>
  <c r="G1800" i="13"/>
  <c r="I1800" i="13" s="1"/>
  <c r="F1800" i="13"/>
  <c r="D1800" i="13"/>
  <c r="K1799" i="13"/>
  <c r="G1799" i="13"/>
  <c r="I1799" i="13" s="1"/>
  <c r="F1799" i="13"/>
  <c r="H1799" i="13" s="1"/>
  <c r="D1799" i="13"/>
  <c r="K1809" i="13"/>
  <c r="G1809" i="13"/>
  <c r="I1809" i="13" s="1"/>
  <c r="F1809" i="13"/>
  <c r="H1809" i="13" s="1"/>
  <c r="D1809" i="13"/>
  <c r="K1808" i="13"/>
  <c r="G1808" i="13"/>
  <c r="I1808" i="13" s="1"/>
  <c r="F1808" i="13"/>
  <c r="H1808" i="13" s="1"/>
  <c r="D1808" i="13"/>
  <c r="K1807" i="13"/>
  <c r="G1807" i="13"/>
  <c r="I1807" i="13" s="1"/>
  <c r="F1807" i="13"/>
  <c r="H1807" i="13" s="1"/>
  <c r="D1807" i="13"/>
  <c r="K1806" i="13"/>
  <c r="H1806" i="13"/>
  <c r="G1806" i="13"/>
  <c r="I1806" i="13" s="1"/>
  <c r="F1806" i="13"/>
  <c r="D1806" i="13"/>
  <c r="K1805" i="13"/>
  <c r="G1805" i="13"/>
  <c r="I1805" i="13" s="1"/>
  <c r="F1805" i="13"/>
  <c r="H1805" i="13" s="1"/>
  <c r="D1805" i="13"/>
  <c r="K1812" i="13"/>
  <c r="G1812" i="13"/>
  <c r="I1812" i="13" s="1"/>
  <c r="J1812" i="13" s="1"/>
  <c r="F1812" i="13"/>
  <c r="H1812" i="13" s="1"/>
  <c r="D1812" i="13"/>
  <c r="K1811" i="13"/>
  <c r="H1811" i="13"/>
  <c r="G1811" i="13"/>
  <c r="I1811" i="13" s="1"/>
  <c r="F1811" i="13"/>
  <c r="D1811" i="13"/>
  <c r="K1810" i="13"/>
  <c r="G1810" i="13"/>
  <c r="I1810" i="13" s="1"/>
  <c r="F1810" i="13"/>
  <c r="H1810" i="13" s="1"/>
  <c r="D1810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G1813" i="13"/>
  <c r="I1813" i="13" s="1"/>
  <c r="F1813" i="13"/>
  <c r="H1813" i="13" s="1"/>
  <c r="D1813" i="13"/>
  <c r="K1820" i="13"/>
  <c r="H1820" i="13"/>
  <c r="G1820" i="13"/>
  <c r="I1820" i="13" s="1"/>
  <c r="F1820" i="13"/>
  <c r="D1820" i="13"/>
  <c r="K1819" i="13"/>
  <c r="G1819" i="13"/>
  <c r="I1819" i="13" s="1"/>
  <c r="F1819" i="13"/>
  <c r="H1819" i="13" s="1"/>
  <c r="D1819" i="13"/>
  <c r="K1818" i="13"/>
  <c r="G1818" i="13"/>
  <c r="I1818" i="13" s="1"/>
  <c r="J1818" i="13" s="1"/>
  <c r="F1818" i="13"/>
  <c r="H1818" i="13" s="1"/>
  <c r="D1818" i="13"/>
  <c r="K1817" i="13"/>
  <c r="H1817" i="13"/>
  <c r="G1817" i="13"/>
  <c r="I1817" i="13" s="1"/>
  <c r="F1817" i="13"/>
  <c r="D1817" i="13"/>
  <c r="K1816" i="13"/>
  <c r="G1816" i="13"/>
  <c r="I1816" i="13" s="1"/>
  <c r="F1816" i="13"/>
  <c r="H1816" i="13" s="1"/>
  <c r="D1816" i="13"/>
  <c r="J1814" i="13" l="1"/>
  <c r="J1817" i="13"/>
  <c r="J1811" i="13"/>
  <c r="J1800" i="13"/>
  <c r="J1795" i="13"/>
  <c r="J1782" i="13"/>
  <c r="J1770" i="13"/>
  <c r="J1754" i="13"/>
  <c r="J1757" i="13"/>
  <c r="J1741" i="13"/>
  <c r="J1689" i="13"/>
  <c r="J1628" i="13"/>
  <c r="J1474" i="13"/>
  <c r="J1466" i="13"/>
  <c r="J1467" i="13"/>
  <c r="J1455" i="13"/>
  <c r="J1447" i="13"/>
  <c r="J1436" i="13"/>
  <c r="J1388" i="13"/>
  <c r="J1380" i="13"/>
  <c r="J1353" i="13"/>
  <c r="J1346" i="13"/>
  <c r="J1331" i="13"/>
  <c r="J1326" i="13"/>
  <c r="J1317" i="13"/>
  <c r="J1315" i="13"/>
  <c r="J1298" i="13"/>
  <c r="J1292" i="13"/>
  <c r="J1286" i="13"/>
  <c r="J1273" i="13"/>
  <c r="J1272" i="13"/>
  <c r="J1265" i="13"/>
  <c r="J1249" i="13"/>
  <c r="J1247" i="13"/>
  <c r="J1243" i="13"/>
  <c r="J1652" i="13"/>
  <c r="J1490" i="13"/>
  <c r="J1423" i="13"/>
  <c r="J1360" i="13"/>
  <c r="J1359" i="13"/>
  <c r="J1214" i="13"/>
  <c r="J1813" i="13"/>
  <c r="J1807" i="13"/>
  <c r="J1804" i="13"/>
  <c r="J1785" i="13"/>
  <c r="J1775" i="13"/>
  <c r="J1764" i="13"/>
  <c r="J1760" i="13"/>
  <c r="J1729" i="13"/>
  <c r="J1725" i="13"/>
  <c r="J1726" i="13"/>
  <c r="J1695" i="13"/>
  <c r="J1494" i="13"/>
  <c r="J1482" i="13"/>
  <c r="J1471" i="13"/>
  <c r="J1450" i="13"/>
  <c r="J1451" i="13"/>
  <c r="J1442" i="13"/>
  <c r="J1443" i="13"/>
  <c r="J1431" i="13"/>
  <c r="J1412" i="13"/>
  <c r="J1391" i="13"/>
  <c r="J1392" i="13"/>
  <c r="J1378" i="13"/>
  <c r="J1374" i="13"/>
  <c r="J1363" i="13"/>
  <c r="J1361" i="13"/>
  <c r="J1342" i="13"/>
  <c r="J1335" i="13"/>
  <c r="J1330" i="13"/>
  <c r="J1320" i="13"/>
  <c r="J1311" i="13"/>
  <c r="J1304" i="13"/>
  <c r="J1302" i="13"/>
  <c r="J1290" i="13"/>
  <c r="J1280" i="13"/>
  <c r="J1277" i="13"/>
  <c r="J1269" i="13"/>
  <c r="J1258" i="13"/>
  <c r="J1253" i="13"/>
  <c r="J1219" i="13"/>
  <c r="J1721" i="13"/>
  <c r="J1808" i="13"/>
  <c r="J1765" i="13"/>
  <c r="J1767" i="13"/>
  <c r="J1761" i="13"/>
  <c r="J1732" i="13"/>
  <c r="J1697" i="13"/>
  <c r="J1676" i="13"/>
  <c r="J1425" i="13"/>
  <c r="J1365" i="13"/>
  <c r="J1355" i="13"/>
  <c r="J1254" i="13"/>
  <c r="J1222" i="13"/>
  <c r="J859" i="13"/>
  <c r="J843" i="13"/>
  <c r="J838" i="13"/>
  <c r="J824" i="13"/>
  <c r="J817" i="13"/>
  <c r="J814" i="13"/>
  <c r="J1197" i="13"/>
  <c r="J1027" i="13"/>
  <c r="J1028" i="13"/>
  <c r="J1021" i="13"/>
  <c r="J1015" i="13"/>
  <c r="J1016" i="13"/>
  <c r="J1003" i="13"/>
  <c r="J1011" i="13"/>
  <c r="J986" i="13"/>
  <c r="J968" i="13"/>
  <c r="J949" i="13"/>
  <c r="J932" i="13"/>
  <c r="J920" i="13"/>
  <c r="J916" i="13"/>
  <c r="J905" i="13"/>
  <c r="J896" i="13"/>
  <c r="J888" i="13"/>
  <c r="J883" i="13"/>
  <c r="J872" i="13"/>
  <c r="J863" i="13"/>
  <c r="J853" i="13"/>
  <c r="J844" i="13"/>
  <c r="J846" i="13"/>
  <c r="J830" i="13"/>
  <c r="J827" i="13"/>
  <c r="J820" i="13"/>
  <c r="J812" i="13"/>
  <c r="J792" i="13"/>
  <c r="J787" i="13"/>
  <c r="J1042" i="13"/>
  <c r="J1033" i="13"/>
  <c r="J1022" i="13"/>
  <c r="J990" i="13"/>
  <c r="J768" i="13"/>
  <c r="J754" i="13"/>
  <c r="J724" i="13"/>
  <c r="J725" i="13"/>
  <c r="J1239" i="13"/>
  <c r="J1230" i="13"/>
  <c r="J1231" i="13"/>
  <c r="J1223" i="13"/>
  <c r="J1201" i="13"/>
  <c r="J1039" i="13"/>
  <c r="J1007" i="13"/>
  <c r="J976" i="13"/>
  <c r="J962" i="13"/>
  <c r="J942" i="13"/>
  <c r="J927" i="13"/>
  <c r="J924" i="13"/>
  <c r="J909" i="13"/>
  <c r="J901" i="13"/>
  <c r="J892" i="13"/>
  <c r="J886" i="13"/>
  <c r="J877" i="13"/>
  <c r="J869" i="13"/>
  <c r="J867" i="13"/>
  <c r="J857" i="13"/>
  <c r="J841" i="13"/>
  <c r="J842" i="13"/>
  <c r="J836" i="13"/>
  <c r="J837" i="13"/>
  <c r="J833" i="13"/>
  <c r="J834" i="13"/>
  <c r="J822" i="13"/>
  <c r="J823" i="13"/>
  <c r="J796" i="13"/>
  <c r="J782" i="13"/>
  <c r="J764" i="13"/>
  <c r="J446" i="13"/>
  <c r="J815" i="13"/>
  <c r="J800" i="13"/>
  <c r="J790" i="13"/>
  <c r="J783" i="13"/>
  <c r="J775" i="13"/>
  <c r="J762" i="13"/>
  <c r="J755" i="13"/>
  <c r="J752" i="13"/>
  <c r="J746" i="13"/>
  <c r="J730" i="13"/>
  <c r="J731" i="13"/>
  <c r="J714" i="13"/>
  <c r="J715" i="13"/>
  <c r="J695" i="13"/>
  <c r="J684" i="13"/>
  <c r="J685" i="13"/>
  <c r="J674" i="13"/>
  <c r="J675" i="13"/>
  <c r="J659" i="13"/>
  <c r="J612" i="13"/>
  <c r="J577" i="13"/>
  <c r="J578" i="13"/>
  <c r="J506" i="13"/>
  <c r="J512" i="13"/>
  <c r="J488" i="13"/>
  <c r="J482" i="13"/>
  <c r="J483" i="13"/>
  <c r="J477" i="13"/>
  <c r="J461" i="13"/>
  <c r="J455" i="13"/>
  <c r="J436" i="13"/>
  <c r="J419" i="13"/>
  <c r="J405" i="13"/>
  <c r="J391" i="13"/>
  <c r="J355" i="13"/>
  <c r="J252" i="13"/>
  <c r="J234" i="13"/>
  <c r="J219" i="13"/>
  <c r="J203" i="13"/>
  <c r="J180" i="13"/>
  <c r="J504" i="13"/>
  <c r="J498" i="13"/>
  <c r="J64" i="13"/>
  <c r="J510" i="13"/>
  <c r="J499" i="13"/>
  <c r="J490" i="13"/>
  <c r="J450" i="13"/>
  <c r="J444" i="13"/>
  <c r="J445" i="13"/>
  <c r="J431" i="13"/>
  <c r="J418" i="13"/>
  <c r="J395" i="13"/>
  <c r="J258" i="13"/>
  <c r="J225" i="13"/>
  <c r="J206" i="13"/>
  <c r="J770" i="13"/>
  <c r="J749" i="13"/>
  <c r="J736" i="13"/>
  <c r="J729" i="13"/>
  <c r="J711" i="13"/>
  <c r="J692" i="13"/>
  <c r="J671" i="13"/>
  <c r="J661" i="13"/>
  <c r="J662" i="13"/>
  <c r="J648" i="13"/>
  <c r="J641" i="13"/>
  <c r="J592" i="13"/>
  <c r="J593" i="13"/>
  <c r="J575" i="13"/>
  <c r="J500" i="13"/>
  <c r="J494" i="13"/>
  <c r="J442" i="13"/>
  <c r="J440" i="13"/>
  <c r="J423" i="13"/>
  <c r="J409" i="13"/>
  <c r="J376" i="13"/>
  <c r="J347" i="13"/>
  <c r="J340" i="13"/>
  <c r="J322" i="13"/>
  <c r="J309" i="13"/>
  <c r="J266" i="13"/>
  <c r="J267" i="13"/>
  <c r="J172" i="13"/>
  <c r="J137" i="13"/>
  <c r="J133" i="13"/>
  <c r="J94" i="13"/>
  <c r="J74" i="13"/>
  <c r="J63" i="13"/>
  <c r="J45" i="13"/>
  <c r="J27" i="13"/>
  <c r="J6" i="13"/>
  <c r="J362" i="13"/>
  <c r="J353" i="13"/>
  <c r="J333" i="13"/>
  <c r="J316" i="13"/>
  <c r="J297" i="13"/>
  <c r="J298" i="13"/>
  <c r="J285" i="13"/>
  <c r="J292" i="13"/>
  <c r="J259" i="13"/>
  <c r="J246" i="13"/>
  <c r="J240" i="13"/>
  <c r="J241" i="13"/>
  <c r="J239" i="13"/>
  <c r="J228" i="13"/>
  <c r="J235" i="13"/>
  <c r="J236" i="13"/>
  <c r="J226" i="13"/>
  <c r="J227" i="13"/>
  <c r="J209" i="13"/>
  <c r="J210" i="13"/>
  <c r="J207" i="13"/>
  <c r="J208" i="13"/>
  <c r="J194" i="13"/>
  <c r="J195" i="13"/>
  <c r="J181" i="13"/>
  <c r="J182" i="13"/>
  <c r="J165" i="13"/>
  <c r="J166" i="13"/>
  <c r="J163" i="13"/>
  <c r="J143" i="13"/>
  <c r="J129" i="13"/>
  <c r="J109" i="13"/>
  <c r="J100" i="13"/>
  <c r="J101" i="13"/>
  <c r="J84" i="13"/>
  <c r="J81" i="13"/>
  <c r="J66" i="13"/>
  <c r="J67" i="13"/>
  <c r="J68" i="13"/>
  <c r="J7" i="13"/>
  <c r="J399" i="13"/>
  <c r="J390" i="13"/>
  <c r="J370" i="13"/>
  <c r="J349" i="13"/>
  <c r="J338" i="13"/>
  <c r="J317" i="13"/>
  <c r="J304" i="13"/>
  <c r="J282" i="13"/>
  <c r="J275" i="13"/>
  <c r="J146" i="13"/>
  <c r="J70" i="13"/>
  <c r="J35" i="13"/>
  <c r="J1788" i="13"/>
  <c r="J1816" i="13"/>
  <c r="J1820" i="13"/>
  <c r="J1810" i="13"/>
  <c r="J1806" i="13"/>
  <c r="J1799" i="13"/>
  <c r="J1803" i="13"/>
  <c r="J1794" i="13"/>
  <c r="J1798" i="13"/>
  <c r="J1777" i="13"/>
  <c r="J1759" i="13"/>
  <c r="J1740" i="13"/>
  <c r="J1735" i="13"/>
  <c r="J1715" i="13"/>
  <c r="J1692" i="13"/>
  <c r="J1690" i="13"/>
  <c r="J1651" i="13"/>
  <c r="J1792" i="13"/>
  <c r="J1796" i="13"/>
  <c r="J1781" i="13"/>
  <c r="J1763" i="13"/>
  <c r="J1756" i="13"/>
  <c r="J1739" i="13"/>
  <c r="J1727" i="13"/>
  <c r="J1716" i="13"/>
  <c r="J1710" i="13"/>
  <c r="J1696" i="13"/>
  <c r="J1647" i="13"/>
  <c r="J1779" i="13"/>
  <c r="J1773" i="13"/>
  <c r="J1768" i="13"/>
  <c r="J1752" i="13"/>
  <c r="J1748" i="13"/>
  <c r="J1744" i="13"/>
  <c r="J1733" i="13"/>
  <c r="J1687" i="13"/>
  <c r="J1675" i="13"/>
  <c r="J1679" i="13"/>
  <c r="J1633" i="13"/>
  <c r="J1629" i="13"/>
  <c r="J1625" i="13"/>
  <c r="J1623" i="13"/>
  <c r="J1621" i="13"/>
  <c r="J1617" i="13"/>
  <c r="J1602" i="13"/>
  <c r="J1606" i="13"/>
  <c r="J1610" i="13"/>
  <c r="J1597" i="13"/>
  <c r="J1601" i="13"/>
  <c r="J1591" i="13"/>
  <c r="J1587" i="13"/>
  <c r="J1583" i="13"/>
  <c r="J1576" i="13"/>
  <c r="J1571" i="13"/>
  <c r="J1562" i="13"/>
  <c r="J1566" i="13"/>
  <c r="J1570" i="13"/>
  <c r="J1552" i="13"/>
  <c r="J1556" i="13"/>
  <c r="J1547" i="13"/>
  <c r="J1551" i="13"/>
  <c r="J1544" i="13"/>
  <c r="J1535" i="13"/>
  <c r="J1539" i="13"/>
  <c r="J1531" i="13"/>
  <c r="J1523" i="13"/>
  <c r="J1517" i="13"/>
  <c r="J1521" i="13"/>
  <c r="J1514" i="13"/>
  <c r="J1506" i="13"/>
  <c r="J1510" i="13"/>
  <c r="J1501" i="13"/>
  <c r="J1496" i="13"/>
  <c r="J1498" i="13"/>
  <c r="J1493" i="13"/>
  <c r="J1495" i="13"/>
  <c r="J1489" i="13"/>
  <c r="J1491" i="13"/>
  <c r="J1461" i="13"/>
  <c r="J1433" i="13"/>
  <c r="J1430" i="13"/>
  <c r="J1427" i="13"/>
  <c r="J1421" i="13"/>
  <c r="J1402" i="13"/>
  <c r="J1394" i="13"/>
  <c r="J1395" i="13"/>
  <c r="J1377" i="13"/>
  <c r="J1364" i="13"/>
  <c r="J1367" i="13"/>
  <c r="J1368" i="13"/>
  <c r="J1354" i="13"/>
  <c r="J1358" i="13"/>
  <c r="J1350" i="13"/>
  <c r="J1352" i="13"/>
  <c r="J1349" i="13"/>
  <c r="J1345" i="13"/>
  <c r="J1341" i="13"/>
  <c r="J1338" i="13"/>
  <c r="J1334" i="13"/>
  <c r="J1325" i="13"/>
  <c r="J1329" i="13"/>
  <c r="J1316" i="13"/>
  <c r="J1310" i="13"/>
  <c r="J1314" i="13"/>
  <c r="J1309" i="13"/>
  <c r="J1297" i="13"/>
  <c r="J1301" i="13"/>
  <c r="J1296" i="13"/>
  <c r="J1289" i="13"/>
  <c r="J1285" i="13"/>
  <c r="J1279" i="13"/>
  <c r="J1283" i="13"/>
  <c r="J1276" i="13"/>
  <c r="J1271" i="13"/>
  <c r="J1268" i="13"/>
  <c r="J1264" i="13"/>
  <c r="J1257" i="13"/>
  <c r="J1261" i="13"/>
  <c r="J1252" i="13"/>
  <c r="J1246" i="13"/>
  <c r="J1248" i="13"/>
  <c r="J1238" i="13"/>
  <c r="J1242" i="13"/>
  <c r="J1232" i="13"/>
  <c r="J1234" i="13"/>
  <c r="J1236" i="13"/>
  <c r="J1229" i="13"/>
  <c r="J1227" i="13"/>
  <c r="J1221" i="13"/>
  <c r="J1206" i="13"/>
  <c r="J1193" i="13"/>
  <c r="J1194" i="13"/>
  <c r="J1187" i="13"/>
  <c r="J1182" i="13"/>
  <c r="J1180" i="13"/>
  <c r="J1181" i="13"/>
  <c r="J1170" i="13"/>
  <c r="J1171" i="13"/>
  <c r="J1156" i="13"/>
  <c r="J1481" i="13"/>
  <c r="J1478" i="13"/>
  <c r="J1465" i="13"/>
  <c r="J998" i="13"/>
  <c r="J985" i="13"/>
  <c r="J967" i="13"/>
  <c r="J948" i="13"/>
  <c r="J931" i="13"/>
  <c r="J1723" i="13"/>
  <c r="J1666" i="13"/>
  <c r="J1669" i="13"/>
  <c r="J1670" i="13"/>
  <c r="J1654" i="13"/>
  <c r="J1655" i="13"/>
  <c r="J1658" i="13"/>
  <c r="J1659" i="13"/>
  <c r="J1560" i="13"/>
  <c r="J1554" i="13"/>
  <c r="J1558" i="13"/>
  <c r="J1549" i="13"/>
  <c r="J1542" i="13"/>
  <c r="J1533" i="13"/>
  <c r="J1529" i="13"/>
  <c r="J1527" i="13"/>
  <c r="J1525" i="13"/>
  <c r="J1486" i="13"/>
  <c r="J1487" i="13"/>
  <c r="J1480" i="13"/>
  <c r="J1472" i="13"/>
  <c r="J1473" i="13"/>
  <c r="J1469" i="13"/>
  <c r="J1448" i="13"/>
  <c r="J1445" i="13"/>
  <c r="J1440" i="13"/>
  <c r="J1416" i="13"/>
  <c r="J1413" i="13"/>
  <c r="J1414" i="13"/>
  <c r="J1381" i="13"/>
  <c r="J1384" i="13"/>
  <c r="J1369" i="13"/>
  <c r="J1215" i="13"/>
  <c r="J1198" i="13"/>
  <c r="J1190" i="13"/>
  <c r="J1188" i="13"/>
  <c r="J1185" i="13"/>
  <c r="J1177" i="13"/>
  <c r="J1175" i="13"/>
  <c r="J1176" i="13"/>
  <c r="J1005" i="13"/>
  <c r="J1000" i="13"/>
  <c r="J980" i="13"/>
  <c r="J971" i="13"/>
  <c r="J952" i="13"/>
  <c r="J935" i="13"/>
  <c r="J922" i="13"/>
  <c r="J918" i="13"/>
  <c r="J907" i="13"/>
  <c r="J898" i="13"/>
  <c r="J890" i="13"/>
  <c r="J885" i="13"/>
  <c r="J874" i="13"/>
  <c r="J865" i="13"/>
  <c r="J855" i="13"/>
  <c r="J849" i="13"/>
  <c r="J847" i="13"/>
  <c r="J831" i="13"/>
  <c r="J828" i="13"/>
  <c r="J780" i="13"/>
  <c r="J777" i="13"/>
  <c r="J1786" i="13"/>
  <c r="J1790" i="13"/>
  <c r="J1719" i="13"/>
  <c r="J1713" i="13"/>
  <c r="J1712" i="13"/>
  <c r="J1702" i="13"/>
  <c r="J1705" i="13"/>
  <c r="J1706" i="13"/>
  <c r="J1686" i="13"/>
  <c r="J1646" i="13"/>
  <c r="J1649" i="13"/>
  <c r="J1650" i="13"/>
  <c r="J1642" i="13"/>
  <c r="J1643" i="13"/>
  <c r="J1637" i="13"/>
  <c r="J1638" i="13"/>
  <c r="J1479" i="13"/>
  <c r="J1475" i="13"/>
  <c r="J1463" i="13"/>
  <c r="J1434" i="13"/>
  <c r="J1437" i="13"/>
  <c r="J1438" i="13"/>
  <c r="J1405" i="13"/>
  <c r="J1408" i="13"/>
  <c r="J1398" i="13"/>
  <c r="J1379" i="13"/>
  <c r="J1371" i="13"/>
  <c r="J1217" i="13"/>
  <c r="J1202" i="13"/>
  <c r="J1023" i="13"/>
  <c r="J1020" i="13"/>
  <c r="J994" i="13"/>
  <c r="J988" i="13"/>
  <c r="J975" i="13"/>
  <c r="J961" i="13"/>
  <c r="J941" i="13"/>
  <c r="J926" i="13"/>
  <c r="J1037" i="13"/>
  <c r="J1018" i="13"/>
  <c r="J804" i="13"/>
  <c r="J791" i="13"/>
  <c r="J793" i="13"/>
  <c r="J735" i="13"/>
  <c r="J728" i="13"/>
  <c r="J710" i="13"/>
  <c r="J691" i="13"/>
  <c r="J683" i="13"/>
  <c r="J1038" i="13"/>
  <c r="J1031" i="13"/>
  <c r="J1019" i="13"/>
  <c r="J1014" i="13"/>
  <c r="J1004" i="13"/>
  <c r="J1008" i="13"/>
  <c r="J999" i="13"/>
  <c r="J993" i="13"/>
  <c r="J997" i="13"/>
  <c r="J992" i="13"/>
  <c r="J984" i="13"/>
  <c r="J987" i="13"/>
  <c r="J979" i="13"/>
  <c r="J982" i="13"/>
  <c r="J974" i="13"/>
  <c r="J977" i="13"/>
  <c r="J978" i="13"/>
  <c r="J965" i="13"/>
  <c r="J966" i="13"/>
  <c r="J969" i="13"/>
  <c r="J970" i="13"/>
  <c r="J959" i="13"/>
  <c r="J960" i="13"/>
  <c r="J963" i="13"/>
  <c r="J964" i="13"/>
  <c r="J956" i="13"/>
  <c r="J957" i="13"/>
  <c r="J950" i="13"/>
  <c r="J951" i="13"/>
  <c r="J946" i="13"/>
  <c r="J947" i="13"/>
  <c r="J943" i="13"/>
  <c r="J944" i="13"/>
  <c r="J939" i="13"/>
  <c r="J940" i="13"/>
  <c r="J933" i="13"/>
  <c r="J934" i="13"/>
  <c r="J937" i="13"/>
  <c r="J925" i="13"/>
  <c r="J928" i="13"/>
  <c r="J929" i="13"/>
  <c r="J921" i="13"/>
  <c r="J913" i="13"/>
  <c r="J917" i="13"/>
  <c r="J910" i="13"/>
  <c r="J906" i="13"/>
  <c r="J902" i="13"/>
  <c r="J897" i="13"/>
  <c r="J893" i="13"/>
  <c r="J889" i="13"/>
  <c r="J887" i="13"/>
  <c r="J884" i="13"/>
  <c r="J878" i="13"/>
  <c r="J873" i="13"/>
  <c r="J870" i="13"/>
  <c r="J864" i="13"/>
  <c r="J868" i="13"/>
  <c r="J854" i="13"/>
  <c r="J858" i="13"/>
  <c r="J848" i="13"/>
  <c r="J799" i="13"/>
  <c r="J789" i="13"/>
  <c r="J779" i="13"/>
  <c r="J772" i="13"/>
  <c r="J774" i="13"/>
  <c r="J776" i="13"/>
  <c r="J778" i="13"/>
  <c r="J769" i="13"/>
  <c r="J771" i="13"/>
  <c r="J763" i="13"/>
  <c r="J765" i="13"/>
  <c r="J1167" i="13"/>
  <c r="J1165" i="13"/>
  <c r="J1159" i="13"/>
  <c r="J1153" i="13"/>
  <c r="J1150" i="13"/>
  <c r="J1148" i="13"/>
  <c r="J1143" i="13"/>
  <c r="J1137" i="13"/>
  <c r="J1130" i="13"/>
  <c r="J1134" i="13"/>
  <c r="J1125" i="13"/>
  <c r="J1122" i="13"/>
  <c r="J1118" i="13"/>
  <c r="J1111" i="13"/>
  <c r="J1105" i="13"/>
  <c r="J1109" i="13"/>
  <c r="J1102" i="13"/>
  <c r="J1098" i="13"/>
  <c r="J1093" i="13"/>
  <c r="J1086" i="13"/>
  <c r="J1090" i="13"/>
  <c r="J1082" i="13"/>
  <c r="J1073" i="13"/>
  <c r="J1077" i="13"/>
  <c r="J1069" i="13"/>
  <c r="J1064" i="13"/>
  <c r="J1060" i="13"/>
  <c r="J1056" i="13"/>
  <c r="J1054" i="13"/>
  <c r="J1047" i="13"/>
  <c r="J1051" i="13"/>
  <c r="J1052" i="13"/>
  <c r="J1043" i="13"/>
  <c r="J1044" i="13"/>
  <c r="J1040" i="13"/>
  <c r="J1041" i="13"/>
  <c r="J811" i="13"/>
  <c r="J801" i="13"/>
  <c r="J795" i="13"/>
  <c r="J739" i="13"/>
  <c r="J720" i="13"/>
  <c r="J718" i="13"/>
  <c r="J688" i="13"/>
  <c r="J667" i="13"/>
  <c r="J1225" i="13"/>
  <c r="J1213" i="13"/>
  <c r="J1209" i="13"/>
  <c r="J1204" i="13"/>
  <c r="J1200" i="13"/>
  <c r="J1199" i="13"/>
  <c r="J1192" i="13"/>
  <c r="J1196" i="13"/>
  <c r="J1186" i="13"/>
  <c r="J1184" i="13"/>
  <c r="J1179" i="13"/>
  <c r="J1174" i="13"/>
  <c r="J1169" i="13"/>
  <c r="J1166" i="13"/>
  <c r="J1164" i="13"/>
  <c r="J1158" i="13"/>
  <c r="J1152" i="13"/>
  <c r="J1149" i="13"/>
  <c r="J1147" i="13"/>
  <c r="J1142" i="13"/>
  <c r="J1136" i="13"/>
  <c r="J1129" i="13"/>
  <c r="J1133" i="13"/>
  <c r="J1124" i="13"/>
  <c r="J1128" i="13"/>
  <c r="J1117" i="13"/>
  <c r="J1121" i="13"/>
  <c r="J1114" i="13"/>
  <c r="J1108" i="13"/>
  <c r="J1101" i="13"/>
  <c r="J1097" i="13"/>
  <c r="J1092" i="13"/>
  <c r="J1096" i="13"/>
  <c r="J1089" i="13"/>
  <c r="J1081" i="13"/>
  <c r="J1085" i="13"/>
  <c r="J1076" i="13"/>
  <c r="J1068" i="13"/>
  <c r="J1072" i="13"/>
  <c r="J1059" i="13"/>
  <c r="J1063" i="13"/>
  <c r="J1053" i="13"/>
  <c r="J1046" i="13"/>
  <c r="J1050" i="13"/>
  <c r="J923" i="13"/>
  <c r="J915" i="13"/>
  <c r="J908" i="13"/>
  <c r="J912" i="13"/>
  <c r="J900" i="13"/>
  <c r="J904" i="13"/>
  <c r="J899" i="13"/>
  <c r="J895" i="13"/>
  <c r="J891" i="13"/>
  <c r="J809" i="13"/>
  <c r="J794" i="13"/>
  <c r="J797" i="13"/>
  <c r="J663" i="13"/>
  <c r="J766" i="13"/>
  <c r="J767" i="13"/>
  <c r="J757" i="13"/>
  <c r="J758" i="13"/>
  <c r="J761" i="13"/>
  <c r="J753" i="13"/>
  <c r="J750" i="13"/>
  <c r="J751" i="13"/>
  <c r="J747" i="13"/>
  <c r="J748" i="13"/>
  <c r="J741" i="13"/>
  <c r="J742" i="13"/>
  <c r="J745" i="13"/>
  <c r="J734" i="13"/>
  <c r="J737" i="13"/>
  <c r="J738" i="13"/>
  <c r="J732" i="13"/>
  <c r="J733" i="13"/>
  <c r="J722" i="13"/>
  <c r="J723" i="13"/>
  <c r="J726" i="13"/>
  <c r="J727" i="13"/>
  <c r="J712" i="13"/>
  <c r="J713" i="13"/>
  <c r="J716" i="13"/>
  <c r="J717" i="13"/>
  <c r="J704" i="13"/>
  <c r="J705" i="13"/>
  <c r="J708" i="13"/>
  <c r="J709" i="13"/>
  <c r="J702" i="13"/>
  <c r="J703" i="13"/>
  <c r="J697" i="13"/>
  <c r="J698" i="13"/>
  <c r="J701" i="13"/>
  <c r="J690" i="13"/>
  <c r="J693" i="13"/>
  <c r="J694" i="13"/>
  <c r="J686" i="13"/>
  <c r="J687" i="13"/>
  <c r="J677" i="13"/>
  <c r="J678" i="13"/>
  <c r="J681" i="13"/>
  <c r="J682" i="13"/>
  <c r="J672" i="13"/>
  <c r="J673" i="13"/>
  <c r="J676" i="13"/>
  <c r="J666" i="13"/>
  <c r="J669" i="13"/>
  <c r="J670" i="13"/>
  <c r="J665" i="13"/>
  <c r="J660" i="13"/>
  <c r="J657" i="13"/>
  <c r="J658" i="13"/>
  <c r="J644" i="13"/>
  <c r="J628" i="13"/>
  <c r="J615" i="13"/>
  <c r="J579" i="13"/>
  <c r="J589" i="13"/>
  <c r="J574" i="13"/>
  <c r="J566" i="13"/>
  <c r="J507" i="13"/>
  <c r="J651" i="13"/>
  <c r="J633" i="13"/>
  <c r="J618" i="13"/>
  <c r="J569" i="13"/>
  <c r="J560" i="13"/>
  <c r="J564" i="13"/>
  <c r="J557" i="13"/>
  <c r="J553" i="13"/>
  <c r="J546" i="13"/>
  <c r="J550" i="13"/>
  <c r="J541" i="13"/>
  <c r="J531" i="13"/>
  <c r="J535" i="13"/>
  <c r="J525" i="13"/>
  <c r="J529" i="13"/>
  <c r="J518" i="13"/>
  <c r="J522" i="13"/>
  <c r="J485" i="13"/>
  <c r="J474" i="13"/>
  <c r="J475" i="13"/>
  <c r="J462" i="13"/>
  <c r="J463" i="13"/>
  <c r="J460" i="13"/>
  <c r="J456" i="13"/>
  <c r="J654" i="13"/>
  <c r="J655" i="13"/>
  <c r="J646" i="13"/>
  <c r="J647" i="13"/>
  <c r="J642" i="13"/>
  <c r="J643" i="13"/>
  <c r="J639" i="13"/>
  <c r="J640" i="13"/>
  <c r="J637" i="13"/>
  <c r="J632" i="13"/>
  <c r="J626" i="13"/>
  <c r="J627" i="13"/>
  <c r="J630" i="13"/>
  <c r="J631" i="13"/>
  <c r="J622" i="13"/>
  <c r="J623" i="13"/>
  <c r="J616" i="13"/>
  <c r="J617" i="13"/>
  <c r="J613" i="13"/>
  <c r="J614" i="13"/>
  <c r="J606" i="13"/>
  <c r="J607" i="13"/>
  <c r="J610" i="13"/>
  <c r="J611" i="13"/>
  <c r="J598" i="13"/>
  <c r="J599" i="13"/>
  <c r="J597" i="13"/>
  <c r="J584" i="13"/>
  <c r="J501" i="13"/>
  <c r="J497" i="13"/>
  <c r="J491" i="13"/>
  <c r="J496" i="13"/>
  <c r="J481" i="13"/>
  <c r="J484" i="13"/>
  <c r="J470" i="13"/>
  <c r="J472" i="13"/>
  <c r="J452" i="13"/>
  <c r="J572" i="13"/>
  <c r="J567" i="13"/>
  <c r="J571" i="13"/>
  <c r="J562" i="13"/>
  <c r="J555" i="13"/>
  <c r="J551" i="13"/>
  <c r="J544" i="13"/>
  <c r="J548" i="13"/>
  <c r="J539" i="13"/>
  <c r="J543" i="13"/>
  <c r="J533" i="13"/>
  <c r="J537" i="13"/>
  <c r="J527" i="13"/>
  <c r="J516" i="13"/>
  <c r="J520" i="13"/>
  <c r="J508" i="13"/>
  <c r="J509" i="13"/>
  <c r="J503" i="13"/>
  <c r="J486" i="13"/>
  <c r="J487" i="13"/>
  <c r="J493" i="13"/>
  <c r="J479" i="13"/>
  <c r="J458" i="13"/>
  <c r="J459" i="13"/>
  <c r="J638" i="13"/>
  <c r="J636" i="13"/>
  <c r="J634" i="13"/>
  <c r="J629" i="13"/>
  <c r="J621" i="13"/>
  <c r="J619" i="13"/>
  <c r="J605" i="13"/>
  <c r="J609" i="13"/>
  <c r="J603" i="13"/>
  <c r="J600" i="13"/>
  <c r="J594" i="13"/>
  <c r="J587" i="13"/>
  <c r="J588" i="13"/>
  <c r="J581" i="13"/>
  <c r="J585" i="13"/>
  <c r="J570" i="13"/>
  <c r="J561" i="13"/>
  <c r="J565" i="13"/>
  <c r="J558" i="13"/>
  <c r="J554" i="13"/>
  <c r="J547" i="13"/>
  <c r="J538" i="13"/>
  <c r="J542" i="13"/>
  <c r="J532" i="13"/>
  <c r="J536" i="13"/>
  <c r="J526" i="13"/>
  <c r="J515" i="13"/>
  <c r="J519" i="13"/>
  <c r="J511" i="13"/>
  <c r="J505" i="13"/>
  <c r="J489" i="13"/>
  <c r="J492" i="13"/>
  <c r="J476" i="13"/>
  <c r="J469" i="13"/>
  <c r="J464" i="13"/>
  <c r="J276" i="13"/>
  <c r="J296" i="13"/>
  <c r="J277" i="13"/>
  <c r="J269" i="13"/>
  <c r="J453" i="13"/>
  <c r="J434" i="13"/>
  <c r="J438" i="13"/>
  <c r="J429" i="13"/>
  <c r="J433" i="13"/>
  <c r="J427" i="13"/>
  <c r="J421" i="13"/>
  <c r="J416" i="13"/>
  <c r="J411" i="13"/>
  <c r="J403" i="13"/>
  <c r="J407" i="13"/>
  <c r="J397" i="13"/>
  <c r="J401" i="13"/>
  <c r="J393" i="13"/>
  <c r="J384" i="13"/>
  <c r="J388" i="13"/>
  <c r="J374" i="13"/>
  <c r="J378" i="13"/>
  <c r="J368" i="13"/>
  <c r="J372" i="13"/>
  <c r="J364" i="13"/>
  <c r="J346" i="13"/>
  <c r="J342" i="13"/>
  <c r="J336" i="13"/>
  <c r="J331" i="13"/>
  <c r="J320" i="13"/>
  <c r="J324" i="13"/>
  <c r="J328" i="13"/>
  <c r="J319" i="13"/>
  <c r="J314" i="13"/>
  <c r="J311" i="13"/>
  <c r="J301" i="13"/>
  <c r="J305" i="13"/>
  <c r="J294" i="13"/>
  <c r="J295" i="13"/>
  <c r="J287" i="13"/>
  <c r="J291" i="13"/>
  <c r="J280" i="13"/>
  <c r="J272" i="13"/>
  <c r="J253" i="13"/>
  <c r="J250" i="13"/>
  <c r="J447" i="13"/>
  <c r="J449" i="13"/>
  <c r="J435" i="13"/>
  <c r="J437" i="13"/>
  <c r="J439" i="13"/>
  <c r="J441" i="13"/>
  <c r="J430" i="13"/>
  <c r="J432" i="13"/>
  <c r="J424" i="13"/>
  <c r="J426" i="13"/>
  <c r="J428" i="13"/>
  <c r="J420" i="13"/>
  <c r="J422" i="13"/>
  <c r="J415" i="13"/>
  <c r="J417" i="13"/>
  <c r="J410" i="13"/>
  <c r="J412" i="13"/>
  <c r="J414" i="13"/>
  <c r="J404" i="13"/>
  <c r="J406" i="13"/>
  <c r="J408" i="13"/>
  <c r="J396" i="13"/>
  <c r="J398" i="13"/>
  <c r="J400" i="13"/>
  <c r="J402" i="13"/>
  <c r="J392" i="13"/>
  <c r="J394" i="13"/>
  <c r="J383" i="13"/>
  <c r="J385" i="13"/>
  <c r="J387" i="13"/>
  <c r="J389" i="13"/>
  <c r="J379" i="13"/>
  <c r="J381" i="13"/>
  <c r="J373" i="13"/>
  <c r="J375" i="13"/>
  <c r="J377" i="13"/>
  <c r="J365" i="13"/>
  <c r="J367" i="13"/>
  <c r="J369" i="13"/>
  <c r="J371" i="13"/>
  <c r="J361" i="13"/>
  <c r="J363" i="13"/>
  <c r="J354" i="13"/>
  <c r="J356" i="13"/>
  <c r="J358" i="13"/>
  <c r="J360" i="13"/>
  <c r="J348" i="13"/>
  <c r="J350" i="13"/>
  <c r="J352" i="13"/>
  <c r="J345" i="13"/>
  <c r="J339" i="13"/>
  <c r="J341" i="13"/>
  <c r="J343" i="13"/>
  <c r="J335" i="13"/>
  <c r="J337" i="13"/>
  <c r="J330" i="13"/>
  <c r="J332" i="13"/>
  <c r="J334" i="13"/>
  <c r="J321" i="13"/>
  <c r="J323" i="13"/>
  <c r="J325" i="13"/>
  <c r="J327" i="13"/>
  <c r="J329" i="13"/>
  <c r="J318" i="13"/>
  <c r="J315" i="13"/>
  <c r="J313" i="13"/>
  <c r="J308" i="13"/>
  <c r="J310" i="13"/>
  <c r="J312" i="13"/>
  <c r="J300" i="13"/>
  <c r="J302" i="13"/>
  <c r="J306" i="13"/>
  <c r="J268" i="13"/>
  <c r="J262" i="13"/>
  <c r="J238" i="13"/>
  <c r="J111" i="13"/>
  <c r="J286" i="13"/>
  <c r="J289" i="13"/>
  <c r="J290" i="13"/>
  <c r="J278" i="13"/>
  <c r="J279" i="13"/>
  <c r="J270" i="13"/>
  <c r="J271" i="13"/>
  <c r="J256" i="13"/>
  <c r="J245" i="13"/>
  <c r="J183" i="13"/>
  <c r="J98" i="13"/>
  <c r="J59" i="13"/>
  <c r="J31" i="13"/>
  <c r="J162" i="13"/>
  <c r="J158" i="13"/>
  <c r="J118" i="13"/>
  <c r="J90" i="13"/>
  <c r="J83" i="13"/>
  <c r="J77" i="13"/>
  <c r="J57" i="13"/>
  <c r="J50" i="13"/>
  <c r="J55" i="13"/>
  <c r="J23" i="13"/>
  <c r="J16" i="13"/>
  <c r="J21" i="13"/>
  <c r="J170" i="13"/>
  <c r="J160" i="13"/>
  <c r="J161" i="13"/>
  <c r="J164" i="13"/>
  <c r="J153" i="13"/>
  <c r="J156" i="13"/>
  <c r="J157" i="13"/>
  <c r="J152" i="13"/>
  <c r="J132" i="13"/>
  <c r="J117" i="13"/>
  <c r="J110" i="13"/>
  <c r="J114" i="13"/>
  <c r="J115" i="13"/>
  <c r="J116" i="13"/>
  <c r="J88" i="13"/>
  <c r="J89" i="13"/>
  <c r="J76" i="13"/>
  <c r="J80" i="13"/>
  <c r="J71" i="13"/>
  <c r="J65" i="13"/>
  <c r="J56" i="13"/>
  <c r="J54" i="13"/>
  <c r="J41" i="13"/>
  <c r="J46" i="13"/>
  <c r="J33" i="13"/>
  <c r="J22" i="13"/>
  <c r="J20" i="13"/>
  <c r="J197" i="13"/>
  <c r="J189" i="13"/>
  <c r="J147" i="13"/>
  <c r="J149" i="13"/>
  <c r="J151" i="13"/>
  <c r="J142" i="13"/>
  <c r="J144" i="13"/>
  <c r="J138" i="13"/>
  <c r="J130" i="13"/>
  <c r="J122" i="13"/>
  <c r="J126" i="13"/>
  <c r="J95" i="13"/>
  <c r="J85" i="13"/>
  <c r="J86" i="13"/>
  <c r="J60" i="13"/>
  <c r="J52" i="13"/>
  <c r="J53" i="13"/>
  <c r="J28" i="13"/>
  <c r="J18" i="13"/>
  <c r="J19" i="13"/>
  <c r="J9" i="13"/>
  <c r="J260" i="13"/>
  <c r="J261" i="13"/>
  <c r="J264" i="13"/>
  <c r="J265" i="13"/>
  <c r="J186" i="13"/>
  <c r="J191" i="13"/>
  <c r="J131" i="13"/>
  <c r="J134" i="13"/>
  <c r="J127" i="13"/>
  <c r="J104" i="13"/>
  <c r="J91" i="13"/>
  <c r="J75" i="13"/>
  <c r="J69" i="13"/>
  <c r="J58" i="13"/>
  <c r="J43" i="13"/>
  <c r="J44" i="13"/>
  <c r="J24" i="13"/>
  <c r="J13" i="13"/>
  <c r="J5" i="13"/>
  <c r="J1819" i="13"/>
  <c r="J1815" i="13"/>
  <c r="J1802" i="13"/>
  <c r="J1787" i="13"/>
  <c r="J1791" i="13"/>
  <c r="J1772" i="13"/>
  <c r="J1758" i="13"/>
  <c r="J1755" i="13"/>
  <c r="J1745" i="13"/>
  <c r="J1746" i="13"/>
  <c r="J1749" i="13"/>
  <c r="J1750" i="13"/>
  <c r="J1742" i="13"/>
  <c r="J1737" i="13"/>
  <c r="J1738" i="13"/>
  <c r="J1730" i="13"/>
  <c r="J1731" i="13"/>
  <c r="J1734" i="13"/>
  <c r="J1805" i="13"/>
  <c r="J1809" i="13"/>
  <c r="J1793" i="13"/>
  <c r="J1797" i="13"/>
  <c r="J1784" i="13"/>
  <c r="J1776" i="13"/>
  <c r="J1762" i="13"/>
  <c r="J1766" i="13"/>
  <c r="J1751" i="13"/>
  <c r="J1743" i="13"/>
  <c r="J1724" i="13"/>
  <c r="J1703" i="13"/>
  <c r="J1691" i="13"/>
  <c r="J1672" i="13"/>
  <c r="J1656" i="13"/>
  <c r="J1644" i="13"/>
  <c r="J1624" i="13"/>
  <c r="J1622" i="13"/>
  <c r="J1620" i="13"/>
  <c r="J1616" i="13"/>
  <c r="J1613" i="13"/>
  <c r="J1605" i="13"/>
  <c r="J1609" i="13"/>
  <c r="J1596" i="13"/>
  <c r="J1600" i="13"/>
  <c r="J1590" i="13"/>
  <c r="J1586" i="13"/>
  <c r="J1582" i="13"/>
  <c r="J1575" i="13"/>
  <c r="J1579" i="13"/>
  <c r="J1574" i="13"/>
  <c r="J1565" i="13"/>
  <c r="J1569" i="13"/>
  <c r="J1561" i="13"/>
  <c r="J1555" i="13"/>
  <c r="J1546" i="13"/>
  <c r="J1550" i="13"/>
  <c r="J1543" i="13"/>
  <c r="J1534" i="13"/>
  <c r="J1538" i="13"/>
  <c r="J1530" i="13"/>
  <c r="J1528" i="13"/>
  <c r="J1526" i="13"/>
  <c r="J1520" i="13"/>
  <c r="J1513" i="13"/>
  <c r="J1505" i="13"/>
  <c r="J1509" i="13"/>
  <c r="J1500" i="13"/>
  <c r="J1504" i="13"/>
  <c r="J1492" i="13"/>
  <c r="J1488" i="13"/>
  <c r="J1485" i="13"/>
  <c r="J1484" i="13"/>
  <c r="J1709" i="13"/>
  <c r="J1704" i="13"/>
  <c r="J1699" i="13"/>
  <c r="J1685" i="13"/>
  <c r="J1688" i="13"/>
  <c r="J1673" i="13"/>
  <c r="J1663" i="13"/>
  <c r="J1657" i="13"/>
  <c r="J1660" i="13"/>
  <c r="J1636" i="13"/>
  <c r="J1639" i="13"/>
  <c r="J1476" i="13"/>
  <c r="J1700" i="13"/>
  <c r="J1682" i="13"/>
  <c r="J1664" i="13"/>
  <c r="J1661" i="13"/>
  <c r="J1640" i="13"/>
  <c r="J1477" i="13"/>
  <c r="J1464" i="13"/>
  <c r="J1462" i="13"/>
  <c r="J1452" i="13"/>
  <c r="J1441" i="13"/>
  <c r="J1439" i="13"/>
  <c r="J1428" i="13"/>
  <c r="J1419" i="13"/>
  <c r="J1409" i="13"/>
  <c r="J1399" i="13"/>
  <c r="J1396" i="13"/>
  <c r="J1385" i="13"/>
  <c r="J1376" i="13"/>
  <c r="J1373" i="13"/>
  <c r="J1362" i="13"/>
  <c r="J1357" i="13"/>
  <c r="J1351" i="13"/>
  <c r="J1348" i="13"/>
  <c r="J1344" i="13"/>
  <c r="J1340" i="13"/>
  <c r="J1337" i="13"/>
  <c r="J1333" i="13"/>
  <c r="J1324" i="13"/>
  <c r="J1328" i="13"/>
  <c r="J1322" i="13"/>
  <c r="J1319" i="13"/>
  <c r="J1313" i="13"/>
  <c r="J1308" i="13"/>
  <c r="J1306" i="13"/>
  <c r="J1300" i="13"/>
  <c r="J1295" i="13"/>
  <c r="J1294" i="13"/>
  <c r="J1284" i="13"/>
  <c r="J1288" i="13"/>
  <c r="J1282" i="13"/>
  <c r="J1275" i="13"/>
  <c r="J1270" i="13"/>
  <c r="J1267" i="13"/>
  <c r="J1263" i="13"/>
  <c r="J1256" i="13"/>
  <c r="J1260" i="13"/>
  <c r="J1251" i="13"/>
  <c r="J1245" i="13"/>
  <c r="J1244" i="13"/>
  <c r="J1241" i="13"/>
  <c r="J1233" i="13"/>
  <c r="J1237" i="13"/>
  <c r="J1226" i="13"/>
  <c r="J1220" i="13"/>
  <c r="J1224" i="13"/>
  <c r="J1218" i="13"/>
  <c r="J1208" i="13"/>
  <c r="J1212" i="13"/>
  <c r="J1207" i="13"/>
  <c r="J1203" i="13"/>
  <c r="J1191" i="13"/>
  <c r="J1195" i="13"/>
  <c r="J1189" i="13"/>
  <c r="J1183" i="13"/>
  <c r="J1178" i="13"/>
  <c r="J1173" i="13"/>
  <c r="J1168" i="13"/>
  <c r="J1172" i="13"/>
  <c r="J1163" i="13"/>
  <c r="J1157" i="13"/>
  <c r="J1161" i="13"/>
  <c r="J1155" i="13"/>
  <c r="J1146" i="13"/>
  <c r="J1141" i="13"/>
  <c r="J1145" i="13"/>
  <c r="J1139" i="13"/>
  <c r="J1132" i="13"/>
  <c r="J1123" i="13"/>
  <c r="J1127" i="13"/>
  <c r="J1116" i="13"/>
  <c r="J1120" i="13"/>
  <c r="J1113" i="13"/>
  <c r="J1107" i="13"/>
  <c r="J1100" i="13"/>
  <c r="J1104" i="13"/>
  <c r="J1091" i="13"/>
  <c r="J1095" i="13"/>
  <c r="J1088" i="13"/>
  <c r="J1080" i="13"/>
  <c r="J1084" i="13"/>
  <c r="J1075" i="13"/>
  <c r="J1067" i="13"/>
  <c r="J1071" i="13"/>
  <c r="J1066" i="13"/>
  <c r="J1062" i="13"/>
  <c r="J1058" i="13"/>
  <c r="J1045" i="13"/>
  <c r="J1049" i="13"/>
  <c r="J1375" i="13"/>
  <c r="J1372" i="13"/>
  <c r="J1035" i="13"/>
  <c r="J1036" i="13"/>
  <c r="J1458" i="13"/>
  <c r="J1456" i="13"/>
  <c r="J1449" i="13"/>
  <c r="J1435" i="13"/>
  <c r="J1429" i="13"/>
  <c r="J1424" i="13"/>
  <c r="J1411" i="13"/>
  <c r="J1406" i="13"/>
  <c r="J1403" i="13"/>
  <c r="J1389" i="13"/>
  <c r="J1382" i="13"/>
  <c r="J1032" i="13"/>
  <c r="J1017" i="13"/>
  <c r="J808" i="13"/>
  <c r="J803" i="13"/>
  <c r="J788" i="13"/>
  <c r="J785" i="13"/>
  <c r="J601" i="13"/>
  <c r="J602" i="13"/>
  <c r="J807" i="13"/>
  <c r="J802" i="13"/>
  <c r="J798" i="13"/>
  <c r="J784" i="13"/>
  <c r="J786" i="13"/>
  <c r="J625" i="13"/>
  <c r="J604" i="13"/>
  <c r="J595" i="13"/>
  <c r="J582" i="13"/>
  <c r="J586" i="13"/>
  <c r="J466" i="13"/>
  <c r="J591" i="13"/>
  <c r="J573" i="13"/>
  <c r="J568" i="13"/>
  <c r="J559" i="13"/>
  <c r="J563" i="13"/>
  <c r="J556" i="13"/>
  <c r="J552" i="13"/>
  <c r="J545" i="13"/>
  <c r="J549" i="13"/>
  <c r="J540" i="13"/>
  <c r="J530" i="13"/>
  <c r="J534" i="13"/>
  <c r="J524" i="13"/>
  <c r="J528" i="13"/>
  <c r="J517" i="13"/>
  <c r="J521" i="13"/>
  <c r="J513" i="13"/>
  <c r="J596" i="13"/>
  <c r="J583" i="13"/>
  <c r="J303" i="13"/>
  <c r="J514" i="13"/>
  <c r="J480" i="13"/>
  <c r="J468" i="13"/>
  <c r="J457" i="13"/>
  <c r="J307" i="13"/>
  <c r="J281" i="13"/>
  <c r="J263" i="13"/>
  <c r="J188" i="13"/>
  <c r="J284" i="13"/>
  <c r="J273" i="13"/>
  <c r="J254" i="13"/>
  <c r="J196" i="13"/>
  <c r="J192" i="13"/>
  <c r="J175" i="13"/>
  <c r="J154" i="13"/>
  <c r="J145" i="13"/>
  <c r="J135" i="13"/>
  <c r="J119" i="13"/>
  <c r="J120" i="13"/>
  <c r="J176" i="13"/>
  <c r="J167" i="13"/>
  <c r="J155" i="13"/>
  <c r="J136" i="13"/>
  <c r="J123" i="13"/>
  <c r="J107" i="13"/>
  <c r="J179" i="13"/>
  <c r="J168" i="13"/>
  <c r="J171" i="13"/>
  <c r="J159" i="13"/>
  <c r="J148" i="13"/>
  <c r="J140" i="13"/>
  <c r="J128" i="13"/>
  <c r="J121" i="13"/>
  <c r="J112" i="13"/>
  <c r="J108" i="13"/>
  <c r="J99" i="13"/>
  <c r="J92" i="13"/>
  <c r="J82" i="13"/>
  <c r="J72" i="13"/>
  <c r="J73" i="13"/>
  <c r="J48" i="13"/>
  <c r="J49" i="13"/>
  <c r="J47" i="13"/>
  <c r="J34" i="13"/>
  <c r="J25" i="13"/>
  <c r="J26" i="13"/>
  <c r="J12" i="13"/>
  <c r="J3" i="13"/>
  <c r="J96" i="13"/>
  <c r="J97" i="13"/>
  <c r="J78" i="13"/>
  <c r="J79" i="13"/>
  <c r="J61" i="13"/>
  <c r="J62" i="13"/>
  <c r="J39" i="13"/>
  <c r="J40" i="13"/>
  <c r="J29" i="13"/>
  <c r="J30" i="13"/>
  <c r="J10" i="13"/>
  <c r="J11" i="13"/>
  <c r="J14" i="13"/>
  <c r="J15" i="13"/>
</calcChain>
</file>

<file path=xl/sharedStrings.xml><?xml version="1.0" encoding="utf-8"?>
<sst xmlns="http://schemas.openxmlformats.org/spreadsheetml/2006/main" count="3652" uniqueCount="2208">
  <si>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</si>
  <si>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</si>
  <si>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</si>
  <si>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</si>
  <si>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</si>
  <si>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</si>
  <si>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</si>
  <si>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</si>
  <si>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</si>
  <si>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</si>
  <si>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</si>
  <si>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</si>
  <si>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</si>
  <si>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</si>
  <si>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</si>
  <si>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</si>
  <si>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</si>
  <si>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</si>
  <si>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</si>
  <si>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</si>
  <si>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</si>
  <si>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</si>
  <si>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AR5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</si>
  <si>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</si>
  <si>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</si>
  <si>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</si>
  <si>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</si>
  <si>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</si>
  <si>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</si>
  <si>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</si>
  <si>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</si>
  <si>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</si>
  <si>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</si>
  <si>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</si>
  <si>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</si>
  <si>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</si>
  <si>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</si>
  <si>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AYO10</t>
  </si>
  <si>
    <t>AYO11</t>
  </si>
  <si>
    <t>AYO12</t>
  </si>
  <si>
    <t>AYO13</t>
  </si>
  <si>
    <t>AYO14</t>
  </si>
  <si>
    <t>AYO15</t>
  </si>
  <si>
    <t>AYO16</t>
  </si>
  <si>
    <t>AN2</t>
  </si>
  <si>
    <t>AN4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</si>
  <si>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</si>
  <si>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</si>
  <si>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</si>
  <si>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</si>
  <si>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</si>
  <si>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</si>
  <si>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</si>
  <si>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</si>
  <si>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</si>
  <si>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</si>
  <si>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</si>
  <si>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</si>
  <si>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</si>
  <si>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</si>
  <si>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</si>
  <si>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AC13</t>
  </si>
  <si>
    <t>AC14</t>
  </si>
  <si>
    <t>AC16</t>
  </si>
  <si>
    <t>AC17</t>
  </si>
  <si>
    <t>AC18</t>
  </si>
  <si>
    <t>AC20</t>
  </si>
  <si>
    <t>AC21</t>
  </si>
  <si>
    <t>AC22</t>
  </si>
  <si>
    <t>AC24</t>
  </si>
  <si>
    <t>AC25</t>
  </si>
  <si>
    <t>AC27</t>
  </si>
  <si>
    <t>AC28</t>
  </si>
  <si>
    <t>AC29</t>
  </si>
  <si>
    <t>AC30</t>
  </si>
  <si>
    <t>AC31</t>
  </si>
  <si>
    <t>AC38</t>
  </si>
  <si>
    <t>AC40</t>
  </si>
  <si>
    <t>AC43</t>
  </si>
  <si>
    <t>AA1</t>
  </si>
  <si>
    <t>AA2</t>
  </si>
  <si>
    <t>AA4</t>
  </si>
  <si>
    <t>AA6</t>
  </si>
  <si>
    <t>AA7</t>
  </si>
  <si>
    <t>AA8</t>
  </si>
  <si>
    <t>AA10</t>
  </si>
  <si>
    <t>AAP1</t>
  </si>
  <si>
    <t>AAP4</t>
  </si>
  <si>
    <t>AAP5</t>
  </si>
  <si>
    <t>AAP6</t>
  </si>
  <si>
    <t>AAP7</t>
  </si>
  <si>
    <t>AAP12</t>
  </si>
  <si>
    <t>AAP13</t>
  </si>
  <si>
    <t>AAP14</t>
  </si>
  <si>
    <t>AAP15</t>
  </si>
  <si>
    <t>LED1</t>
  </si>
  <si>
    <t>LED2</t>
  </si>
  <si>
    <t>LED5</t>
  </si>
  <si>
    <t>LED6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</si>
  <si>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</si>
  <si>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</si>
  <si>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</si>
  <si>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</si>
  <si>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</si>
  <si>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</si>
  <si>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</si>
  <si>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</si>
  <si>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</si>
  <si>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LED18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</si>
  <si>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</si>
  <si>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</si>
  <si>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</si>
  <si>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</si>
  <si>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</si>
  <si>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</si>
  <si>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</si>
  <si>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</si>
  <si>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</si>
  <si>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</si>
  <si>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</si>
  <si>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</si>
  <si>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</si>
  <si>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</si>
  <si>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LED36</t>
  </si>
  <si>
    <t>LED38</t>
  </si>
  <si>
    <t>LED40</t>
  </si>
  <si>
    <t>LED43</t>
  </si>
  <si>
    <t>LED44</t>
  </si>
  <si>
    <t>LED45</t>
  </si>
  <si>
    <t>LED47</t>
  </si>
  <si>
    <t>LED48</t>
  </si>
  <si>
    <t>LED49</t>
  </si>
  <si>
    <t>LED50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</si>
  <si>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</si>
  <si>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</si>
  <si>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</si>
  <si>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</si>
  <si>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</si>
  <si>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</si>
  <si>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</si>
  <si>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</si>
  <si>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LED61</t>
  </si>
  <si>
    <t>LED63</t>
  </si>
  <si>
    <t>LED65</t>
  </si>
  <si>
    <t>LED66</t>
  </si>
  <si>
    <t>LED68</t>
  </si>
  <si>
    <t>LED69</t>
  </si>
  <si>
    <t>LED70</t>
  </si>
  <si>
    <t>LED71</t>
  </si>
  <si>
    <t>LED73</t>
  </si>
  <si>
    <t>LED77</t>
  </si>
  <si>
    <t>LED79</t>
  </si>
  <si>
    <t>LED81</t>
  </si>
  <si>
    <t>LED82</t>
  </si>
  <si>
    <t>LED83</t>
  </si>
  <si>
    <t>LED86</t>
  </si>
  <si>
    <t>LED88</t>
  </si>
  <si>
    <t>LED89</t>
  </si>
  <si>
    <t>LED91</t>
  </si>
  <si>
    <t>LED92</t>
  </si>
  <si>
    <t>LED93</t>
  </si>
  <si>
    <t>LED94</t>
  </si>
  <si>
    <t>AP1</t>
  </si>
  <si>
    <t>AP2</t>
  </si>
  <si>
    <t>AP4</t>
  </si>
  <si>
    <t>AP5</t>
  </si>
  <si>
    <t>AP6</t>
  </si>
  <si>
    <t>AP10</t>
  </si>
  <si>
    <t>AP11</t>
  </si>
  <si>
    <t>AP12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</si>
  <si>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</si>
  <si>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</si>
  <si>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</si>
  <si>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</si>
  <si>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</si>
  <si>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</si>
  <si>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</si>
  <si>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</si>
  <si>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</si>
  <si>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</si>
  <si>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</si>
  <si>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AP34</t>
  </si>
  <si>
    <t>AP35</t>
  </si>
  <si>
    <t>AP36</t>
  </si>
  <si>
    <t>AP37</t>
  </si>
  <si>
    <t>AP38</t>
  </si>
  <si>
    <t>AP40</t>
  </si>
  <si>
    <t>AP41</t>
  </si>
  <si>
    <t>AP42</t>
  </si>
  <si>
    <t>AP44</t>
  </si>
  <si>
    <t>AP47</t>
  </si>
  <si>
    <t>AP48</t>
  </si>
  <si>
    <t>AP49</t>
  </si>
  <si>
    <t>AP50</t>
  </si>
  <si>
    <t>AP51</t>
  </si>
  <si>
    <t>AL1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</si>
  <si>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</si>
  <si>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</si>
  <si>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</si>
  <si>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</si>
  <si>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</si>
  <si>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</si>
  <si>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</si>
  <si>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</si>
  <si>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</si>
  <si>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</si>
  <si>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</si>
  <si>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</si>
  <si>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</si>
  <si>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</si>
  <si>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AL22</t>
  </si>
  <si>
    <t>AL23</t>
  </si>
  <si>
    <t>AL25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</si>
  <si>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</si>
  <si>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</si>
  <si>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</si>
  <si>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</si>
  <si>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</si>
  <si>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</si>
  <si>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</si>
  <si>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</si>
  <si>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</si>
  <si>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</si>
  <si>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</si>
  <si>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</si>
  <si>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</si>
  <si>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</si>
  <si>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AL45</t>
  </si>
  <si>
    <t>AL46</t>
  </si>
  <si>
    <t>AL49</t>
  </si>
  <si>
    <t>AL50</t>
  </si>
  <si>
    <t>AL52</t>
  </si>
  <si>
    <t>AL53</t>
  </si>
  <si>
    <t>AL55</t>
  </si>
  <si>
    <t>AL58</t>
  </si>
  <si>
    <t>AL59</t>
  </si>
  <si>
    <t>AL60</t>
  </si>
  <si>
    <t>AL62</t>
  </si>
  <si>
    <t>AL63</t>
  </si>
  <si>
    <t>AL64</t>
  </si>
  <si>
    <t>AL65</t>
  </si>
  <si>
    <t>AL66</t>
  </si>
  <si>
    <t>AL68</t>
  </si>
  <si>
    <t>AL69</t>
  </si>
  <si>
    <t>AL70</t>
  </si>
  <si>
    <t>AL71</t>
  </si>
  <si>
    <t>AL72</t>
  </si>
  <si>
    <t>AL73</t>
  </si>
  <si>
    <t>AL74</t>
  </si>
  <si>
    <t>AL76</t>
  </si>
  <si>
    <t>AL77</t>
  </si>
  <si>
    <t>AL78</t>
  </si>
  <si>
    <t>AL79</t>
  </si>
  <si>
    <t>AL80</t>
  </si>
  <si>
    <t>AL82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</si>
  <si>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</si>
  <si>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</si>
  <si>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</si>
  <si>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</si>
  <si>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</si>
  <si>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</si>
  <si>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</si>
  <si>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</si>
  <si>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</si>
  <si>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</si>
  <si>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</si>
  <si>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</si>
  <si>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</si>
  <si>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AL106</t>
  </si>
  <si>
    <t>AL107</t>
  </si>
  <si>
    <t>AL108</t>
  </si>
  <si>
    <t>AL110</t>
  </si>
  <si>
    <t>AK2</t>
  </si>
  <si>
    <t>AK3</t>
  </si>
  <si>
    <t>AK4</t>
  </si>
  <si>
    <t>AK6</t>
  </si>
  <si>
    <t>AK7</t>
  </si>
  <si>
    <t>AK9</t>
  </si>
  <si>
    <t>AK11</t>
  </si>
  <si>
    <t>AK12</t>
  </si>
  <si>
    <t>AK13</t>
  </si>
  <si>
    <t>AK15</t>
  </si>
  <si>
    <t>AK16</t>
  </si>
  <si>
    <t>AK17</t>
  </si>
  <si>
    <t>AK18</t>
  </si>
  <si>
    <t>AK30</t>
  </si>
  <si>
    <t>AK23</t>
  </si>
  <si>
    <t>AK24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</si>
  <si>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</si>
  <si>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</si>
  <si>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</si>
  <si>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</si>
  <si>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</si>
  <si>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</si>
  <si>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</si>
  <si>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</si>
  <si>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</si>
  <si>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AB9</t>
  </si>
  <si>
    <t>AB10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</si>
  <si>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</si>
  <si>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</si>
  <si>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</si>
  <si>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</si>
  <si>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</si>
  <si>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</si>
  <si>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</si>
  <si>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</si>
  <si>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</si>
  <si>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</si>
  <si>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</si>
  <si>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</si>
  <si>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</si>
  <si>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</si>
  <si>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</si>
  <si>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</si>
  <si>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</si>
  <si>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</si>
  <si>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</si>
  <si>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</si>
  <si>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</si>
  <si>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</si>
  <si>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</si>
  <si>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</si>
  <si>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</si>
  <si>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</si>
  <si>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</si>
  <si>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</si>
  <si>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</si>
  <si>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</si>
  <si>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</si>
  <si>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</si>
  <si>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</si>
  <si>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</si>
  <si>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</si>
  <si>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</si>
  <si>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</si>
  <si>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</si>
  <si>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</si>
  <si>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</si>
  <si>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</si>
  <si>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</si>
  <si>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</si>
  <si>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</si>
  <si>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</si>
  <si>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</si>
  <si>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</si>
  <si>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</si>
  <si>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</si>
  <si>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</si>
  <si>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</si>
  <si>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</si>
  <si>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</si>
  <si>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</si>
  <si>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</si>
  <si>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</si>
  <si>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</si>
  <si>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</si>
  <si>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</si>
  <si>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</si>
  <si>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</si>
  <si>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</si>
  <si>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</si>
  <si>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</si>
  <si>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</si>
  <si>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</si>
  <si>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</si>
  <si>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</si>
  <si>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</si>
  <si>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</si>
  <si>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</si>
  <si>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</si>
  <si>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</si>
  <si>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</si>
  <si>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</si>
  <si>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</si>
  <si>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</si>
  <si>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</si>
  <si>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</si>
  <si>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</si>
  <si>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</si>
  <si>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</si>
  <si>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</si>
  <si>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</si>
  <si>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</si>
  <si>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</si>
  <si>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</si>
  <si>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</si>
  <si>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2T1</t>
  </si>
  <si>
    <t>2T2</t>
  </si>
  <si>
    <t>2T3</t>
  </si>
  <si>
    <t>2T4</t>
  </si>
  <si>
    <t>2T5</t>
  </si>
  <si>
    <t>2T6</t>
  </si>
  <si>
    <t>2T7</t>
  </si>
  <si>
    <t>2T8</t>
  </si>
  <si>
    <t>2T9</t>
  </si>
  <si>
    <t>2T10</t>
  </si>
  <si>
    <t>2T11</t>
  </si>
  <si>
    <t>2T12</t>
  </si>
  <si>
    <t>2T13</t>
  </si>
  <si>
    <t>2T14</t>
  </si>
  <si>
    <t>2T15</t>
  </si>
  <si>
    <t>2T16</t>
  </si>
  <si>
    <t>2T17</t>
  </si>
  <si>
    <t>2T18</t>
  </si>
  <si>
    <t>2T19</t>
  </si>
  <si>
    <t>2T20</t>
  </si>
  <si>
    <t>2T21</t>
  </si>
  <si>
    <t>2T22</t>
  </si>
  <si>
    <t>2T23</t>
  </si>
  <si>
    <t>2T24</t>
  </si>
  <si>
    <t>2T25</t>
  </si>
  <si>
    <t>2T26</t>
  </si>
  <si>
    <t>2T27</t>
  </si>
  <si>
    <t>2T28</t>
  </si>
  <si>
    <t>2T29</t>
  </si>
  <si>
    <t>2T30</t>
  </si>
  <si>
    <t>2T31</t>
  </si>
  <si>
    <t>2T32</t>
  </si>
  <si>
    <t>2T33</t>
  </si>
  <si>
    <t>2T34</t>
  </si>
  <si>
    <t>2T35</t>
  </si>
  <si>
    <t>2T36</t>
  </si>
  <si>
    <t>2T37</t>
  </si>
  <si>
    <t>2T38</t>
  </si>
  <si>
    <t>2T39</t>
  </si>
  <si>
    <t>2T40</t>
  </si>
  <si>
    <t>2T41</t>
  </si>
  <si>
    <t>2T42</t>
  </si>
  <si>
    <t>2T43</t>
  </si>
  <si>
    <t>2T44</t>
  </si>
  <si>
    <t>2T45</t>
  </si>
  <si>
    <t>2T46</t>
  </si>
  <si>
    <t>2T47</t>
  </si>
  <si>
    <t>2T48</t>
  </si>
  <si>
    <t>2T49</t>
  </si>
  <si>
    <t>2T50</t>
  </si>
  <si>
    <t>2T51</t>
  </si>
  <si>
    <t>2T52</t>
  </si>
  <si>
    <t>2T53</t>
  </si>
  <si>
    <t>2T54</t>
  </si>
  <si>
    <t>2T55</t>
  </si>
  <si>
    <t>2T56</t>
  </si>
  <si>
    <t>2T57</t>
  </si>
  <si>
    <t>2T58</t>
  </si>
  <si>
    <t>2T59</t>
  </si>
  <si>
    <t>2T60</t>
  </si>
  <si>
    <t>2T61</t>
  </si>
  <si>
    <t>2T62</t>
  </si>
  <si>
    <t>2T63</t>
  </si>
  <si>
    <t>2T64</t>
  </si>
  <si>
    <t>2T65</t>
  </si>
  <si>
    <t>2T66</t>
  </si>
  <si>
    <t>2T67</t>
  </si>
  <si>
    <t>2T68</t>
  </si>
  <si>
    <t>2T69</t>
  </si>
  <si>
    <t>2T70</t>
  </si>
  <si>
    <t>2T71</t>
  </si>
  <si>
    <t>2T72</t>
  </si>
  <si>
    <t>2T73</t>
  </si>
  <si>
    <t>2T74</t>
  </si>
  <si>
    <t>2T75</t>
  </si>
  <si>
    <t>2T7529</t>
  </si>
  <si>
    <t>2T76</t>
  </si>
  <si>
    <t>2T77</t>
  </si>
  <si>
    <t>2T78</t>
  </si>
  <si>
    <t>2T79</t>
  </si>
  <si>
    <t>2T80</t>
  </si>
  <si>
    <t>2T81</t>
  </si>
  <si>
    <t>2T82</t>
  </si>
  <si>
    <t>2T83</t>
  </si>
  <si>
    <t>2T84</t>
  </si>
  <si>
    <t>2T85</t>
  </si>
  <si>
    <t>2T86</t>
  </si>
  <si>
    <t>2T87</t>
  </si>
  <si>
    <t>2T88</t>
  </si>
  <si>
    <t>2T89</t>
  </si>
  <si>
    <t>2T90</t>
  </si>
  <si>
    <t>2T7588</t>
  </si>
  <si>
    <t>2T91</t>
  </si>
  <si>
    <t>2T92</t>
  </si>
  <si>
    <t>2T93</t>
  </si>
  <si>
    <t>2T94</t>
  </si>
  <si>
    <t>2T95</t>
  </si>
  <si>
    <t>2T96</t>
  </si>
  <si>
    <t>2T97</t>
  </si>
  <si>
    <t>2T98</t>
  </si>
  <si>
    <t>2T99</t>
  </si>
  <si>
    <t>2T100</t>
  </si>
  <si>
    <t>2T101</t>
  </si>
  <si>
    <t>2T102</t>
  </si>
  <si>
    <t>2T103</t>
  </si>
  <si>
    <t>2T104</t>
  </si>
  <si>
    <t>2T105</t>
  </si>
  <si>
    <t>2T106</t>
  </si>
  <si>
    <t>2T107</t>
  </si>
  <si>
    <t>2T108</t>
  </si>
  <si>
    <t>2T109</t>
  </si>
  <si>
    <t>2T110</t>
  </si>
  <si>
    <t>2T111</t>
  </si>
  <si>
    <t>2T112</t>
  </si>
  <si>
    <t>2T113</t>
  </si>
  <si>
    <t>2T114</t>
  </si>
  <si>
    <t>2T115</t>
  </si>
  <si>
    <t>2T116</t>
  </si>
  <si>
    <t>2T117</t>
  </si>
  <si>
    <t>2T118</t>
  </si>
  <si>
    <t>2T119</t>
  </si>
  <si>
    <t>2T120</t>
  </si>
  <si>
    <t>2T121</t>
  </si>
  <si>
    <t>2T122</t>
  </si>
  <si>
    <t>2T123</t>
  </si>
  <si>
    <t>2T124</t>
  </si>
  <si>
    <t>2T125</t>
  </si>
  <si>
    <t>2T126</t>
  </si>
  <si>
    <t>2T127</t>
  </si>
  <si>
    <t>2T128</t>
  </si>
  <si>
    <t>2T129</t>
  </si>
  <si>
    <t>2T130</t>
  </si>
  <si>
    <t>2T131</t>
  </si>
  <si>
    <t>2T132</t>
  </si>
  <si>
    <t>2T133</t>
  </si>
  <si>
    <t>2T134</t>
  </si>
  <si>
    <t>2T135</t>
  </si>
  <si>
    <t>2T136</t>
  </si>
  <si>
    <t>2T137</t>
  </si>
  <si>
    <t>2T138</t>
  </si>
  <si>
    <t>2T139</t>
  </si>
  <si>
    <t>2T140</t>
  </si>
  <si>
    <t>2T141</t>
  </si>
  <si>
    <t>2T142</t>
  </si>
  <si>
    <t>2T143</t>
  </si>
  <si>
    <t>2T144</t>
  </si>
  <si>
    <t>2T145</t>
  </si>
  <si>
    <t>2T146</t>
  </si>
  <si>
    <t>2T147</t>
  </si>
  <si>
    <t>2T148</t>
  </si>
  <si>
    <t>2T149</t>
  </si>
  <si>
    <t>2T150</t>
  </si>
  <si>
    <t>2T151</t>
  </si>
  <si>
    <t>2T152</t>
  </si>
  <si>
    <t>2T153</t>
  </si>
  <si>
    <t>2T154</t>
  </si>
  <si>
    <t>2T155</t>
  </si>
  <si>
    <t>2T156</t>
  </si>
  <si>
    <t>2T157</t>
  </si>
  <si>
    <t>2T158</t>
  </si>
  <si>
    <t>2T159</t>
  </si>
  <si>
    <t>2T160</t>
  </si>
  <si>
    <t>2T161</t>
  </si>
  <si>
    <t>2T162</t>
  </si>
  <si>
    <t>2T163</t>
  </si>
  <si>
    <t>2T164</t>
  </si>
  <si>
    <t>2T165</t>
  </si>
  <si>
    <t>2T166</t>
  </si>
  <si>
    <t>2T167</t>
  </si>
  <si>
    <t>2T168</t>
  </si>
  <si>
    <t>2T169</t>
  </si>
  <si>
    <t>2T170</t>
  </si>
  <si>
    <t>2T171</t>
  </si>
  <si>
    <t>2T172</t>
  </si>
  <si>
    <t>2T173</t>
  </si>
  <si>
    <t>2T174</t>
  </si>
  <si>
    <t>2T175</t>
  </si>
  <si>
    <t>2T176</t>
  </si>
  <si>
    <t>2T177</t>
  </si>
  <si>
    <t>2T178</t>
  </si>
  <si>
    <t>2T179</t>
  </si>
  <si>
    <t>2T180</t>
  </si>
  <si>
    <t>2T181</t>
  </si>
  <si>
    <t>2T182</t>
  </si>
  <si>
    <t>2T183</t>
  </si>
  <si>
    <t>2T184</t>
  </si>
  <si>
    <t>2T185</t>
  </si>
  <si>
    <t>2T186</t>
  </si>
  <si>
    <t>2T187</t>
  </si>
  <si>
    <t>2T188</t>
  </si>
  <si>
    <t>2T189</t>
  </si>
  <si>
    <t>2T190</t>
  </si>
  <si>
    <t>2T191</t>
  </si>
  <si>
    <t>2T192</t>
  </si>
  <si>
    <t>2T193</t>
  </si>
  <si>
    <t>2T194</t>
  </si>
  <si>
    <t>2T195</t>
  </si>
  <si>
    <t>2T196</t>
  </si>
  <si>
    <t>2T197</t>
  </si>
  <si>
    <t>2T198</t>
  </si>
  <si>
    <t>2T199</t>
  </si>
  <si>
    <t>2T200</t>
  </si>
  <si>
    <t>2T201</t>
  </si>
  <si>
    <t>2T202</t>
  </si>
  <si>
    <t>2T203</t>
  </si>
  <si>
    <t>2T204</t>
  </si>
  <si>
    <t>2T205</t>
  </si>
  <si>
    <t>2T206</t>
  </si>
  <si>
    <t>2T207</t>
  </si>
  <si>
    <t>2T208</t>
  </si>
  <si>
    <t>2T209</t>
  </si>
  <si>
    <t>2T210</t>
  </si>
  <si>
    <t>2T211</t>
  </si>
  <si>
    <t>2T212</t>
  </si>
  <si>
    <t>2T213</t>
  </si>
  <si>
    <t>2T214</t>
  </si>
  <si>
    <t>2T215</t>
  </si>
  <si>
    <t>2T216</t>
  </si>
  <si>
    <t>2T7650</t>
  </si>
  <si>
    <t>2T217</t>
  </si>
  <si>
    <t>2T218</t>
  </si>
  <si>
    <t>2T219</t>
  </si>
  <si>
    <t>2T220</t>
  </si>
  <si>
    <t>2T221</t>
  </si>
  <si>
    <t>2T222</t>
  </si>
  <si>
    <t>2T223</t>
  </si>
  <si>
    <t>2T224</t>
  </si>
  <si>
    <t>2T225</t>
  </si>
  <si>
    <t>2T226</t>
  </si>
  <si>
    <t>2T227</t>
  </si>
  <si>
    <t>2T228</t>
  </si>
  <si>
    <t>2T229</t>
  </si>
  <si>
    <t>2T230</t>
  </si>
  <si>
    <t>2T231</t>
  </si>
  <si>
    <t>2T232</t>
  </si>
  <si>
    <t>2T233</t>
  </si>
  <si>
    <t>2T234</t>
  </si>
  <si>
    <t>2T235</t>
  </si>
  <si>
    <t>2T236</t>
  </si>
  <si>
    <t>2T237</t>
  </si>
  <si>
    <t>2T238</t>
  </si>
  <si>
    <t>2T239</t>
  </si>
  <si>
    <t>2T240</t>
  </si>
  <si>
    <t>2T241</t>
  </si>
  <si>
    <t>2T242</t>
  </si>
  <si>
    <t>2T243</t>
  </si>
  <si>
    <t>2T244</t>
  </si>
  <si>
    <t>2T245</t>
  </si>
  <si>
    <t>2T246</t>
  </si>
  <si>
    <t>2T247</t>
  </si>
  <si>
    <t>2T248</t>
  </si>
  <si>
    <t>2T249</t>
  </si>
  <si>
    <t>2T250</t>
  </si>
  <si>
    <t>2T251</t>
  </si>
  <si>
    <t>2T252</t>
  </si>
  <si>
    <t>2T253</t>
  </si>
  <si>
    <t>2T254</t>
  </si>
  <si>
    <t>2T255</t>
  </si>
  <si>
    <t>2T256</t>
  </si>
  <si>
    <t>2T257</t>
  </si>
  <si>
    <t>2T258</t>
  </si>
  <si>
    <t>2T259</t>
  </si>
  <si>
    <t>2T260</t>
  </si>
  <si>
    <t>2T261</t>
  </si>
  <si>
    <t>2T262</t>
  </si>
  <si>
    <t>2T263</t>
  </si>
  <si>
    <t>2T264</t>
  </si>
  <si>
    <t>2T265</t>
  </si>
  <si>
    <t>2T266</t>
  </si>
  <si>
    <t>2T267</t>
  </si>
  <si>
    <t>2T268</t>
  </si>
  <si>
    <t>2T269</t>
  </si>
  <si>
    <t>2T270</t>
  </si>
  <si>
    <t>2T271</t>
  </si>
  <si>
    <t>2T7661</t>
  </si>
  <si>
    <t>2T272</t>
  </si>
  <si>
    <t>2T273</t>
  </si>
  <si>
    <t>2T274</t>
  </si>
  <si>
    <t>2T275</t>
  </si>
  <si>
    <t>2T276</t>
  </si>
  <si>
    <t>2T277</t>
  </si>
  <si>
    <t>2T278</t>
  </si>
  <si>
    <t>2T279</t>
  </si>
  <si>
    <t>2T280</t>
  </si>
  <si>
    <t>2T281</t>
  </si>
  <si>
    <t>2T282</t>
  </si>
  <si>
    <t>2T283</t>
  </si>
  <si>
    <t>2T284</t>
  </si>
  <si>
    <t>2T285</t>
  </si>
  <si>
    <t>2T286</t>
  </si>
  <si>
    <t>2T287</t>
  </si>
  <si>
    <t>2T288</t>
  </si>
  <si>
    <t>2T289</t>
  </si>
  <si>
    <t>2T290</t>
  </si>
  <si>
    <t>2T291</t>
  </si>
  <si>
    <t>2T292</t>
  </si>
  <si>
    <t>2T293</t>
  </si>
  <si>
    <t>2T294</t>
  </si>
  <si>
    <t>2T295</t>
  </si>
  <si>
    <t>2T296</t>
  </si>
  <si>
    <t>2T297</t>
  </si>
  <si>
    <t>2T298</t>
  </si>
  <si>
    <t>2T299</t>
  </si>
  <si>
    <t>2T300</t>
  </si>
  <si>
    <t>2T301</t>
  </si>
  <si>
    <t>2T302</t>
  </si>
  <si>
    <t>2T303</t>
  </si>
  <si>
    <t>2T304</t>
  </si>
  <si>
    <t>2T305</t>
  </si>
  <si>
    <t>2T306</t>
  </si>
  <si>
    <t>LED39</t>
  </si>
  <si>
    <t>2T307</t>
  </si>
  <si>
    <t>2T308</t>
  </si>
  <si>
    <t>2T309</t>
  </si>
  <si>
    <t>2T310</t>
  </si>
  <si>
    <t>2T311</t>
  </si>
  <si>
    <t>2T312</t>
  </si>
  <si>
    <t>2T313</t>
  </si>
  <si>
    <t>2T314</t>
  </si>
  <si>
    <t>2T315</t>
  </si>
  <si>
    <t>2T316</t>
  </si>
  <si>
    <t>2T317</t>
  </si>
  <si>
    <t>2T318</t>
  </si>
  <si>
    <t>2T319</t>
  </si>
  <si>
    <t>2T320</t>
  </si>
  <si>
    <t>2T321</t>
  </si>
  <si>
    <t>2T322</t>
  </si>
  <si>
    <t>2T323</t>
  </si>
  <si>
    <t>2T324</t>
  </si>
  <si>
    <t>2T325</t>
  </si>
  <si>
    <t>2T326</t>
  </si>
  <si>
    <t>2T327</t>
  </si>
  <si>
    <t>2T328</t>
  </si>
  <si>
    <t>2T329</t>
  </si>
  <si>
    <t>2T330</t>
  </si>
  <si>
    <t>2T331</t>
  </si>
  <si>
    <t>2T332</t>
  </si>
  <si>
    <t>2T333</t>
  </si>
  <si>
    <t>2T334</t>
  </si>
  <si>
    <t>2T335</t>
  </si>
  <si>
    <t>2T336</t>
  </si>
  <si>
    <t>2T337</t>
  </si>
  <si>
    <t>2T338</t>
  </si>
  <si>
    <t>2T339</t>
  </si>
  <si>
    <t>2T340</t>
  </si>
  <si>
    <t>2T341</t>
  </si>
  <si>
    <t>2T342</t>
  </si>
  <si>
    <t>2T343</t>
  </si>
  <si>
    <t>2T344</t>
  </si>
  <si>
    <t>2T345</t>
  </si>
  <si>
    <t>2T346</t>
  </si>
  <si>
    <t>2T347</t>
  </si>
  <si>
    <t>2T348</t>
  </si>
  <si>
    <t>2T349</t>
  </si>
  <si>
    <t>2T350</t>
  </si>
  <si>
    <t>2T351</t>
  </si>
  <si>
    <t>2T352</t>
  </si>
  <si>
    <t>2T353</t>
  </si>
  <si>
    <t>2T354</t>
  </si>
  <si>
    <t>2T355</t>
  </si>
  <si>
    <t>2T356</t>
  </si>
  <si>
    <t>2T357</t>
  </si>
  <si>
    <t>2T358</t>
  </si>
  <si>
    <t>2T359</t>
  </si>
  <si>
    <t>2T360</t>
  </si>
  <si>
    <t>2T361</t>
  </si>
  <si>
    <t>2T362</t>
  </si>
  <si>
    <t>2T363</t>
  </si>
  <si>
    <t>2T364</t>
  </si>
  <si>
    <t>2T365</t>
  </si>
  <si>
    <t>2T366</t>
  </si>
  <si>
    <t>2T367</t>
  </si>
  <si>
    <t>2T368</t>
  </si>
  <si>
    <t>2T369</t>
  </si>
  <si>
    <t>2T370</t>
  </si>
  <si>
    <t>2T371</t>
  </si>
  <si>
    <t>2T372</t>
  </si>
  <si>
    <t>2T373</t>
  </si>
  <si>
    <t>2T374</t>
  </si>
  <si>
    <t>2T375</t>
  </si>
  <si>
    <t>2T376</t>
  </si>
  <si>
    <t>2T377</t>
  </si>
  <si>
    <t>2T378</t>
  </si>
  <si>
    <t>2T379</t>
  </si>
  <si>
    <t>2T380</t>
  </si>
  <si>
    <t>2T381</t>
  </si>
  <si>
    <t>2T382</t>
  </si>
  <si>
    <t>2T383</t>
  </si>
  <si>
    <t>2T384</t>
  </si>
  <si>
    <t>2T385</t>
  </si>
  <si>
    <t>2T386</t>
  </si>
  <si>
    <t>2T387</t>
  </si>
  <si>
    <t>2T388</t>
  </si>
  <si>
    <t>2T389</t>
  </si>
  <si>
    <t>2T390</t>
  </si>
  <si>
    <t>2T391</t>
  </si>
  <si>
    <t>2T392</t>
  </si>
  <si>
    <t>2T393</t>
  </si>
  <si>
    <t>2T394</t>
  </si>
  <si>
    <t>2T395</t>
  </si>
  <si>
    <t>2T396</t>
  </si>
  <si>
    <t>2T397</t>
  </si>
  <si>
    <t>2T398</t>
  </si>
  <si>
    <t>2T399</t>
  </si>
  <si>
    <t>2T400</t>
  </si>
  <si>
    <t>2T401</t>
  </si>
  <si>
    <t>2T7552</t>
  </si>
  <si>
    <t>2T402</t>
  </si>
  <si>
    <t>2T403</t>
  </si>
  <si>
    <t>2T404</t>
  </si>
  <si>
    <t>2T405</t>
  </si>
  <si>
    <t>2T406</t>
  </si>
  <si>
    <t>2T407</t>
  </si>
  <si>
    <t>2T408</t>
  </si>
  <si>
    <t>2T409</t>
  </si>
  <si>
    <t>2T410</t>
  </si>
  <si>
    <t>2T411</t>
  </si>
  <si>
    <t>2T412</t>
  </si>
  <si>
    <t>2T413</t>
  </si>
  <si>
    <t>2T414</t>
  </si>
  <si>
    <t>2T415</t>
  </si>
  <si>
    <t>2T416</t>
  </si>
  <si>
    <t>2T417</t>
  </si>
  <si>
    <t>2T418</t>
  </si>
  <si>
    <t>2T419</t>
  </si>
  <si>
    <t>2T420</t>
  </si>
  <si>
    <t>2T421</t>
  </si>
  <si>
    <t>2T422</t>
  </si>
  <si>
    <t>2T423</t>
  </si>
  <si>
    <t>2T424</t>
  </si>
  <si>
    <t>2T425</t>
  </si>
  <si>
    <t>2T426</t>
  </si>
  <si>
    <t>2T427</t>
  </si>
  <si>
    <t>2T428</t>
  </si>
  <si>
    <t>2T429</t>
  </si>
  <si>
    <t>LED17</t>
  </si>
  <si>
    <t>2T430</t>
  </si>
  <si>
    <t>2T431</t>
  </si>
  <si>
    <t>2T432</t>
  </si>
  <si>
    <t>2T433</t>
  </si>
  <si>
    <t>2T434</t>
  </si>
  <si>
    <t>2T435</t>
  </si>
  <si>
    <t>2T436</t>
  </si>
  <si>
    <t>2T437</t>
  </si>
  <si>
    <t>2T438</t>
  </si>
  <si>
    <t>2T439</t>
  </si>
  <si>
    <t>2T440</t>
  </si>
  <si>
    <t>2T441</t>
  </si>
  <si>
    <t>2T442</t>
  </si>
  <si>
    <t>2T443</t>
  </si>
  <si>
    <t>2T444</t>
  </si>
  <si>
    <t>2T445</t>
  </si>
  <si>
    <t>2T446</t>
  </si>
  <si>
    <t>2T447</t>
  </si>
  <si>
    <t>2T448</t>
  </si>
  <si>
    <t>2T449</t>
  </si>
  <si>
    <t>2T450</t>
  </si>
  <si>
    <t>2T451</t>
  </si>
  <si>
    <t>2T452</t>
  </si>
  <si>
    <t>2T453</t>
  </si>
  <si>
    <t>2T454</t>
  </si>
  <si>
    <t>2T455</t>
  </si>
  <si>
    <t>2T456</t>
  </si>
  <si>
    <t>2T457</t>
  </si>
  <si>
    <t>2T458</t>
  </si>
  <si>
    <t>2T459</t>
  </si>
  <si>
    <t>2T460</t>
  </si>
  <si>
    <t>2T461</t>
  </si>
  <si>
    <t>2T462</t>
  </si>
  <si>
    <t>2T463</t>
  </si>
  <si>
    <t>2T464</t>
  </si>
  <si>
    <t>2T465</t>
  </si>
  <si>
    <t>2T466</t>
  </si>
  <si>
    <t>2T467</t>
  </si>
  <si>
    <t>2T468</t>
  </si>
  <si>
    <t>2T469</t>
  </si>
  <si>
    <t>2T470</t>
  </si>
  <si>
    <t>2T471</t>
  </si>
  <si>
    <t>2T472</t>
  </si>
  <si>
    <t>2T473</t>
  </si>
  <si>
    <t>2T474</t>
  </si>
  <si>
    <t>2T475</t>
  </si>
  <si>
    <t>2T476</t>
  </si>
  <si>
    <t>2T477</t>
  </si>
  <si>
    <t>2T478</t>
  </si>
  <si>
    <t>2T479</t>
  </si>
  <si>
    <t>2T480</t>
  </si>
  <si>
    <t>2T481</t>
  </si>
  <si>
    <t>2T482</t>
  </si>
  <si>
    <t>2T483</t>
  </si>
  <si>
    <t>2T484</t>
  </si>
  <si>
    <t>2T485</t>
  </si>
  <si>
    <t>2T486</t>
  </si>
  <si>
    <t>2T487</t>
  </si>
  <si>
    <t>2T488</t>
  </si>
  <si>
    <t>2T489</t>
  </si>
  <si>
    <t>2T490</t>
  </si>
  <si>
    <t>2T491</t>
  </si>
  <si>
    <t>2T492</t>
  </si>
  <si>
    <t>2T493</t>
  </si>
  <si>
    <t>2T494</t>
  </si>
  <si>
    <t>2T495</t>
  </si>
  <si>
    <t>2T496</t>
  </si>
  <si>
    <t>2T497</t>
  </si>
  <si>
    <t>2T498</t>
  </si>
  <si>
    <t>2T499</t>
  </si>
  <si>
    <t>2T500</t>
  </si>
  <si>
    <t>2T501</t>
  </si>
  <si>
    <t>2T502</t>
  </si>
  <si>
    <t>2T503</t>
  </si>
  <si>
    <t>2T504</t>
  </si>
  <si>
    <t>2T505</t>
  </si>
  <si>
    <t>2T506</t>
  </si>
  <si>
    <t>2T507</t>
  </si>
  <si>
    <t>2T508</t>
  </si>
  <si>
    <t>2T7595</t>
  </si>
  <si>
    <t>2T509</t>
  </si>
  <si>
    <t>2T510</t>
  </si>
  <si>
    <t>2T511</t>
  </si>
  <si>
    <t>2T512</t>
  </si>
  <si>
    <t>2T513</t>
  </si>
  <si>
    <t>2T514</t>
  </si>
  <si>
    <t>2T515</t>
  </si>
  <si>
    <t>2T516</t>
  </si>
  <si>
    <t>2T517</t>
  </si>
  <si>
    <t>2T7513</t>
  </si>
  <si>
    <t>2T518</t>
  </si>
  <si>
    <t>2T519</t>
  </si>
  <si>
    <t>2T520</t>
  </si>
  <si>
    <t>2T521</t>
  </si>
  <si>
    <t>2T522</t>
  </si>
  <si>
    <t>2T523</t>
  </si>
  <si>
    <t>2T524</t>
  </si>
  <si>
    <t>2T525</t>
  </si>
  <si>
    <t>2T526</t>
  </si>
  <si>
    <t>2T527</t>
  </si>
  <si>
    <t>2T528</t>
  </si>
  <si>
    <t>2T529</t>
  </si>
  <si>
    <t>2T530</t>
  </si>
  <si>
    <t>2T531</t>
  </si>
  <si>
    <t>2T532</t>
  </si>
  <si>
    <t>2T533</t>
  </si>
  <si>
    <t>2T534</t>
  </si>
  <si>
    <t>2T535</t>
  </si>
  <si>
    <t>2T536</t>
  </si>
  <si>
    <t>2T537</t>
  </si>
  <si>
    <t>2T538</t>
  </si>
  <si>
    <t>2T539</t>
  </si>
  <si>
    <t>2T540</t>
  </si>
  <si>
    <t>2T541</t>
  </si>
  <si>
    <t>2T542</t>
  </si>
  <si>
    <t>2T543</t>
  </si>
  <si>
    <t>2T544</t>
  </si>
  <si>
    <t>2T545</t>
  </si>
  <si>
    <t>2T546</t>
  </si>
  <si>
    <t>2T547</t>
  </si>
  <si>
    <t>2T7538</t>
  </si>
  <si>
    <t>2T548</t>
  </si>
  <si>
    <t>2T549</t>
  </si>
  <si>
    <t>2T550</t>
  </si>
  <si>
    <t>2T551</t>
  </si>
  <si>
    <t>2T552</t>
  </si>
  <si>
    <t>2T553</t>
  </si>
  <si>
    <t>2T554</t>
  </si>
  <si>
    <t>2T555</t>
  </si>
  <si>
    <t>2T556</t>
  </si>
  <si>
    <t>2T557</t>
  </si>
  <si>
    <t>2T7564</t>
  </si>
  <si>
    <t>2T558</t>
  </si>
  <si>
    <t>2T559</t>
  </si>
  <si>
    <t>2T560</t>
  </si>
  <si>
    <t>2T561</t>
  </si>
  <si>
    <t>2T562</t>
  </si>
  <si>
    <t>2T7577</t>
  </si>
  <si>
    <t>2T563</t>
  </si>
  <si>
    <t>2T564</t>
  </si>
  <si>
    <t>2T565</t>
  </si>
  <si>
    <t>2T566</t>
  </si>
  <si>
    <t>2T567</t>
  </si>
  <si>
    <t>2T568</t>
  </si>
  <si>
    <t>2T569</t>
  </si>
  <si>
    <t>2T570</t>
  </si>
  <si>
    <t>2T571</t>
  </si>
  <si>
    <t>2T572</t>
  </si>
  <si>
    <t>2T573</t>
  </si>
  <si>
    <t>2T574</t>
  </si>
  <si>
    <t>2T575</t>
  </si>
  <si>
    <t>2T576</t>
  </si>
  <si>
    <t>2T577</t>
  </si>
  <si>
    <t>2T578</t>
  </si>
  <si>
    <t>2T579</t>
  </si>
  <si>
    <t>2T580</t>
  </si>
  <si>
    <t>2T581</t>
  </si>
  <si>
    <t>2T582</t>
  </si>
  <si>
    <t>2T583</t>
  </si>
  <si>
    <t>2T584</t>
  </si>
  <si>
    <t>2T585</t>
  </si>
  <si>
    <t>2T586</t>
  </si>
  <si>
    <t>2T587</t>
  </si>
  <si>
    <t>2T588</t>
  </si>
  <si>
    <t>2T589</t>
  </si>
  <si>
    <t>2T590</t>
  </si>
  <si>
    <t>2T591</t>
  </si>
  <si>
    <t>2T592</t>
  </si>
  <si>
    <t>2T593</t>
  </si>
  <si>
    <t>2T594</t>
  </si>
  <si>
    <t>2T595</t>
  </si>
  <si>
    <t>2T596</t>
  </si>
  <si>
    <t>2T597</t>
  </si>
  <si>
    <t>2T598</t>
  </si>
  <si>
    <t>2T599</t>
  </si>
  <si>
    <t>2T600</t>
  </si>
  <si>
    <t>2T601</t>
  </si>
  <si>
    <t>2T602</t>
  </si>
  <si>
    <t>2T603</t>
  </si>
  <si>
    <t>2T604</t>
  </si>
  <si>
    <t>2T605</t>
  </si>
  <si>
    <t>2T606</t>
  </si>
  <si>
    <t>2T607</t>
  </si>
  <si>
    <t>2T608</t>
  </si>
  <si>
    <t>2T609</t>
  </si>
  <si>
    <t>2T610</t>
  </si>
  <si>
    <t>2T611</t>
  </si>
  <si>
    <t>2T612</t>
  </si>
  <si>
    <t>2T613</t>
  </si>
  <si>
    <t>2T614</t>
  </si>
  <si>
    <t>2T615</t>
  </si>
  <si>
    <t>2T616</t>
  </si>
  <si>
    <t>2T617</t>
  </si>
  <si>
    <t>2T618</t>
  </si>
  <si>
    <t>2T619</t>
  </si>
  <si>
    <t>2T7592</t>
  </si>
  <si>
    <t>2T620</t>
  </si>
  <si>
    <t>2T621</t>
  </si>
  <si>
    <t>2T7631</t>
  </si>
  <si>
    <t>2T622</t>
  </si>
  <si>
    <t>2T623</t>
  </si>
  <si>
    <t>2T624</t>
  </si>
  <si>
    <t>2T625</t>
  </si>
  <si>
    <t>2T626</t>
  </si>
  <si>
    <t>2T627</t>
  </si>
  <si>
    <t>2T628</t>
  </si>
  <si>
    <t>2T629</t>
  </si>
  <si>
    <t>2T630</t>
  </si>
  <si>
    <t>2T631</t>
  </si>
  <si>
    <t>2T632</t>
  </si>
  <si>
    <t>2T633</t>
  </si>
  <si>
    <t>2T634</t>
  </si>
  <si>
    <t>2T635</t>
  </si>
  <si>
    <t>2T636</t>
  </si>
  <si>
    <t>2T637</t>
  </si>
  <si>
    <t>2T638</t>
  </si>
  <si>
    <t>2T639</t>
  </si>
  <si>
    <t>2T640</t>
  </si>
  <si>
    <t>2T641</t>
  </si>
  <si>
    <t>2T642</t>
  </si>
  <si>
    <t>2T643</t>
  </si>
  <si>
    <t>2T644</t>
  </si>
  <si>
    <t>2T645</t>
  </si>
  <si>
    <t>2T646</t>
  </si>
  <si>
    <t>2T647</t>
  </si>
  <si>
    <t>2T648</t>
  </si>
  <si>
    <t>2T649</t>
  </si>
  <si>
    <t>2T650</t>
  </si>
  <si>
    <t>2T651</t>
  </si>
  <si>
    <t>2T652</t>
  </si>
  <si>
    <t>2T653</t>
  </si>
  <si>
    <t>2T654</t>
  </si>
  <si>
    <t>2T655</t>
  </si>
  <si>
    <t>2T656</t>
  </si>
  <si>
    <t>2T657</t>
  </si>
  <si>
    <t>2T658</t>
  </si>
  <si>
    <t>2T659</t>
  </si>
  <si>
    <t>2T660</t>
  </si>
  <si>
    <t>2T661</t>
  </si>
  <si>
    <t>2T662</t>
  </si>
  <si>
    <t>2T663</t>
  </si>
  <si>
    <t>2T664</t>
  </si>
  <si>
    <t>2T665</t>
  </si>
  <si>
    <t>2T666</t>
  </si>
  <si>
    <t>2T667</t>
  </si>
  <si>
    <t>2T668</t>
  </si>
  <si>
    <t>2T669</t>
  </si>
  <si>
    <t>2T670</t>
  </si>
  <si>
    <t>2T671</t>
  </si>
  <si>
    <t>2T672</t>
  </si>
  <si>
    <t>2T673</t>
  </si>
  <si>
    <t>2T674</t>
  </si>
  <si>
    <t>2T675</t>
  </si>
  <si>
    <t>2T676</t>
  </si>
  <si>
    <t>2T677</t>
  </si>
  <si>
    <t>2T678</t>
  </si>
  <si>
    <t>2T679</t>
  </si>
  <si>
    <t>2T680</t>
  </si>
  <si>
    <t>2T681</t>
  </si>
  <si>
    <t>2T682</t>
  </si>
  <si>
    <t>2T683</t>
  </si>
  <si>
    <t>2T684</t>
  </si>
  <si>
    <t>2T685</t>
  </si>
  <si>
    <t>2T686</t>
  </si>
  <si>
    <t>2T687</t>
  </si>
  <si>
    <t>2T688</t>
  </si>
  <si>
    <t>2T689</t>
  </si>
  <si>
    <t>2T690</t>
  </si>
  <si>
    <t>2T691</t>
  </si>
  <si>
    <t>2T692</t>
  </si>
  <si>
    <t>2T693</t>
  </si>
  <si>
    <t>2T694</t>
  </si>
  <si>
    <t>2T695</t>
  </si>
  <si>
    <t>2T696</t>
  </si>
  <si>
    <t>2T697</t>
  </si>
  <si>
    <t>2T698</t>
  </si>
  <si>
    <t>2T699</t>
  </si>
  <si>
    <t>2T700</t>
  </si>
  <si>
    <t>2T701</t>
  </si>
  <si>
    <t>2T702</t>
  </si>
  <si>
    <t>2T703</t>
  </si>
  <si>
    <t>2T704</t>
  </si>
  <si>
    <t>2T705</t>
  </si>
  <si>
    <t>2T706</t>
  </si>
  <si>
    <t>2T707</t>
  </si>
  <si>
    <t>2T708</t>
  </si>
  <si>
    <t>2T709</t>
  </si>
  <si>
    <t>2T710</t>
  </si>
  <si>
    <t>2T711</t>
  </si>
  <si>
    <t>2T712</t>
  </si>
  <si>
    <t>2T713</t>
  </si>
  <si>
    <t>2T714</t>
  </si>
  <si>
    <t>2T715</t>
  </si>
  <si>
    <t>2T716</t>
  </si>
  <si>
    <t>2T717</t>
  </si>
  <si>
    <t>2T718</t>
  </si>
  <si>
    <t>2T719</t>
  </si>
  <si>
    <t>2T720</t>
  </si>
  <si>
    <t>2T721</t>
  </si>
  <si>
    <t>2T722</t>
  </si>
  <si>
    <t>2T723</t>
  </si>
  <si>
    <t>2T724</t>
  </si>
  <si>
    <t>2T725</t>
  </si>
  <si>
    <t>2T726</t>
  </si>
  <si>
    <t>2T727</t>
  </si>
  <si>
    <t>2T728</t>
  </si>
  <si>
    <t>2T729</t>
  </si>
  <si>
    <t>2T730</t>
  </si>
  <si>
    <t>2T731</t>
  </si>
  <si>
    <t>2T732</t>
  </si>
  <si>
    <t>2T733</t>
  </si>
  <si>
    <t>2T734</t>
  </si>
  <si>
    <t>2T735</t>
  </si>
  <si>
    <t>2T736</t>
  </si>
  <si>
    <t>2T737</t>
  </si>
  <si>
    <t>2T738</t>
  </si>
  <si>
    <t>2T739</t>
  </si>
  <si>
    <t>2T740</t>
  </si>
  <si>
    <t>2T741</t>
  </si>
  <si>
    <t>2T742</t>
  </si>
  <si>
    <t>2T743</t>
  </si>
  <si>
    <t>2T744</t>
  </si>
  <si>
    <t>2T745</t>
  </si>
  <si>
    <t>2T746</t>
  </si>
  <si>
    <t>2T747</t>
  </si>
  <si>
    <t>2T748</t>
  </si>
  <si>
    <t>2T749</t>
  </si>
  <si>
    <t>2T750</t>
  </si>
  <si>
    <t>2T751</t>
  </si>
  <si>
    <t>2T752</t>
  </si>
  <si>
    <t>2T7587</t>
  </si>
  <si>
    <t>2T753</t>
  </si>
  <si>
    <t>2T754</t>
  </si>
  <si>
    <t>2T755</t>
  </si>
  <si>
    <t>2T756</t>
  </si>
  <si>
    <t>2T757</t>
  </si>
  <si>
    <t>2T758</t>
  </si>
  <si>
    <t>2T759</t>
  </si>
  <si>
    <t>2T760</t>
  </si>
  <si>
    <t>2T761</t>
  </si>
  <si>
    <t>2T762</t>
  </si>
  <si>
    <t>2T7602</t>
  </si>
  <si>
    <t>2T763</t>
  </si>
  <si>
    <t>2T764</t>
  </si>
  <si>
    <t>2T765</t>
  </si>
  <si>
    <t>2T766</t>
  </si>
  <si>
    <t>2T767</t>
  </si>
  <si>
    <t>2T768</t>
  </si>
  <si>
    <t>2T769</t>
  </si>
  <si>
    <t>2T770</t>
  </si>
  <si>
    <t>2T771</t>
  </si>
  <si>
    <t>2T772</t>
  </si>
  <si>
    <t>2T773</t>
  </si>
  <si>
    <t>2T774</t>
  </si>
  <si>
    <t>2T775</t>
  </si>
  <si>
    <t>2T776</t>
  </si>
  <si>
    <t>2T777</t>
  </si>
  <si>
    <t>2T778</t>
  </si>
  <si>
    <t>2T779</t>
  </si>
  <si>
    <t>2T780</t>
  </si>
  <si>
    <t>2T781</t>
  </si>
  <si>
    <t>2T782</t>
  </si>
  <si>
    <t>2T783</t>
  </si>
  <si>
    <t>2T784</t>
  </si>
  <si>
    <t>2T785</t>
  </si>
  <si>
    <t>2T786</t>
  </si>
  <si>
    <t>2T787</t>
  </si>
  <si>
    <t>2T788</t>
  </si>
  <si>
    <t>2T789</t>
  </si>
  <si>
    <t>2T790</t>
  </si>
  <si>
    <t>2T791</t>
  </si>
  <si>
    <t>2T792</t>
  </si>
  <si>
    <t>2T793</t>
  </si>
  <si>
    <t>2T794</t>
  </si>
  <si>
    <t>2T795</t>
  </si>
  <si>
    <t>2T796</t>
  </si>
  <si>
    <t>2T797</t>
  </si>
  <si>
    <t>2T798</t>
  </si>
  <si>
    <t>2T799</t>
  </si>
  <si>
    <t>2T800</t>
  </si>
  <si>
    <t>2T801</t>
  </si>
  <si>
    <t>2T802</t>
  </si>
  <si>
    <t>2T803</t>
  </si>
  <si>
    <t>2T804</t>
  </si>
  <si>
    <t>2T805</t>
  </si>
  <si>
    <t>2T806</t>
  </si>
  <si>
    <t>2T807</t>
  </si>
  <si>
    <t>2T808</t>
  </si>
  <si>
    <t>2T809</t>
  </si>
  <si>
    <t>2T810</t>
  </si>
  <si>
    <t>2T811</t>
  </si>
  <si>
    <t>2T812</t>
  </si>
  <si>
    <t>2T813</t>
  </si>
  <si>
    <t>2T7600</t>
  </si>
  <si>
    <t>2T814</t>
  </si>
  <si>
    <t>2T815</t>
  </si>
  <si>
    <t>2T816</t>
  </si>
  <si>
    <t>2T817</t>
  </si>
  <si>
    <t>2T818</t>
  </si>
  <si>
    <t>2T819</t>
  </si>
  <si>
    <t>2T820</t>
  </si>
  <si>
    <t>2T821</t>
  </si>
  <si>
    <t>2T822</t>
  </si>
  <si>
    <t>2T823</t>
  </si>
  <si>
    <t>2T824</t>
  </si>
  <si>
    <t>2T825</t>
  </si>
  <si>
    <t>2T826</t>
  </si>
  <si>
    <t>2T827</t>
  </si>
  <si>
    <t>2T828</t>
  </si>
  <si>
    <t>2T829</t>
  </si>
  <si>
    <t>2T830</t>
  </si>
  <si>
    <t>2T831</t>
  </si>
  <si>
    <t>2T832</t>
  </si>
  <si>
    <t>2T833</t>
  </si>
  <si>
    <t>2T834</t>
  </si>
  <si>
    <t>2T835</t>
  </si>
  <si>
    <t>2T836</t>
  </si>
  <si>
    <t>2T837</t>
  </si>
  <si>
    <t>2T838</t>
  </si>
  <si>
    <t>2T839</t>
  </si>
  <si>
    <t>2T840</t>
  </si>
  <si>
    <t>2T841</t>
  </si>
  <si>
    <t>2T842</t>
  </si>
  <si>
    <t>2T843</t>
  </si>
  <si>
    <t>2T844</t>
  </si>
  <si>
    <t>2T845</t>
  </si>
  <si>
    <t>2T846</t>
  </si>
  <si>
    <t>2T847</t>
  </si>
  <si>
    <t>2T848</t>
  </si>
  <si>
    <t>2T849</t>
  </si>
  <si>
    <t>2T850</t>
  </si>
  <si>
    <t>2T851</t>
  </si>
  <si>
    <t>2T852</t>
  </si>
  <si>
    <t>2T853</t>
  </si>
  <si>
    <t>2T854</t>
  </si>
  <si>
    <t>2T855</t>
  </si>
  <si>
    <t>2T856</t>
  </si>
  <si>
    <t>2T857</t>
  </si>
  <si>
    <t>2T858</t>
  </si>
  <si>
    <t>2T859</t>
  </si>
  <si>
    <t>2T860</t>
  </si>
  <si>
    <t>2T861</t>
  </si>
  <si>
    <t>2T862</t>
  </si>
  <si>
    <t>2T863</t>
  </si>
  <si>
    <t>2T7534</t>
  </si>
  <si>
    <t>2T7611</t>
  </si>
  <si>
    <t>2T864</t>
  </si>
  <si>
    <t>2T865</t>
  </si>
  <si>
    <t>2T866</t>
  </si>
  <si>
    <t>2T867</t>
  </si>
  <si>
    <t>2T868</t>
  </si>
  <si>
    <t>2T869</t>
  </si>
  <si>
    <t>2T870</t>
  </si>
  <si>
    <t>2T871</t>
  </si>
  <si>
    <t>2T872</t>
  </si>
  <si>
    <t>2T873</t>
  </si>
  <si>
    <t>2T874</t>
  </si>
  <si>
    <t>2T875</t>
  </si>
  <si>
    <t>2T876</t>
  </si>
  <si>
    <t>2T877</t>
  </si>
  <si>
    <t>2T878</t>
  </si>
  <si>
    <t>2T879</t>
  </si>
  <si>
    <t>2T880</t>
  </si>
  <si>
    <t>2T881</t>
  </si>
  <si>
    <t>2T882</t>
  </si>
  <si>
    <t>2T883</t>
  </si>
  <si>
    <t>2T884</t>
  </si>
  <si>
    <t>2T885</t>
  </si>
  <si>
    <t>2T886</t>
  </si>
  <si>
    <t>2T887</t>
  </si>
  <si>
    <t>2T888</t>
  </si>
  <si>
    <t>2T889</t>
  </si>
  <si>
    <t>2T890</t>
  </si>
  <si>
    <t>2T891</t>
  </si>
  <si>
    <t>2T892</t>
  </si>
  <si>
    <t>2T893</t>
  </si>
  <si>
    <t>2T894</t>
  </si>
  <si>
    <t>2T895</t>
  </si>
  <si>
    <t>2T896</t>
  </si>
  <si>
    <t>2T897</t>
  </si>
  <si>
    <t>2T898</t>
  </si>
  <si>
    <t>2T899</t>
  </si>
  <si>
    <t>2T900</t>
  </si>
  <si>
    <t>2T901</t>
  </si>
  <si>
    <t>2T902</t>
  </si>
  <si>
    <t>2T903</t>
  </si>
  <si>
    <t>2T904</t>
  </si>
  <si>
    <t>2T905</t>
  </si>
  <si>
    <t>2T906</t>
  </si>
  <si>
    <t>2T907</t>
  </si>
  <si>
    <t>2T7537</t>
  </si>
  <si>
    <t>2T908</t>
  </si>
  <si>
    <t>2T909</t>
  </si>
  <si>
    <t>2T910</t>
  </si>
  <si>
    <t>2T911</t>
  </si>
  <si>
    <t>2T912</t>
  </si>
  <si>
    <t>2T913</t>
  </si>
  <si>
    <t>2T914</t>
  </si>
  <si>
    <t>2T915</t>
  </si>
  <si>
    <t>2T916</t>
  </si>
  <si>
    <t>2T917</t>
  </si>
  <si>
    <t>2T918</t>
  </si>
  <si>
    <t>2T919</t>
  </si>
  <si>
    <t>2T920</t>
  </si>
  <si>
    <t>2T921</t>
  </si>
  <si>
    <t>2T922</t>
  </si>
  <si>
    <t>2T923</t>
  </si>
  <si>
    <t>2T924</t>
  </si>
  <si>
    <t>2T925</t>
  </si>
  <si>
    <t>2T926</t>
  </si>
  <si>
    <t>2T927</t>
  </si>
  <si>
    <t>2T928</t>
  </si>
  <si>
    <t>2T929</t>
  </si>
  <si>
    <t>2T930</t>
  </si>
  <si>
    <t>2T931</t>
  </si>
  <si>
    <t>2T932</t>
  </si>
  <si>
    <t>2T933</t>
  </si>
  <si>
    <t>2T934</t>
  </si>
  <si>
    <t>2T935</t>
  </si>
  <si>
    <t>2T936</t>
  </si>
  <si>
    <t>2T937</t>
  </si>
  <si>
    <t>2T938</t>
  </si>
  <si>
    <t>2T939</t>
  </si>
  <si>
    <t>2T940</t>
  </si>
  <si>
    <t>2T941</t>
  </si>
  <si>
    <t>2T942</t>
  </si>
  <si>
    <t>2T943</t>
  </si>
  <si>
    <t>2T944</t>
  </si>
  <si>
    <t>2T945</t>
  </si>
  <si>
    <t>2T946</t>
  </si>
  <si>
    <t>2T947</t>
  </si>
  <si>
    <t>2T948</t>
  </si>
  <si>
    <t>2T949</t>
  </si>
  <si>
    <t>2T950</t>
  </si>
  <si>
    <t>2T951</t>
  </si>
  <si>
    <t>2T952</t>
  </si>
  <si>
    <t>2T953</t>
  </si>
  <si>
    <t>2T954</t>
  </si>
  <si>
    <t>2T955</t>
  </si>
  <si>
    <t>2T956</t>
  </si>
  <si>
    <t>2T957</t>
  </si>
  <si>
    <t>2T958</t>
  </si>
  <si>
    <t>2T959</t>
  </si>
  <si>
    <t>2T960</t>
  </si>
  <si>
    <t>2T961</t>
  </si>
  <si>
    <t>2T962</t>
  </si>
  <si>
    <t>2T963</t>
  </si>
  <si>
    <t>2T964</t>
  </si>
  <si>
    <t>2T965</t>
  </si>
  <si>
    <t>2T966</t>
  </si>
  <si>
    <t>2T967</t>
  </si>
  <si>
    <t>2T968</t>
  </si>
  <si>
    <t>2T969</t>
  </si>
  <si>
    <t>2T970</t>
  </si>
  <si>
    <t>2T971</t>
  </si>
  <si>
    <t>2T972</t>
  </si>
  <si>
    <t>2T973</t>
  </si>
  <si>
    <t>2T974</t>
  </si>
  <si>
    <t>2T975</t>
  </si>
  <si>
    <t>2T976</t>
  </si>
  <si>
    <t>2T977</t>
  </si>
  <si>
    <t>2T978</t>
  </si>
  <si>
    <t>2T979</t>
  </si>
  <si>
    <t>2T980</t>
  </si>
  <si>
    <t>2T981</t>
  </si>
  <si>
    <t>2T982</t>
  </si>
  <si>
    <t>2T983</t>
  </si>
  <si>
    <t>2T984</t>
  </si>
  <si>
    <t>2T985</t>
  </si>
  <si>
    <t>2T986</t>
  </si>
  <si>
    <t>2T987</t>
  </si>
  <si>
    <t>2T988</t>
  </si>
  <si>
    <t>2T989</t>
  </si>
  <si>
    <t>2T990</t>
  </si>
  <si>
    <t>2T7603</t>
  </si>
  <si>
    <t>2T991</t>
  </si>
  <si>
    <t>2T992</t>
  </si>
  <si>
    <t>2T993</t>
  </si>
  <si>
    <t>2T994</t>
  </si>
  <si>
    <t>2T995</t>
  </si>
  <si>
    <t>2T996</t>
  </si>
  <si>
    <t>2T997</t>
  </si>
  <si>
    <t>2T998</t>
  </si>
  <si>
    <t>2T999</t>
  </si>
  <si>
    <t>2T1000</t>
  </si>
  <si>
    <t>2T1001</t>
  </si>
  <si>
    <t>2T1002</t>
  </si>
  <si>
    <t>2T1003</t>
  </si>
  <si>
    <t>2T1004</t>
  </si>
  <si>
    <t>2T1005</t>
  </si>
  <si>
    <t>2T1006</t>
  </si>
  <si>
    <t>2T1007</t>
  </si>
  <si>
    <t>2T1008</t>
  </si>
  <si>
    <t>2T1009</t>
  </si>
  <si>
    <t>2T1010</t>
  </si>
  <si>
    <t>2T1011</t>
  </si>
  <si>
    <t>2T1012</t>
  </si>
  <si>
    <t>2T1013</t>
  </si>
  <si>
    <t>2T1014</t>
  </si>
  <si>
    <t>2T1015</t>
  </si>
  <si>
    <t>2T1016</t>
  </si>
  <si>
    <t>2T1017</t>
  </si>
  <si>
    <t>2T1018</t>
  </si>
  <si>
    <t>2T7521</t>
  </si>
  <si>
    <t>2T1019</t>
  </si>
  <si>
    <t>2T1020</t>
  </si>
  <si>
    <t>2T1021</t>
  </si>
  <si>
    <t>2T1022</t>
  </si>
  <si>
    <t>2T1023</t>
  </si>
  <si>
    <t>2T1024</t>
  </si>
  <si>
    <t>2T1025</t>
  </si>
  <si>
    <t>2T1026</t>
  </si>
  <si>
    <t>2T1027</t>
  </si>
  <si>
    <t>2T1028</t>
  </si>
  <si>
    <t>2T7557</t>
  </si>
  <si>
    <t>2T1029</t>
  </si>
  <si>
    <t>2T1030</t>
  </si>
  <si>
    <t>2T1031</t>
  </si>
  <si>
    <t>2T1032</t>
  </si>
  <si>
    <t>2T1033</t>
  </si>
  <si>
    <t>2T1034</t>
  </si>
  <si>
    <t>2T1035</t>
  </si>
  <si>
    <t>2T1036</t>
  </si>
  <si>
    <t>2T1037</t>
  </si>
  <si>
    <t>2T1038</t>
  </si>
  <si>
    <t>2T1039</t>
  </si>
  <si>
    <t>2T1040</t>
  </si>
  <si>
    <t>2T1041</t>
  </si>
  <si>
    <t>2T1042</t>
  </si>
  <si>
    <t>2T1043</t>
  </si>
  <si>
    <t>2T1044</t>
  </si>
  <si>
    <t>2T1045</t>
  </si>
  <si>
    <t>2T1046</t>
  </si>
  <si>
    <t>2T1047</t>
  </si>
  <si>
    <t>2T1048</t>
  </si>
  <si>
    <t>2T1049</t>
  </si>
  <si>
    <t>2T1050</t>
  </si>
  <si>
    <t>2T1051</t>
  </si>
  <si>
    <t>2T1052</t>
  </si>
  <si>
    <t>2T1053</t>
  </si>
  <si>
    <t>2T1054</t>
  </si>
  <si>
    <t>2T1055</t>
  </si>
  <si>
    <t>2T1056</t>
  </si>
  <si>
    <t>2T1057</t>
  </si>
  <si>
    <t>2T1058</t>
  </si>
  <si>
    <t>2T1059</t>
  </si>
  <si>
    <t>2T1060</t>
  </si>
  <si>
    <t>2T1061</t>
  </si>
  <si>
    <t>2T1062</t>
  </si>
  <si>
    <t>2T1063</t>
  </si>
  <si>
    <t>2T1064</t>
  </si>
  <si>
    <t>2T1065</t>
  </si>
  <si>
    <t>2T1066</t>
  </si>
  <si>
    <t>2T1067</t>
  </si>
  <si>
    <t>2T1068</t>
  </si>
  <si>
    <t>2T1069</t>
  </si>
  <si>
    <t>2T1070</t>
  </si>
  <si>
    <t>2T1071</t>
  </si>
  <si>
    <t>2T1072</t>
  </si>
  <si>
    <t>2T1073</t>
  </si>
  <si>
    <t>2T1074</t>
  </si>
  <si>
    <t>2T1075</t>
  </si>
  <si>
    <t>2T1076</t>
  </si>
  <si>
    <t>2T1077</t>
  </si>
  <si>
    <t>2T1078</t>
  </si>
  <si>
    <t>2T1079</t>
  </si>
  <si>
    <t>2T1080</t>
  </si>
  <si>
    <t>2T1081</t>
  </si>
  <si>
    <t>2T1082</t>
  </si>
  <si>
    <t>2T1083</t>
  </si>
  <si>
    <t>2T1084</t>
  </si>
  <si>
    <t>2T1085</t>
  </si>
  <si>
    <t>2T1086</t>
  </si>
  <si>
    <t>2T1087</t>
  </si>
  <si>
    <t>2T1088</t>
  </si>
  <si>
    <t>2T1089</t>
  </si>
  <si>
    <t>2T1090</t>
  </si>
  <si>
    <t>2T1091</t>
  </si>
  <si>
    <t>2T1092</t>
  </si>
  <si>
    <t>2T1093</t>
  </si>
  <si>
    <t>2T1094</t>
  </si>
  <si>
    <t>2T1095</t>
  </si>
  <si>
    <t>2T1096</t>
  </si>
  <si>
    <t>2T1097</t>
  </si>
  <si>
    <t>2T1098</t>
  </si>
  <si>
    <t>2T1099</t>
  </si>
  <si>
    <t>2T1100</t>
  </si>
  <si>
    <t>2T1101</t>
  </si>
  <si>
    <t>2T1102</t>
  </si>
  <si>
    <t>2T1103</t>
  </si>
  <si>
    <t>2T1104</t>
  </si>
  <si>
    <t>2T1105</t>
  </si>
  <si>
    <t>2T1106</t>
  </si>
  <si>
    <t>2T1107</t>
  </si>
  <si>
    <t>2T1108</t>
  </si>
  <si>
    <t>2T1109</t>
  </si>
  <si>
    <t>2T7575</t>
  </si>
  <si>
    <t>2T1110</t>
  </si>
  <si>
    <t>2T1111</t>
  </si>
  <si>
    <t>2T1112</t>
  </si>
  <si>
    <t>2T1113</t>
  </si>
  <si>
    <t>2T1114</t>
  </si>
  <si>
    <t>2T1115</t>
  </si>
  <si>
    <t>2T1116</t>
  </si>
  <si>
    <t>2T1117</t>
  </si>
  <si>
    <t>2T1118</t>
  </si>
  <si>
    <t>2T1119</t>
  </si>
  <si>
    <t>2T1120</t>
  </si>
  <si>
    <t>2T1121</t>
  </si>
  <si>
    <t>2T1122</t>
  </si>
  <si>
    <t>2T1123</t>
  </si>
  <si>
    <t>2T1124</t>
  </si>
  <si>
    <t>2T1125</t>
  </si>
  <si>
    <t>2T1126</t>
  </si>
  <si>
    <t>2T1127</t>
  </si>
  <si>
    <t>2T1128</t>
  </si>
  <si>
    <t>2T1129</t>
  </si>
  <si>
    <t>2T1130</t>
  </si>
  <si>
    <t>2T1131</t>
  </si>
  <si>
    <t>2T1132</t>
  </si>
  <si>
    <t>2T1133</t>
  </si>
  <si>
    <t>2T1134</t>
  </si>
  <si>
    <t>2T1135</t>
  </si>
  <si>
    <t>2T7569</t>
  </si>
  <si>
    <t>2T1136</t>
  </si>
  <si>
    <t>2T1137</t>
  </si>
  <si>
    <t>2T7612</t>
  </si>
  <si>
    <t>2T1138</t>
  </si>
  <si>
    <t>2T1139</t>
  </si>
  <si>
    <t>2T1140</t>
  </si>
  <si>
    <t>2T1141</t>
  </si>
  <si>
    <t>2T1142</t>
  </si>
  <si>
    <t>2T1143</t>
  </si>
  <si>
    <t>2T1144</t>
  </si>
  <si>
    <t>2T1145</t>
  </si>
  <si>
    <t>2T1146</t>
  </si>
  <si>
    <t>2T1147</t>
  </si>
  <si>
    <t>2T1148</t>
  </si>
  <si>
    <t>2T1149</t>
  </si>
  <si>
    <t>2T1150</t>
  </si>
  <si>
    <t>2T1151</t>
  </si>
  <si>
    <t>2T1152</t>
  </si>
  <si>
    <t>2T1153</t>
  </si>
  <si>
    <t>2T1154</t>
  </si>
  <si>
    <t>2T1155</t>
  </si>
  <si>
    <t>2T1156</t>
  </si>
  <si>
    <t>2T1157</t>
  </si>
  <si>
    <t>2T1158</t>
  </si>
  <si>
    <t>2T1159</t>
  </si>
  <si>
    <t>2T1160</t>
  </si>
  <si>
    <t>2T1161</t>
  </si>
  <si>
    <t>2T1162</t>
  </si>
  <si>
    <t>2T1163</t>
  </si>
  <si>
    <t>2T1164</t>
  </si>
  <si>
    <t>2T1165</t>
  </si>
  <si>
    <t>2T1166</t>
  </si>
  <si>
    <t>2T1167</t>
  </si>
  <si>
    <t>2T1168</t>
  </si>
  <si>
    <t>2T1169</t>
  </si>
  <si>
    <t>2T1170</t>
  </si>
  <si>
    <t>2T1171</t>
  </si>
  <si>
    <t>2T1172</t>
  </si>
  <si>
    <t>2T1173</t>
  </si>
  <si>
    <t>2T1174</t>
  </si>
  <si>
    <t>2T1175</t>
  </si>
  <si>
    <t>2T1176</t>
  </si>
  <si>
    <t>2T1177</t>
  </si>
  <si>
    <t>2T1178</t>
  </si>
  <si>
    <t>2T1179</t>
  </si>
  <si>
    <t>2T1180</t>
  </si>
  <si>
    <t>2T1181</t>
  </si>
  <si>
    <t>2T1182</t>
  </si>
  <si>
    <t>2T1183</t>
  </si>
  <si>
    <t>2T1184</t>
  </si>
  <si>
    <t>2T1185</t>
  </si>
  <si>
    <t>2T1186</t>
  </si>
  <si>
    <t>2T1187</t>
  </si>
  <si>
    <t>2T1188</t>
  </si>
  <si>
    <t>2T1189</t>
  </si>
  <si>
    <t>2T1190</t>
  </si>
  <si>
    <t>2T1191</t>
  </si>
  <si>
    <t>2T1192</t>
  </si>
  <si>
    <t>2T1193</t>
  </si>
  <si>
    <t>2T1194</t>
  </si>
  <si>
    <t>2T1195</t>
  </si>
  <si>
    <t>2T1196</t>
  </si>
  <si>
    <t>2T1197</t>
  </si>
  <si>
    <t>2T1198</t>
  </si>
  <si>
    <t>2T1199</t>
  </si>
  <si>
    <t>2T1200</t>
  </si>
  <si>
    <t>2T1201</t>
  </si>
  <si>
    <t>2T1202</t>
  </si>
  <si>
    <t>2T1203</t>
  </si>
  <si>
    <t>2T1204</t>
  </si>
  <si>
    <t>2T1205</t>
  </si>
  <si>
    <t>2T1206</t>
  </si>
  <si>
    <t>2T1207</t>
  </si>
  <si>
    <t>2T1208</t>
  </si>
  <si>
    <t>2T1209</t>
  </si>
  <si>
    <t>2T1210</t>
  </si>
  <si>
    <t>2T1211</t>
  </si>
  <si>
    <t>2T1212</t>
  </si>
  <si>
    <t>2T1213</t>
  </si>
  <si>
    <t>2T1214</t>
  </si>
  <si>
    <t>2T1215</t>
  </si>
  <si>
    <t>2T1216</t>
  </si>
  <si>
    <t>2T7514</t>
  </si>
  <si>
    <t>2T1217</t>
  </si>
  <si>
    <t>2T1218</t>
  </si>
  <si>
    <t>2T1219</t>
  </si>
  <si>
    <t>2T1220</t>
  </si>
  <si>
    <t>2T1221</t>
  </si>
  <si>
    <t>2T1222</t>
  </si>
  <si>
    <t>2T1223</t>
  </si>
  <si>
    <t>2T1224</t>
  </si>
  <si>
    <t>2T1225</t>
  </si>
  <si>
    <t>2T1226</t>
  </si>
  <si>
    <t>2T1227</t>
  </si>
  <si>
    <t>2T1228</t>
  </si>
  <si>
    <t>2T1229</t>
  </si>
  <si>
    <t>2T1230</t>
  </si>
  <si>
    <t>2T1231</t>
  </si>
  <si>
    <t>2T1232</t>
  </si>
  <si>
    <t>2T1233</t>
  </si>
  <si>
    <t>2T1234</t>
  </si>
  <si>
    <t>2T1235</t>
  </si>
  <si>
    <t>2T1236</t>
  </si>
  <si>
    <t>2T1237</t>
  </si>
  <si>
    <t>2T1238</t>
  </si>
  <si>
    <t>2T1239</t>
  </si>
  <si>
    <t>2T1240</t>
  </si>
  <si>
    <t>2T1241</t>
  </si>
  <si>
    <t>2T1242</t>
  </si>
  <si>
    <t>2T1243</t>
  </si>
  <si>
    <t>2T1244</t>
  </si>
  <si>
    <t>2T1245</t>
  </si>
  <si>
    <t>2T1246</t>
  </si>
  <si>
    <t>2T1247</t>
  </si>
  <si>
    <t>2T1248</t>
  </si>
  <si>
    <t>2T1249</t>
  </si>
  <si>
    <t>2T1250</t>
  </si>
  <si>
    <t>2T1251</t>
  </si>
  <si>
    <t>2T1252</t>
  </si>
  <si>
    <t>2T1253</t>
  </si>
  <si>
    <t>2T1254</t>
  </si>
  <si>
    <t>2T1255</t>
  </si>
  <si>
    <t>2T1256</t>
  </si>
  <si>
    <t>2T1257</t>
  </si>
  <si>
    <t>2T1258</t>
  </si>
  <si>
    <t>2T1259</t>
  </si>
  <si>
    <t>2T1260</t>
  </si>
  <si>
    <t>2T1261</t>
  </si>
  <si>
    <t>2T1262</t>
  </si>
  <si>
    <t>2T1263</t>
  </si>
  <si>
    <t>2T1264</t>
  </si>
  <si>
    <t>2T1265</t>
  </si>
  <si>
    <t>2T1266</t>
  </si>
  <si>
    <t>2T1267</t>
  </si>
  <si>
    <t>2T1268</t>
  </si>
  <si>
    <t>2T1269</t>
  </si>
  <si>
    <t>2T1270</t>
  </si>
  <si>
    <t>2T1271</t>
  </si>
  <si>
    <t>2T1272</t>
  </si>
  <si>
    <t>2T1273</t>
  </si>
  <si>
    <t>2T1274</t>
  </si>
  <si>
    <t>2T1275</t>
  </si>
  <si>
    <t>2T1276</t>
  </si>
  <si>
    <t>2T1277</t>
  </si>
  <si>
    <t>2T1278</t>
  </si>
  <si>
    <t>2T1279</t>
  </si>
  <si>
    <t>2T1280</t>
  </si>
  <si>
    <t>2T7548</t>
  </si>
  <si>
    <t>2T1281</t>
  </si>
  <si>
    <t>2T1282</t>
  </si>
  <si>
    <t>2T1283</t>
  </si>
  <si>
    <t>2T1284</t>
  </si>
  <si>
    <t>2T1285</t>
  </si>
  <si>
    <t>2T1286</t>
  </si>
  <si>
    <t>2T1287</t>
  </si>
  <si>
    <t>2T1288</t>
  </si>
  <si>
    <t>2T1289</t>
  </si>
  <si>
    <t>2T1290</t>
  </si>
  <si>
    <t>2T1291</t>
  </si>
  <si>
    <t>2T1292</t>
  </si>
  <si>
    <t>2T1293</t>
  </si>
  <si>
    <t>2T1294</t>
  </si>
  <si>
    <t>2T1295</t>
  </si>
  <si>
    <t>2T1296</t>
  </si>
  <si>
    <t>2T1297</t>
  </si>
  <si>
    <t>2T1298</t>
  </si>
  <si>
    <t>2T1299</t>
  </si>
  <si>
    <t>2T1300</t>
  </si>
  <si>
    <t>2T1301</t>
  </si>
  <si>
    <t>2T1302</t>
  </si>
  <si>
    <t>2T1303</t>
  </si>
  <si>
    <t>2T1304</t>
  </si>
  <si>
    <t>2T1305</t>
  </si>
  <si>
    <t>2T1306</t>
  </si>
  <si>
    <t>2T1307</t>
  </si>
  <si>
    <t>2T1308</t>
  </si>
  <si>
    <t>2T7643</t>
  </si>
  <si>
    <t>2T1309</t>
  </si>
  <si>
    <t>LED4</t>
  </si>
  <si>
    <t>2T1310</t>
  </si>
  <si>
    <t>2T1311</t>
  </si>
  <si>
    <t>2T1312</t>
  </si>
  <si>
    <t>2T1313</t>
  </si>
  <si>
    <t>2T1314</t>
  </si>
  <si>
    <t>2T1315</t>
  </si>
  <si>
    <t>2T1316</t>
  </si>
  <si>
    <t>2T1317</t>
  </si>
  <si>
    <t>2T1318</t>
  </si>
  <si>
    <t>2T1319</t>
  </si>
  <si>
    <t>2T1320</t>
  </si>
  <si>
    <t>2T1321</t>
  </si>
  <si>
    <t>2T1322</t>
  </si>
  <si>
    <t>2T1323</t>
  </si>
  <si>
    <t>2T1324</t>
  </si>
  <si>
    <t>2T7658</t>
  </si>
  <si>
    <t>2T1325</t>
  </si>
  <si>
    <t>2T1326</t>
  </si>
  <si>
    <t>2T1327</t>
  </si>
  <si>
    <t>2T1328</t>
  </si>
  <si>
    <t>2T1329</t>
  </si>
  <si>
    <t>2T1330</t>
  </si>
  <si>
    <t>2T1331</t>
  </si>
  <si>
    <t>2T1332</t>
  </si>
  <si>
    <t>2T1333</t>
  </si>
  <si>
    <t>2T1334</t>
  </si>
  <si>
    <t>2T1335</t>
  </si>
  <si>
    <t>2T1336</t>
  </si>
  <si>
    <t>2T1337</t>
  </si>
  <si>
    <t>2T1338</t>
  </si>
  <si>
    <t>2T1339</t>
  </si>
  <si>
    <t>2T1340</t>
  </si>
  <si>
    <t>2T1341</t>
  </si>
  <si>
    <t>2T1342</t>
  </si>
  <si>
    <t>2T1343</t>
  </si>
  <si>
    <t>2T1344</t>
  </si>
  <si>
    <t>2T1345</t>
  </si>
  <si>
    <t>2T1346</t>
  </si>
  <si>
    <t>2T1347</t>
  </si>
  <si>
    <t>2T1348</t>
  </si>
  <si>
    <t>2T1349</t>
  </si>
  <si>
    <t>2T1350</t>
  </si>
  <si>
    <t>2T1351</t>
  </si>
  <si>
    <t>2T1352</t>
  </si>
  <si>
    <t>2T1353</t>
  </si>
  <si>
    <t>2T1354</t>
  </si>
  <si>
    <t>2T1355</t>
  </si>
  <si>
    <t>2T1356</t>
  </si>
  <si>
    <t>2T1357</t>
  </si>
  <si>
    <t>2T1358</t>
  </si>
  <si>
    <t>2T1359</t>
  </si>
  <si>
    <t>2T1360</t>
  </si>
  <si>
    <t>2T1361</t>
  </si>
  <si>
    <t>2T1362</t>
  </si>
  <si>
    <t>2T1363</t>
  </si>
  <si>
    <t>2T1364</t>
  </si>
  <si>
    <t>2T1365</t>
  </si>
  <si>
    <t>2T1366</t>
  </si>
  <si>
    <t>2T1367</t>
  </si>
  <si>
    <t>2T1368</t>
  </si>
  <si>
    <t>2T1369</t>
  </si>
  <si>
    <t>2T1370</t>
  </si>
  <si>
    <t>2T1371</t>
  </si>
  <si>
    <t>2T1372</t>
  </si>
  <si>
    <t>2T1373</t>
  </si>
  <si>
    <t>2T1374</t>
  </si>
  <si>
    <t>2T1375</t>
  </si>
  <si>
    <t>2T1376</t>
  </si>
  <si>
    <t>2T1377</t>
  </si>
  <si>
    <t>2T7594</t>
  </si>
  <si>
    <t>2T1378</t>
  </si>
  <si>
    <t>2T1379</t>
  </si>
  <si>
    <t>2T1380</t>
  </si>
  <si>
    <t>2T1381</t>
  </si>
  <si>
    <t>2T1382</t>
  </si>
  <si>
    <t>2T1383</t>
  </si>
  <si>
    <t>2T1384</t>
  </si>
  <si>
    <t>2T1385</t>
  </si>
  <si>
    <t>2T1386</t>
  </si>
  <si>
    <t>2T1387</t>
  </si>
  <si>
    <t>2T1388</t>
  </si>
  <si>
    <t>2T7657</t>
  </si>
  <si>
    <t>2T1389</t>
  </si>
  <si>
    <t>2T1390</t>
  </si>
  <si>
    <t>2T1391</t>
  </si>
  <si>
    <t>2T1392</t>
  </si>
  <si>
    <t>2T1393</t>
  </si>
  <si>
    <t>2T1394</t>
  </si>
  <si>
    <t>2T1395</t>
  </si>
  <si>
    <t>2T1396</t>
  </si>
  <si>
    <t>2T1397</t>
  </si>
  <si>
    <t>2T1398</t>
  </si>
  <si>
    <t>2T1399</t>
  </si>
  <si>
    <t>2T7545</t>
  </si>
  <si>
    <t>2T1400</t>
  </si>
  <si>
    <t>2T1401</t>
  </si>
  <si>
    <t>2T1402</t>
  </si>
  <si>
    <t>2T1403</t>
  </si>
  <si>
    <t>2T1404</t>
  </si>
  <si>
    <t>2T1405</t>
  </si>
  <si>
    <t>2T1406</t>
  </si>
  <si>
    <t>2T1407</t>
  </si>
  <si>
    <t>2T1408</t>
  </si>
  <si>
    <t>2T1409</t>
  </si>
  <si>
    <t>2T1410</t>
  </si>
  <si>
    <t>2T1411</t>
  </si>
  <si>
    <t>2T1412</t>
  </si>
  <si>
    <t>2T1413</t>
  </si>
  <si>
    <t>2T1414</t>
  </si>
  <si>
    <t>2T1415</t>
  </si>
  <si>
    <t>2T1416</t>
  </si>
  <si>
    <t>2T1417</t>
  </si>
  <si>
    <t>2T1418</t>
  </si>
  <si>
    <t>2T1419</t>
  </si>
  <si>
    <t>2T1420</t>
  </si>
  <si>
    <t>2T1421</t>
  </si>
  <si>
    <t>2T1422</t>
  </si>
  <si>
    <t>2T1423</t>
  </si>
  <si>
    <t>2T1424</t>
  </si>
  <si>
    <t>2T1425</t>
  </si>
  <si>
    <t>2T1426</t>
  </si>
  <si>
    <t>2T1427</t>
  </si>
  <si>
    <t>2T1428</t>
  </si>
  <si>
    <t>2T1429</t>
  </si>
  <si>
    <t>2T1430</t>
  </si>
  <si>
    <t>2T1431</t>
  </si>
  <si>
    <t>2T1432</t>
  </si>
  <si>
    <t>2T1433</t>
  </si>
  <si>
    <t>2T1434</t>
  </si>
  <si>
    <t>2T1435</t>
  </si>
  <si>
    <t>2T1436</t>
  </si>
  <si>
    <t>2T1437</t>
  </si>
  <si>
    <t>2T1438</t>
  </si>
  <si>
    <t>2T1439</t>
  </si>
  <si>
    <t>2T1440</t>
  </si>
  <si>
    <t>2T1441</t>
  </si>
  <si>
    <t>2T1442</t>
  </si>
  <si>
    <t>2T1443</t>
  </si>
  <si>
    <t>2T1444</t>
  </si>
  <si>
    <t>2T1445</t>
  </si>
  <si>
    <t>2T1446</t>
  </si>
  <si>
    <t>2T1447</t>
  </si>
  <si>
    <t>2T1448</t>
  </si>
  <si>
    <t>2T1449</t>
  </si>
  <si>
    <t>2T1450</t>
  </si>
  <si>
    <t>2T1451</t>
  </si>
  <si>
    <t>2T1452</t>
  </si>
  <si>
    <t>2T1453</t>
  </si>
  <si>
    <t>2T1454</t>
  </si>
  <si>
    <t>2T1455</t>
  </si>
  <si>
    <t>2T1456</t>
  </si>
  <si>
    <t>2T1457</t>
  </si>
  <si>
    <t>2T1458</t>
  </si>
  <si>
    <t>2T1459</t>
  </si>
  <si>
    <t>2T1460</t>
  </si>
  <si>
    <t>2T1461</t>
  </si>
  <si>
    <t>2T1462</t>
  </si>
  <si>
    <t>2T1463</t>
  </si>
  <si>
    <t>2T1464</t>
  </si>
  <si>
    <t>2T1465</t>
  </si>
  <si>
    <t>2T1466</t>
  </si>
  <si>
    <t>2T1467</t>
  </si>
  <si>
    <t>2T1468</t>
  </si>
  <si>
    <t>2T1469</t>
  </si>
  <si>
    <t>2T7656</t>
  </si>
  <si>
    <t>2T1470</t>
  </si>
  <si>
    <t>2T1471</t>
  </si>
  <si>
    <t>2T1472</t>
  </si>
  <si>
    <t>2T1473</t>
  </si>
  <si>
    <t>2T1474</t>
  </si>
  <si>
    <t>2T1475</t>
  </si>
  <si>
    <t>2T1476</t>
  </si>
  <si>
    <t>2T1477</t>
  </si>
  <si>
    <t>2T1478</t>
  </si>
  <si>
    <t>2T1479</t>
  </si>
  <si>
    <t>2T1480</t>
  </si>
  <si>
    <t>2T1481</t>
  </si>
  <si>
    <t>2T1482</t>
  </si>
  <si>
    <t>2T1483</t>
  </si>
  <si>
    <t>2T1484</t>
  </si>
  <si>
    <t>2T1485</t>
  </si>
  <si>
    <t>2T1486</t>
  </si>
  <si>
    <t>2T1487</t>
  </si>
  <si>
    <t>2T1488</t>
  </si>
  <si>
    <t>2T1489</t>
  </si>
  <si>
    <t>2T7620</t>
  </si>
  <si>
    <t>2T1490</t>
  </si>
  <si>
    <t>2T1491</t>
  </si>
  <si>
    <t>2T1492</t>
  </si>
  <si>
    <t>2T1493</t>
  </si>
  <si>
    <t>2T1494</t>
  </si>
  <si>
    <t>2T1495</t>
  </si>
  <si>
    <t>2T1496</t>
  </si>
  <si>
    <t>2T1497</t>
  </si>
  <si>
    <t>2T1498</t>
  </si>
  <si>
    <t>2T1499</t>
  </si>
  <si>
    <t>2T1500</t>
  </si>
  <si>
    <t>2T1501</t>
  </si>
  <si>
    <t>2T1502</t>
  </si>
  <si>
    <t>2T1503</t>
  </si>
  <si>
    <t>2T1504</t>
  </si>
  <si>
    <t>2T1505</t>
  </si>
  <si>
    <t>2T1506</t>
  </si>
  <si>
    <t>2T1507</t>
  </si>
  <si>
    <t>2T1508</t>
  </si>
  <si>
    <t>2T1509</t>
  </si>
  <si>
    <t>2T1510</t>
  </si>
  <si>
    <t>2T1511</t>
  </si>
  <si>
    <t>2T1512</t>
  </si>
  <si>
    <t>2T1513</t>
  </si>
  <si>
    <t>2T1514</t>
  </si>
  <si>
    <t>2T1515</t>
  </si>
  <si>
    <t>2T1516</t>
  </si>
  <si>
    <t>2T1517</t>
  </si>
  <si>
    <t>2T1518</t>
  </si>
  <si>
    <t>2T1519</t>
  </si>
  <si>
    <t>2T1520</t>
  </si>
  <si>
    <t>2T1521</t>
  </si>
  <si>
    <t>2T1522</t>
  </si>
  <si>
    <t>2T1523</t>
  </si>
  <si>
    <t>2T1524</t>
  </si>
  <si>
    <t>2T1525</t>
  </si>
  <si>
    <t>2T1526</t>
  </si>
  <si>
    <t>2T1527</t>
  </si>
  <si>
    <t>2T1528</t>
  </si>
  <si>
    <t>2T1529</t>
  </si>
  <si>
    <t>2T1530</t>
  </si>
  <si>
    <t>2T1531</t>
  </si>
  <si>
    <t>2T1532</t>
  </si>
  <si>
    <t>2T1533</t>
  </si>
  <si>
    <t>2T1534</t>
  </si>
  <si>
    <t>2T1535</t>
  </si>
  <si>
    <t>2T1536</t>
  </si>
  <si>
    <t>2T1537</t>
  </si>
  <si>
    <t>2T1538</t>
  </si>
  <si>
    <t>2T1539</t>
  </si>
  <si>
    <t>2T1540</t>
  </si>
  <si>
    <t>2T1541</t>
  </si>
  <si>
    <t>2T1542</t>
  </si>
  <si>
    <t>2T1543</t>
  </si>
  <si>
    <t>2T1544</t>
  </si>
  <si>
    <t>2T1545</t>
  </si>
  <si>
    <t>2T1546</t>
  </si>
  <si>
    <t>2T1547</t>
  </si>
  <si>
    <t>2T1548</t>
  </si>
  <si>
    <t>2T1549</t>
  </si>
  <si>
    <t>2T1550</t>
  </si>
  <si>
    <t>2T1551</t>
  </si>
  <si>
    <t>2T1552</t>
  </si>
  <si>
    <t>2T1553</t>
  </si>
  <si>
    <t>2T1554</t>
  </si>
  <si>
    <t>2T1555</t>
  </si>
  <si>
    <t>2T1556</t>
  </si>
  <si>
    <t>2T1557</t>
  </si>
  <si>
    <t>2T1558</t>
  </si>
  <si>
    <t>2T1559</t>
  </si>
  <si>
    <t>2T7613</t>
  </si>
  <si>
    <t>2T1560</t>
  </si>
  <si>
    <t>2T1561</t>
  </si>
  <si>
    <t>2T1562</t>
  </si>
  <si>
    <t>2T1563</t>
  </si>
  <si>
    <t>2T1564</t>
  </si>
  <si>
    <t>2T1565</t>
  </si>
  <si>
    <t>2T1566</t>
  </si>
  <si>
    <t>2T1567</t>
  </si>
  <si>
    <t>2T1568</t>
  </si>
  <si>
    <t>2T1569</t>
  </si>
  <si>
    <t>2T1570</t>
  </si>
  <si>
    <t>2T1571</t>
  </si>
  <si>
    <t>2T1572</t>
  </si>
  <si>
    <t>2T1573</t>
  </si>
  <si>
    <t>2T1574</t>
  </si>
  <si>
    <t>2T1575</t>
  </si>
  <si>
    <t>2T1576</t>
  </si>
  <si>
    <t>2T1577</t>
  </si>
  <si>
    <t>2T1578</t>
  </si>
  <si>
    <t>2T1579</t>
  </si>
  <si>
    <t>2T1580</t>
  </si>
  <si>
    <t>2T1581</t>
  </si>
  <si>
    <t>2T1582</t>
  </si>
  <si>
    <t>2T1583</t>
  </si>
  <si>
    <t>2T1584</t>
  </si>
  <si>
    <t>2T1585</t>
  </si>
  <si>
    <t>2T1586</t>
  </si>
  <si>
    <t>2T1587</t>
  </si>
  <si>
    <t>2T1588</t>
  </si>
  <si>
    <t>2T1589</t>
  </si>
  <si>
    <t>2T1590</t>
  </si>
  <si>
    <t>2T1591</t>
  </si>
  <si>
    <t>2T1592</t>
  </si>
  <si>
    <t>2T1593</t>
  </si>
  <si>
    <t>2T1594</t>
  </si>
  <si>
    <t>2T1595</t>
  </si>
  <si>
    <t>2T1596</t>
  </si>
  <si>
    <t>2T1597</t>
  </si>
  <si>
    <t>2T1598</t>
  </si>
  <si>
    <t>2T1599</t>
  </si>
  <si>
    <t>2T1600</t>
  </si>
  <si>
    <t>2T1601</t>
  </si>
  <si>
    <t>2T1602</t>
  </si>
  <si>
    <t>2T1603</t>
  </si>
  <si>
    <t>2T1604</t>
  </si>
  <si>
    <t>2T1605</t>
  </si>
  <si>
    <t>2T1606</t>
  </si>
  <si>
    <t>2T1607</t>
  </si>
  <si>
    <t>2T1608</t>
  </si>
  <si>
    <t>2T1609</t>
  </si>
  <si>
    <t>2T1610</t>
  </si>
  <si>
    <t>2T1611</t>
  </si>
  <si>
    <t>2T1612</t>
  </si>
  <si>
    <t>2T1613</t>
  </si>
  <si>
    <t>2T1614</t>
  </si>
  <si>
    <t>2T1615</t>
  </si>
  <si>
    <t>2T1616</t>
  </si>
  <si>
    <t>2T1617</t>
  </si>
  <si>
    <t>2T1618</t>
  </si>
  <si>
    <t>2T1619</t>
  </si>
  <si>
    <t>2T1620</t>
  </si>
  <si>
    <t>2T1621</t>
  </si>
  <si>
    <t>2T1622</t>
  </si>
  <si>
    <t>2T1623</t>
  </si>
  <si>
    <t>2T1624</t>
  </si>
  <si>
    <t>2T1625</t>
  </si>
  <si>
    <t>2T1626</t>
  </si>
  <si>
    <t>2T1627</t>
  </si>
  <si>
    <t>2T1628</t>
  </si>
  <si>
    <t>2T1629</t>
  </si>
  <si>
    <t>2T1630</t>
  </si>
  <si>
    <t>2T1631</t>
  </si>
  <si>
    <t>2T1632</t>
  </si>
  <si>
    <t>2T1633</t>
  </si>
  <si>
    <t>2T1634</t>
  </si>
  <si>
    <t>2T1635</t>
  </si>
  <si>
    <t>2T1636</t>
  </si>
  <si>
    <t>2T1637</t>
  </si>
  <si>
    <t>2T1638</t>
  </si>
  <si>
    <t>2T1639</t>
  </si>
  <si>
    <t>2T1640</t>
  </si>
  <si>
    <t>2T7605</t>
  </si>
  <si>
    <t>2T1641</t>
  </si>
  <si>
    <t>2T1642</t>
  </si>
  <si>
    <t>2T1643</t>
  </si>
  <si>
    <t>2T1644</t>
  </si>
  <si>
    <t>2T1645</t>
  </si>
  <si>
    <t>2T1646</t>
  </si>
  <si>
    <t>2T1647</t>
  </si>
  <si>
    <t>2T1648</t>
  </si>
  <si>
    <t>2T1649</t>
  </si>
  <si>
    <t>2T1650</t>
  </si>
  <si>
    <t>2T1651</t>
  </si>
  <si>
    <t>2T1652</t>
  </si>
  <si>
    <t>2T1653</t>
  </si>
  <si>
    <t>2T1654</t>
  </si>
  <si>
    <t>2T1655</t>
  </si>
  <si>
    <t>2T1656</t>
  </si>
  <si>
    <t>2T1657</t>
  </si>
  <si>
    <t>2T1658</t>
  </si>
  <si>
    <t>2T1659</t>
  </si>
  <si>
    <t>2T1660</t>
  </si>
  <si>
    <t>2T1661</t>
  </si>
  <si>
    <t>2T1662</t>
  </si>
  <si>
    <t>2T1663</t>
  </si>
  <si>
    <t>2T1664</t>
  </si>
  <si>
    <t>2T1665</t>
  </si>
  <si>
    <t>2T1666</t>
  </si>
  <si>
    <t>2T1667</t>
  </si>
  <si>
    <t>2T1668</t>
  </si>
  <si>
    <t>2T1669</t>
  </si>
  <si>
    <t>2T1670</t>
  </si>
  <si>
    <t>2T1671</t>
  </si>
  <si>
    <t>2T1672</t>
  </si>
  <si>
    <t>2T1673</t>
  </si>
  <si>
    <t>2T1674</t>
  </si>
  <si>
    <t>2T1675</t>
  </si>
  <si>
    <t>2T1676</t>
  </si>
  <si>
    <t>2T1677</t>
  </si>
  <si>
    <t>2T1678</t>
  </si>
  <si>
    <t>2T1679</t>
  </si>
  <si>
    <t>2T1680</t>
  </si>
  <si>
    <t>2T1681</t>
  </si>
  <si>
    <t>2T1682</t>
  </si>
  <si>
    <t>2T1683</t>
  </si>
  <si>
    <t>2T1684</t>
  </si>
  <si>
    <t>2T1685</t>
  </si>
  <si>
    <t>2T1686</t>
  </si>
  <si>
    <t>2T1687</t>
  </si>
  <si>
    <t>2T1688</t>
  </si>
  <si>
    <t>2T1689</t>
  </si>
  <si>
    <t>2T1690</t>
  </si>
  <si>
    <t>2T1691</t>
  </si>
  <si>
    <t>2T1692</t>
  </si>
  <si>
    <t>2T1693</t>
  </si>
  <si>
    <t>2T1694</t>
  </si>
  <si>
    <t>2T1695</t>
  </si>
  <si>
    <t>2T1696</t>
  </si>
  <si>
    <t>2T1697</t>
  </si>
  <si>
    <t>2T1698</t>
  </si>
  <si>
    <t>2T1699</t>
  </si>
  <si>
    <t>2T1700</t>
  </si>
  <si>
    <t>2T1701</t>
  </si>
  <si>
    <t>2T1702</t>
  </si>
  <si>
    <t>2T1703</t>
  </si>
  <si>
    <t>2T1704</t>
  </si>
  <si>
    <t>2T1705</t>
  </si>
  <si>
    <t>2T1706</t>
  </si>
  <si>
    <t>2T1707</t>
  </si>
  <si>
    <t>2T1708</t>
  </si>
  <si>
    <t>2T1709</t>
  </si>
  <si>
    <t>2T1710</t>
  </si>
  <si>
    <t>2T1711</t>
  </si>
  <si>
    <t>2T1712</t>
  </si>
  <si>
    <t>2T1713</t>
  </si>
  <si>
    <t>2T1714</t>
  </si>
  <si>
    <t>2T1715</t>
  </si>
  <si>
    <t>2T1716</t>
  </si>
  <si>
    <t>2T1717</t>
  </si>
  <si>
    <t>2T1718</t>
  </si>
  <si>
    <t>2T1719</t>
  </si>
  <si>
    <t>2T1720</t>
  </si>
  <si>
    <t>2T1721</t>
  </si>
  <si>
    <t>2T1722</t>
  </si>
  <si>
    <t>2T1723</t>
  </si>
  <si>
    <t>2T1724</t>
  </si>
  <si>
    <t>2T1725</t>
  </si>
  <si>
    <t>2T1726</t>
  </si>
  <si>
    <t>2T1727</t>
  </si>
  <si>
    <t>2T1728</t>
  </si>
  <si>
    <t>2T1729</t>
  </si>
  <si>
    <t>2T1730</t>
  </si>
  <si>
    <t>2T1731</t>
  </si>
  <si>
    <t>2T1732</t>
  </si>
  <si>
    <t>2T1733</t>
  </si>
  <si>
    <t>2T1734</t>
  </si>
  <si>
    <t>2T1735</t>
  </si>
  <si>
    <t>2T1736</t>
  </si>
  <si>
    <t>2T1737</t>
  </si>
  <si>
    <t>2T1738</t>
  </si>
  <si>
    <t>2T1739</t>
  </si>
  <si>
    <t>2T1740</t>
  </si>
  <si>
    <t>2T1741</t>
  </si>
  <si>
    <t>2T1742</t>
  </si>
  <si>
    <t>2T1743</t>
  </si>
  <si>
    <t>2T1744</t>
  </si>
  <si>
    <t>2T1745</t>
  </si>
  <si>
    <t>2T1746</t>
  </si>
  <si>
    <t>2T1747</t>
  </si>
  <si>
    <t>2T1748</t>
  </si>
  <si>
    <t>2T1749</t>
  </si>
  <si>
    <t>2T1750</t>
  </si>
  <si>
    <t>2T1751</t>
  </si>
  <si>
    <t>2T1752</t>
  </si>
  <si>
    <t>2T1753</t>
  </si>
  <si>
    <t>2T1754</t>
  </si>
  <si>
    <t>2T1755</t>
  </si>
  <si>
    <t>2T1756</t>
  </si>
  <si>
    <t>2T1757</t>
  </si>
  <si>
    <t>2T1758</t>
  </si>
  <si>
    <t>2T7551</t>
  </si>
  <si>
    <t>2T1759</t>
  </si>
  <si>
    <t>2T1760</t>
  </si>
  <si>
    <t>2T1761</t>
  </si>
  <si>
    <t>2T1762</t>
  </si>
  <si>
    <t>2T1763</t>
  </si>
  <si>
    <t>2T1764</t>
  </si>
  <si>
    <t>2T1765</t>
  </si>
  <si>
    <t>2T1766</t>
  </si>
  <si>
    <t>2T1767</t>
  </si>
  <si>
    <t>2T1768</t>
  </si>
  <si>
    <t>2T1769</t>
  </si>
  <si>
    <t>2T1770</t>
  </si>
  <si>
    <t>2T1771</t>
  </si>
  <si>
    <t>2T1772</t>
  </si>
  <si>
    <t>2T1773</t>
  </si>
  <si>
    <t>2T1774</t>
  </si>
  <si>
    <t>2T1775</t>
  </si>
  <si>
    <t>2T1776</t>
  </si>
  <si>
    <t>2T1777</t>
  </si>
  <si>
    <t>2T1778</t>
  </si>
  <si>
    <t>2T1779</t>
  </si>
  <si>
    <t>2T1780</t>
  </si>
  <si>
    <t>2T1781</t>
  </si>
  <si>
    <t>2T1782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</si>
</sst>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688975</xdr:colOff>
      <xdr:row>12</xdr:row>
      <xdr:rowOff>46038</xdr:rowOff>
    </xdr:from>
    <xdr:to>
      <xdr:col>3</xdr:col>
      <xdr:colOff>484187</xdr:colOff>
      <xdr:row>13</xdr:row>
      <xdr:rowOff>123032</xdr:rowOff>
    </xdr:to>
    <xdr:sp macro="[0]!PENJUALAN21" textlink="">
      <xdr:nvSpPr>
        <xdr:cNvPr id="2" name="Rounded Rectangle 1"/>
        <xdr:cNvSpPr/>
      </xdr:nvSpPr>
      <xdr:spPr>
        <a:xfrm>
          <a:off x="1300163" y="195103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8" x14ac:dyDescent="0.25">
      <c r="B4" s="5"/>
      <c r="C4" s="5"/>
      <c r="D4" s="5"/>
    </row>
    <row r="5" spans="2:8" x14ac:dyDescent="0.25">
      <c r="B5" s="6" t="s">
        <v>382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383</v>
      </c>
      <c r="D7" s="12"/>
      <c r="F7" s="5"/>
      <c r="G7" s="5"/>
      <c r="H7" s="7"/>
    </row>
    <row r="8" spans="2:8" x14ac:dyDescent="0.25">
      <c r="B8" s="6" t="s">
        <v>384</v>
      </c>
      <c r="D8" s="1"/>
      <c r="F8" s="5"/>
      <c r="G8" s="5"/>
      <c r="H8" s="14"/>
    </row>
    <row r="9" spans="2:8" x14ac:dyDescent="0.25">
      <c r="B9" s="6" t="s">
        <v>385</v>
      </c>
      <c r="D9" s="10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386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6"/>
  <sheetViews>
    <sheetView tabSelected="1" workbookViewId="0">
      <selection activeCell="C10" sqref="C10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376</v>
      </c>
      <c r="B1" s="4" t="s">
        <v>377</v>
      </c>
      <c r="C1" s="4" t="s">
        <v>0</v>
      </c>
      <c r="D1" s="4" t="s">
        <v>1</v>
      </c>
      <c r="E1" s="4" t="s">
        <v>378</v>
      </c>
      <c r="F1" s="4" t="s">
        <v>2</v>
      </c>
      <c r="G1" s="4" t="s">
        <v>3</v>
      </c>
      <c r="H1" s="4" t="s">
        <v>379</v>
      </c>
      <c r="I1" s="4" t="s">
        <v>380</v>
      </c>
      <c r="J1" s="4" t="s">
        <v>381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44561</v>
      </c>
      <c r="B3" s="16" t="s">
        <v>2201</v>
      </c>
      <c r="C3" s="16" t="s">
        <v>352</v>
      </c>
      <c r="D3" s="16" t="str">
        <f>VLOOKUP(C3,[1]master_data!$A$2:$E$495,2,FALSE)</f>
        <v>OSCAR</v>
      </c>
      <c r="E3" s="16">
        <v>5</v>
      </c>
      <c r="F3" s="16">
        <f>VLOOKUP(C3,[1]master_data!$A$2:$E$495,3,FALSE)</f>
        <v>25000</v>
      </c>
      <c r="G3" s="16">
        <f>VLOOKUP(C3,[1]master_data!$A$2:$E$495,4,FALSE)</f>
        <v>50000</v>
      </c>
      <c r="H3" s="16">
        <f>E3*F3</f>
        <v>125000</v>
      </c>
      <c r="I3" s="16">
        <f>E3*G3</f>
        <v>250000</v>
      </c>
      <c r="J3" s="16">
        <f>I3-H3</f>
        <v>125000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44561</v>
      </c>
      <c r="B4" s="16" t="s">
        <v>2202</v>
      </c>
      <c r="C4" s="16" t="s">
        <v>369</v>
      </c>
      <c r="D4" s="16" t="str">
        <f>VLOOKUP(C4,[1]master_data!$A$2:$E$495,2,FALSE)</f>
        <v>ZEBRA PINK</v>
      </c>
      <c r="E4" s="16">
        <v>30</v>
      </c>
      <c r="F4" s="16">
        <f>VLOOKUP(C4,[1]master_data!$A$2:$E$495,3,FALSE)</f>
        <v>800</v>
      </c>
      <c r="G4" s="16">
        <f>VLOOKUP(C4,[1]master_data!$A$2:$E$495,4,FALSE)</f>
        <v>2000</v>
      </c>
      <c r="H4" s="16">
        <f>E4*F4</f>
        <v>24000</v>
      </c>
      <c r="I4" s="16">
        <f>E4*G4</f>
        <v>60000</v>
      </c>
      <c r="J4" s="16">
        <f>I4-H4</f>
        <v>36000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44561</v>
      </c>
      <c r="B5" s="16" t="s">
        <v>2203</v>
      </c>
      <c r="C5" s="16" t="s">
        <v>263</v>
      </c>
      <c r="D5" s="16" t="str">
        <f>VLOOKUP(C5,[1]master_data!$A$2:$E$495,2,FALSE)</f>
        <v>KAPAS BANTAL</v>
      </c>
      <c r="E5" s="16">
        <v>2</v>
      </c>
      <c r="F5" s="16">
        <f>VLOOKUP(C5,[1]master_data!$A$2:$E$495,3,FALSE)</f>
        <v>10000</v>
      </c>
      <c r="G5" s="16">
        <f>VLOOKUP(C5,[1]master_data!$A$2:$E$495,4,FALSE)</f>
        <v>20000</v>
      </c>
      <c r="H5" s="16">
        <f>E5*F5</f>
        <v>20000</v>
      </c>
      <c r="I5" s="16">
        <f>E5*G5</f>
        <v>40000</v>
      </c>
      <c r="J5" s="16">
        <f>I5-H5</f>
        <v>20000</v>
      </c>
      <c r="K5" s="16" t="str">
        <f>VLOOKUP(C5,[1]master_data!$A$2:$E$495,5,FALSE)</f>
        <v>Aksesoris</v>
      </c>
      <c r="L5" s="1"/>
    </row>
    <row r="6" spans="1:12" ht="12" customHeight="1" x14ac:dyDescent="0.25">
      <c r="A6" s="15">
        <v>44561</v>
      </c>
      <c r="B6" s="16" t="s">
        <v>2204</v>
      </c>
      <c r="C6" s="16" t="s">
        <v>71</v>
      </c>
      <c r="D6" s="16" t="str">
        <f>VLOOKUP(C6,[1]master_data!$A$2:$E$495,2,FALSE)</f>
        <v>MESIN IP MAN 1200</v>
      </c>
      <c r="E6" s="16">
        <v>5</v>
      </c>
      <c r="F6" s="16">
        <f>VLOOKUP(C6,[1]master_data!$A$2:$E$495,3,FALSE)</f>
        <v>17000</v>
      </c>
      <c r="G6" s="16">
        <f>VLOOKUP(C6,[1]master_data!$A$2:$E$495,4,FALSE)</f>
        <v>30000</v>
      </c>
      <c r="H6" s="16">
        <f>E6*F6</f>
        <v>85000</v>
      </c>
      <c r="I6" s="16">
        <f>E6*G6</f>
        <v>150000</v>
      </c>
      <c r="J6" s="16">
        <f>I6-H6</f>
        <v>65000</v>
      </c>
      <c r="K6" s="16" t="str">
        <f>VLOOKUP(C6,[1]master_data!$A$2:$E$495,5,FALSE)</f>
        <v>Aksesoris</v>
      </c>
      <c r="L6" s="1"/>
    </row>
    <row r="7" spans="1:12" ht="12" customHeight="1" x14ac:dyDescent="0.25">
      <c r="A7" s="15">
        <v>44561</v>
      </c>
      <c r="B7" s="16" t="s">
        <v>2205</v>
      </c>
      <c r="C7" s="16" t="s">
        <v>95</v>
      </c>
      <c r="D7" s="16" t="str">
        <f>VLOOKUP(C7,[1]master_data!$A$2:$E$495,2,FALSE)</f>
        <v>LED ROSTON 20 CM</v>
      </c>
      <c r="E7" s="16">
        <v>1</v>
      </c>
      <c r="F7" s="16">
        <f>VLOOKUP(C7,[1]master_data!$A$2:$E$495,3,FALSE)</f>
        <v>21000</v>
      </c>
      <c r="G7" s="16">
        <f>VLOOKUP(C7,[1]master_data!$A$2:$E$495,4,FALSE)</f>
        <v>30000</v>
      </c>
      <c r="H7" s="16">
        <f>E7*F7</f>
        <v>21000</v>
      </c>
      <c r="I7" s="16">
        <f>E7*G7</f>
        <v>30000</v>
      </c>
      <c r="J7" s="16">
        <f>I7-H7</f>
        <v>9000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44561</v>
      </c>
      <c r="B8" s="16" t="s">
        <v>2206</v>
      </c>
      <c r="C8" s="16" t="s">
        <v>358</v>
      </c>
      <c r="D8" s="16" t="str">
        <f>VLOOKUP(C8,[1]master_data!$A$2:$E$495,2,FALSE)</f>
        <v>REDFIN HITAM</v>
      </c>
      <c r="E8" s="16">
        <v>30</v>
      </c>
      <c r="F8" s="16">
        <f>VLOOKUP(C8,[1]master_data!$A$2:$E$495,3,FALSE)</f>
        <v>1500</v>
      </c>
      <c r="G8" s="16">
        <f>VLOOKUP(C8,[1]master_data!$A$2:$E$495,4,FALSE)</f>
        <v>4000</v>
      </c>
      <c r="H8" s="16">
        <f>E8*F8</f>
        <v>45000</v>
      </c>
      <c r="I8" s="16">
        <f>E8*G8</f>
        <v>120000</v>
      </c>
      <c r="J8" s="16">
        <f>I8-H8</f>
        <v>75000</v>
      </c>
      <c r="K8" s="16" t="str">
        <f>VLOOKUP(C8,[1]master_data!$A$2:$E$495,5,FALSE)</f>
        <v>Ikan</v>
      </c>
      <c r="L8" s="1"/>
    </row>
    <row r="9" spans="1:12" ht="12" customHeight="1" x14ac:dyDescent="0.25">
      <c r="A9" s="15">
        <v>44561</v>
      </c>
      <c r="B9" s="16" t="s">
        <v>2207</v>
      </c>
      <c r="C9" s="16" t="s">
        <v>361</v>
      </c>
      <c r="D9" s="16" t="str">
        <f>VLOOKUP(C9,[1]master_data!$A$2:$E$495,2,FALSE)</f>
        <v>CHANNA RED BARITO B</v>
      </c>
      <c r="E9" s="16">
        <v>1</v>
      </c>
      <c r="F9" s="16">
        <f>VLOOKUP(C9,[1]master_data!$A$2:$E$495,3,FALSE)</f>
        <v>120000</v>
      </c>
      <c r="G9" s="16">
        <f>VLOOKUP(C9,[1]master_data!$A$2:$E$495,4,FALSE)</f>
        <v>200000</v>
      </c>
      <c r="H9" s="16">
        <f>E9*F9</f>
        <v>120000</v>
      </c>
      <c r="I9" s="16">
        <f>E9*G9</f>
        <v>200000</v>
      </c>
      <c r="J9" s="16">
        <f>I9-H9</f>
        <v>80000</v>
      </c>
      <c r="K9" s="16" t="str">
        <f>VLOOKUP(C9,[1]master_data!$A$2:$E$495,5,FALSE)</f>
        <v>Ikan</v>
      </c>
      <c r="L9" s="1"/>
    </row>
    <row r="10" spans="1:12" ht="12" customHeight="1" x14ac:dyDescent="0.25">
      <c r="A10" s="15">
        <v>44560</v>
      </c>
      <c r="B10" s="16" t="s">
        <v>2195</v>
      </c>
      <c r="C10" s="16" t="s">
        <v>316</v>
      </c>
      <c r="D10" s="16" t="str">
        <f>VLOOKUP(C10,[1]master_data!$A$2:$E$495,2,FALSE)</f>
        <v>CHANNA BLUE PULCHRA K</v>
      </c>
      <c r="E10" s="16">
        <v>2</v>
      </c>
      <c r="F10" s="16">
        <f>VLOOKUP(C10,[1]master_data!$A$2:$E$495,3,FALSE)</f>
        <v>25000</v>
      </c>
      <c r="G10" s="16">
        <f>VLOOKUP(C10,[1]master_data!$A$2:$E$495,4,FALSE)</f>
        <v>50000</v>
      </c>
      <c r="H10" s="16">
        <f>E10*F10</f>
        <v>50000</v>
      </c>
      <c r="I10" s="16">
        <f>E10*G10</f>
        <v>100000</v>
      </c>
      <c r="J10" s="16">
        <f>I10-H10</f>
        <v>50000</v>
      </c>
      <c r="K10" s="16" t="str">
        <f>VLOOKUP(C10,[1]master_data!$A$2:$E$495,5,FALSE)</f>
        <v>Ikan</v>
      </c>
      <c r="L10" s="1"/>
    </row>
    <row r="11" spans="1:12" ht="12" customHeight="1" x14ac:dyDescent="0.25">
      <c r="A11" s="15">
        <v>44560</v>
      </c>
      <c r="B11" s="16" t="s">
        <v>2196</v>
      </c>
      <c r="C11" s="16" t="s">
        <v>359</v>
      </c>
      <c r="D11" s="16" t="str">
        <f>VLOOKUP(C11,[1]master_data!$A$2:$E$495,2,FALSE)</f>
        <v>REDFIN ALBINO</v>
      </c>
      <c r="E11" s="16">
        <v>15</v>
      </c>
      <c r="F11" s="16">
        <f>VLOOKUP(C11,[1]master_data!$A$2:$E$495,3,FALSE)</f>
        <v>1500</v>
      </c>
      <c r="G11" s="16">
        <f>VLOOKUP(C11,[1]master_data!$A$2:$E$495,4,FALSE)</f>
        <v>4000</v>
      </c>
      <c r="H11" s="16">
        <f>E11*F11</f>
        <v>22500</v>
      </c>
      <c r="I11" s="16">
        <f>E11*G11</f>
        <v>60000</v>
      </c>
      <c r="J11" s="16">
        <f>I11-H11</f>
        <v>37500</v>
      </c>
      <c r="K11" s="16" t="str">
        <f>VLOOKUP(C11,[1]master_data!$A$2:$E$495,5,FALSE)</f>
        <v>Ikan</v>
      </c>
      <c r="L11" s="1"/>
    </row>
    <row r="12" spans="1:12" ht="12" customHeight="1" x14ac:dyDescent="0.25">
      <c r="A12" s="15">
        <v>44560</v>
      </c>
      <c r="B12" s="16" t="s">
        <v>2197</v>
      </c>
      <c r="C12" s="16" t="s">
        <v>275</v>
      </c>
      <c r="D12" s="16" t="str">
        <f>VLOOKUP(C12,[1]master_data!$A$2:$E$495,2,FALSE)</f>
        <v>AKUARIUM 70 ROBOT</v>
      </c>
      <c r="E12" s="16">
        <v>2</v>
      </c>
      <c r="F12" s="16">
        <f>VLOOKUP(C12,[1]master_data!$A$2:$E$495,3,FALSE)</f>
        <v>260000</v>
      </c>
      <c r="G12" s="16">
        <f>VLOOKUP(C12,[1]master_data!$A$2:$E$495,4,FALSE)</f>
        <v>350000</v>
      </c>
      <c r="H12" s="16">
        <f>E12*F12</f>
        <v>520000</v>
      </c>
      <c r="I12" s="16">
        <f>E12*G12</f>
        <v>700000</v>
      </c>
      <c r="J12" s="16">
        <f>I12-H12</f>
        <v>180000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44560</v>
      </c>
      <c r="B13" s="16" t="s">
        <v>2198</v>
      </c>
      <c r="C13" s="16" t="s">
        <v>189</v>
      </c>
      <c r="D13" s="16" t="str">
        <f>VLOOKUP(C13,[1]master_data!$A$2:$E$495,2,FALSE)</f>
        <v>QUICK RED BG</v>
      </c>
      <c r="E13" s="16">
        <v>5</v>
      </c>
      <c r="F13" s="16">
        <f>VLOOKUP(C13,[1]master_data!$A$2:$E$495,3,FALSE)</f>
        <v>19200</v>
      </c>
      <c r="G13" s="16">
        <f>VLOOKUP(C13,[1]master_data!$A$2:$E$495,4,FALSE)</f>
        <v>35000</v>
      </c>
      <c r="H13" s="16">
        <f>E13*F13</f>
        <v>96000</v>
      </c>
      <c r="I13" s="16">
        <f>E13*G13</f>
        <v>175000</v>
      </c>
      <c r="J13" s="16">
        <f>I13-H13</f>
        <v>79000</v>
      </c>
      <c r="K13" s="16" t="str">
        <f>VLOOKUP(C13,[1]master_data!$A$2:$E$495,5,FALSE)</f>
        <v>Aksesoris</v>
      </c>
      <c r="L13" s="1"/>
    </row>
    <row r="14" spans="1:12" ht="12" customHeight="1" x14ac:dyDescent="0.25">
      <c r="A14" s="15">
        <v>44560</v>
      </c>
      <c r="B14" s="16" t="s">
        <v>2199</v>
      </c>
      <c r="C14" s="16" t="s">
        <v>370</v>
      </c>
      <c r="D14" s="16" t="str">
        <f>VLOOKUP(C14,[1]master_data!$A$2:$E$495,2,FALSE)</f>
        <v>ZEBRA HIJAU</v>
      </c>
      <c r="E14" s="16">
        <v>7</v>
      </c>
      <c r="F14" s="16">
        <f>VLOOKUP(C14,[1]master_data!$A$2:$E$495,3,FALSE)</f>
        <v>800</v>
      </c>
      <c r="G14" s="16">
        <f>VLOOKUP(C14,[1]master_data!$A$2:$E$495,4,FALSE)</f>
        <v>2000</v>
      </c>
      <c r="H14" s="16">
        <f>E14*F14</f>
        <v>5600</v>
      </c>
      <c r="I14" s="16">
        <f>E14*G14</f>
        <v>14000</v>
      </c>
      <c r="J14" s="16">
        <f>I14-H14</f>
        <v>8400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44560</v>
      </c>
      <c r="B15" s="16" t="s">
        <v>2200</v>
      </c>
      <c r="C15" s="16" t="s">
        <v>364</v>
      </c>
      <c r="D15" s="16" t="str">
        <f>VLOOKUP(C15,[1]master_data!$A$2:$E$495,2,FALSE)</f>
        <v>SNOW WHITE</v>
      </c>
      <c r="E15" s="16">
        <v>1</v>
      </c>
      <c r="F15" s="16">
        <f>VLOOKUP(C15,[1]master_data!$A$2:$E$495,3,FALSE)</f>
        <v>1500</v>
      </c>
      <c r="G15" s="16">
        <f>VLOOKUP(C15,[1]master_data!$A$2:$E$495,4,FALSE)</f>
        <v>3000</v>
      </c>
      <c r="H15" s="16">
        <f>E15*F15</f>
        <v>1500</v>
      </c>
      <c r="I15" s="16">
        <f>E15*G15</f>
        <v>3000</v>
      </c>
      <c r="J15" s="16">
        <f>I15-H15</f>
        <v>1500</v>
      </c>
      <c r="K15" s="16" t="str">
        <f>VLOOKUP(C15,[1]master_data!$A$2:$E$495,5,FALSE)</f>
        <v>Ikan</v>
      </c>
      <c r="L15" s="1"/>
    </row>
    <row r="16" spans="1:12" ht="12" customHeight="1" x14ac:dyDescent="0.25">
      <c r="A16" s="15">
        <v>44559</v>
      </c>
      <c r="B16" s="16" t="s">
        <v>2189</v>
      </c>
      <c r="C16" s="16" t="s">
        <v>372</v>
      </c>
      <c r="D16" s="16" t="str">
        <f>VLOOKUP(C16,[1]master_data!$A$2:$E$495,2,FALSE)</f>
        <v>ZEBRA KUNING</v>
      </c>
      <c r="E16" s="16">
        <v>20</v>
      </c>
      <c r="F16" s="16">
        <f>VLOOKUP(C16,[1]master_data!$A$2:$E$495,3,FALSE)</f>
        <v>800</v>
      </c>
      <c r="G16" s="16">
        <f>VLOOKUP(C16,[1]master_data!$A$2:$E$495,4,FALSE)</f>
        <v>2000</v>
      </c>
      <c r="H16" s="16">
        <f>E16*F16</f>
        <v>16000</v>
      </c>
      <c r="I16" s="16">
        <f>E16*G16</f>
        <v>40000</v>
      </c>
      <c r="J16" s="16">
        <f>I16-H16</f>
        <v>24000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44559</v>
      </c>
      <c r="B17" s="16" t="s">
        <v>2190</v>
      </c>
      <c r="C17" s="16" t="s">
        <v>306</v>
      </c>
      <c r="D17" s="16" t="str">
        <f>VLOOKUP(C17,[1]master_data!$A$2:$E$495,2,FALSE)</f>
        <v>CHANNA ANDRAO B</v>
      </c>
      <c r="E17" s="16">
        <v>2</v>
      </c>
      <c r="F17" s="16">
        <f>VLOOKUP(C17,[1]master_data!$A$2:$E$495,3,FALSE)</f>
        <v>100000</v>
      </c>
      <c r="G17" s="16">
        <f>VLOOKUP(C17,[1]master_data!$A$2:$E$495,4,FALSE)</f>
        <v>200000</v>
      </c>
      <c r="H17" s="16">
        <f>E17*F17</f>
        <v>200000</v>
      </c>
      <c r="I17" s="16">
        <f>E17*G17</f>
        <v>400000</v>
      </c>
      <c r="J17" s="16">
        <f>I17-H17</f>
        <v>200000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44559</v>
      </c>
      <c r="B18" s="16" t="s">
        <v>2191</v>
      </c>
      <c r="C18" s="16" t="s">
        <v>332</v>
      </c>
      <c r="D18" s="16" t="str">
        <f>VLOOKUP(C18,[1]master_data!$A$2:$E$495,2,FALSE)</f>
        <v>KURA - KURA</v>
      </c>
      <c r="E18" s="16">
        <v>2</v>
      </c>
      <c r="F18" s="16">
        <f>VLOOKUP(C18,[1]master_data!$A$2:$E$495,3,FALSE)</f>
        <v>25000</v>
      </c>
      <c r="G18" s="16">
        <f>VLOOKUP(C18,[1]master_data!$A$2:$E$495,4,FALSE)</f>
        <v>35000</v>
      </c>
      <c r="H18" s="16">
        <f>E18*F18</f>
        <v>50000</v>
      </c>
      <c r="I18" s="16">
        <f>E18*G18</f>
        <v>70000</v>
      </c>
      <c r="J18" s="16">
        <f>I18-H18</f>
        <v>20000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44559</v>
      </c>
      <c r="B19" s="16" t="s">
        <v>2192</v>
      </c>
      <c r="C19" s="16" t="s">
        <v>372</v>
      </c>
      <c r="D19" s="16" t="str">
        <f>VLOOKUP(C19,[1]master_data!$A$2:$E$495,2,FALSE)</f>
        <v>ZEBRA KUNING</v>
      </c>
      <c r="E19" s="16">
        <v>20</v>
      </c>
      <c r="F19" s="16">
        <f>VLOOKUP(C19,[1]master_data!$A$2:$E$495,3,FALSE)</f>
        <v>800</v>
      </c>
      <c r="G19" s="16">
        <f>VLOOKUP(C19,[1]master_data!$A$2:$E$495,4,FALSE)</f>
        <v>2000</v>
      </c>
      <c r="H19" s="16">
        <f>E19*F19</f>
        <v>16000</v>
      </c>
      <c r="I19" s="16">
        <f>E19*G19</f>
        <v>40000</v>
      </c>
      <c r="J19" s="16">
        <f>I19-H19</f>
        <v>24000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44559</v>
      </c>
      <c r="B20" s="16" t="s">
        <v>2193</v>
      </c>
      <c r="C20" s="16" t="s">
        <v>305</v>
      </c>
      <c r="D20" s="16" t="str">
        <f>VLOOKUP(C20,[1]master_data!$A$2:$E$495,2,FALSE)</f>
        <v>CHANNA ASIATICA B</v>
      </c>
      <c r="E20" s="16">
        <v>2</v>
      </c>
      <c r="F20" s="16">
        <f>VLOOKUP(C20,[1]master_data!$A$2:$E$495,3,FALSE)</f>
        <v>40000</v>
      </c>
      <c r="G20" s="16">
        <f>VLOOKUP(C20,[1]master_data!$A$2:$E$495,4,FALSE)</f>
        <v>100000</v>
      </c>
      <c r="H20" s="16">
        <f>E20*F20</f>
        <v>80000</v>
      </c>
      <c r="I20" s="16">
        <f>E20*G20</f>
        <v>200000</v>
      </c>
      <c r="J20" s="16">
        <f>I20-H20</f>
        <v>120000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44559</v>
      </c>
      <c r="B21" s="16" t="s">
        <v>2194</v>
      </c>
      <c r="C21" s="16" t="s">
        <v>356</v>
      </c>
      <c r="D21" s="16" t="str">
        <f>VLOOKUP(C21,[1]master_data!$A$2:$E$495,2,FALSE)</f>
        <v>PARROT</v>
      </c>
      <c r="E21" s="16">
        <v>1</v>
      </c>
      <c r="F21" s="16">
        <f>VLOOKUP(C21,[1]master_data!$A$2:$E$495,3,FALSE)</f>
        <v>27000</v>
      </c>
      <c r="G21" s="16">
        <f>VLOOKUP(C21,[1]master_data!$A$2:$E$495,4,FALSE)</f>
        <v>60000</v>
      </c>
      <c r="H21" s="16">
        <f>E21*F21</f>
        <v>27000</v>
      </c>
      <c r="I21" s="16">
        <f>E21*G21</f>
        <v>60000</v>
      </c>
      <c r="J21" s="16">
        <f>I21-H21</f>
        <v>33000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44558</v>
      </c>
      <c r="B22" s="16" t="s">
        <v>2184</v>
      </c>
      <c r="C22" s="16" t="s">
        <v>356</v>
      </c>
      <c r="D22" s="16" t="str">
        <f>VLOOKUP(C22,[1]master_data!$A$2:$E$495,2,FALSE)</f>
        <v>PARROT</v>
      </c>
      <c r="E22" s="16">
        <v>5</v>
      </c>
      <c r="F22" s="16">
        <f>VLOOKUP(C22,[1]master_data!$A$2:$E$495,3,FALSE)</f>
        <v>27000</v>
      </c>
      <c r="G22" s="16">
        <f>VLOOKUP(C22,[1]master_data!$A$2:$E$495,4,FALSE)</f>
        <v>60000</v>
      </c>
      <c r="H22" s="16">
        <f>E22*F22</f>
        <v>135000</v>
      </c>
      <c r="I22" s="16">
        <f>E22*G22</f>
        <v>300000</v>
      </c>
      <c r="J22" s="16">
        <f>I22-H22</f>
        <v>165000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44558</v>
      </c>
      <c r="B23" s="16" t="s">
        <v>2185</v>
      </c>
      <c r="C23" s="16" t="s">
        <v>309</v>
      </c>
      <c r="D23" s="16" t="str">
        <f>VLOOKUP(C23,[1]master_data!$A$2:$E$495,2,FALSE)</f>
        <v>ALGA EATER</v>
      </c>
      <c r="E23" s="16">
        <v>25</v>
      </c>
      <c r="F23" s="16">
        <f>VLOOKUP(C23,[1]master_data!$A$2:$E$495,3,FALSE)</f>
        <v>1750</v>
      </c>
      <c r="G23" s="16">
        <f>VLOOKUP(C23,[1]master_data!$A$2:$E$495,4,FALSE)</f>
        <v>5000</v>
      </c>
      <c r="H23" s="16">
        <f>E23*F23</f>
        <v>43750</v>
      </c>
      <c r="I23" s="16">
        <f>E23*G23</f>
        <v>125000</v>
      </c>
      <c r="J23" s="16">
        <f>I23-H23</f>
        <v>81250</v>
      </c>
      <c r="K23" s="16" t="str">
        <f>VLOOKUP(C23,[1]master_data!$A$2:$E$495,5,FALSE)</f>
        <v>Ikan</v>
      </c>
      <c r="L23" s="1"/>
    </row>
    <row r="24" spans="1:12" ht="12" customHeight="1" x14ac:dyDescent="0.25">
      <c r="A24" s="15">
        <v>44558</v>
      </c>
      <c r="B24" s="16" t="s">
        <v>2186</v>
      </c>
      <c r="C24" s="16" t="s">
        <v>117</v>
      </c>
      <c r="D24" s="16" t="str">
        <f>VLOOKUP(C24,[1]master_data!$A$2:$E$495,2,FALSE)</f>
        <v>LED NIKITA NS 800</v>
      </c>
      <c r="E24" s="16">
        <v>2</v>
      </c>
      <c r="F24" s="16">
        <f>VLOOKUP(C24,[1]master_data!$A$2:$E$495,3,FALSE)</f>
        <v>74000</v>
      </c>
      <c r="G24" s="16">
        <f>VLOOKUP(C24,[1]master_data!$A$2:$E$495,4,FALSE)</f>
        <v>100000</v>
      </c>
      <c r="H24" s="16">
        <f>E24*F24</f>
        <v>148000</v>
      </c>
      <c r="I24" s="16">
        <f>E24*G24</f>
        <v>200000</v>
      </c>
      <c r="J24" s="16">
        <f>I24-H24</f>
        <v>52000</v>
      </c>
      <c r="K24" s="16" t="str">
        <f>VLOOKUP(C24,[1]master_data!$A$2:$E$495,5,FALSE)</f>
        <v>Aksesoris</v>
      </c>
      <c r="L24" s="1"/>
    </row>
    <row r="25" spans="1:12" ht="12" customHeight="1" x14ac:dyDescent="0.25">
      <c r="A25" s="15">
        <v>44558</v>
      </c>
      <c r="B25" s="16" t="s">
        <v>2187</v>
      </c>
      <c r="C25" s="16" t="s">
        <v>364</v>
      </c>
      <c r="D25" s="16" t="str">
        <f>VLOOKUP(C25,[1]master_data!$A$2:$E$495,2,FALSE)</f>
        <v>SNOW WHITE</v>
      </c>
      <c r="E25" s="16">
        <v>15</v>
      </c>
      <c r="F25" s="16">
        <f>VLOOKUP(C25,[1]master_data!$A$2:$E$495,3,FALSE)</f>
        <v>1500</v>
      </c>
      <c r="G25" s="16">
        <f>VLOOKUP(C25,[1]master_data!$A$2:$E$495,4,FALSE)</f>
        <v>3000</v>
      </c>
      <c r="H25" s="16">
        <f>E25*F25</f>
        <v>22500</v>
      </c>
      <c r="I25" s="16">
        <f>E25*G25</f>
        <v>45000</v>
      </c>
      <c r="J25" s="16">
        <f>I25-H25</f>
        <v>22500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44558</v>
      </c>
      <c r="B26" s="16" t="s">
        <v>2188</v>
      </c>
      <c r="C26" s="16" t="s">
        <v>143</v>
      </c>
      <c r="D26" s="16" t="str">
        <f>VLOOKUP(C26,[1]master_data!$A$2:$E$495,2,FALSE)</f>
        <v>LED KIYOSAKI 3 MODE 100CM</v>
      </c>
      <c r="E26" s="16">
        <v>1</v>
      </c>
      <c r="F26" s="16">
        <f>VLOOKUP(C26,[1]master_data!$A$2:$E$495,3,FALSE)</f>
        <v>82000</v>
      </c>
      <c r="G26" s="16">
        <f>VLOOKUP(C26,[1]master_data!$A$2:$E$495,4,FALSE)</f>
        <v>120000</v>
      </c>
      <c r="H26" s="16">
        <f>E26*F26</f>
        <v>82000</v>
      </c>
      <c r="I26" s="16">
        <f>E26*G26</f>
        <v>120000</v>
      </c>
      <c r="J26" s="16">
        <f>I26-H26</f>
        <v>38000</v>
      </c>
      <c r="K26" s="16" t="str">
        <f>VLOOKUP(C26,[1]master_data!$A$2:$E$495,5,FALSE)</f>
        <v>Aksesoris</v>
      </c>
      <c r="L26" s="1"/>
    </row>
    <row r="27" spans="1:12" ht="12" customHeight="1" x14ac:dyDescent="0.25">
      <c r="A27" s="15">
        <v>44557</v>
      </c>
      <c r="B27" s="16" t="s">
        <v>2177</v>
      </c>
      <c r="C27" s="16" t="s">
        <v>126</v>
      </c>
      <c r="D27" s="16" t="str">
        <f>VLOOKUP(C27,[1]master_data!$A$2:$E$495,2,FALSE)</f>
        <v>LED ROSTON 3 MODE 50 CM</v>
      </c>
      <c r="E27" s="16">
        <v>10</v>
      </c>
      <c r="F27" s="16">
        <f>VLOOKUP(C27,[1]master_data!$A$2:$E$495,3,FALSE)</f>
        <v>30000</v>
      </c>
      <c r="G27" s="16">
        <f>VLOOKUP(C27,[1]master_data!$A$2:$E$495,4,FALSE)</f>
        <v>55000</v>
      </c>
      <c r="H27" s="16">
        <f>E27*F27</f>
        <v>300000</v>
      </c>
      <c r="I27" s="16">
        <f>E27*G27</f>
        <v>550000</v>
      </c>
      <c r="J27" s="16">
        <f>I27-H27</f>
        <v>250000</v>
      </c>
      <c r="K27" s="16" t="str">
        <f>VLOOKUP(C27,[1]master_data!$A$2:$E$495,5,FALSE)</f>
        <v>Aksesoris</v>
      </c>
      <c r="L27" s="1"/>
    </row>
    <row r="28" spans="1:12" ht="12" customHeight="1" x14ac:dyDescent="0.25">
      <c r="A28" s="15">
        <v>44557</v>
      </c>
      <c r="B28" s="16" t="s">
        <v>2178</v>
      </c>
      <c r="C28" s="16" t="s">
        <v>314</v>
      </c>
      <c r="D28" s="16" t="str">
        <f>VLOOKUP(C28,[1]master_data!$A$2:$E$495,2,FALSE)</f>
        <v>BALA BALA B</v>
      </c>
      <c r="E28" s="16">
        <v>1</v>
      </c>
      <c r="F28" s="16">
        <f>VLOOKUP(C28,[1]master_data!$A$2:$E$495,3,FALSE)</f>
        <v>7000</v>
      </c>
      <c r="G28" s="16">
        <f>VLOOKUP(C28,[1]master_data!$A$2:$E$495,4,FALSE)</f>
        <v>15000</v>
      </c>
      <c r="H28" s="16">
        <f>E28*F28</f>
        <v>7000</v>
      </c>
      <c r="I28" s="16">
        <f>E28*G28</f>
        <v>15000</v>
      </c>
      <c r="J28" s="16">
        <f>I28-H28</f>
        <v>8000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44557</v>
      </c>
      <c r="B29" s="16" t="s">
        <v>2179</v>
      </c>
      <c r="C29" s="16" t="s">
        <v>311</v>
      </c>
      <c r="D29" s="16" t="str">
        <f>VLOOKUP(C29,[1]master_data!$A$2:$E$495,2,FALSE)</f>
        <v>BIPOLAR</v>
      </c>
      <c r="E29" s="16">
        <v>10</v>
      </c>
      <c r="F29" s="16">
        <f>VLOOKUP(C29,[1]master_data!$A$2:$E$495,3,FALSE)</f>
        <v>1000</v>
      </c>
      <c r="G29" s="16">
        <f>VLOOKUP(C29,[1]master_data!$A$2:$E$495,4,FALSE)</f>
        <v>2500</v>
      </c>
      <c r="H29" s="16">
        <f>E29*F29</f>
        <v>10000</v>
      </c>
      <c r="I29" s="16">
        <f>E29*G29</f>
        <v>25000</v>
      </c>
      <c r="J29" s="16">
        <f>I29-H29</f>
        <v>15000</v>
      </c>
      <c r="K29" s="16" t="str">
        <f>VLOOKUP(C29,[1]master_data!$A$2:$E$495,5,FALSE)</f>
        <v>Ikan</v>
      </c>
      <c r="L29" s="1"/>
    </row>
    <row r="30" spans="1:12" ht="12" customHeight="1" x14ac:dyDescent="0.25">
      <c r="A30" s="15">
        <v>44557</v>
      </c>
      <c r="B30" s="16" t="s">
        <v>2180</v>
      </c>
      <c r="C30" s="16" t="s">
        <v>348</v>
      </c>
      <c r="D30" s="16" t="str">
        <f>VLOOKUP(C30,[1]master_data!$A$2:$E$495,2,FALSE)</f>
        <v>NIASA</v>
      </c>
      <c r="E30" s="16">
        <v>20</v>
      </c>
      <c r="F30" s="16">
        <f>VLOOKUP(C30,[1]master_data!$A$2:$E$495,3,FALSE)</f>
        <v>900</v>
      </c>
      <c r="G30" s="16">
        <f>VLOOKUP(C30,[1]master_data!$A$2:$E$495,4,FALSE)</f>
        <v>2000</v>
      </c>
      <c r="H30" s="16">
        <f>E30*F30</f>
        <v>18000</v>
      </c>
      <c r="I30" s="16">
        <f>E30*G30</f>
        <v>40000</v>
      </c>
      <c r="J30" s="16">
        <f>I30-H30</f>
        <v>22000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44557</v>
      </c>
      <c r="B31" s="16" t="s">
        <v>2181</v>
      </c>
      <c r="C31" s="16" t="s">
        <v>242</v>
      </c>
      <c r="D31" s="16" t="str">
        <f>VLOOKUP(C31,[1]master_data!$A$2:$E$495,2,FALSE)</f>
        <v>SEDOTAN</v>
      </c>
      <c r="E31" s="16">
        <v>4</v>
      </c>
      <c r="F31" s="16">
        <f>VLOOKUP(C31,[1]master_data!$A$2:$E$495,3,FALSE)</f>
        <v>10000</v>
      </c>
      <c r="G31" s="16">
        <f>VLOOKUP(C31,[1]master_data!$A$2:$E$495,4,FALSE)</f>
        <v>15000</v>
      </c>
      <c r="H31" s="16">
        <f>E31*F31</f>
        <v>40000</v>
      </c>
      <c r="I31" s="16">
        <f>E31*G31</f>
        <v>60000</v>
      </c>
      <c r="J31" s="16">
        <f>I31-H31</f>
        <v>20000</v>
      </c>
      <c r="K31" s="16" t="str">
        <f>VLOOKUP(C31,[1]master_data!$A$2:$E$495,5,FALSE)</f>
        <v>Aksesoris</v>
      </c>
      <c r="L31" s="1"/>
    </row>
    <row r="32" spans="1:12" ht="12" customHeight="1" x14ac:dyDescent="0.25">
      <c r="A32" s="15">
        <v>44557</v>
      </c>
      <c r="B32" s="16" t="s">
        <v>2182</v>
      </c>
      <c r="C32" s="16" t="s">
        <v>359</v>
      </c>
      <c r="D32" s="16" t="str">
        <f>VLOOKUP(C32,[1]master_data!$A$2:$E$495,2,FALSE)</f>
        <v>REDFIN ALBINO</v>
      </c>
      <c r="E32" s="16">
        <v>1</v>
      </c>
      <c r="F32" s="16">
        <f>VLOOKUP(C32,[1]master_data!$A$2:$E$495,3,FALSE)</f>
        <v>1500</v>
      </c>
      <c r="G32" s="16">
        <f>VLOOKUP(C32,[1]master_data!$A$2:$E$495,4,FALSE)</f>
        <v>4000</v>
      </c>
      <c r="H32" s="16">
        <f>E32*F32</f>
        <v>1500</v>
      </c>
      <c r="I32" s="16">
        <f>E32*G32</f>
        <v>4000</v>
      </c>
      <c r="J32" s="16">
        <f>I32-H32</f>
        <v>2500</v>
      </c>
      <c r="K32" s="16" t="str">
        <f>VLOOKUP(C32,[1]master_data!$A$2:$E$495,5,FALSE)</f>
        <v>Ikan</v>
      </c>
      <c r="L32" s="1"/>
    </row>
    <row r="33" spans="1:12" ht="12" customHeight="1" x14ac:dyDescent="0.25">
      <c r="A33" s="15">
        <v>44557</v>
      </c>
      <c r="B33" s="16" t="s">
        <v>2183</v>
      </c>
      <c r="C33" s="16" t="s">
        <v>343</v>
      </c>
      <c r="D33" s="16" t="str">
        <f>VLOOKUP(C33,[1]master_data!$A$2:$E$495,2,FALSE)</f>
        <v>MANFISH K</v>
      </c>
      <c r="E33" s="16">
        <v>100</v>
      </c>
      <c r="F33" s="16">
        <f>VLOOKUP(C33,[1]master_data!$A$2:$E$495,3,FALSE)</f>
        <v>2000</v>
      </c>
      <c r="G33" s="16">
        <f>VLOOKUP(C33,[1]master_data!$A$2:$E$495,4,FALSE)</f>
        <v>5000</v>
      </c>
      <c r="H33" s="16">
        <f>E33*F33</f>
        <v>200000</v>
      </c>
      <c r="I33" s="16">
        <f>E33*G33</f>
        <v>500000</v>
      </c>
      <c r="J33" s="16">
        <f>I33-H33</f>
        <v>300000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44556</v>
      </c>
      <c r="B34" s="16" t="s">
        <v>2172</v>
      </c>
      <c r="C34" s="16" t="s">
        <v>232</v>
      </c>
      <c r="D34" s="16" t="str">
        <f>VLOOKUP(C34,[1]master_data!$A$2:$E$495,2,FALSE)</f>
        <v>MAINAN KODOK</v>
      </c>
      <c r="E34" s="16">
        <v>2</v>
      </c>
      <c r="F34" s="16">
        <f>VLOOKUP(C34,[1]master_data!$A$2:$E$495,3,FALSE)</f>
        <v>11000</v>
      </c>
      <c r="G34" s="16">
        <f>VLOOKUP(C34,[1]master_data!$A$2:$E$495,4,FALSE)</f>
        <v>20000</v>
      </c>
      <c r="H34" s="16">
        <f>E34*F34</f>
        <v>22000</v>
      </c>
      <c r="I34" s="16">
        <f>E34*G34</f>
        <v>40000</v>
      </c>
      <c r="J34" s="16">
        <f>I34-H34</f>
        <v>18000</v>
      </c>
      <c r="K34" s="16" t="str">
        <f>VLOOKUP(C34,[1]master_data!$A$2:$E$495,5,FALSE)</f>
        <v>Aksesoris</v>
      </c>
      <c r="L34" s="1"/>
    </row>
    <row r="35" spans="1:12" ht="12" customHeight="1" x14ac:dyDescent="0.25">
      <c r="A35" s="15">
        <v>44556</v>
      </c>
      <c r="B35" s="16" t="s">
        <v>2173</v>
      </c>
      <c r="C35" s="16" t="s">
        <v>21</v>
      </c>
      <c r="D35" s="16" t="str">
        <f>VLOOKUP(C35,[1]master_data!$A$2:$E$495,2,FALSE)</f>
        <v>MESIN ROSTON 1200</v>
      </c>
      <c r="E35" s="16">
        <v>5</v>
      </c>
      <c r="F35" s="16">
        <f>VLOOKUP(C35,[1]master_data!$A$2:$E$495,3,FALSE)</f>
        <v>23000</v>
      </c>
      <c r="G35" s="16">
        <f>VLOOKUP(C35,[1]master_data!$A$2:$E$495,4,FALSE)</f>
        <v>35000</v>
      </c>
      <c r="H35" s="16">
        <f>E35*F35</f>
        <v>115000</v>
      </c>
      <c r="I35" s="16">
        <f>E35*G35</f>
        <v>175000</v>
      </c>
      <c r="J35" s="16">
        <f>I35-H35</f>
        <v>60000</v>
      </c>
      <c r="K35" s="16" t="str">
        <f>VLOOKUP(C35,[1]master_data!$A$2:$E$495,5,FALSE)</f>
        <v>Aksesoris</v>
      </c>
      <c r="L35" s="1"/>
    </row>
    <row r="36" spans="1:12" ht="12" customHeight="1" x14ac:dyDescent="0.25">
      <c r="A36" s="15">
        <v>44556</v>
      </c>
      <c r="B36" s="16" t="s">
        <v>2174</v>
      </c>
      <c r="C36" s="16" t="s">
        <v>308</v>
      </c>
      <c r="D36" s="16" t="str">
        <f>VLOOKUP(C36,[1]master_data!$A$2:$E$495,2,FALSE)</f>
        <v>ARWANA SILVER B</v>
      </c>
      <c r="E36" s="16">
        <v>1</v>
      </c>
      <c r="F36" s="16">
        <f>VLOOKUP(C36,[1]master_data!$A$2:$E$495,3,FALSE)</f>
        <v>300000</v>
      </c>
      <c r="G36" s="16">
        <f>VLOOKUP(C36,[1]master_data!$A$2:$E$495,4,FALSE)</f>
        <v>500000</v>
      </c>
      <c r="H36" s="16">
        <f>E36*F36</f>
        <v>300000</v>
      </c>
      <c r="I36" s="16">
        <f>E36*G36</f>
        <v>500000</v>
      </c>
      <c r="J36" s="16">
        <f>I36-H36</f>
        <v>200000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44556</v>
      </c>
      <c r="B37" s="16" t="s">
        <v>2175</v>
      </c>
      <c r="C37" s="16" t="s">
        <v>65</v>
      </c>
      <c r="D37" s="16" t="str">
        <f>VLOOKUP(C37,[1]master_data!$A$2:$E$495,2,FALSE)</f>
        <v>BIO FOAM L</v>
      </c>
      <c r="E37" s="16">
        <v>2</v>
      </c>
      <c r="F37" s="16">
        <f>VLOOKUP(C37,[1]master_data!$A$2:$E$495,3,FALSE)</f>
        <v>22000</v>
      </c>
      <c r="G37" s="16">
        <f>VLOOKUP(C37,[1]master_data!$A$2:$E$495,4,FALSE)</f>
        <v>35000</v>
      </c>
      <c r="H37" s="16">
        <f>E37*F37</f>
        <v>44000</v>
      </c>
      <c r="I37" s="16">
        <f>E37*G37</f>
        <v>70000</v>
      </c>
      <c r="J37" s="16">
        <f>I37-H37</f>
        <v>26000</v>
      </c>
      <c r="K37" s="16" t="str">
        <f>VLOOKUP(C37,[1]master_data!$A$2:$E$495,5,FALSE)</f>
        <v>Aksesoris</v>
      </c>
      <c r="L37" s="1"/>
    </row>
    <row r="38" spans="1:12" ht="12" customHeight="1" x14ac:dyDescent="0.25">
      <c r="A38" s="15">
        <v>44556</v>
      </c>
      <c r="B38" s="16" t="s">
        <v>2176</v>
      </c>
      <c r="C38" s="16" t="s">
        <v>195</v>
      </c>
      <c r="D38" s="16" t="str">
        <f>VLOOKUP(C38,[1]master_data!$A$2:$E$495,2,FALSE)</f>
        <v>BACTERIAL STATER</v>
      </c>
      <c r="E38" s="16">
        <v>1</v>
      </c>
      <c r="F38" s="16">
        <f>VLOOKUP(C38,[1]master_data!$A$2:$E$495,3,FALSE)</f>
        <v>10000</v>
      </c>
      <c r="G38" s="16">
        <f>VLOOKUP(C38,[1]master_data!$A$2:$E$495,4,FALSE)</f>
        <v>15000</v>
      </c>
      <c r="H38" s="16">
        <f>E38*F38</f>
        <v>10000</v>
      </c>
      <c r="I38" s="16">
        <f>E38*G38</f>
        <v>15000</v>
      </c>
      <c r="J38" s="16">
        <f>I38-H38</f>
        <v>5000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44555</v>
      </c>
      <c r="B39" s="16" t="s">
        <v>2163</v>
      </c>
      <c r="C39" s="16" t="s">
        <v>364</v>
      </c>
      <c r="D39" s="16" t="str">
        <f>VLOOKUP(C39,[1]master_data!$A$2:$E$495,2,FALSE)</f>
        <v>SNOW WHITE</v>
      </c>
      <c r="E39" s="16">
        <v>25</v>
      </c>
      <c r="F39" s="16">
        <f>VLOOKUP(C39,[1]master_data!$A$2:$E$495,3,FALSE)</f>
        <v>1500</v>
      </c>
      <c r="G39" s="16">
        <f>VLOOKUP(C39,[1]master_data!$A$2:$E$495,4,FALSE)</f>
        <v>3000</v>
      </c>
      <c r="H39" s="16">
        <f>E39*F39</f>
        <v>37500</v>
      </c>
      <c r="I39" s="16">
        <f>E39*G39</f>
        <v>75000</v>
      </c>
      <c r="J39" s="16">
        <f>I39-H39</f>
        <v>37500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44555</v>
      </c>
      <c r="B40" s="16" t="s">
        <v>2164</v>
      </c>
      <c r="C40" s="16" t="s">
        <v>332</v>
      </c>
      <c r="D40" s="16" t="str">
        <f>VLOOKUP(C40,[1]master_data!$A$2:$E$495,2,FALSE)</f>
        <v>KURA - KURA</v>
      </c>
      <c r="E40" s="16">
        <v>5</v>
      </c>
      <c r="F40" s="16">
        <f>VLOOKUP(C40,[1]master_data!$A$2:$E$495,3,FALSE)</f>
        <v>25000</v>
      </c>
      <c r="G40" s="16">
        <f>VLOOKUP(C40,[1]master_data!$A$2:$E$495,4,FALSE)</f>
        <v>35000</v>
      </c>
      <c r="H40" s="16">
        <f>E40*F40</f>
        <v>125000</v>
      </c>
      <c r="I40" s="16">
        <f>E40*G40</f>
        <v>175000</v>
      </c>
      <c r="J40" s="16">
        <f>I40-H40</f>
        <v>50000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44555</v>
      </c>
      <c r="B41" s="16" t="s">
        <v>2165</v>
      </c>
      <c r="C41" s="16" t="s">
        <v>189</v>
      </c>
      <c r="D41" s="16" t="str">
        <f>VLOOKUP(C41,[1]master_data!$A$2:$E$495,2,FALSE)</f>
        <v>QUICK RED BG</v>
      </c>
      <c r="E41" s="16">
        <v>2</v>
      </c>
      <c r="F41" s="16">
        <f>VLOOKUP(C41,[1]master_data!$A$2:$E$495,3,FALSE)</f>
        <v>19200</v>
      </c>
      <c r="G41" s="16">
        <f>VLOOKUP(C41,[1]master_data!$A$2:$E$495,4,FALSE)</f>
        <v>35000</v>
      </c>
      <c r="H41" s="16">
        <f>E41*F41</f>
        <v>38400</v>
      </c>
      <c r="I41" s="16">
        <f>E41*G41</f>
        <v>70000</v>
      </c>
      <c r="J41" s="16">
        <f>I41-H41</f>
        <v>31600</v>
      </c>
      <c r="K41" s="16" t="str">
        <f>VLOOKUP(C41,[1]master_data!$A$2:$E$495,5,FALSE)</f>
        <v>Aksesoris</v>
      </c>
      <c r="L41" s="1"/>
    </row>
    <row r="42" spans="1:12" ht="12" customHeight="1" x14ac:dyDescent="0.25">
      <c r="A42" s="15">
        <v>44555</v>
      </c>
      <c r="B42" s="16" t="s">
        <v>2166</v>
      </c>
      <c r="C42" s="16" t="s">
        <v>354</v>
      </c>
      <c r="D42" s="16" t="str">
        <f>VLOOKUP(C42,[1]master_data!$A$2:$E$495,2,FALSE)</f>
        <v>PEMBERSIH KACA ALBINO</v>
      </c>
      <c r="E42" s="16">
        <v>10</v>
      </c>
      <c r="F42" s="16">
        <f>VLOOKUP(C42,[1]master_data!$A$2:$E$495,3,FALSE)</f>
        <v>2500</v>
      </c>
      <c r="G42" s="16">
        <f>VLOOKUP(C42,[1]master_data!$A$2:$E$495,4,FALSE)</f>
        <v>5000</v>
      </c>
      <c r="H42" s="16">
        <f>E42*F42</f>
        <v>25000</v>
      </c>
      <c r="I42" s="16">
        <f>E42*G42</f>
        <v>50000</v>
      </c>
      <c r="J42" s="16">
        <f>I42-H42</f>
        <v>25000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44555</v>
      </c>
      <c r="B43" s="16" t="s">
        <v>2167</v>
      </c>
      <c r="C43" s="16" t="s">
        <v>334</v>
      </c>
      <c r="D43" s="16" t="str">
        <f>VLOOKUP(C43,[1]master_data!$A$2:$E$495,2,FALSE)</f>
        <v>KOMET PAKAN</v>
      </c>
      <c r="E43" s="16">
        <v>90</v>
      </c>
      <c r="F43" s="16">
        <f>VLOOKUP(C43,[1]master_data!$A$2:$E$495,3,FALSE)</f>
        <v>300</v>
      </c>
      <c r="G43" s="16">
        <f>VLOOKUP(C43,[1]master_data!$A$2:$E$495,4,FALSE)</f>
        <v>1000</v>
      </c>
      <c r="H43" s="16">
        <f>E43*F43</f>
        <v>27000</v>
      </c>
      <c r="I43" s="16">
        <f>E43*G43</f>
        <v>90000</v>
      </c>
      <c r="J43" s="16">
        <f>I43-H43</f>
        <v>63000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44555</v>
      </c>
      <c r="B44" s="16" t="s">
        <v>2168</v>
      </c>
      <c r="C44" s="16" t="s">
        <v>66</v>
      </c>
      <c r="D44" s="16" t="str">
        <f>VLOOKUP(C44,[1]master_data!$A$2:$E$495,2,FALSE)</f>
        <v>MESIN LUKINES K</v>
      </c>
      <c r="E44" s="16">
        <v>2</v>
      </c>
      <c r="F44" s="16">
        <f>VLOOKUP(C44,[1]master_data!$A$2:$E$495,3,FALSE)</f>
        <v>35000</v>
      </c>
      <c r="G44" s="16">
        <f>VLOOKUP(C44,[1]master_data!$A$2:$E$495,4,FALSE)</f>
        <v>55000</v>
      </c>
      <c r="H44" s="16">
        <f>E44*F44</f>
        <v>70000</v>
      </c>
      <c r="I44" s="16">
        <f>E44*G44</f>
        <v>110000</v>
      </c>
      <c r="J44" s="16">
        <f>I44-H44</f>
        <v>40000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44555</v>
      </c>
      <c r="B45" s="16" t="s">
        <v>2169</v>
      </c>
      <c r="C45" s="16" t="s">
        <v>328</v>
      </c>
      <c r="D45" s="16" t="str">
        <f>VLOOKUP(C45,[1]master_data!$A$2:$E$495,2,FALSE)</f>
        <v>KOKI B</v>
      </c>
      <c r="E45" s="16">
        <v>3</v>
      </c>
      <c r="F45" s="16">
        <f>VLOOKUP(C45,[1]master_data!$A$2:$E$495,3,FALSE)</f>
        <v>20000</v>
      </c>
      <c r="G45" s="16">
        <f>VLOOKUP(C45,[1]master_data!$A$2:$E$495,4,FALSE)</f>
        <v>50000</v>
      </c>
      <c r="H45" s="16">
        <f>E45*F45</f>
        <v>60000</v>
      </c>
      <c r="I45" s="16">
        <f>E45*G45</f>
        <v>150000</v>
      </c>
      <c r="J45" s="16">
        <f>I45-H45</f>
        <v>90000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44555</v>
      </c>
      <c r="B46" s="16" t="s">
        <v>2170</v>
      </c>
      <c r="C46" s="16" t="s">
        <v>338</v>
      </c>
      <c r="D46" s="16" t="str">
        <f>VLOOKUP(C46,[1]master_data!$A$2:$E$495,2,FALSE)</f>
        <v>CAROLINE</v>
      </c>
      <c r="E46" s="16">
        <v>8</v>
      </c>
      <c r="F46" s="16">
        <f>VLOOKUP(C46,[1]master_data!$A$2:$E$495,3,FALSE)</f>
        <v>900</v>
      </c>
      <c r="G46" s="16">
        <f>VLOOKUP(C46,[1]master_data!$A$2:$E$495,4,FALSE)</f>
        <v>2000</v>
      </c>
      <c r="H46" s="16">
        <f>E46*F46</f>
        <v>7200</v>
      </c>
      <c r="I46" s="16">
        <f>E46*G46</f>
        <v>16000</v>
      </c>
      <c r="J46" s="16">
        <f>I46-H46</f>
        <v>8800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44555</v>
      </c>
      <c r="B47" s="16" t="s">
        <v>2171</v>
      </c>
      <c r="C47" s="16" t="s">
        <v>209</v>
      </c>
      <c r="D47" s="16" t="str">
        <f>VLOOKUP(C47,[1]master_data!$A$2:$E$495,2,FALSE)</f>
        <v>BIORING</v>
      </c>
      <c r="E47" s="16">
        <v>1</v>
      </c>
      <c r="F47" s="16">
        <f>VLOOKUP(C47,[1]master_data!$A$2:$E$495,3,FALSE)</f>
        <v>8000</v>
      </c>
      <c r="G47" s="16">
        <f>VLOOKUP(C47,[1]master_data!$A$2:$E$495,4,FALSE)</f>
        <v>15000</v>
      </c>
      <c r="H47" s="16">
        <f>E47*F47</f>
        <v>8000</v>
      </c>
      <c r="I47" s="16">
        <f>E47*G47</f>
        <v>15000</v>
      </c>
      <c r="J47" s="16">
        <f>I47-H47</f>
        <v>7000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44554</v>
      </c>
      <c r="B48" s="16" t="s">
        <v>2155</v>
      </c>
      <c r="C48" s="16" t="s">
        <v>340</v>
      </c>
      <c r="D48" s="16" t="str">
        <f>VLOOKUP(C48,[1]master_data!$A$2:$E$495,2,FALSE)</f>
        <v>LEMON</v>
      </c>
      <c r="E48" s="16">
        <v>15</v>
      </c>
      <c r="F48" s="16">
        <f>VLOOKUP(C48,[1]master_data!$A$2:$E$495,3,FALSE)</f>
        <v>1000</v>
      </c>
      <c r="G48" s="16">
        <f>VLOOKUP(C48,[1]master_data!$A$2:$E$495,4,FALSE)</f>
        <v>2000</v>
      </c>
      <c r="H48" s="16">
        <f>E48*F48</f>
        <v>15000</v>
      </c>
      <c r="I48" s="16">
        <f>E48*G48</f>
        <v>30000</v>
      </c>
      <c r="J48" s="16">
        <f>I48-H48</f>
        <v>15000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44554</v>
      </c>
      <c r="B49" s="16" t="s">
        <v>2156</v>
      </c>
      <c r="C49" s="16" t="s">
        <v>195</v>
      </c>
      <c r="D49" s="16" t="str">
        <f>VLOOKUP(C49,[1]master_data!$A$2:$E$495,2,FALSE)</f>
        <v>BACTERIAL STATER</v>
      </c>
      <c r="E49" s="16">
        <v>10</v>
      </c>
      <c r="F49" s="16">
        <f>VLOOKUP(C49,[1]master_data!$A$2:$E$495,3,FALSE)</f>
        <v>10000</v>
      </c>
      <c r="G49" s="16">
        <f>VLOOKUP(C49,[1]master_data!$A$2:$E$495,4,FALSE)</f>
        <v>15000</v>
      </c>
      <c r="H49" s="16">
        <f>E49*F49</f>
        <v>100000</v>
      </c>
      <c r="I49" s="16">
        <f>E49*G49</f>
        <v>150000</v>
      </c>
      <c r="J49" s="16">
        <f>I49-H49</f>
        <v>50000</v>
      </c>
      <c r="K49" s="16" t="str">
        <f>VLOOKUP(C49,[1]master_data!$A$2:$E$495,5,FALSE)</f>
        <v>Aksesoris</v>
      </c>
      <c r="L49" s="1"/>
    </row>
    <row r="50" spans="1:12" ht="12" customHeight="1" x14ac:dyDescent="0.25">
      <c r="A50" s="15">
        <v>44554</v>
      </c>
      <c r="B50" s="16" t="s">
        <v>2157</v>
      </c>
      <c r="C50" s="16" t="s">
        <v>31</v>
      </c>
      <c r="D50" s="16" t="str">
        <f>VLOOKUP(C50,[1]master_data!$A$2:$E$495,2,FALSE)</f>
        <v>MESIN YAMANO 1600</v>
      </c>
      <c r="E50" s="16">
        <v>5</v>
      </c>
      <c r="F50" s="16">
        <f>VLOOKUP(C50,[1]master_data!$A$2:$E$495,3,FALSE)</f>
        <v>55000</v>
      </c>
      <c r="G50" s="16">
        <f>VLOOKUP(C50,[1]master_data!$A$2:$E$495,4,FALSE)</f>
        <v>75000</v>
      </c>
      <c r="H50" s="16">
        <f>E50*F50</f>
        <v>275000</v>
      </c>
      <c r="I50" s="16">
        <f>E50*G50</f>
        <v>375000</v>
      </c>
      <c r="J50" s="16">
        <f>I50-H50</f>
        <v>100000</v>
      </c>
      <c r="K50" s="16" t="str">
        <f>VLOOKUP(C50,[1]master_data!$A$2:$E$495,5,FALSE)</f>
        <v>Aksesoris</v>
      </c>
      <c r="L50" s="1"/>
    </row>
    <row r="51" spans="1:12" ht="12" customHeight="1" x14ac:dyDescent="0.25">
      <c r="A51" s="15">
        <v>44554</v>
      </c>
      <c r="B51" s="16" t="s">
        <v>2158</v>
      </c>
      <c r="C51" s="16" t="s">
        <v>198</v>
      </c>
      <c r="D51" s="16" t="str">
        <f>VLOOKUP(C51,[1]master_data!$A$2:$E$495,2,FALSE)</f>
        <v>AIRSTONE 40</v>
      </c>
      <c r="E51" s="16">
        <v>1</v>
      </c>
      <c r="F51" s="16">
        <f>VLOOKUP(C51,[1]master_data!$A$2:$E$495,3,FALSE)</f>
        <v>6000</v>
      </c>
      <c r="G51" s="16">
        <f>VLOOKUP(C51,[1]master_data!$A$2:$E$495,4,FALSE)</f>
        <v>12000</v>
      </c>
      <c r="H51" s="16">
        <f>E51*F51</f>
        <v>6000</v>
      </c>
      <c r="I51" s="16">
        <f>E51*G51</f>
        <v>12000</v>
      </c>
      <c r="J51" s="16">
        <f>I51-H51</f>
        <v>6000</v>
      </c>
      <c r="K51" s="16" t="str">
        <f>VLOOKUP(C51,[1]master_data!$A$2:$E$495,5,FALSE)</f>
        <v>Aksesoris</v>
      </c>
      <c r="L51" s="1"/>
    </row>
    <row r="52" spans="1:12" ht="12" customHeight="1" x14ac:dyDescent="0.25">
      <c r="A52" s="15">
        <v>44554</v>
      </c>
      <c r="B52" s="16" t="s">
        <v>2159</v>
      </c>
      <c r="C52" s="16" t="s">
        <v>331</v>
      </c>
      <c r="D52" s="16" t="str">
        <f>VLOOKUP(C52,[1]master_data!$A$2:$E$495,2,FALSE)</f>
        <v>KOI B</v>
      </c>
      <c r="E52" s="16">
        <v>1</v>
      </c>
      <c r="F52" s="16">
        <f>VLOOKUP(C52,[1]master_data!$A$2:$E$495,3,FALSE)</f>
        <v>9000</v>
      </c>
      <c r="G52" s="16">
        <f>VLOOKUP(C52,[1]master_data!$A$2:$E$495,4,FALSE)</f>
        <v>30000</v>
      </c>
      <c r="H52" s="16">
        <f>E52*F52</f>
        <v>9000</v>
      </c>
      <c r="I52" s="16">
        <f>E52*G52</f>
        <v>30000</v>
      </c>
      <c r="J52" s="16">
        <f>I52-H52</f>
        <v>21000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44554</v>
      </c>
      <c r="B53" s="16" t="s">
        <v>2160</v>
      </c>
      <c r="C53" s="16" t="s">
        <v>263</v>
      </c>
      <c r="D53" s="16" t="str">
        <f>VLOOKUP(C53,[1]master_data!$A$2:$E$495,2,FALSE)</f>
        <v>KAPAS BANTAL</v>
      </c>
      <c r="E53" s="16">
        <v>5</v>
      </c>
      <c r="F53" s="16">
        <f>VLOOKUP(C53,[1]master_data!$A$2:$E$495,3,FALSE)</f>
        <v>10000</v>
      </c>
      <c r="G53" s="16">
        <f>VLOOKUP(C53,[1]master_data!$A$2:$E$495,4,FALSE)</f>
        <v>20000</v>
      </c>
      <c r="H53" s="16">
        <f>E53*F53</f>
        <v>50000</v>
      </c>
      <c r="I53" s="16">
        <f>E53*G53</f>
        <v>100000</v>
      </c>
      <c r="J53" s="16">
        <f>I53-H53</f>
        <v>50000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44554</v>
      </c>
      <c r="B54" s="16" t="s">
        <v>2161</v>
      </c>
      <c r="C54" s="16" t="s">
        <v>248</v>
      </c>
      <c r="D54" s="16" t="str">
        <f>VLOOKUP(C54,[1]master_data!$A$2:$E$495,2,FALSE)</f>
        <v>T PIPA</v>
      </c>
      <c r="E54" s="16">
        <v>20</v>
      </c>
      <c r="F54" s="16">
        <f>VLOOKUP(C54,[1]master_data!$A$2:$E$495,3,FALSE)</f>
        <v>800</v>
      </c>
      <c r="G54" s="16">
        <f>VLOOKUP(C54,[1]master_data!$A$2:$E$495,4,FALSE)</f>
        <v>2000</v>
      </c>
      <c r="H54" s="16">
        <f>E54*F54</f>
        <v>16000</v>
      </c>
      <c r="I54" s="16">
        <f>E54*G54</f>
        <v>40000</v>
      </c>
      <c r="J54" s="16">
        <f>I54-H54</f>
        <v>24000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44554</v>
      </c>
      <c r="B55" s="16" t="s">
        <v>2162</v>
      </c>
      <c r="C55" s="16" t="s">
        <v>24</v>
      </c>
      <c r="D55" s="16" t="str">
        <f>VLOOKUP(C55,[1]master_data!$A$2:$E$495,2,FALSE)</f>
        <v>MESIN ROSTON 106</v>
      </c>
      <c r="E55" s="16">
        <v>1</v>
      </c>
      <c r="F55" s="16">
        <f>VLOOKUP(C55,[1]master_data!$A$2:$E$495,3,FALSE)</f>
        <v>100000</v>
      </c>
      <c r="G55" s="16">
        <f>VLOOKUP(C55,[1]master_data!$A$2:$E$495,4,FALSE)</f>
        <v>150000</v>
      </c>
      <c r="H55" s="16">
        <f>E55*F55</f>
        <v>100000</v>
      </c>
      <c r="I55" s="16">
        <f>E55*G55</f>
        <v>150000</v>
      </c>
      <c r="J55" s="16">
        <f>I55-H55</f>
        <v>50000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44553</v>
      </c>
      <c r="B56" s="16" t="s">
        <v>2152</v>
      </c>
      <c r="C56" s="16" t="s">
        <v>317</v>
      </c>
      <c r="D56" s="16" t="str">
        <f>VLOOKUP(C56,[1]master_data!$A$2:$E$495,2,FALSE)</f>
        <v>CHANNA BLUE PULCHRA B</v>
      </c>
      <c r="E56" s="16">
        <v>4</v>
      </c>
      <c r="F56" s="16">
        <f>VLOOKUP(C56,[1]master_data!$A$2:$E$495,3,FALSE)</f>
        <v>125000</v>
      </c>
      <c r="G56" s="16">
        <f>VLOOKUP(C56,[1]master_data!$A$2:$E$495,4,FALSE)</f>
        <v>200000</v>
      </c>
      <c r="H56" s="16">
        <f>E56*F56</f>
        <v>500000</v>
      </c>
      <c r="I56" s="16">
        <f>E56*G56</f>
        <v>800000</v>
      </c>
      <c r="J56" s="16">
        <f>I56-H56</f>
        <v>300000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44553</v>
      </c>
      <c r="B57" s="16" t="s">
        <v>2153</v>
      </c>
      <c r="C57" s="16" t="s">
        <v>237</v>
      </c>
      <c r="D57" s="16" t="str">
        <f>VLOOKUP(C57,[1]master_data!$A$2:$E$495,2,FALSE)</f>
        <v>MAINAN ANGEL SIMON</v>
      </c>
      <c r="E57" s="16">
        <v>10</v>
      </c>
      <c r="F57" s="16">
        <f>VLOOKUP(C57,[1]master_data!$A$2:$E$495,3,FALSE)</f>
        <v>9000</v>
      </c>
      <c r="G57" s="16">
        <f>VLOOKUP(C57,[1]master_data!$A$2:$E$495,4,FALSE)</f>
        <v>18000</v>
      </c>
      <c r="H57" s="16">
        <f>E57*F57</f>
        <v>90000</v>
      </c>
      <c r="I57" s="16">
        <f>E57*G57</f>
        <v>180000</v>
      </c>
      <c r="J57" s="16">
        <f>I57-H57</f>
        <v>90000</v>
      </c>
      <c r="K57" s="16" t="str">
        <f>VLOOKUP(C57,[1]master_data!$A$2:$E$495,5,FALSE)</f>
        <v>Aksesoris</v>
      </c>
      <c r="L57" s="1"/>
    </row>
    <row r="58" spans="1:12" ht="12" customHeight="1" x14ac:dyDescent="0.25">
      <c r="A58" s="15">
        <v>44553</v>
      </c>
      <c r="B58" s="16" t="s">
        <v>2154</v>
      </c>
      <c r="C58" s="16" t="s">
        <v>340</v>
      </c>
      <c r="D58" s="16" t="str">
        <f>VLOOKUP(C58,[1]master_data!$A$2:$E$495,2,FALSE)</f>
        <v>LEMON</v>
      </c>
      <c r="E58" s="16">
        <v>5</v>
      </c>
      <c r="F58" s="16">
        <f>VLOOKUP(C58,[1]master_data!$A$2:$E$495,3,FALSE)</f>
        <v>1000</v>
      </c>
      <c r="G58" s="16">
        <f>VLOOKUP(C58,[1]master_data!$A$2:$E$495,4,FALSE)</f>
        <v>2000</v>
      </c>
      <c r="H58" s="16">
        <f>E58*F58</f>
        <v>5000</v>
      </c>
      <c r="I58" s="16">
        <f>E58*G58</f>
        <v>10000</v>
      </c>
      <c r="J58" s="16">
        <f>I58-H58</f>
        <v>5000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44552</v>
      </c>
      <c r="B59" s="16" t="s">
        <v>2145</v>
      </c>
      <c r="C59" s="16" t="s">
        <v>246</v>
      </c>
      <c r="D59" s="16" t="str">
        <f>VLOOKUP(C59,[1]master_data!$A$2:$E$495,2,FALSE)</f>
        <v>SELANG FUSO</v>
      </c>
      <c r="E59" s="16">
        <v>20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>E59*F59</f>
        <v>16000</v>
      </c>
      <c r="I59" s="16">
        <f>E59*G59</f>
        <v>40000</v>
      </c>
      <c r="J59" s="16">
        <f>I59-H59</f>
        <v>24000</v>
      </c>
      <c r="K59" s="16" t="str">
        <f>VLOOKUP(C59,[1]master_data!$A$2:$E$495,5,FALSE)</f>
        <v>Aksesoris</v>
      </c>
      <c r="L59" s="1"/>
    </row>
    <row r="60" spans="1:12" ht="12" customHeight="1" x14ac:dyDescent="0.25">
      <c r="A60" s="15">
        <v>44552</v>
      </c>
      <c r="B60" s="16" t="s">
        <v>2146</v>
      </c>
      <c r="C60" s="16" t="s">
        <v>328</v>
      </c>
      <c r="D60" s="16" t="str">
        <f>VLOOKUP(C60,[1]master_data!$A$2:$E$495,2,FALSE)</f>
        <v>KOKI B</v>
      </c>
      <c r="E60" s="16">
        <v>5</v>
      </c>
      <c r="F60" s="16">
        <f>VLOOKUP(C60,[1]master_data!$A$2:$E$495,3,FALSE)</f>
        <v>20000</v>
      </c>
      <c r="G60" s="16">
        <f>VLOOKUP(C60,[1]master_data!$A$2:$E$495,4,FALSE)</f>
        <v>50000</v>
      </c>
      <c r="H60" s="16">
        <f>E60*F60</f>
        <v>100000</v>
      </c>
      <c r="I60" s="16">
        <f>E60*G60</f>
        <v>250000</v>
      </c>
      <c r="J60" s="16">
        <f>I60-H60</f>
        <v>150000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44552</v>
      </c>
      <c r="B61" s="16" t="s">
        <v>2147</v>
      </c>
      <c r="C61" s="16" t="s">
        <v>350</v>
      </c>
      <c r="D61" s="16" t="str">
        <f>VLOOKUP(C61,[1]master_data!$A$2:$E$495,2,FALSE)</f>
        <v>NENTINEN</v>
      </c>
      <c r="E61" s="16">
        <v>30</v>
      </c>
      <c r="F61" s="16">
        <f>VLOOKUP(C61,[1]master_data!$A$2:$E$495,3,FALSE)</f>
        <v>1000</v>
      </c>
      <c r="G61" s="16">
        <f>VLOOKUP(C61,[1]master_data!$A$2:$E$495,4,FALSE)</f>
        <v>2500</v>
      </c>
      <c r="H61" s="16">
        <f>E61*F61</f>
        <v>30000</v>
      </c>
      <c r="I61" s="16">
        <f>E61*G61</f>
        <v>75000</v>
      </c>
      <c r="J61" s="16">
        <f>I61-H61</f>
        <v>45000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44552</v>
      </c>
      <c r="B62" s="16" t="s">
        <v>2148</v>
      </c>
      <c r="C62" s="16" t="s">
        <v>324</v>
      </c>
      <c r="D62" s="16" t="str">
        <f>VLOOKUP(C62,[1]master_data!$A$2:$E$495,2,FALSE)</f>
        <v>GOLDEN BLACK</v>
      </c>
      <c r="E62" s="16">
        <v>15</v>
      </c>
      <c r="F62" s="16">
        <f>VLOOKUP(C62,[1]master_data!$A$2:$E$495,3,FALSE)</f>
        <v>800</v>
      </c>
      <c r="G62" s="16">
        <f>VLOOKUP(C62,[1]master_data!$A$2:$E$495,4,FALSE)</f>
        <v>2000</v>
      </c>
      <c r="H62" s="16">
        <f>E62*F62</f>
        <v>12000</v>
      </c>
      <c r="I62" s="16">
        <f>E62*G62</f>
        <v>30000</v>
      </c>
      <c r="J62" s="16">
        <f>I62-H62</f>
        <v>18000</v>
      </c>
      <c r="K62" s="16" t="str">
        <f>VLOOKUP(C62,[1]master_data!$A$2:$E$495,5,FALSE)</f>
        <v>Ikan</v>
      </c>
      <c r="L62" s="1"/>
    </row>
    <row r="63" spans="1:12" ht="12" customHeight="1" x14ac:dyDescent="0.25">
      <c r="A63" s="15">
        <v>44552</v>
      </c>
      <c r="B63" s="16" t="s">
        <v>2149</v>
      </c>
      <c r="C63" s="16" t="s">
        <v>310</v>
      </c>
      <c r="D63" s="16" t="str">
        <f>VLOOKUP(C63,[1]master_data!$A$2:$E$495,2,FALSE)</f>
        <v>ALIGATOR</v>
      </c>
      <c r="E63" s="16">
        <v>1</v>
      </c>
      <c r="F63" s="16">
        <f>VLOOKUP(C63,[1]master_data!$A$2:$E$495,3,FALSE)</f>
        <v>17000</v>
      </c>
      <c r="G63" s="16">
        <f>VLOOKUP(C63,[1]master_data!$A$2:$E$495,4,FALSE)</f>
        <v>35000</v>
      </c>
      <c r="H63" s="16">
        <f>E63*F63</f>
        <v>17000</v>
      </c>
      <c r="I63" s="16">
        <f>E63*G63</f>
        <v>35000</v>
      </c>
      <c r="J63" s="16">
        <f>I63-H63</f>
        <v>18000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44552</v>
      </c>
      <c r="B64" s="16" t="s">
        <v>2150</v>
      </c>
      <c r="C64" s="16" t="s">
        <v>314</v>
      </c>
      <c r="D64" s="16" t="str">
        <f>VLOOKUP(C64,[1]master_data!$A$2:$E$495,2,FALSE)</f>
        <v>BALA BALA B</v>
      </c>
      <c r="E64" s="16">
        <v>5</v>
      </c>
      <c r="F64" s="16">
        <f>VLOOKUP(C64,[1]master_data!$A$2:$E$495,3,FALSE)</f>
        <v>7000</v>
      </c>
      <c r="G64" s="16">
        <f>VLOOKUP(C64,[1]master_data!$A$2:$E$495,4,FALSE)</f>
        <v>15000</v>
      </c>
      <c r="H64" s="16">
        <f>E64*F64</f>
        <v>35000</v>
      </c>
      <c r="I64" s="16">
        <f>E64*G64</f>
        <v>75000</v>
      </c>
      <c r="J64" s="16">
        <f>I64-H64</f>
        <v>40000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44552</v>
      </c>
      <c r="B65" s="16" t="s">
        <v>2151</v>
      </c>
      <c r="C65" s="16" t="s">
        <v>321</v>
      </c>
      <c r="D65" s="16" t="str">
        <f>VLOOKUP(C65,[1]master_data!$A$2:$E$495,2,FALSE)</f>
        <v>CATFISH</v>
      </c>
      <c r="E65" s="16">
        <v>1</v>
      </c>
      <c r="F65" s="16">
        <f>VLOOKUP(C65,[1]master_data!$A$2:$E$495,3,FALSE)</f>
        <v>20000</v>
      </c>
      <c r="G65" s="16">
        <f>VLOOKUP(C65,[1]master_data!$A$2:$E$495,4,FALSE)</f>
        <v>50000</v>
      </c>
      <c r="H65" s="16">
        <f>E65*F65</f>
        <v>20000</v>
      </c>
      <c r="I65" s="16">
        <f>E65*G65</f>
        <v>50000</v>
      </c>
      <c r="J65" s="16">
        <f>I65-H65</f>
        <v>30000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44551</v>
      </c>
      <c r="B66" s="16" t="s">
        <v>2142</v>
      </c>
      <c r="C66" s="16" t="s">
        <v>220</v>
      </c>
      <c r="D66" s="16" t="str">
        <f>VLOOKUP(C66,[1]master_data!$A$2:$E$495,2,FALSE)</f>
        <v>JARING 10</v>
      </c>
      <c r="E66" s="16">
        <v>30</v>
      </c>
      <c r="F66" s="16">
        <f>VLOOKUP(C66,[1]master_data!$A$2:$E$495,3,FALSE)</f>
        <v>2900</v>
      </c>
      <c r="G66" s="16">
        <f>VLOOKUP(C66,[1]master_data!$A$2:$E$495,4,FALSE)</f>
        <v>6000</v>
      </c>
      <c r="H66" s="16">
        <f>E66*F66</f>
        <v>87000</v>
      </c>
      <c r="I66" s="16">
        <f>E66*G66</f>
        <v>180000</v>
      </c>
      <c r="J66" s="16">
        <f>I66-H66</f>
        <v>93000</v>
      </c>
      <c r="K66" s="16" t="str">
        <f>VLOOKUP(C66,[1]master_data!$A$2:$E$495,5,FALSE)</f>
        <v>Aksesoris</v>
      </c>
      <c r="L66" s="1"/>
    </row>
    <row r="67" spans="1:12" ht="12" customHeight="1" x14ac:dyDescent="0.25">
      <c r="A67" s="15">
        <v>44551</v>
      </c>
      <c r="B67" s="16" t="s">
        <v>2143</v>
      </c>
      <c r="C67" s="16" t="s">
        <v>303</v>
      </c>
      <c r="D67" s="16" t="str">
        <f>VLOOKUP(C67,[1]master_data!$A$2:$E$495,2,FALSE)</f>
        <v>CHANNA ASIATICA K</v>
      </c>
      <c r="E67" s="16">
        <v>6</v>
      </c>
      <c r="F67" s="16">
        <f>VLOOKUP(C67,[1]master_data!$A$2:$E$495,3,FALSE)</f>
        <v>10000</v>
      </c>
      <c r="G67" s="16">
        <f>VLOOKUP(C67,[1]master_data!$A$2:$E$495,4,FALSE)</f>
        <v>40000</v>
      </c>
      <c r="H67" s="16">
        <f>E67*F67</f>
        <v>60000</v>
      </c>
      <c r="I67" s="16">
        <f>E67*G67</f>
        <v>240000</v>
      </c>
      <c r="J67" s="16">
        <f>I67-H67</f>
        <v>180000</v>
      </c>
      <c r="K67" s="16" t="str">
        <f>VLOOKUP(C67,[1]master_data!$A$2:$E$495,5,FALSE)</f>
        <v>Ikan</v>
      </c>
      <c r="L67" s="1"/>
    </row>
    <row r="68" spans="1:12" ht="12" customHeight="1" x14ac:dyDescent="0.25">
      <c r="A68" s="15">
        <v>44551</v>
      </c>
      <c r="B68" s="16" t="s">
        <v>2144</v>
      </c>
      <c r="C68" s="16" t="s">
        <v>212</v>
      </c>
      <c r="D68" s="16" t="str">
        <f>VLOOKUP(C68,[1]master_data!$A$2:$E$495,2,FALSE)</f>
        <v>CORNER FILTER MULTI NAVIGATOR</v>
      </c>
      <c r="E68" s="16">
        <v>3</v>
      </c>
      <c r="F68" s="16">
        <f>VLOOKUP(C68,[1]master_data!$A$2:$E$495,3,FALSE)</f>
        <v>21000</v>
      </c>
      <c r="G68" s="16">
        <f>VLOOKUP(C68,[1]master_data!$A$2:$E$495,4,FALSE)</f>
        <v>30000</v>
      </c>
      <c r="H68" s="16">
        <f>E68*F68</f>
        <v>63000</v>
      </c>
      <c r="I68" s="16">
        <f>E68*G68</f>
        <v>90000</v>
      </c>
      <c r="J68" s="16">
        <f>I68-H68</f>
        <v>27000</v>
      </c>
      <c r="K68" s="16" t="str">
        <f>VLOOKUP(C68,[1]master_data!$A$2:$E$495,5,FALSE)</f>
        <v>Aksesoris</v>
      </c>
      <c r="L68" s="1"/>
    </row>
    <row r="69" spans="1:12" ht="12" customHeight="1" x14ac:dyDescent="0.25">
      <c r="A69" s="15">
        <v>44550</v>
      </c>
      <c r="B69" s="16" t="s">
        <v>2136</v>
      </c>
      <c r="C69" s="16" t="s">
        <v>144</v>
      </c>
      <c r="D69" s="16" t="str">
        <f>VLOOKUP(C69,[1]master_data!$A$2:$E$495,2,FALSE)</f>
        <v>LED ARROW 3 MODE 80 CM</v>
      </c>
      <c r="E69" s="16">
        <v>5</v>
      </c>
      <c r="F69" s="16">
        <f>VLOOKUP(C69,[1]master_data!$A$2:$E$495,3,FALSE)</f>
        <v>69000</v>
      </c>
      <c r="G69" s="16">
        <f>VLOOKUP(C69,[1]master_data!$A$2:$E$495,4,FALSE)</f>
        <v>90000</v>
      </c>
      <c r="H69" s="16">
        <f>E69*F69</f>
        <v>345000</v>
      </c>
      <c r="I69" s="16">
        <f>E69*G69</f>
        <v>450000</v>
      </c>
      <c r="J69" s="16">
        <f>I69-H69</f>
        <v>105000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44550</v>
      </c>
      <c r="B70" s="16" t="s">
        <v>2137</v>
      </c>
      <c r="C70" s="16" t="s">
        <v>282</v>
      </c>
      <c r="D70" s="16" t="str">
        <f>VLOOKUP(C70,[1]master_data!$A$2:$E$495,2,FALSE)</f>
        <v>TOPLES 12,3 L</v>
      </c>
      <c r="E70" s="16">
        <v>2</v>
      </c>
      <c r="F70" s="16">
        <f>VLOOKUP(C70,[1]master_data!$A$2:$E$495,3,FALSE)</f>
        <v>52000</v>
      </c>
      <c r="G70" s="16">
        <f>VLOOKUP(C70,[1]master_data!$A$2:$E$495,4,FALSE)</f>
        <v>110000</v>
      </c>
      <c r="H70" s="16">
        <f>E70*F70</f>
        <v>104000</v>
      </c>
      <c r="I70" s="16">
        <f>E70*G70</f>
        <v>220000</v>
      </c>
      <c r="J70" s="16">
        <f>I70-H70</f>
        <v>116000</v>
      </c>
      <c r="K70" s="16" t="str">
        <f>VLOOKUP(C70,[1]master_data!$A$2:$E$495,5,FALSE)</f>
        <v>Aksesoris</v>
      </c>
      <c r="L70" s="1"/>
    </row>
    <row r="71" spans="1:12" ht="12" customHeight="1" x14ac:dyDescent="0.25">
      <c r="A71" s="15">
        <v>44550</v>
      </c>
      <c r="B71" s="16" t="s">
        <v>2138</v>
      </c>
      <c r="C71" s="16" t="s">
        <v>319</v>
      </c>
      <c r="D71" s="16" t="str">
        <f>VLOOKUP(C71,[1]master_data!$A$2:$E$495,2,FALSE)</f>
        <v>BARBIR</v>
      </c>
      <c r="E71" s="16">
        <v>30</v>
      </c>
      <c r="F71" s="16">
        <f>VLOOKUP(C71,[1]master_data!$A$2:$E$495,3,FALSE)</f>
        <v>800</v>
      </c>
      <c r="G71" s="16">
        <f>VLOOKUP(C71,[1]master_data!$A$2:$E$495,4,FALSE)</f>
        <v>2000</v>
      </c>
      <c r="H71" s="16">
        <f>E71*F71</f>
        <v>24000</v>
      </c>
      <c r="I71" s="16">
        <f>E71*G71</f>
        <v>60000</v>
      </c>
      <c r="J71" s="16">
        <f>I71-H71</f>
        <v>36000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44550</v>
      </c>
      <c r="B72" s="16" t="s">
        <v>2139</v>
      </c>
      <c r="C72" s="16" t="s">
        <v>280</v>
      </c>
      <c r="D72" s="16" t="str">
        <f>VLOOKUP(C72,[1]master_data!$A$2:$E$495,2,FALSE)</f>
        <v>TOPLES 3,3 L</v>
      </c>
      <c r="E72" s="16">
        <v>1</v>
      </c>
      <c r="F72" s="16">
        <f>VLOOKUP(C72,[1]master_data!$A$2:$E$495,3,FALSE)</f>
        <v>50000</v>
      </c>
      <c r="G72" s="16">
        <f>VLOOKUP(C72,[1]master_data!$A$2:$E$495,4,FALSE)</f>
        <v>75000</v>
      </c>
      <c r="H72" s="16">
        <f>E72*F72</f>
        <v>50000</v>
      </c>
      <c r="I72" s="16">
        <f>E72*G72</f>
        <v>75000</v>
      </c>
      <c r="J72" s="16">
        <f>I72-H72</f>
        <v>25000</v>
      </c>
      <c r="K72" s="16" t="str">
        <f>VLOOKUP(C72,[1]master_data!$A$2:$E$495,5,FALSE)</f>
        <v>Aksesoris</v>
      </c>
      <c r="L72" s="1"/>
    </row>
    <row r="73" spans="1:12" ht="12" customHeight="1" x14ac:dyDescent="0.25">
      <c r="A73" s="15">
        <v>44550</v>
      </c>
      <c r="B73" s="16" t="s">
        <v>2140</v>
      </c>
      <c r="C73" s="16" t="s">
        <v>219</v>
      </c>
      <c r="D73" s="16" t="str">
        <f>VLOOKUP(C73,[1]master_data!$A$2:$E$495,2,FALSE)</f>
        <v>HEATER KACA 100 W</v>
      </c>
      <c r="E73" s="16">
        <v>1</v>
      </c>
      <c r="F73" s="16">
        <f>VLOOKUP(C73,[1]master_data!$A$2:$E$495,3,FALSE)</f>
        <v>33000</v>
      </c>
      <c r="G73" s="16">
        <f>VLOOKUP(C73,[1]master_data!$A$2:$E$495,4,FALSE)</f>
        <v>50000</v>
      </c>
      <c r="H73" s="16">
        <f>E73*F73</f>
        <v>33000</v>
      </c>
      <c r="I73" s="16">
        <f>E73*G73</f>
        <v>50000</v>
      </c>
      <c r="J73" s="16">
        <f>I73-H73</f>
        <v>17000</v>
      </c>
      <c r="K73" s="16" t="str">
        <f>VLOOKUP(C73,[1]master_data!$A$2:$E$495,5,FALSE)</f>
        <v>Aksesoris</v>
      </c>
      <c r="L73" s="1"/>
    </row>
    <row r="74" spans="1:12" ht="12" customHeight="1" x14ac:dyDescent="0.25">
      <c r="A74" s="15">
        <v>44550</v>
      </c>
      <c r="B74" s="16" t="s">
        <v>2141</v>
      </c>
      <c r="C74" s="16" t="s">
        <v>320</v>
      </c>
      <c r="D74" s="16" t="str">
        <f>VLOOKUP(C74,[1]master_data!$A$2:$E$495,2,FALSE)</f>
        <v>CUPANG</v>
      </c>
      <c r="E74" s="16">
        <v>1</v>
      </c>
      <c r="F74" s="16">
        <f>VLOOKUP(C74,[1]master_data!$A$2:$E$495,3,FALSE)</f>
        <v>2000</v>
      </c>
      <c r="G74" s="16">
        <f>VLOOKUP(C74,[1]master_data!$A$2:$E$495,4,FALSE)</f>
        <v>5000</v>
      </c>
      <c r="H74" s="16">
        <f>E74*F74</f>
        <v>2000</v>
      </c>
      <c r="I74" s="16">
        <f>E74*G74</f>
        <v>5000</v>
      </c>
      <c r="J74" s="16">
        <f>I74-H74</f>
        <v>3000</v>
      </c>
      <c r="K74" s="16" t="str">
        <f>VLOOKUP(C74,[1]master_data!$A$2:$E$495,5,FALSE)</f>
        <v>Ikan</v>
      </c>
      <c r="L74" s="1"/>
    </row>
    <row r="75" spans="1:12" ht="12" customHeight="1" x14ac:dyDescent="0.25">
      <c r="A75" s="15">
        <v>44549</v>
      </c>
      <c r="B75" s="16" t="s">
        <v>2135</v>
      </c>
      <c r="C75" s="16" t="s">
        <v>305</v>
      </c>
      <c r="D75" s="16" t="str">
        <f>VLOOKUP(C75,[1]master_data!$A$2:$E$495,2,FALSE)</f>
        <v>CHANNA ASIATICA B</v>
      </c>
      <c r="E75" s="16">
        <v>5</v>
      </c>
      <c r="F75" s="16">
        <f>VLOOKUP(C75,[1]master_data!$A$2:$E$495,3,FALSE)</f>
        <v>40000</v>
      </c>
      <c r="G75" s="16">
        <f>VLOOKUP(C75,[1]master_data!$A$2:$E$495,4,FALSE)</f>
        <v>100000</v>
      </c>
      <c r="H75" s="16">
        <f>E75*F75</f>
        <v>200000</v>
      </c>
      <c r="I75" s="16">
        <f>E75*G75</f>
        <v>500000</v>
      </c>
      <c r="J75" s="16">
        <f>I75-H75</f>
        <v>300000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44548</v>
      </c>
      <c r="B76" s="16" t="s">
        <v>2129</v>
      </c>
      <c r="C76" s="16" t="s">
        <v>321</v>
      </c>
      <c r="D76" s="16" t="str">
        <f>VLOOKUP(C76,[1]master_data!$A$2:$E$495,2,FALSE)</f>
        <v>CATFISH</v>
      </c>
      <c r="E76" s="16">
        <v>2</v>
      </c>
      <c r="F76" s="16">
        <f>VLOOKUP(C76,[1]master_data!$A$2:$E$495,3,FALSE)</f>
        <v>20000</v>
      </c>
      <c r="G76" s="16">
        <f>VLOOKUP(C76,[1]master_data!$A$2:$E$495,4,FALSE)</f>
        <v>50000</v>
      </c>
      <c r="H76" s="16">
        <f>E76*F76</f>
        <v>40000</v>
      </c>
      <c r="I76" s="16">
        <f>E76*G76</f>
        <v>100000</v>
      </c>
      <c r="J76" s="16">
        <f>I76-H76</f>
        <v>60000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44548</v>
      </c>
      <c r="B77" s="16" t="s">
        <v>2130</v>
      </c>
      <c r="C77" s="16" t="s">
        <v>340</v>
      </c>
      <c r="D77" s="16" t="str">
        <f>VLOOKUP(C77,[1]master_data!$A$2:$E$495,2,FALSE)</f>
        <v>LEMON</v>
      </c>
      <c r="E77" s="16">
        <v>20</v>
      </c>
      <c r="F77" s="16">
        <f>VLOOKUP(C77,[1]master_data!$A$2:$E$495,3,FALSE)</f>
        <v>1000</v>
      </c>
      <c r="G77" s="16">
        <f>VLOOKUP(C77,[1]master_data!$A$2:$E$495,4,FALSE)</f>
        <v>2000</v>
      </c>
      <c r="H77" s="16">
        <f>E77*F77</f>
        <v>20000</v>
      </c>
      <c r="I77" s="16">
        <f>E77*G77</f>
        <v>40000</v>
      </c>
      <c r="J77" s="16">
        <f>I77-H77</f>
        <v>20000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44548</v>
      </c>
      <c r="B78" s="16" t="s">
        <v>2131</v>
      </c>
      <c r="C78" s="16" t="s">
        <v>324</v>
      </c>
      <c r="D78" s="16" t="str">
        <f>VLOOKUP(C78,[1]master_data!$A$2:$E$495,2,FALSE)</f>
        <v>GOLDEN BLACK</v>
      </c>
      <c r="E78" s="16">
        <v>30</v>
      </c>
      <c r="F78" s="16">
        <f>VLOOKUP(C78,[1]master_data!$A$2:$E$495,3,FALSE)</f>
        <v>800</v>
      </c>
      <c r="G78" s="16">
        <f>VLOOKUP(C78,[1]master_data!$A$2:$E$495,4,FALSE)</f>
        <v>2000</v>
      </c>
      <c r="H78" s="16">
        <f>E78*F78</f>
        <v>24000</v>
      </c>
      <c r="I78" s="16">
        <f>E78*G78</f>
        <v>60000</v>
      </c>
      <c r="J78" s="16">
        <f>I78-H78</f>
        <v>36000</v>
      </c>
      <c r="K78" s="16" t="str">
        <f>VLOOKUP(C78,[1]master_data!$A$2:$E$495,5,FALSE)</f>
        <v>Ikan</v>
      </c>
      <c r="L78" s="1"/>
    </row>
    <row r="79" spans="1:12" ht="12" customHeight="1" x14ac:dyDescent="0.25">
      <c r="A79" s="15">
        <v>44548</v>
      </c>
      <c r="B79" s="16" t="s">
        <v>2132</v>
      </c>
      <c r="C79" s="16" t="s">
        <v>331</v>
      </c>
      <c r="D79" s="16" t="str">
        <f>VLOOKUP(C79,[1]master_data!$A$2:$E$495,2,FALSE)</f>
        <v>KOI B</v>
      </c>
      <c r="E79" s="16">
        <v>8</v>
      </c>
      <c r="F79" s="16">
        <f>VLOOKUP(C79,[1]master_data!$A$2:$E$495,3,FALSE)</f>
        <v>9000</v>
      </c>
      <c r="G79" s="16">
        <f>VLOOKUP(C79,[1]master_data!$A$2:$E$495,4,FALSE)</f>
        <v>30000</v>
      </c>
      <c r="H79" s="16">
        <f>E79*F79</f>
        <v>72000</v>
      </c>
      <c r="I79" s="16">
        <f>E79*G79</f>
        <v>240000</v>
      </c>
      <c r="J79" s="16">
        <f>I79-H79</f>
        <v>168000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44548</v>
      </c>
      <c r="B80" s="16" t="s">
        <v>2133</v>
      </c>
      <c r="C80" s="16" t="s">
        <v>194</v>
      </c>
      <c r="D80" s="16" t="str">
        <f>VLOOKUP(C80,[1]master_data!$A$2:$E$495,2,FALSE)</f>
        <v>HOKKY PAKAN KURA</v>
      </c>
      <c r="E80" s="16">
        <v>6</v>
      </c>
      <c r="F80" s="16">
        <f>VLOOKUP(C80,[1]master_data!$A$2:$E$495,3,FALSE)</f>
        <v>7500</v>
      </c>
      <c r="G80" s="16">
        <f>VLOOKUP(C80,[1]master_data!$A$2:$E$495,4,FALSE)</f>
        <v>10000</v>
      </c>
      <c r="H80" s="16">
        <f>E80*F80</f>
        <v>45000</v>
      </c>
      <c r="I80" s="16">
        <f>E80*G80</f>
        <v>60000</v>
      </c>
      <c r="J80" s="16">
        <f>I80-H80</f>
        <v>15000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44548</v>
      </c>
      <c r="B81" s="16" t="s">
        <v>2134</v>
      </c>
      <c r="C81" s="16" t="s">
        <v>363</v>
      </c>
      <c r="D81" s="16" t="str">
        <f>VLOOKUP(C81,[1]master_data!$A$2:$E$495,2,FALSE)</f>
        <v>SUMATRA GOLD FISH</v>
      </c>
      <c r="E81" s="16">
        <v>1</v>
      </c>
      <c r="F81" s="16">
        <f>VLOOKUP(C81,[1]master_data!$A$2:$E$495,3,FALSE)</f>
        <v>2500</v>
      </c>
      <c r="G81" s="16">
        <f>VLOOKUP(C81,[1]master_data!$A$2:$E$495,4,FALSE)</f>
        <v>4000</v>
      </c>
      <c r="H81" s="16">
        <f>E81*F81</f>
        <v>2500</v>
      </c>
      <c r="I81" s="16">
        <f>E81*G81</f>
        <v>4000</v>
      </c>
      <c r="J81" s="16">
        <f>I81-H81</f>
        <v>1500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44547</v>
      </c>
      <c r="B82" s="16" t="s">
        <v>2124</v>
      </c>
      <c r="C82" s="16" t="s">
        <v>319</v>
      </c>
      <c r="D82" s="16" t="str">
        <f>VLOOKUP(C82,[1]master_data!$A$2:$E$495,2,FALSE)</f>
        <v>BARBIR</v>
      </c>
      <c r="E82" s="16">
        <v>25</v>
      </c>
      <c r="F82" s="16">
        <f>VLOOKUP(C82,[1]master_data!$A$2:$E$495,3,FALSE)</f>
        <v>800</v>
      </c>
      <c r="G82" s="16">
        <f>VLOOKUP(C82,[1]master_data!$A$2:$E$495,4,FALSE)</f>
        <v>2000</v>
      </c>
      <c r="H82" s="16">
        <f>E82*F82</f>
        <v>20000</v>
      </c>
      <c r="I82" s="16">
        <f>E82*G82</f>
        <v>50000</v>
      </c>
      <c r="J82" s="16">
        <f>I82-H82</f>
        <v>30000</v>
      </c>
      <c r="K82" s="16" t="str">
        <f>VLOOKUP(C82,[1]master_data!$A$2:$E$495,5,FALSE)</f>
        <v>Ikan</v>
      </c>
      <c r="L82" s="1"/>
    </row>
    <row r="83" spans="1:12" ht="12" customHeight="1" x14ac:dyDescent="0.25">
      <c r="A83" s="15">
        <v>44547</v>
      </c>
      <c r="B83" s="16" t="s">
        <v>2125</v>
      </c>
      <c r="C83" s="16" t="s">
        <v>146</v>
      </c>
      <c r="D83" s="16" t="str">
        <f>VLOOKUP(C83,[1]master_data!$A$2:$E$495,2,FALSE)</f>
        <v>LED AQURA 40 CM</v>
      </c>
      <c r="E83" s="16">
        <v>5</v>
      </c>
      <c r="F83" s="16">
        <f>VLOOKUP(C83,[1]master_data!$A$2:$E$495,3,FALSE)</f>
        <v>21000</v>
      </c>
      <c r="G83" s="16">
        <f>VLOOKUP(C83,[1]master_data!$A$2:$E$495,4,FALSE)</f>
        <v>40000</v>
      </c>
      <c r="H83" s="16">
        <f>E83*F83</f>
        <v>105000</v>
      </c>
      <c r="I83" s="16">
        <f>E83*G83</f>
        <v>200000</v>
      </c>
      <c r="J83" s="16">
        <f>I83-H83</f>
        <v>95000</v>
      </c>
      <c r="K83" s="16" t="str">
        <f>VLOOKUP(C83,[1]master_data!$A$2:$E$495,5,FALSE)</f>
        <v>Aksesoris</v>
      </c>
      <c r="L83" s="1"/>
    </row>
    <row r="84" spans="1:12" ht="12" customHeight="1" x14ac:dyDescent="0.25">
      <c r="A84" s="15">
        <v>44547</v>
      </c>
      <c r="B84" s="16" t="s">
        <v>2126</v>
      </c>
      <c r="C84" s="16" t="s">
        <v>355</v>
      </c>
      <c r="D84" s="16" t="str">
        <f>VLOOKUP(C84,[1]master_data!$A$2:$E$495,2,FALSE)</f>
        <v>PALMAS</v>
      </c>
      <c r="E84" s="16">
        <v>10</v>
      </c>
      <c r="F84" s="16">
        <f>VLOOKUP(C84,[1]master_data!$A$2:$E$495,3,FALSE)</f>
        <v>10000</v>
      </c>
      <c r="G84" s="16">
        <f>VLOOKUP(C84,[1]master_data!$A$2:$E$495,4,FALSE)</f>
        <v>25000</v>
      </c>
      <c r="H84" s="16">
        <f>E84*F84</f>
        <v>100000</v>
      </c>
      <c r="I84" s="16">
        <f>E84*G84</f>
        <v>250000</v>
      </c>
      <c r="J84" s="16">
        <f>I84-H84</f>
        <v>150000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44547</v>
      </c>
      <c r="B85" s="16" t="s">
        <v>2127</v>
      </c>
      <c r="C85" s="16" t="s">
        <v>335</v>
      </c>
      <c r="D85" s="16" t="str">
        <f>VLOOKUP(C85,[1]master_data!$A$2:$E$495,2,FALSE)</f>
        <v>KOMET SLAYER</v>
      </c>
      <c r="E85" s="16">
        <v>8</v>
      </c>
      <c r="F85" s="16">
        <f>VLOOKUP(C85,[1]master_data!$A$2:$E$495,3,FALSE)</f>
        <v>2000</v>
      </c>
      <c r="G85" s="16">
        <f>VLOOKUP(C85,[1]master_data!$A$2:$E$495,4,FALSE)</f>
        <v>5000</v>
      </c>
      <c r="H85" s="16">
        <f>E85*F85</f>
        <v>16000</v>
      </c>
      <c r="I85" s="16">
        <f>E85*G85</f>
        <v>40000</v>
      </c>
      <c r="J85" s="16">
        <f>I85-H85</f>
        <v>24000</v>
      </c>
      <c r="K85" s="16" t="str">
        <f>VLOOKUP(C85,[1]master_data!$A$2:$E$495,5,FALSE)</f>
        <v>Ikan</v>
      </c>
      <c r="L85" s="1"/>
    </row>
    <row r="86" spans="1:12" ht="12" customHeight="1" x14ac:dyDescent="0.25">
      <c r="A86" s="15">
        <v>44547</v>
      </c>
      <c r="B86" s="16" t="s">
        <v>2128</v>
      </c>
      <c r="C86" s="16" t="s">
        <v>327</v>
      </c>
      <c r="D86" s="16" t="str">
        <f>VLOOKUP(C86,[1]master_data!$A$2:$E$495,2,FALSE)</f>
        <v>KOKI T</v>
      </c>
      <c r="E86" s="16">
        <v>1</v>
      </c>
      <c r="F86" s="16">
        <f>VLOOKUP(C86,[1]master_data!$A$2:$E$495,3,FALSE)</f>
        <v>8000</v>
      </c>
      <c r="G86" s="16">
        <f>VLOOKUP(C86,[1]master_data!$A$2:$E$495,4,FALSE)</f>
        <v>15000</v>
      </c>
      <c r="H86" s="16">
        <f>E86*F86</f>
        <v>8000</v>
      </c>
      <c r="I86" s="16">
        <f>E86*G86</f>
        <v>15000</v>
      </c>
      <c r="J86" s="16">
        <f>I86-H86</f>
        <v>7000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44546</v>
      </c>
      <c r="B87" s="16" t="s">
        <v>2118</v>
      </c>
      <c r="C87" s="16" t="s">
        <v>141</v>
      </c>
      <c r="D87" s="16" t="str">
        <f>VLOOKUP(C87,[1]master_data!$A$2:$E$495,2,FALSE)</f>
        <v>LAMPU ARMADA UV 15W</v>
      </c>
      <c r="E87" s="16">
        <v>2</v>
      </c>
      <c r="F87" s="16">
        <f>VLOOKUP(C87,[1]master_data!$A$2:$E$495,3,FALSE)</f>
        <v>88000</v>
      </c>
      <c r="G87" s="16">
        <f>VLOOKUP(C87,[1]master_data!$A$2:$E$495,4,FALSE)</f>
        <v>115000</v>
      </c>
      <c r="H87" s="16">
        <f>E87*F87</f>
        <v>176000</v>
      </c>
      <c r="I87" s="16">
        <f>E87*G87</f>
        <v>230000</v>
      </c>
      <c r="J87" s="16">
        <f>I87-H87</f>
        <v>54000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44546</v>
      </c>
      <c r="B88" s="16" t="s">
        <v>2119</v>
      </c>
      <c r="C88" s="16" t="s">
        <v>138</v>
      </c>
      <c r="D88" s="16" t="str">
        <f>VLOOKUP(C88,[1]master_data!$A$2:$E$495,2,FALSE)</f>
        <v>LED KANDILA VIBRANT 100 CM</v>
      </c>
      <c r="E88" s="16">
        <v>1</v>
      </c>
      <c r="F88" s="16">
        <f>VLOOKUP(C88,[1]master_data!$A$2:$E$495,3,FALSE)</f>
        <v>152500</v>
      </c>
      <c r="G88" s="16">
        <f>VLOOKUP(C88,[1]master_data!$A$2:$E$495,4,FALSE)</f>
        <v>200000</v>
      </c>
      <c r="H88" s="16">
        <f>E88*F88</f>
        <v>152500</v>
      </c>
      <c r="I88" s="16">
        <f>E88*G88</f>
        <v>200000</v>
      </c>
      <c r="J88" s="16">
        <f>I88-H88</f>
        <v>47500</v>
      </c>
      <c r="K88" s="16" t="str">
        <f>VLOOKUP(C88,[1]master_data!$A$2:$E$495,5,FALSE)</f>
        <v>Aksesoris</v>
      </c>
      <c r="L88" s="1"/>
    </row>
    <row r="89" spans="1:12" ht="12" customHeight="1" x14ac:dyDescent="0.25">
      <c r="A89" s="15">
        <v>44546</v>
      </c>
      <c r="B89" s="16" t="s">
        <v>2120</v>
      </c>
      <c r="C89" s="16" t="s">
        <v>319</v>
      </c>
      <c r="D89" s="16" t="str">
        <f>VLOOKUP(C89,[1]master_data!$A$2:$E$495,2,FALSE)</f>
        <v>BARBIR</v>
      </c>
      <c r="E89" s="16">
        <v>30</v>
      </c>
      <c r="F89" s="16">
        <f>VLOOKUP(C89,[1]master_data!$A$2:$E$495,3,FALSE)</f>
        <v>800</v>
      </c>
      <c r="G89" s="16">
        <f>VLOOKUP(C89,[1]master_data!$A$2:$E$495,4,FALSE)</f>
        <v>2000</v>
      </c>
      <c r="H89" s="16">
        <f>E89*F89</f>
        <v>24000</v>
      </c>
      <c r="I89" s="16">
        <f>E89*G89</f>
        <v>60000</v>
      </c>
      <c r="J89" s="16">
        <f>I89-H89</f>
        <v>36000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44546</v>
      </c>
      <c r="B90" s="16" t="s">
        <v>2121</v>
      </c>
      <c r="C90" s="16" t="s">
        <v>370</v>
      </c>
      <c r="D90" s="16" t="str">
        <f>VLOOKUP(C90,[1]master_data!$A$2:$E$495,2,FALSE)</f>
        <v>ZEBRA HIJAU</v>
      </c>
      <c r="E90" s="16">
        <v>15</v>
      </c>
      <c r="F90" s="16">
        <f>VLOOKUP(C90,[1]master_data!$A$2:$E$495,3,FALSE)</f>
        <v>800</v>
      </c>
      <c r="G90" s="16">
        <f>VLOOKUP(C90,[1]master_data!$A$2:$E$495,4,FALSE)</f>
        <v>2000</v>
      </c>
      <c r="H90" s="16">
        <f>E90*F90</f>
        <v>12000</v>
      </c>
      <c r="I90" s="16">
        <f>E90*G90</f>
        <v>30000</v>
      </c>
      <c r="J90" s="16">
        <f>I90-H90</f>
        <v>18000</v>
      </c>
      <c r="K90" s="16" t="str">
        <f>VLOOKUP(C90,[1]master_data!$A$2:$E$495,5,FALSE)</f>
        <v>Ikan</v>
      </c>
      <c r="L90" s="1"/>
    </row>
    <row r="91" spans="1:12" ht="12" customHeight="1" x14ac:dyDescent="0.25">
      <c r="A91" s="15">
        <v>44546</v>
      </c>
      <c r="B91" s="16" t="s">
        <v>2122</v>
      </c>
      <c r="C91" s="16" t="s">
        <v>360</v>
      </c>
      <c r="D91" s="16" t="str">
        <f>VLOOKUP(C91,[1]master_data!$A$2:$E$495,2,FALSE)</f>
        <v xml:space="preserve"> CHANNA RED BARITO K</v>
      </c>
      <c r="E91" s="16">
        <v>2</v>
      </c>
      <c r="F91" s="16">
        <f>VLOOKUP(C91,[1]master_data!$A$2:$E$495,3,FALSE)</f>
        <v>45000</v>
      </c>
      <c r="G91" s="16">
        <f>VLOOKUP(C91,[1]master_data!$A$2:$E$495,4,FALSE)</f>
        <v>100000</v>
      </c>
      <c r="H91" s="16">
        <f>E91*F91</f>
        <v>90000</v>
      </c>
      <c r="I91" s="16">
        <f>E91*G91</f>
        <v>200000</v>
      </c>
      <c r="J91" s="16">
        <f>I91-H91</f>
        <v>110000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44546</v>
      </c>
      <c r="B92" s="16" t="s">
        <v>2123</v>
      </c>
      <c r="C92" s="16" t="s">
        <v>350</v>
      </c>
      <c r="D92" s="16" t="str">
        <f>VLOOKUP(C92,[1]master_data!$A$2:$E$495,2,FALSE)</f>
        <v>NENTINEN</v>
      </c>
      <c r="E92" s="16">
        <v>23</v>
      </c>
      <c r="F92" s="16">
        <f>VLOOKUP(C92,[1]master_data!$A$2:$E$495,3,FALSE)</f>
        <v>1000</v>
      </c>
      <c r="G92" s="16">
        <f>VLOOKUP(C92,[1]master_data!$A$2:$E$495,4,FALSE)</f>
        <v>2500</v>
      </c>
      <c r="H92" s="16">
        <f>E92*F92</f>
        <v>23000</v>
      </c>
      <c r="I92" s="16">
        <f>E92*G92</f>
        <v>57500</v>
      </c>
      <c r="J92" s="16">
        <f>I92-H92</f>
        <v>34500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44545</v>
      </c>
      <c r="B93" s="16" t="s">
        <v>2112</v>
      </c>
      <c r="C93" s="16" t="s">
        <v>329</v>
      </c>
      <c r="D93" s="16" t="str">
        <f>VLOOKUP(C93,[1]master_data!$A$2:$E$495,2,FALSE)</f>
        <v>KOI K</v>
      </c>
      <c r="E93" s="16">
        <v>5</v>
      </c>
      <c r="F93" s="16">
        <f>VLOOKUP(C93,[1]master_data!$A$2:$E$495,3,FALSE)</f>
        <v>2500</v>
      </c>
      <c r="G93" s="16">
        <f>VLOOKUP(C93,[1]master_data!$A$2:$E$495,4,FALSE)</f>
        <v>10000</v>
      </c>
      <c r="H93" s="16">
        <f>E93*F93</f>
        <v>12500</v>
      </c>
      <c r="I93" s="16">
        <f>E93*G93</f>
        <v>50000</v>
      </c>
      <c r="J93" s="16">
        <f>I93-H93</f>
        <v>37500</v>
      </c>
      <c r="K93" s="16" t="str">
        <f>VLOOKUP(C93,[1]master_data!$A$2:$E$495,5,FALSE)</f>
        <v>Ikan</v>
      </c>
      <c r="L93" s="1"/>
    </row>
    <row r="94" spans="1:12" ht="12" customHeight="1" x14ac:dyDescent="0.25">
      <c r="A94" s="15">
        <v>44545</v>
      </c>
      <c r="B94" s="16" t="s">
        <v>2113</v>
      </c>
      <c r="C94" s="16" t="s">
        <v>347</v>
      </c>
      <c r="D94" s="16" t="str">
        <f>VLOOKUP(C94,[1]master_data!$A$2:$E$495,2,FALSE)</f>
        <v>MOLI BALON</v>
      </c>
      <c r="E94" s="16">
        <v>15</v>
      </c>
      <c r="F94" s="16">
        <f>VLOOKUP(C94,[1]master_data!$A$2:$E$495,3,FALSE)</f>
        <v>800</v>
      </c>
      <c r="G94" s="16">
        <f>VLOOKUP(C94,[1]master_data!$A$2:$E$495,4,FALSE)</f>
        <v>2000</v>
      </c>
      <c r="H94" s="16">
        <f>E94*F94</f>
        <v>12000</v>
      </c>
      <c r="I94" s="16">
        <f>E94*G94</f>
        <v>30000</v>
      </c>
      <c r="J94" s="16">
        <f>I94-H94</f>
        <v>18000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44545</v>
      </c>
      <c r="B95" s="16" t="s">
        <v>2114</v>
      </c>
      <c r="C95" s="16" t="s">
        <v>358</v>
      </c>
      <c r="D95" s="16" t="str">
        <f>VLOOKUP(C95,[1]master_data!$A$2:$E$495,2,FALSE)</f>
        <v>REDFIN HITAM</v>
      </c>
      <c r="E95" s="16">
        <v>15</v>
      </c>
      <c r="F95" s="16">
        <f>VLOOKUP(C95,[1]master_data!$A$2:$E$495,3,FALSE)</f>
        <v>1500</v>
      </c>
      <c r="G95" s="16">
        <f>VLOOKUP(C95,[1]master_data!$A$2:$E$495,4,FALSE)</f>
        <v>4000</v>
      </c>
      <c r="H95" s="16">
        <f>E95*F95</f>
        <v>22500</v>
      </c>
      <c r="I95" s="16">
        <f>E95*G95</f>
        <v>60000</v>
      </c>
      <c r="J95" s="16">
        <f>I95-H95</f>
        <v>37500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44545</v>
      </c>
      <c r="B96" s="16" t="s">
        <v>2115</v>
      </c>
      <c r="C96" s="16" t="s">
        <v>337</v>
      </c>
      <c r="D96" s="16" t="str">
        <f>VLOOKUP(C96,[1]master_data!$A$2:$E$495,2,FALSE)</f>
        <v>KOI SLAYER B</v>
      </c>
      <c r="E96" s="16">
        <v>2</v>
      </c>
      <c r="F96" s="16">
        <f>VLOOKUP(C96,[1]master_data!$A$2:$E$495,3,FALSE)</f>
        <v>8000</v>
      </c>
      <c r="G96" s="16">
        <f>VLOOKUP(C96,[1]master_data!$A$2:$E$495,4,FALSE)</f>
        <v>20000</v>
      </c>
      <c r="H96" s="16">
        <f>E96*F96</f>
        <v>16000</v>
      </c>
      <c r="I96" s="16">
        <f>E96*G96</f>
        <v>40000</v>
      </c>
      <c r="J96" s="16">
        <f>I96-H96</f>
        <v>24000</v>
      </c>
      <c r="K96" s="16" t="str">
        <f>VLOOKUP(C96,[1]master_data!$A$2:$E$495,5,FALSE)</f>
        <v>Ikan</v>
      </c>
      <c r="L96" s="1"/>
    </row>
    <row r="97" spans="1:12" ht="12" customHeight="1" x14ac:dyDescent="0.25">
      <c r="A97" s="15">
        <v>44545</v>
      </c>
      <c r="B97" s="16" t="s">
        <v>2116</v>
      </c>
      <c r="C97" s="16" t="s">
        <v>316</v>
      </c>
      <c r="D97" s="16" t="str">
        <f>VLOOKUP(C97,[1]master_data!$A$2:$E$495,2,FALSE)</f>
        <v>CHANNA BLUE PULCHRA K</v>
      </c>
      <c r="E97" s="16">
        <v>4</v>
      </c>
      <c r="F97" s="16">
        <f>VLOOKUP(C97,[1]master_data!$A$2:$E$495,3,FALSE)</f>
        <v>25000</v>
      </c>
      <c r="G97" s="16">
        <f>VLOOKUP(C97,[1]master_data!$A$2:$E$495,4,FALSE)</f>
        <v>50000</v>
      </c>
      <c r="H97" s="16">
        <f>E97*F97</f>
        <v>100000</v>
      </c>
      <c r="I97" s="16">
        <f>E97*G97</f>
        <v>200000</v>
      </c>
      <c r="J97" s="16">
        <f>I97-H97</f>
        <v>100000</v>
      </c>
      <c r="K97" s="16" t="str">
        <f>VLOOKUP(C97,[1]master_data!$A$2:$E$495,5,FALSE)</f>
        <v>Ikan</v>
      </c>
      <c r="L97" s="1"/>
    </row>
    <row r="98" spans="1:12" ht="12" customHeight="1" x14ac:dyDescent="0.25">
      <c r="A98" s="15">
        <v>44545</v>
      </c>
      <c r="B98" s="16" t="s">
        <v>2117</v>
      </c>
      <c r="C98" s="16" t="s">
        <v>286</v>
      </c>
      <c r="D98" s="16" t="str">
        <f>VLOOKUP(C98,[1]master_data!$A$2:$E$495,2,FALSE)</f>
        <v>TUTUP AKUARIUM M</v>
      </c>
      <c r="E98" s="16">
        <v>1</v>
      </c>
      <c r="F98" s="16">
        <f>VLOOKUP(C98,[1]master_data!$A$2:$E$495,3,FALSE)</f>
        <v>25000</v>
      </c>
      <c r="G98" s="16">
        <f>VLOOKUP(C98,[1]master_data!$A$2:$E$495,4,FALSE)</f>
        <v>35000</v>
      </c>
      <c r="H98" s="16">
        <f>E98*F98</f>
        <v>25000</v>
      </c>
      <c r="I98" s="16">
        <f>E98*G98</f>
        <v>35000</v>
      </c>
      <c r="J98" s="16">
        <f>I98-H98</f>
        <v>10000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44544</v>
      </c>
      <c r="B99" s="16" t="s">
        <v>2107</v>
      </c>
      <c r="C99" s="16" t="s">
        <v>28</v>
      </c>
      <c r="D99" s="16" t="str">
        <f>VLOOKUP(C99,[1]master_data!$A$2:$E$495,2,FALSE)</f>
        <v>TOP FILTER ROSTON B</v>
      </c>
      <c r="E99" s="16">
        <v>1</v>
      </c>
      <c r="F99" s="16">
        <f>VLOOKUP(C99,[1]master_data!$A$2:$E$495,3,FALSE)</f>
        <v>35000</v>
      </c>
      <c r="G99" s="16">
        <f>VLOOKUP(C99,[1]master_data!$A$2:$E$495,4,FALSE)</f>
        <v>65000</v>
      </c>
      <c r="H99" s="16">
        <f>E99*F99</f>
        <v>35000</v>
      </c>
      <c r="I99" s="16">
        <f>E99*G99</f>
        <v>65000</v>
      </c>
      <c r="J99" s="16">
        <f>I99-H99</f>
        <v>30000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44544</v>
      </c>
      <c r="B100" s="16" t="s">
        <v>2108</v>
      </c>
      <c r="C100" s="16" t="s">
        <v>307</v>
      </c>
      <c r="D100" s="16" t="str">
        <f>VLOOKUP(C100,[1]master_data!$A$2:$E$495,2,FALSE)</f>
        <v>ARWANA SILVER K</v>
      </c>
      <c r="E100" s="16">
        <v>2</v>
      </c>
      <c r="F100" s="16">
        <f>VLOOKUP(C100,[1]master_data!$A$2:$E$495,3,FALSE)</f>
        <v>100000</v>
      </c>
      <c r="G100" s="16">
        <f>VLOOKUP(C100,[1]master_data!$A$2:$E$495,4,FALSE)</f>
        <v>200000</v>
      </c>
      <c r="H100" s="16">
        <f>E100*F100</f>
        <v>200000</v>
      </c>
      <c r="I100" s="16">
        <f>E100*G100</f>
        <v>400000</v>
      </c>
      <c r="J100" s="16">
        <f>I100-H100</f>
        <v>200000</v>
      </c>
      <c r="K100" s="16" t="str">
        <f>VLOOKUP(C100,[1]master_data!$A$2:$E$495,5,FALSE)</f>
        <v>Ikan</v>
      </c>
      <c r="L100" s="1"/>
    </row>
    <row r="101" spans="1:12" ht="12" customHeight="1" x14ac:dyDescent="0.25">
      <c r="A101" s="15">
        <v>44544</v>
      </c>
      <c r="B101" s="16" t="s">
        <v>2109</v>
      </c>
      <c r="C101" s="16" t="s">
        <v>44</v>
      </c>
      <c r="D101" s="16" t="str">
        <f>VLOOKUP(C101,[1]master_data!$A$2:$E$495,2,FALSE)</f>
        <v>TOP FILTER NIKITA K</v>
      </c>
      <c r="E101" s="16">
        <v>1</v>
      </c>
      <c r="F101" s="16">
        <f>VLOOKUP(C101,[1]master_data!$A$2:$E$495,3,FALSE)</f>
        <v>36000</v>
      </c>
      <c r="G101" s="16">
        <f>VLOOKUP(C101,[1]master_data!$A$2:$E$495,4,FALSE)</f>
        <v>55000</v>
      </c>
      <c r="H101" s="16">
        <f>E101*F101</f>
        <v>36000</v>
      </c>
      <c r="I101" s="16">
        <f>E101*G101</f>
        <v>55000</v>
      </c>
      <c r="J101" s="16">
        <f>I101-H101</f>
        <v>19000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44544</v>
      </c>
      <c r="B102" s="16" t="s">
        <v>2110</v>
      </c>
      <c r="C102" s="16" t="s">
        <v>62</v>
      </c>
      <c r="D102" s="16" t="str">
        <f>VLOOKUP(C102,[1]master_data!$A$2:$E$495,2,FALSE)</f>
        <v>BOX KOSONG TANGGUNG</v>
      </c>
      <c r="E102" s="16">
        <v>2</v>
      </c>
      <c r="F102" s="16">
        <f>VLOOKUP(C102,[1]master_data!$A$2:$E$495,3,FALSE)</f>
        <v>15000</v>
      </c>
      <c r="G102" s="16">
        <f>VLOOKUP(C102,[1]master_data!$A$2:$E$495,4,FALSE)</f>
        <v>25000</v>
      </c>
      <c r="H102" s="16">
        <f>E102*F102</f>
        <v>30000</v>
      </c>
      <c r="I102" s="16">
        <f>E102*G102</f>
        <v>50000</v>
      </c>
      <c r="J102" s="16">
        <f>I102-H102</f>
        <v>20000</v>
      </c>
      <c r="K102" s="16" t="str">
        <f>VLOOKUP(C102,[1]master_data!$A$2:$E$495,5,FALSE)</f>
        <v>Aksesoris</v>
      </c>
      <c r="L102" s="1"/>
    </row>
    <row r="103" spans="1:12" ht="12" customHeight="1" x14ac:dyDescent="0.25">
      <c r="A103" s="15">
        <v>44544</v>
      </c>
      <c r="B103" s="16" t="s">
        <v>2111</v>
      </c>
      <c r="C103" s="16" t="s">
        <v>340</v>
      </c>
      <c r="D103" s="16" t="str">
        <f>VLOOKUP(C103,[1]master_data!$A$2:$E$495,2,FALSE)</f>
        <v>LEMON</v>
      </c>
      <c r="E103" s="16">
        <v>1</v>
      </c>
      <c r="F103" s="16">
        <f>VLOOKUP(C103,[1]master_data!$A$2:$E$495,3,FALSE)</f>
        <v>1000</v>
      </c>
      <c r="G103" s="16">
        <f>VLOOKUP(C103,[1]master_data!$A$2:$E$495,4,FALSE)</f>
        <v>2000</v>
      </c>
      <c r="H103" s="16">
        <f>E103*F103</f>
        <v>1000</v>
      </c>
      <c r="I103" s="16">
        <f>E103*G103</f>
        <v>2000</v>
      </c>
      <c r="J103" s="16">
        <f>I103-H103</f>
        <v>1000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44543</v>
      </c>
      <c r="B104" s="16" t="s">
        <v>2102</v>
      </c>
      <c r="C104" s="16" t="s">
        <v>111</v>
      </c>
      <c r="D104" s="16" t="str">
        <f>VLOOKUP(C104,[1]master_data!$A$2:$E$495,2,FALSE)</f>
        <v>LED YAMANO P1000</v>
      </c>
      <c r="E104" s="16">
        <v>2</v>
      </c>
      <c r="F104" s="16">
        <f>VLOOKUP(C104,[1]master_data!$A$2:$E$495,3,FALSE)</f>
        <v>100000</v>
      </c>
      <c r="G104" s="16">
        <f>VLOOKUP(C104,[1]master_data!$A$2:$E$495,4,FALSE)</f>
        <v>130000</v>
      </c>
      <c r="H104" s="16">
        <f>E104*F104</f>
        <v>200000</v>
      </c>
      <c r="I104" s="16">
        <f>E104*G104</f>
        <v>260000</v>
      </c>
      <c r="J104" s="16">
        <f>I104-H104</f>
        <v>60000</v>
      </c>
      <c r="K104" s="16" t="str">
        <f>VLOOKUP(C104,[1]master_data!$A$2:$E$495,5,FALSE)</f>
        <v>Aksesoris</v>
      </c>
      <c r="L104" s="1"/>
    </row>
    <row r="105" spans="1:12" ht="12" customHeight="1" x14ac:dyDescent="0.25">
      <c r="A105" s="15">
        <v>44543</v>
      </c>
      <c r="B105" s="16" t="s">
        <v>2103</v>
      </c>
      <c r="C105" s="16" t="s">
        <v>320</v>
      </c>
      <c r="D105" s="16" t="str">
        <f>VLOOKUP(C105,[1]master_data!$A$2:$E$495,2,FALSE)</f>
        <v>CUPANG</v>
      </c>
      <c r="E105" s="16">
        <v>12</v>
      </c>
      <c r="F105" s="16">
        <f>VLOOKUP(C105,[1]master_data!$A$2:$E$495,3,FALSE)</f>
        <v>2000</v>
      </c>
      <c r="G105" s="16">
        <f>VLOOKUP(C105,[1]master_data!$A$2:$E$495,4,FALSE)</f>
        <v>5000</v>
      </c>
      <c r="H105" s="16">
        <f>E105*F105</f>
        <v>24000</v>
      </c>
      <c r="I105" s="16">
        <f>E105*G105</f>
        <v>60000</v>
      </c>
      <c r="J105" s="16">
        <f>I105-H105</f>
        <v>36000</v>
      </c>
      <c r="K105" s="16" t="str">
        <f>VLOOKUP(C105,[1]master_data!$A$2:$E$495,5,FALSE)</f>
        <v>Ikan</v>
      </c>
      <c r="L105" s="1"/>
    </row>
    <row r="106" spans="1:12" ht="12" customHeight="1" x14ac:dyDescent="0.25">
      <c r="A106" s="15">
        <v>44543</v>
      </c>
      <c r="B106" s="16" t="s">
        <v>2104</v>
      </c>
      <c r="C106" s="16" t="s">
        <v>367</v>
      </c>
      <c r="D106" s="16" t="str">
        <f>VLOOKUP(C106,[1]master_data!$A$2:$E$495,2,FALSE)</f>
        <v>TETRA</v>
      </c>
      <c r="E106" s="16">
        <v>15</v>
      </c>
      <c r="F106" s="16">
        <f>VLOOKUP(C106,[1]master_data!$A$2:$E$495,3,FALSE)</f>
        <v>800</v>
      </c>
      <c r="G106" s="16">
        <f>VLOOKUP(C106,[1]master_data!$A$2:$E$495,4,FALSE)</f>
        <v>2000</v>
      </c>
      <c r="H106" s="16">
        <f>E106*F106</f>
        <v>12000</v>
      </c>
      <c r="I106" s="16">
        <f>E106*G106</f>
        <v>30000</v>
      </c>
      <c r="J106" s="16">
        <f>I106-H106</f>
        <v>18000</v>
      </c>
      <c r="K106" s="16" t="str">
        <f>VLOOKUP(C106,[1]master_data!$A$2:$E$495,5,FALSE)</f>
        <v>Ikan</v>
      </c>
      <c r="L106" s="1"/>
    </row>
    <row r="107" spans="1:12" ht="12" customHeight="1" x14ac:dyDescent="0.25">
      <c r="A107" s="15">
        <v>44543</v>
      </c>
      <c r="B107" s="16" t="s">
        <v>2105</v>
      </c>
      <c r="C107" s="16" t="s">
        <v>201</v>
      </c>
      <c r="D107" s="16" t="str">
        <f>VLOOKUP(C107,[1]master_data!$A$2:$E$495,2,FALSE)</f>
        <v>AIRSTONE 100</v>
      </c>
      <c r="E107" s="16">
        <v>9</v>
      </c>
      <c r="F107" s="16">
        <f>VLOOKUP(C107,[1]master_data!$A$2:$E$495,3,FALSE)</f>
        <v>15000</v>
      </c>
      <c r="G107" s="16">
        <f>VLOOKUP(C107,[1]master_data!$A$2:$E$495,4,FALSE)</f>
        <v>35000</v>
      </c>
      <c r="H107" s="16">
        <f>E107*F107</f>
        <v>135000</v>
      </c>
      <c r="I107" s="16">
        <f>E107*G107</f>
        <v>315000</v>
      </c>
      <c r="J107" s="16">
        <f>I107-H107</f>
        <v>180000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44543</v>
      </c>
      <c r="B108" s="16" t="s">
        <v>2106</v>
      </c>
      <c r="C108" s="16" t="s">
        <v>322</v>
      </c>
      <c r="D108" s="16" t="str">
        <f>VLOOKUP(C108,[1]master_data!$A$2:$E$495,2,FALSE)</f>
        <v>GOLD FISH</v>
      </c>
      <c r="E108" s="16">
        <v>10</v>
      </c>
      <c r="F108" s="16">
        <f>VLOOKUP(C108,[1]master_data!$A$2:$E$495,3,FALSE)</f>
        <v>800</v>
      </c>
      <c r="G108" s="16">
        <f>VLOOKUP(C108,[1]master_data!$A$2:$E$495,4,FALSE)</f>
        <v>2000</v>
      </c>
      <c r="H108" s="16">
        <f>E108*F108</f>
        <v>8000</v>
      </c>
      <c r="I108" s="16">
        <f>E108*G108</f>
        <v>20000</v>
      </c>
      <c r="J108" s="16">
        <f>I108-H108</f>
        <v>12000</v>
      </c>
      <c r="K108" s="16" t="str">
        <f>VLOOKUP(C108,[1]master_data!$A$2:$E$495,5,FALSE)</f>
        <v>Ikan</v>
      </c>
      <c r="L108" s="1"/>
    </row>
    <row r="109" spans="1:12" ht="12" customHeight="1" x14ac:dyDescent="0.25">
      <c r="A109" s="15">
        <v>44542</v>
      </c>
      <c r="B109" s="16" t="s">
        <v>2094</v>
      </c>
      <c r="C109" s="16" t="s">
        <v>334</v>
      </c>
      <c r="D109" s="16" t="str">
        <f>VLOOKUP(C109,[1]master_data!$A$2:$E$495,2,FALSE)</f>
        <v>KOMET PAKAN</v>
      </c>
      <c r="E109" s="16">
        <v>45</v>
      </c>
      <c r="F109" s="16">
        <f>VLOOKUP(C109,[1]master_data!$A$2:$E$495,3,FALSE)</f>
        <v>300</v>
      </c>
      <c r="G109" s="16">
        <f>VLOOKUP(C109,[1]master_data!$A$2:$E$495,4,FALSE)</f>
        <v>1000</v>
      </c>
      <c r="H109" s="16">
        <f>E109*F109</f>
        <v>13500</v>
      </c>
      <c r="I109" s="16">
        <f>E109*G109</f>
        <v>45000</v>
      </c>
      <c r="J109" s="16">
        <f>I109-H109</f>
        <v>31500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44542</v>
      </c>
      <c r="B110" s="16" t="s">
        <v>2095</v>
      </c>
      <c r="C110" s="16" t="s">
        <v>229</v>
      </c>
      <c r="D110" s="16" t="str">
        <f>VLOOKUP(C110,[1]master_data!$A$2:$E$495,2,FALSE)</f>
        <v>KAPAS 2X1</v>
      </c>
      <c r="E110" s="16">
        <v>1</v>
      </c>
      <c r="F110" s="16">
        <f>VLOOKUP(C110,[1]master_data!$A$2:$E$495,3,FALSE)</f>
        <v>35000</v>
      </c>
      <c r="G110" s="16">
        <f>VLOOKUP(C110,[1]master_data!$A$2:$E$495,4,FALSE)</f>
        <v>40000</v>
      </c>
      <c r="H110" s="16">
        <f>E110*F110</f>
        <v>35000</v>
      </c>
      <c r="I110" s="16">
        <f>E110*G110</f>
        <v>40000</v>
      </c>
      <c r="J110" s="16">
        <f>I110-H110</f>
        <v>5000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44542</v>
      </c>
      <c r="B111" s="16" t="s">
        <v>2096</v>
      </c>
      <c r="C111" s="16" t="s">
        <v>81</v>
      </c>
      <c r="D111" s="16" t="str">
        <f>VLOOKUP(C111,[1]master_data!$A$2:$E$495,2,FALSE)</f>
        <v>MESIN AMARA 2600</v>
      </c>
      <c r="E111" s="16">
        <v>5</v>
      </c>
      <c r="F111" s="16">
        <f>VLOOKUP(C111,[1]master_data!$A$2:$E$495,3,FALSE)</f>
        <v>50000</v>
      </c>
      <c r="G111" s="16">
        <f>VLOOKUP(C111,[1]master_data!$A$2:$E$495,4,FALSE)</f>
        <v>59000</v>
      </c>
      <c r="H111" s="16">
        <f>E111*F111</f>
        <v>250000</v>
      </c>
      <c r="I111" s="16">
        <f>E111*G111</f>
        <v>295000</v>
      </c>
      <c r="J111" s="16">
        <f>I111-H111</f>
        <v>45000</v>
      </c>
      <c r="K111" s="16" t="str">
        <f>VLOOKUP(C111,[1]master_data!$A$2:$E$495,5,FALSE)</f>
        <v>Aksesoris</v>
      </c>
      <c r="L111" s="1"/>
    </row>
    <row r="112" spans="1:12" ht="12" customHeight="1" x14ac:dyDescent="0.25">
      <c r="A112" s="15">
        <v>44542</v>
      </c>
      <c r="B112" s="16" t="s">
        <v>2097</v>
      </c>
      <c r="C112" s="16" t="s">
        <v>319</v>
      </c>
      <c r="D112" s="16" t="str">
        <f>VLOOKUP(C112,[1]master_data!$A$2:$E$495,2,FALSE)</f>
        <v>BARBIR</v>
      </c>
      <c r="E112" s="16">
        <v>25</v>
      </c>
      <c r="F112" s="16">
        <f>VLOOKUP(C112,[1]master_data!$A$2:$E$495,3,FALSE)</f>
        <v>800</v>
      </c>
      <c r="G112" s="16">
        <f>VLOOKUP(C112,[1]master_data!$A$2:$E$495,4,FALSE)</f>
        <v>2000</v>
      </c>
      <c r="H112" s="16">
        <f>E112*F112</f>
        <v>20000</v>
      </c>
      <c r="I112" s="16">
        <f>E112*G112</f>
        <v>50000</v>
      </c>
      <c r="J112" s="16">
        <f>I112-H112</f>
        <v>30000</v>
      </c>
      <c r="K112" s="16" t="str">
        <f>VLOOKUP(C112,[1]master_data!$A$2:$E$495,5,FALSE)</f>
        <v>Ikan</v>
      </c>
      <c r="L112" s="1"/>
    </row>
    <row r="113" spans="1:12" ht="12" customHeight="1" x14ac:dyDescent="0.25">
      <c r="A113" s="15">
        <v>44542</v>
      </c>
      <c r="B113" s="16" t="s">
        <v>2098</v>
      </c>
      <c r="C113" s="16" t="s">
        <v>372</v>
      </c>
      <c r="D113" s="16" t="str">
        <f>VLOOKUP(C113,[1]master_data!$A$2:$E$495,2,FALSE)</f>
        <v>ZEBRA KUNING</v>
      </c>
      <c r="E113" s="16">
        <v>20</v>
      </c>
      <c r="F113" s="16">
        <f>VLOOKUP(C113,[1]master_data!$A$2:$E$495,3,FALSE)</f>
        <v>800</v>
      </c>
      <c r="G113" s="16">
        <f>VLOOKUP(C113,[1]master_data!$A$2:$E$495,4,FALSE)</f>
        <v>2000</v>
      </c>
      <c r="H113" s="16">
        <f>E113*F113</f>
        <v>16000</v>
      </c>
      <c r="I113" s="16">
        <f>E113*G113</f>
        <v>40000</v>
      </c>
      <c r="J113" s="16">
        <f>I113-H113</f>
        <v>24000</v>
      </c>
      <c r="K113" s="16" t="str">
        <f>VLOOKUP(C113,[1]master_data!$A$2:$E$495,5,FALSE)</f>
        <v>Ikan</v>
      </c>
      <c r="L113" s="1"/>
    </row>
    <row r="114" spans="1:12" ht="12" customHeight="1" x14ac:dyDescent="0.25">
      <c r="A114" s="15">
        <v>44542</v>
      </c>
      <c r="B114" s="16" t="s">
        <v>2099</v>
      </c>
      <c r="C114" s="16" t="s">
        <v>130</v>
      </c>
      <c r="D114" s="16" t="str">
        <f>VLOOKUP(C114,[1]master_data!$A$2:$E$495,2,FALSE)</f>
        <v>LED ROSTON 3 MODE 50 CM</v>
      </c>
      <c r="E114" s="16">
        <v>4</v>
      </c>
      <c r="F114" s="16">
        <f>VLOOKUP(C114,[1]master_data!$A$2:$E$495,3,FALSE)</f>
        <v>30000</v>
      </c>
      <c r="G114" s="16">
        <f>VLOOKUP(C114,[1]master_data!$A$2:$E$495,4,FALSE)</f>
        <v>60000</v>
      </c>
      <c r="H114" s="16">
        <f>E114*F114</f>
        <v>120000</v>
      </c>
      <c r="I114" s="16">
        <f>E114*G114</f>
        <v>240000</v>
      </c>
      <c r="J114" s="16">
        <f>I114-H114</f>
        <v>120000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44542</v>
      </c>
      <c r="B115" s="16" t="s">
        <v>2100</v>
      </c>
      <c r="C115" s="16" t="s">
        <v>232</v>
      </c>
      <c r="D115" s="16" t="str">
        <f>VLOOKUP(C115,[1]master_data!$A$2:$E$495,2,FALSE)</f>
        <v>MAINAN KODOK</v>
      </c>
      <c r="E115" s="16">
        <v>1</v>
      </c>
      <c r="F115" s="16">
        <f>VLOOKUP(C115,[1]master_data!$A$2:$E$495,3,FALSE)</f>
        <v>11000</v>
      </c>
      <c r="G115" s="16">
        <f>VLOOKUP(C115,[1]master_data!$A$2:$E$495,4,FALSE)</f>
        <v>20000</v>
      </c>
      <c r="H115" s="16">
        <f>E115*F115</f>
        <v>11000</v>
      </c>
      <c r="I115" s="16">
        <f>E115*G115</f>
        <v>20000</v>
      </c>
      <c r="J115" s="16">
        <f>I115-H115</f>
        <v>9000</v>
      </c>
      <c r="K115" s="16" t="str">
        <f>VLOOKUP(C115,[1]master_data!$A$2:$E$495,5,FALSE)</f>
        <v>Aksesoris</v>
      </c>
      <c r="L115" s="1"/>
    </row>
    <row r="116" spans="1:12" ht="12" customHeight="1" x14ac:dyDescent="0.25">
      <c r="A116" s="15">
        <v>44542</v>
      </c>
      <c r="B116" s="16" t="s">
        <v>2101</v>
      </c>
      <c r="C116" s="16" t="s">
        <v>310</v>
      </c>
      <c r="D116" s="16" t="str">
        <f>VLOOKUP(C116,[1]master_data!$A$2:$E$495,2,FALSE)</f>
        <v>ALIGATOR</v>
      </c>
      <c r="E116" s="16">
        <v>1</v>
      </c>
      <c r="F116" s="16">
        <f>VLOOKUP(C116,[1]master_data!$A$2:$E$495,3,FALSE)</f>
        <v>17000</v>
      </c>
      <c r="G116" s="16">
        <f>VLOOKUP(C116,[1]master_data!$A$2:$E$495,4,FALSE)</f>
        <v>35000</v>
      </c>
      <c r="H116" s="16">
        <f>E116*F116</f>
        <v>17000</v>
      </c>
      <c r="I116" s="16">
        <f>E116*G116</f>
        <v>35000</v>
      </c>
      <c r="J116" s="16">
        <f>I116-H116</f>
        <v>18000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44541</v>
      </c>
      <c r="B117" s="16" t="s">
        <v>2089</v>
      </c>
      <c r="C117" s="16" t="s">
        <v>338</v>
      </c>
      <c r="D117" s="16" t="str">
        <f>VLOOKUP(C117,[1]master_data!$A$2:$E$495,2,FALSE)</f>
        <v>CAROLINE</v>
      </c>
      <c r="E117" s="16">
        <v>25</v>
      </c>
      <c r="F117" s="16">
        <f>VLOOKUP(C117,[1]master_data!$A$2:$E$495,3,FALSE)</f>
        <v>900</v>
      </c>
      <c r="G117" s="16">
        <f>VLOOKUP(C117,[1]master_data!$A$2:$E$495,4,FALSE)</f>
        <v>2000</v>
      </c>
      <c r="H117" s="16">
        <f>E117*F117</f>
        <v>22500</v>
      </c>
      <c r="I117" s="16">
        <f>E117*G117</f>
        <v>50000</v>
      </c>
      <c r="J117" s="16">
        <f>I117-H117</f>
        <v>27500</v>
      </c>
      <c r="K117" s="16" t="str">
        <f>VLOOKUP(C117,[1]master_data!$A$2:$E$495,5,FALSE)</f>
        <v>Ikan</v>
      </c>
      <c r="L117" s="1"/>
    </row>
    <row r="118" spans="1:12" ht="12" customHeight="1" x14ac:dyDescent="0.25">
      <c r="A118" s="15">
        <v>44541</v>
      </c>
      <c r="B118" s="16" t="s">
        <v>2090</v>
      </c>
      <c r="C118" s="16" t="s">
        <v>22</v>
      </c>
      <c r="D118" s="16" t="str">
        <f>VLOOKUP(C118,[1]master_data!$A$2:$E$495,2,FALSE)</f>
        <v>MESIN ROSTON 3900</v>
      </c>
      <c r="E118" s="16">
        <v>2</v>
      </c>
      <c r="F118" s="16">
        <f>VLOOKUP(C118,[1]master_data!$A$2:$E$495,3,FALSE)</f>
        <v>90000</v>
      </c>
      <c r="G118" s="16">
        <f>VLOOKUP(C118,[1]master_data!$A$2:$E$495,4,FALSE)</f>
        <v>150000</v>
      </c>
      <c r="H118" s="16">
        <f>E118*F118</f>
        <v>180000</v>
      </c>
      <c r="I118" s="16">
        <f>E118*G118</f>
        <v>300000</v>
      </c>
      <c r="J118" s="16">
        <f>I118-H118</f>
        <v>120000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44541</v>
      </c>
      <c r="B119" s="16" t="s">
        <v>2091</v>
      </c>
      <c r="C119" s="16" t="s">
        <v>320</v>
      </c>
      <c r="D119" s="16" t="str">
        <f>VLOOKUP(C119,[1]master_data!$A$2:$E$495,2,FALSE)</f>
        <v>CUPANG</v>
      </c>
      <c r="E119" s="16">
        <v>25</v>
      </c>
      <c r="F119" s="16">
        <f>VLOOKUP(C119,[1]master_data!$A$2:$E$495,3,FALSE)</f>
        <v>2000</v>
      </c>
      <c r="G119" s="16">
        <f>VLOOKUP(C119,[1]master_data!$A$2:$E$495,4,FALSE)</f>
        <v>5000</v>
      </c>
      <c r="H119" s="16">
        <f>E119*F119</f>
        <v>50000</v>
      </c>
      <c r="I119" s="16">
        <f>E119*G119</f>
        <v>125000</v>
      </c>
      <c r="J119" s="16">
        <f>I119-H119</f>
        <v>75000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44541</v>
      </c>
      <c r="B120" s="16" t="s">
        <v>2092</v>
      </c>
      <c r="C120" s="16" t="s">
        <v>349</v>
      </c>
      <c r="D120" s="16" t="str">
        <f>VLOOKUP(C120,[1]master_data!$A$2:$E$495,2,FALSE)</f>
        <v>RED EYE TETRA</v>
      </c>
      <c r="E120" s="16">
        <v>15</v>
      </c>
      <c r="F120" s="16">
        <f>VLOOKUP(C120,[1]master_data!$A$2:$E$495,3,FALSE)</f>
        <v>900</v>
      </c>
      <c r="G120" s="16">
        <f>VLOOKUP(C120,[1]master_data!$A$2:$E$495,4,FALSE)</f>
        <v>2000</v>
      </c>
      <c r="H120" s="16">
        <f>E120*F120</f>
        <v>13500</v>
      </c>
      <c r="I120" s="16">
        <f>E120*G120</f>
        <v>30000</v>
      </c>
      <c r="J120" s="16">
        <f>I120-H120</f>
        <v>16500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44541</v>
      </c>
      <c r="B121" s="16" t="s">
        <v>2093</v>
      </c>
      <c r="C121" s="16" t="s">
        <v>34</v>
      </c>
      <c r="D121" s="16" t="str">
        <f>VLOOKUP(C121,[1]master_data!$A$2:$E$495,2,FALSE)</f>
        <v>MESIN YAMANO ACT 5800</v>
      </c>
      <c r="E121" s="16">
        <v>1</v>
      </c>
      <c r="F121" s="16">
        <f>VLOOKUP(C121,[1]master_data!$A$2:$E$495,3,FALSE)</f>
        <v>500000</v>
      </c>
      <c r="G121" s="16">
        <f>VLOOKUP(C121,[1]master_data!$A$2:$E$495,4,FALSE)</f>
        <v>600000</v>
      </c>
      <c r="H121" s="16">
        <f>E121*F121</f>
        <v>500000</v>
      </c>
      <c r="I121" s="16">
        <f>E121*G121</f>
        <v>600000</v>
      </c>
      <c r="J121" s="16">
        <f>I121-H121</f>
        <v>100000</v>
      </c>
      <c r="K121" s="16" t="str">
        <f>VLOOKUP(C121,[1]master_data!$A$2:$E$495,5,FALSE)</f>
        <v>Aksesoris</v>
      </c>
      <c r="L121" s="1"/>
    </row>
    <row r="122" spans="1:12" ht="12" customHeight="1" x14ac:dyDescent="0.25">
      <c r="A122" s="15">
        <v>44540</v>
      </c>
      <c r="B122" s="16" t="s">
        <v>2084</v>
      </c>
      <c r="C122" s="16" t="s">
        <v>322</v>
      </c>
      <c r="D122" s="16" t="str">
        <f>VLOOKUP(C122,[1]master_data!$A$2:$E$495,2,FALSE)</f>
        <v>GOLD FISH</v>
      </c>
      <c r="E122" s="16">
        <v>15</v>
      </c>
      <c r="F122" s="16">
        <f>VLOOKUP(C122,[1]master_data!$A$2:$E$495,3,FALSE)</f>
        <v>800</v>
      </c>
      <c r="G122" s="16">
        <f>VLOOKUP(C122,[1]master_data!$A$2:$E$495,4,FALSE)</f>
        <v>2000</v>
      </c>
      <c r="H122" s="16">
        <f>E122*F122</f>
        <v>12000</v>
      </c>
      <c r="I122" s="16">
        <f>E122*G122</f>
        <v>30000</v>
      </c>
      <c r="J122" s="16">
        <f>I122-H122</f>
        <v>18000</v>
      </c>
      <c r="K122" s="16" t="str">
        <f>VLOOKUP(C122,[1]master_data!$A$2:$E$495,5,FALSE)</f>
        <v>Ikan</v>
      </c>
      <c r="L122" s="1"/>
    </row>
    <row r="123" spans="1:12" ht="12" customHeight="1" x14ac:dyDescent="0.25">
      <c r="A123" s="15">
        <v>44540</v>
      </c>
      <c r="B123" s="16" t="s">
        <v>2085</v>
      </c>
      <c r="C123" s="16" t="s">
        <v>375</v>
      </c>
      <c r="D123" s="16" t="str">
        <f>VLOOKUP(C123,[1]master_data!$A$2:$E$495,2,FALSE)</f>
        <v>CHANNA STEWARTI</v>
      </c>
      <c r="E123" s="16">
        <v>5</v>
      </c>
      <c r="F123" s="16">
        <f>VLOOKUP(C123,[1]master_data!$A$2:$E$495,3,FALSE)</f>
        <v>15000</v>
      </c>
      <c r="G123" s="16">
        <f>VLOOKUP(C123,[1]master_data!$A$2:$E$495,4,FALSE)</f>
        <v>40000</v>
      </c>
      <c r="H123" s="16">
        <f>E123*F123</f>
        <v>75000</v>
      </c>
      <c r="I123" s="16">
        <f>E123*G123</f>
        <v>200000</v>
      </c>
      <c r="J123" s="16">
        <f>I123-H123</f>
        <v>125000</v>
      </c>
      <c r="K123" s="16" t="str">
        <f>VLOOKUP(C123,[1]master_data!$A$2:$E$495,5,FALSE)</f>
        <v>Ikan</v>
      </c>
      <c r="L123" s="1"/>
    </row>
    <row r="124" spans="1:12" ht="12" customHeight="1" x14ac:dyDescent="0.25">
      <c r="A124" s="15">
        <v>44540</v>
      </c>
      <c r="B124" s="16" t="s">
        <v>2086</v>
      </c>
      <c r="C124" s="16" t="s">
        <v>153</v>
      </c>
      <c r="D124" s="16" t="str">
        <f>VLOOKUP(C124,[1]master_data!$A$2:$E$495,2,FALSE)</f>
        <v>LED RECENT DnN 40 CM</v>
      </c>
      <c r="E124" s="16">
        <v>4</v>
      </c>
      <c r="F124" s="16">
        <f>VLOOKUP(C124,[1]master_data!$A$2:$E$495,3,FALSE)</f>
        <v>29000</v>
      </c>
      <c r="G124" s="16">
        <f>VLOOKUP(C124,[1]master_data!$A$2:$E$495,4,FALSE)</f>
        <v>50000</v>
      </c>
      <c r="H124" s="16">
        <f>E124*F124</f>
        <v>116000</v>
      </c>
      <c r="I124" s="16">
        <f>E124*G124</f>
        <v>200000</v>
      </c>
      <c r="J124" s="16">
        <f>I124-H124</f>
        <v>84000</v>
      </c>
      <c r="K124" s="16" t="str">
        <f>VLOOKUP(C124,[1]master_data!$A$2:$E$495,5,FALSE)</f>
        <v>Aksesoris</v>
      </c>
      <c r="L124" s="1"/>
    </row>
    <row r="125" spans="1:12" ht="12" customHeight="1" x14ac:dyDescent="0.25">
      <c r="A125" s="15">
        <v>44540</v>
      </c>
      <c r="B125" s="16" t="s">
        <v>2087</v>
      </c>
      <c r="C125" s="16" t="s">
        <v>362</v>
      </c>
      <c r="D125" s="16" t="str">
        <f>VLOOKUP(C125,[1]master_data!$A$2:$E$495,2,FALSE)</f>
        <v>SUMATRA BIASA</v>
      </c>
      <c r="E125" s="16">
        <v>4</v>
      </c>
      <c r="F125" s="16">
        <f>VLOOKUP(C125,[1]master_data!$A$2:$E$495,3,FALSE)</f>
        <v>800</v>
      </c>
      <c r="G125" s="16">
        <f>VLOOKUP(C125,[1]master_data!$A$2:$E$495,4,FALSE)</f>
        <v>2000</v>
      </c>
      <c r="H125" s="16">
        <f>E125*F125</f>
        <v>3200</v>
      </c>
      <c r="I125" s="16">
        <f>E125*G125</f>
        <v>8000</v>
      </c>
      <c r="J125" s="16">
        <f>I125-H125</f>
        <v>4800</v>
      </c>
      <c r="K125" s="16" t="str">
        <f>VLOOKUP(C125,[1]master_data!$A$2:$E$495,5,FALSE)</f>
        <v>Ikan</v>
      </c>
      <c r="L125" s="1"/>
    </row>
    <row r="126" spans="1:12" ht="12" customHeight="1" x14ac:dyDescent="0.25">
      <c r="A126" s="15">
        <v>44540</v>
      </c>
      <c r="B126" s="16" t="s">
        <v>2088</v>
      </c>
      <c r="C126" s="16" t="s">
        <v>15</v>
      </c>
      <c r="D126" s="16" t="str">
        <f>VLOOKUP(C126,[1]master_data!$A$2:$E$495,2,FALSE)</f>
        <v>MESIN YANG 107</v>
      </c>
      <c r="E126" s="16">
        <v>1</v>
      </c>
      <c r="F126" s="16">
        <f>VLOOKUP(C126,[1]master_data!$A$2:$E$495,3,FALSE)</f>
        <v>330000</v>
      </c>
      <c r="G126" s="16">
        <f>VLOOKUP(C126,[1]master_data!$A$2:$E$495,4,FALSE)</f>
        <v>400000</v>
      </c>
      <c r="H126" s="16">
        <f>E126*F126</f>
        <v>330000</v>
      </c>
      <c r="I126" s="16">
        <f>E126*G126</f>
        <v>400000</v>
      </c>
      <c r="J126" s="16">
        <f>I126-H126</f>
        <v>70000</v>
      </c>
      <c r="K126" s="16" t="str">
        <f>VLOOKUP(C126,[1]master_data!$A$2:$E$495,5,FALSE)</f>
        <v>Aksesoris</v>
      </c>
      <c r="L126" s="1"/>
    </row>
    <row r="127" spans="1:12" ht="12" customHeight="1" x14ac:dyDescent="0.25">
      <c r="A127" s="15">
        <v>44539</v>
      </c>
      <c r="B127" s="16" t="s">
        <v>2080</v>
      </c>
      <c r="C127" s="16" t="s">
        <v>316</v>
      </c>
      <c r="D127" s="16" t="str">
        <f>VLOOKUP(C127,[1]master_data!$A$2:$E$495,2,FALSE)</f>
        <v>CHANNA BLUE PULCHRA K</v>
      </c>
      <c r="E127" s="16">
        <v>5</v>
      </c>
      <c r="F127" s="16">
        <f>VLOOKUP(C127,[1]master_data!$A$2:$E$495,3,FALSE)</f>
        <v>25000</v>
      </c>
      <c r="G127" s="16">
        <f>VLOOKUP(C127,[1]master_data!$A$2:$E$495,4,FALSE)</f>
        <v>50000</v>
      </c>
      <c r="H127" s="16">
        <f>E127*F127</f>
        <v>125000</v>
      </c>
      <c r="I127" s="16">
        <f>E127*G127</f>
        <v>250000</v>
      </c>
      <c r="J127" s="16">
        <f>I127-H127</f>
        <v>125000</v>
      </c>
      <c r="K127" s="16" t="str">
        <f>VLOOKUP(C127,[1]master_data!$A$2:$E$495,5,FALSE)</f>
        <v>Ikan</v>
      </c>
      <c r="L127" s="1"/>
    </row>
    <row r="128" spans="1:12" ht="12" customHeight="1" x14ac:dyDescent="0.25">
      <c r="A128" s="15">
        <v>44539</v>
      </c>
      <c r="B128" s="16" t="s">
        <v>2081</v>
      </c>
      <c r="C128" s="16" t="s">
        <v>92</v>
      </c>
      <c r="D128" s="16" t="str">
        <f>VLOOKUP(C128,[1]master_data!$A$2:$E$495,2,FALSE)</f>
        <v>AIRATOR KANDILA LUB 2</v>
      </c>
      <c r="E128" s="16">
        <v>1</v>
      </c>
      <c r="F128" s="16">
        <f>VLOOKUP(C128,[1]master_data!$A$2:$E$495,3,FALSE)</f>
        <v>26000</v>
      </c>
      <c r="G128" s="16">
        <f>VLOOKUP(C128,[1]master_data!$A$2:$E$495,4,FALSE)</f>
        <v>50000</v>
      </c>
      <c r="H128" s="16">
        <f>E128*F128</f>
        <v>26000</v>
      </c>
      <c r="I128" s="16">
        <f>E128*G128</f>
        <v>50000</v>
      </c>
      <c r="J128" s="16">
        <f>I128-H128</f>
        <v>24000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44539</v>
      </c>
      <c r="B129" s="16" t="s">
        <v>2082</v>
      </c>
      <c r="C129" s="16" t="s">
        <v>321</v>
      </c>
      <c r="D129" s="16" t="str">
        <f>VLOOKUP(C129,[1]master_data!$A$2:$E$495,2,FALSE)</f>
        <v>CATFISH</v>
      </c>
      <c r="E129" s="16">
        <v>5</v>
      </c>
      <c r="F129" s="16">
        <f>VLOOKUP(C129,[1]master_data!$A$2:$E$495,3,FALSE)</f>
        <v>20000</v>
      </c>
      <c r="G129" s="16">
        <f>VLOOKUP(C129,[1]master_data!$A$2:$E$495,4,FALSE)</f>
        <v>50000</v>
      </c>
      <c r="H129" s="16">
        <f>E129*F129</f>
        <v>100000</v>
      </c>
      <c r="I129" s="16">
        <f>E129*G129</f>
        <v>250000</v>
      </c>
      <c r="J129" s="16">
        <f>I129-H129</f>
        <v>150000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44539</v>
      </c>
      <c r="B130" s="16" t="s">
        <v>2083</v>
      </c>
      <c r="C130" s="16" t="s">
        <v>239</v>
      </c>
      <c r="D130" s="16" t="str">
        <f>VLOOKUP(C130,[1]master_data!$A$2:$E$495,2,FALSE)</f>
        <v>OBAT QUARANTINI MED</v>
      </c>
      <c r="E130" s="16">
        <v>1</v>
      </c>
      <c r="F130" s="16">
        <f>VLOOKUP(C130,[1]master_data!$A$2:$E$495,3,FALSE)</f>
        <v>37000</v>
      </c>
      <c r="G130" s="16">
        <f>VLOOKUP(C130,[1]master_data!$A$2:$E$495,4,FALSE)</f>
        <v>60000</v>
      </c>
      <c r="H130" s="16">
        <f>E130*F130</f>
        <v>37000</v>
      </c>
      <c r="I130" s="16">
        <f>E130*G130</f>
        <v>60000</v>
      </c>
      <c r="J130" s="16">
        <f>I130-H130</f>
        <v>23000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44538</v>
      </c>
      <c r="B131" s="16" t="s">
        <v>2075</v>
      </c>
      <c r="C131" s="16" t="s">
        <v>353</v>
      </c>
      <c r="D131" s="16" t="str">
        <f>VLOOKUP(C131,[1]master_data!$A$2:$E$495,2,FALSE)</f>
        <v>PEMBERSIH KACA BIASA</v>
      </c>
      <c r="E131" s="16">
        <v>20</v>
      </c>
      <c r="F131" s="16">
        <f>VLOOKUP(C131,[1]master_data!$A$2:$E$495,3,FALSE)</f>
        <v>2000</v>
      </c>
      <c r="G131" s="16">
        <f>VLOOKUP(C131,[1]master_data!$A$2:$E$495,4,FALSE)</f>
        <v>5000</v>
      </c>
      <c r="H131" s="16">
        <f>E131*F131</f>
        <v>40000</v>
      </c>
      <c r="I131" s="16">
        <f>E131*G131</f>
        <v>100000</v>
      </c>
      <c r="J131" s="16">
        <f>I131-H131</f>
        <v>60000</v>
      </c>
      <c r="K131" s="16" t="str">
        <f>VLOOKUP(C131,[1]master_data!$A$2:$E$495,5,FALSE)</f>
        <v>Ikan</v>
      </c>
      <c r="L131" s="1"/>
    </row>
    <row r="132" spans="1:12" ht="12" customHeight="1" x14ac:dyDescent="0.25">
      <c r="A132" s="15">
        <v>44538</v>
      </c>
      <c r="B132" s="16" t="s">
        <v>2076</v>
      </c>
      <c r="C132" s="16" t="s">
        <v>80</v>
      </c>
      <c r="D132" s="16" t="str">
        <f>VLOOKUP(C132,[1]master_data!$A$2:$E$495,2,FALSE)</f>
        <v>MESIN AMARA 107</v>
      </c>
      <c r="E132" s="16">
        <v>2</v>
      </c>
      <c r="F132" s="16">
        <f>VLOOKUP(C132,[1]master_data!$A$2:$E$495,3,FALSE)</f>
        <v>310000</v>
      </c>
      <c r="G132" s="16">
        <f>VLOOKUP(C132,[1]master_data!$A$2:$E$495,4,FALSE)</f>
        <v>380000</v>
      </c>
      <c r="H132" s="16">
        <f>E132*F132</f>
        <v>620000</v>
      </c>
      <c r="I132" s="16">
        <f>E132*G132</f>
        <v>760000</v>
      </c>
      <c r="J132" s="16">
        <f>I132-H132</f>
        <v>140000</v>
      </c>
      <c r="K132" s="16" t="str">
        <f>VLOOKUP(C132,[1]master_data!$A$2:$E$495,5,FALSE)</f>
        <v>Aksesoris</v>
      </c>
      <c r="L132" s="1"/>
    </row>
    <row r="133" spans="1:12" ht="12" customHeight="1" x14ac:dyDescent="0.25">
      <c r="A133" s="15">
        <v>44538</v>
      </c>
      <c r="B133" s="16" t="s">
        <v>2077</v>
      </c>
      <c r="C133" s="16" t="s">
        <v>325</v>
      </c>
      <c r="D133" s="16" t="str">
        <f>VLOOKUP(C133,[1]master_data!$A$2:$E$495,2,FALSE)</f>
        <v>HIU TAWAR</v>
      </c>
      <c r="E133" s="16">
        <v>10</v>
      </c>
      <c r="F133" s="16">
        <f>VLOOKUP(C133,[1]master_data!$A$2:$E$495,3,FALSE)</f>
        <v>600</v>
      </c>
      <c r="G133" s="16">
        <f>VLOOKUP(C133,[1]master_data!$A$2:$E$495,4,FALSE)</f>
        <v>2000</v>
      </c>
      <c r="H133" s="16">
        <f>E133*F133</f>
        <v>6000</v>
      </c>
      <c r="I133" s="16">
        <f>E133*G133</f>
        <v>20000</v>
      </c>
      <c r="J133" s="16">
        <f>I133-H133</f>
        <v>14000</v>
      </c>
      <c r="K133" s="16" t="str">
        <f>VLOOKUP(C133,[1]master_data!$A$2:$E$495,5,FALSE)</f>
        <v>Ikan</v>
      </c>
      <c r="L133" s="1"/>
    </row>
    <row r="134" spans="1:12" ht="12" customHeight="1" x14ac:dyDescent="0.25">
      <c r="A134" s="15">
        <v>44538</v>
      </c>
      <c r="B134" s="16" t="s">
        <v>2078</v>
      </c>
      <c r="C134" s="16" t="s">
        <v>312</v>
      </c>
      <c r="D134" s="16" t="str">
        <f>VLOOKUP(C134,[1]master_data!$A$2:$E$495,2,FALSE)</f>
        <v>BUENOS AIRES TETRA</v>
      </c>
      <c r="E134" s="16">
        <v>30</v>
      </c>
      <c r="F134" s="16">
        <f>VLOOKUP(C134,[1]master_data!$A$2:$E$495,3,FALSE)</f>
        <v>800</v>
      </c>
      <c r="G134" s="16">
        <f>VLOOKUP(C134,[1]master_data!$A$2:$E$495,4,FALSE)</f>
        <v>2000</v>
      </c>
      <c r="H134" s="16">
        <f>E134*F134</f>
        <v>24000</v>
      </c>
      <c r="I134" s="16">
        <f>E134*G134</f>
        <v>60000</v>
      </c>
      <c r="J134" s="16">
        <f>I134-H134</f>
        <v>36000</v>
      </c>
      <c r="K134" s="16" t="str">
        <f>VLOOKUP(C134,[1]master_data!$A$2:$E$495,5,FALSE)</f>
        <v>Ikan</v>
      </c>
      <c r="L134" s="1"/>
    </row>
    <row r="135" spans="1:12" ht="12" customHeight="1" x14ac:dyDescent="0.25">
      <c r="A135" s="15">
        <v>44538</v>
      </c>
      <c r="B135" s="16" t="s">
        <v>2079</v>
      </c>
      <c r="C135" s="16" t="s">
        <v>360</v>
      </c>
      <c r="D135" s="16" t="str">
        <f>VLOOKUP(C135,[1]master_data!$A$2:$E$495,2,FALSE)</f>
        <v xml:space="preserve"> CHANNA RED BARITO K</v>
      </c>
      <c r="E135" s="16">
        <v>1</v>
      </c>
      <c r="F135" s="16">
        <f>VLOOKUP(C135,[1]master_data!$A$2:$E$495,3,FALSE)</f>
        <v>45000</v>
      </c>
      <c r="G135" s="16">
        <f>VLOOKUP(C135,[1]master_data!$A$2:$E$495,4,FALSE)</f>
        <v>100000</v>
      </c>
      <c r="H135" s="16">
        <f>E135*F135</f>
        <v>45000</v>
      </c>
      <c r="I135" s="16">
        <f>E135*G135</f>
        <v>100000</v>
      </c>
      <c r="J135" s="16">
        <f>I135-H135</f>
        <v>55000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44537</v>
      </c>
      <c r="B136" s="16" t="s">
        <v>2069</v>
      </c>
      <c r="C136" s="16" t="s">
        <v>359</v>
      </c>
      <c r="D136" s="16" t="str">
        <f>VLOOKUP(C136,[1]master_data!$A$2:$E$495,2,FALSE)</f>
        <v>REDFIN ALBINO</v>
      </c>
      <c r="E136" s="16">
        <v>20</v>
      </c>
      <c r="F136" s="16">
        <f>VLOOKUP(C136,[1]master_data!$A$2:$E$495,3,FALSE)</f>
        <v>1500</v>
      </c>
      <c r="G136" s="16">
        <f>VLOOKUP(C136,[1]master_data!$A$2:$E$495,4,FALSE)</f>
        <v>4000</v>
      </c>
      <c r="H136" s="16">
        <f>E136*F136</f>
        <v>30000</v>
      </c>
      <c r="I136" s="16">
        <f>E136*G136</f>
        <v>80000</v>
      </c>
      <c r="J136" s="16">
        <f>I136-H136</f>
        <v>50000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44537</v>
      </c>
      <c r="B137" s="16" t="s">
        <v>2070</v>
      </c>
      <c r="C137" s="16" t="s">
        <v>288</v>
      </c>
      <c r="D137" s="16" t="str">
        <f>VLOOKUP(C137,[1]master_data!$A$2:$E$495,2,FALSE)</f>
        <v>SOLITER B1</v>
      </c>
      <c r="E137" s="16">
        <v>10</v>
      </c>
      <c r="F137" s="16">
        <f>VLOOKUP(C137,[1]master_data!$A$2:$E$495,3,FALSE)</f>
        <v>45000</v>
      </c>
      <c r="G137" s="16">
        <f>VLOOKUP(C137,[1]master_data!$A$2:$E$495,4,FALSE)</f>
        <v>60000</v>
      </c>
      <c r="H137" s="16">
        <f>E137*F137</f>
        <v>450000</v>
      </c>
      <c r="I137" s="16">
        <f>E137*G137</f>
        <v>600000</v>
      </c>
      <c r="J137" s="16">
        <f>I137-H137</f>
        <v>150000</v>
      </c>
      <c r="K137" s="16" t="str">
        <f>VLOOKUP(C137,[1]master_data!$A$2:$E$495,5,FALSE)</f>
        <v>Aksesoris</v>
      </c>
      <c r="L137" s="1"/>
    </row>
    <row r="138" spans="1:12" ht="12" customHeight="1" x14ac:dyDescent="0.25">
      <c r="A138" s="15">
        <v>44537</v>
      </c>
      <c r="B138" s="16" t="s">
        <v>2071</v>
      </c>
      <c r="C138" s="16" t="s">
        <v>345</v>
      </c>
      <c r="D138" s="16" t="str">
        <f>VLOOKUP(C138,[1]master_data!$A$2:$E$495,2,FALSE)</f>
        <v>MARU B</v>
      </c>
      <c r="E138" s="16">
        <v>2</v>
      </c>
      <c r="F138" s="16">
        <f>VLOOKUP(C138,[1]master_data!$A$2:$E$495,3,FALSE)</f>
        <v>90000</v>
      </c>
      <c r="G138" s="16">
        <f>VLOOKUP(C138,[1]master_data!$A$2:$E$495,4,FALSE)</f>
        <v>150000</v>
      </c>
      <c r="H138" s="16">
        <f>E138*F138</f>
        <v>180000</v>
      </c>
      <c r="I138" s="16">
        <f>E138*G138</f>
        <v>300000</v>
      </c>
      <c r="J138" s="16">
        <f>I138-H138</f>
        <v>120000</v>
      </c>
      <c r="K138" s="16" t="str">
        <f>VLOOKUP(C138,[1]master_data!$A$2:$E$495,5,FALSE)</f>
        <v>Ikan</v>
      </c>
      <c r="L138" s="1"/>
    </row>
    <row r="139" spans="1:12" ht="12" customHeight="1" x14ac:dyDescent="0.25">
      <c r="A139" s="15">
        <v>44537</v>
      </c>
      <c r="B139" s="16" t="s">
        <v>2072</v>
      </c>
      <c r="C139" s="16" t="s">
        <v>123</v>
      </c>
      <c r="D139" s="16" t="str">
        <f>VLOOKUP(C139,[1]master_data!$A$2:$E$495,2,FALSE)</f>
        <v>LED KIYOSAKI 3 MODE 30 CM</v>
      </c>
      <c r="E139" s="16">
        <v>2</v>
      </c>
      <c r="F139" s="16">
        <f>VLOOKUP(C139,[1]master_data!$A$2:$E$495,3,FALSE)</f>
        <v>40000</v>
      </c>
      <c r="G139" s="16">
        <f>VLOOKUP(C139,[1]master_data!$A$2:$E$495,4,FALSE)</f>
        <v>55000</v>
      </c>
      <c r="H139" s="16">
        <f>E139*F139</f>
        <v>80000</v>
      </c>
      <c r="I139" s="16">
        <f>E139*G139</f>
        <v>110000</v>
      </c>
      <c r="J139" s="16">
        <f>I139-H139</f>
        <v>30000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44537</v>
      </c>
      <c r="B140" s="16" t="s">
        <v>2073</v>
      </c>
      <c r="C140" s="16" t="s">
        <v>312</v>
      </c>
      <c r="D140" s="16" t="str">
        <f>VLOOKUP(C140,[1]master_data!$A$2:$E$495,2,FALSE)</f>
        <v>BUENOS AIRES TETRA</v>
      </c>
      <c r="E140" s="16">
        <v>8</v>
      </c>
      <c r="F140" s="16">
        <f>VLOOKUP(C140,[1]master_data!$A$2:$E$495,3,FALSE)</f>
        <v>800</v>
      </c>
      <c r="G140" s="16">
        <f>VLOOKUP(C140,[1]master_data!$A$2:$E$495,4,FALSE)</f>
        <v>2000</v>
      </c>
      <c r="H140" s="16">
        <f>E140*F140</f>
        <v>6400</v>
      </c>
      <c r="I140" s="16">
        <f>E140*G140</f>
        <v>16000</v>
      </c>
      <c r="J140" s="16">
        <f>I140-H140</f>
        <v>9600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44537</v>
      </c>
      <c r="B141" s="16" t="s">
        <v>2074</v>
      </c>
      <c r="C141" s="16" t="s">
        <v>362</v>
      </c>
      <c r="D141" s="16" t="str">
        <f>VLOOKUP(C141,[1]master_data!$A$2:$E$495,2,FALSE)</f>
        <v>SUMATRA BIASA</v>
      </c>
      <c r="E141" s="16">
        <v>10</v>
      </c>
      <c r="F141" s="16">
        <f>VLOOKUP(C141,[1]master_data!$A$2:$E$495,3,FALSE)</f>
        <v>800</v>
      </c>
      <c r="G141" s="16">
        <f>VLOOKUP(C141,[1]master_data!$A$2:$E$495,4,FALSE)</f>
        <v>2000</v>
      </c>
      <c r="H141" s="16">
        <f>E141*F141</f>
        <v>8000</v>
      </c>
      <c r="I141" s="16">
        <f>E141*G141</f>
        <v>20000</v>
      </c>
      <c r="J141" s="16">
        <f>I141-H141</f>
        <v>12000</v>
      </c>
      <c r="K141" s="16" t="str">
        <f>VLOOKUP(C141,[1]master_data!$A$2:$E$495,5,FALSE)</f>
        <v>Ikan</v>
      </c>
      <c r="L141" s="1"/>
    </row>
    <row r="142" spans="1:12" ht="12" customHeight="1" x14ac:dyDescent="0.25">
      <c r="A142" s="15">
        <v>44536</v>
      </c>
      <c r="B142" s="16" t="s">
        <v>2065</v>
      </c>
      <c r="C142" s="16" t="s">
        <v>363</v>
      </c>
      <c r="D142" s="16" t="str">
        <f>VLOOKUP(C142,[1]master_data!$A$2:$E$495,2,FALSE)</f>
        <v>SUMATRA GOLD FISH</v>
      </c>
      <c r="E142" s="16">
        <v>20</v>
      </c>
      <c r="F142" s="16">
        <f>VLOOKUP(C142,[1]master_data!$A$2:$E$495,3,FALSE)</f>
        <v>2500</v>
      </c>
      <c r="G142" s="16">
        <f>VLOOKUP(C142,[1]master_data!$A$2:$E$495,4,FALSE)</f>
        <v>4000</v>
      </c>
      <c r="H142" s="16">
        <f>E142*F142</f>
        <v>50000</v>
      </c>
      <c r="I142" s="16">
        <f>E142*G142</f>
        <v>80000</v>
      </c>
      <c r="J142" s="16">
        <f>I142-H142</f>
        <v>30000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44536</v>
      </c>
      <c r="B143" s="16" t="s">
        <v>2066</v>
      </c>
      <c r="C143" s="16" t="s">
        <v>30</v>
      </c>
      <c r="D143" s="16" t="str">
        <f>VLOOKUP(C143,[1]master_data!$A$2:$E$495,2,FALSE)</f>
        <v>MESIN YAMANO 1200</v>
      </c>
      <c r="E143" s="16">
        <v>10</v>
      </c>
      <c r="F143" s="16">
        <f>VLOOKUP(C143,[1]master_data!$A$2:$E$495,3,FALSE)</f>
        <v>27000</v>
      </c>
      <c r="G143" s="16">
        <f>VLOOKUP(C143,[1]master_data!$A$2:$E$495,4,FALSE)</f>
        <v>40000</v>
      </c>
      <c r="H143" s="16">
        <f>E143*F143</f>
        <v>270000</v>
      </c>
      <c r="I143" s="16">
        <f>E143*G143</f>
        <v>400000</v>
      </c>
      <c r="J143" s="16">
        <f>I143-H143</f>
        <v>130000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44536</v>
      </c>
      <c r="B144" s="16" t="s">
        <v>2067</v>
      </c>
      <c r="C144" s="16" t="s">
        <v>30</v>
      </c>
      <c r="D144" s="16" t="str">
        <f>VLOOKUP(C144,[1]master_data!$A$2:$E$495,2,FALSE)</f>
        <v>MESIN YAMANO 1200</v>
      </c>
      <c r="E144" s="16">
        <v>10</v>
      </c>
      <c r="F144" s="16">
        <f>VLOOKUP(C144,[1]master_data!$A$2:$E$495,3,FALSE)</f>
        <v>27000</v>
      </c>
      <c r="G144" s="16">
        <f>VLOOKUP(C144,[1]master_data!$A$2:$E$495,4,FALSE)</f>
        <v>40000</v>
      </c>
      <c r="H144" s="16">
        <f>E144*F144</f>
        <v>270000</v>
      </c>
      <c r="I144" s="16">
        <f>E144*G144</f>
        <v>400000</v>
      </c>
      <c r="J144" s="16">
        <f>I144-H144</f>
        <v>130000</v>
      </c>
      <c r="K144" s="16" t="str">
        <f>VLOOKUP(C144,[1]master_data!$A$2:$E$495,5,FALSE)</f>
        <v>Aksesoris</v>
      </c>
      <c r="L144" s="1"/>
    </row>
    <row r="145" spans="1:12" ht="12" customHeight="1" x14ac:dyDescent="0.25">
      <c r="A145" s="15">
        <v>44536</v>
      </c>
      <c r="B145" s="16" t="s">
        <v>2068</v>
      </c>
      <c r="C145" s="16" t="s">
        <v>307</v>
      </c>
      <c r="D145" s="16" t="str">
        <f>VLOOKUP(C145,[1]master_data!$A$2:$E$495,2,FALSE)</f>
        <v>ARWANA SILVER K</v>
      </c>
      <c r="E145" s="16">
        <v>2</v>
      </c>
      <c r="F145" s="16">
        <f>VLOOKUP(C145,[1]master_data!$A$2:$E$495,3,FALSE)</f>
        <v>100000</v>
      </c>
      <c r="G145" s="16">
        <f>VLOOKUP(C145,[1]master_data!$A$2:$E$495,4,FALSE)</f>
        <v>200000</v>
      </c>
      <c r="H145" s="16">
        <f>E145*F145</f>
        <v>200000</v>
      </c>
      <c r="I145" s="16">
        <f>E145*G145</f>
        <v>400000</v>
      </c>
      <c r="J145" s="16">
        <f>I145-H145</f>
        <v>200000</v>
      </c>
      <c r="K145" s="16" t="str">
        <f>VLOOKUP(C145,[1]master_data!$A$2:$E$495,5,FALSE)</f>
        <v>Ikan</v>
      </c>
      <c r="L145" s="1"/>
    </row>
    <row r="146" spans="1:12" ht="12" customHeight="1" x14ac:dyDescent="0.25">
      <c r="A146" s="15">
        <v>44535</v>
      </c>
      <c r="B146" s="16" t="s">
        <v>2058</v>
      </c>
      <c r="C146" s="16" t="s">
        <v>350</v>
      </c>
      <c r="D146" s="16" t="str">
        <f>VLOOKUP(C146,[1]master_data!$A$2:$E$495,2,FALSE)</f>
        <v>NENTINEN</v>
      </c>
      <c r="E146" s="16">
        <v>10</v>
      </c>
      <c r="F146" s="16">
        <f>VLOOKUP(C146,[1]master_data!$A$2:$E$495,3,FALSE)</f>
        <v>1000</v>
      </c>
      <c r="G146" s="16">
        <f>VLOOKUP(C146,[1]master_data!$A$2:$E$495,4,FALSE)</f>
        <v>2500</v>
      </c>
      <c r="H146" s="16">
        <f>E146*F146</f>
        <v>10000</v>
      </c>
      <c r="I146" s="16">
        <f>E146*G146</f>
        <v>25000</v>
      </c>
      <c r="J146" s="16">
        <f>I146-H146</f>
        <v>15000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44535</v>
      </c>
      <c r="B147" s="16" t="s">
        <v>2059</v>
      </c>
      <c r="C147" s="16" t="s">
        <v>319</v>
      </c>
      <c r="D147" s="16" t="str">
        <f>VLOOKUP(C147,[1]master_data!$A$2:$E$495,2,FALSE)</f>
        <v>BARBIR</v>
      </c>
      <c r="E147" s="16">
        <v>15</v>
      </c>
      <c r="F147" s="16">
        <f>VLOOKUP(C147,[1]master_data!$A$2:$E$495,3,FALSE)</f>
        <v>800</v>
      </c>
      <c r="G147" s="16">
        <f>VLOOKUP(C147,[1]master_data!$A$2:$E$495,4,FALSE)</f>
        <v>2000</v>
      </c>
      <c r="H147" s="16">
        <f>E147*F147</f>
        <v>12000</v>
      </c>
      <c r="I147" s="16">
        <f>E147*G147</f>
        <v>30000</v>
      </c>
      <c r="J147" s="16">
        <f>I147-H147</f>
        <v>18000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44535</v>
      </c>
      <c r="B148" s="16" t="s">
        <v>2060</v>
      </c>
      <c r="C148" s="16" t="s">
        <v>303</v>
      </c>
      <c r="D148" s="16" t="str">
        <f>VLOOKUP(C148,[1]master_data!$A$2:$E$495,2,FALSE)</f>
        <v>CHANNA ASIATICA K</v>
      </c>
      <c r="E148" s="16">
        <v>2</v>
      </c>
      <c r="F148" s="16">
        <f>VLOOKUP(C148,[1]master_data!$A$2:$E$495,3,FALSE)</f>
        <v>10000</v>
      </c>
      <c r="G148" s="16">
        <f>VLOOKUP(C148,[1]master_data!$A$2:$E$495,4,FALSE)</f>
        <v>40000</v>
      </c>
      <c r="H148" s="16">
        <f>E148*F148</f>
        <v>20000</v>
      </c>
      <c r="I148" s="16">
        <f>E148*G148</f>
        <v>80000</v>
      </c>
      <c r="J148" s="16">
        <f>I148-H148</f>
        <v>60000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44535</v>
      </c>
      <c r="B149" s="16" t="s">
        <v>2061</v>
      </c>
      <c r="C149" s="16" t="s">
        <v>359</v>
      </c>
      <c r="D149" s="16" t="str">
        <f>VLOOKUP(C149,[1]master_data!$A$2:$E$495,2,FALSE)</f>
        <v>REDFIN ALBINO</v>
      </c>
      <c r="E149" s="16">
        <v>15</v>
      </c>
      <c r="F149" s="16">
        <f>VLOOKUP(C149,[1]master_data!$A$2:$E$495,3,FALSE)</f>
        <v>1500</v>
      </c>
      <c r="G149" s="16">
        <f>VLOOKUP(C149,[1]master_data!$A$2:$E$495,4,FALSE)</f>
        <v>4000</v>
      </c>
      <c r="H149" s="16">
        <f>E149*F149</f>
        <v>22500</v>
      </c>
      <c r="I149" s="16">
        <f>E149*G149</f>
        <v>60000</v>
      </c>
      <c r="J149" s="16">
        <f>I149-H149</f>
        <v>37500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44535</v>
      </c>
      <c r="B150" s="16" t="s">
        <v>2062</v>
      </c>
      <c r="C150" s="16" t="s">
        <v>161</v>
      </c>
      <c r="D150" s="16" t="str">
        <f>VLOOKUP(C150,[1]master_data!$A$2:$E$495,2,FALSE)</f>
        <v>LED KANDILA PRO RED ECO 80 CM</v>
      </c>
      <c r="E150" s="16">
        <v>7</v>
      </c>
      <c r="F150" s="16">
        <f>VLOOKUP(C150,[1]master_data!$A$2:$E$495,3,FALSE)</f>
        <v>71000</v>
      </c>
      <c r="G150" s="16">
        <f>VLOOKUP(C150,[1]master_data!$A$2:$E$495,4,FALSE)</f>
        <v>95000</v>
      </c>
      <c r="H150" s="16">
        <f>E150*F150</f>
        <v>497000</v>
      </c>
      <c r="I150" s="16">
        <f>E150*G150</f>
        <v>665000</v>
      </c>
      <c r="J150" s="16">
        <f>I150-H150</f>
        <v>168000</v>
      </c>
      <c r="K150" s="16" t="str">
        <f>VLOOKUP(C150,[1]master_data!$A$2:$E$495,5,FALSE)</f>
        <v>Aksesoris</v>
      </c>
      <c r="L150" s="1"/>
    </row>
    <row r="151" spans="1:12" ht="12" customHeight="1" x14ac:dyDescent="0.25">
      <c r="A151" s="15">
        <v>44535</v>
      </c>
      <c r="B151" s="16" t="s">
        <v>2063</v>
      </c>
      <c r="C151" s="16" t="s">
        <v>92</v>
      </c>
      <c r="D151" s="16" t="str">
        <f>VLOOKUP(C151,[1]master_data!$A$2:$E$495,2,FALSE)</f>
        <v>AIRATOR KANDILA LUB 2</v>
      </c>
      <c r="E151" s="16">
        <v>1</v>
      </c>
      <c r="F151" s="16">
        <f>VLOOKUP(C151,[1]master_data!$A$2:$E$495,3,FALSE)</f>
        <v>26000</v>
      </c>
      <c r="G151" s="16">
        <f>VLOOKUP(C151,[1]master_data!$A$2:$E$495,4,FALSE)</f>
        <v>50000</v>
      </c>
      <c r="H151" s="16">
        <f>E151*F151</f>
        <v>26000</v>
      </c>
      <c r="I151" s="16">
        <f>E151*G151</f>
        <v>50000</v>
      </c>
      <c r="J151" s="16">
        <f>I151-H151</f>
        <v>24000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44535</v>
      </c>
      <c r="B152" s="16" t="s">
        <v>2064</v>
      </c>
      <c r="C152" s="16" t="s">
        <v>343</v>
      </c>
      <c r="D152" s="16" t="str">
        <f>VLOOKUP(C152,[1]master_data!$A$2:$E$495,2,FALSE)</f>
        <v>MANFISH K</v>
      </c>
      <c r="E152" s="16">
        <v>1</v>
      </c>
      <c r="F152" s="16">
        <f>VLOOKUP(C152,[1]master_data!$A$2:$E$495,3,FALSE)</f>
        <v>2000</v>
      </c>
      <c r="G152" s="16">
        <f>VLOOKUP(C152,[1]master_data!$A$2:$E$495,4,FALSE)</f>
        <v>5000</v>
      </c>
      <c r="H152" s="16">
        <f>E152*F152</f>
        <v>2000</v>
      </c>
      <c r="I152" s="16">
        <f>E152*G152</f>
        <v>5000</v>
      </c>
      <c r="J152" s="16">
        <f>I152-H152</f>
        <v>3000</v>
      </c>
      <c r="K152" s="16" t="str">
        <f>VLOOKUP(C152,[1]master_data!$A$2:$E$495,5,FALSE)</f>
        <v>Ikan</v>
      </c>
      <c r="L152" s="1"/>
    </row>
    <row r="153" spans="1:12" ht="12" customHeight="1" x14ac:dyDescent="0.25">
      <c r="A153" s="15">
        <v>44534</v>
      </c>
      <c r="B153" s="16" t="s">
        <v>2051</v>
      </c>
      <c r="C153" s="16" t="s">
        <v>318</v>
      </c>
      <c r="D153" s="16" t="str">
        <f>VLOOKUP(C153,[1]master_data!$A$2:$E$495,2,FALSE)</f>
        <v>KOMET BOKIM</v>
      </c>
      <c r="E153" s="16">
        <v>15</v>
      </c>
      <c r="F153" s="16">
        <f>VLOOKUP(C153,[1]master_data!$A$2:$E$495,3,FALSE)</f>
        <v>1500</v>
      </c>
      <c r="G153" s="16">
        <f>VLOOKUP(C153,[1]master_data!$A$2:$E$495,4,FALSE)</f>
        <v>5000</v>
      </c>
      <c r="H153" s="16">
        <f>E153*F153</f>
        <v>22500</v>
      </c>
      <c r="I153" s="16">
        <f>E153*G153</f>
        <v>75000</v>
      </c>
      <c r="J153" s="16">
        <f>I153-H153</f>
        <v>52500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44534</v>
      </c>
      <c r="B154" s="16" t="s">
        <v>2052</v>
      </c>
      <c r="C154" s="16" t="s">
        <v>222</v>
      </c>
      <c r="D154" s="16" t="str">
        <f>VLOOKUP(C154,[1]master_data!$A$2:$E$495,2,FALSE)</f>
        <v>JARING 20</v>
      </c>
      <c r="E154" s="16">
        <v>10</v>
      </c>
      <c r="F154" s="16">
        <f>VLOOKUP(C154,[1]master_data!$A$2:$E$495,3,FALSE)</f>
        <v>5600</v>
      </c>
      <c r="G154" s="16">
        <f>VLOOKUP(C154,[1]master_data!$A$2:$E$495,4,FALSE)</f>
        <v>10000</v>
      </c>
      <c r="H154" s="16">
        <f>E154*F154</f>
        <v>56000</v>
      </c>
      <c r="I154" s="16">
        <f>E154*G154</f>
        <v>100000</v>
      </c>
      <c r="J154" s="16">
        <f>I154-H154</f>
        <v>44000</v>
      </c>
      <c r="K154" s="16" t="str">
        <f>VLOOKUP(C154,[1]master_data!$A$2:$E$495,5,FALSE)</f>
        <v>Aksesoris</v>
      </c>
      <c r="L154" s="1"/>
    </row>
    <row r="155" spans="1:12" ht="12" customHeight="1" x14ac:dyDescent="0.25">
      <c r="A155" s="15">
        <v>44534</v>
      </c>
      <c r="B155" s="16" t="s">
        <v>2053</v>
      </c>
      <c r="C155" s="16" t="s">
        <v>5</v>
      </c>
      <c r="D155" s="16" t="str">
        <f>VLOOKUP(C155,[1]master_data!$A$2:$E$495,2,FALSE)</f>
        <v>MESIN YANG 1000 L</v>
      </c>
      <c r="E155" s="16">
        <v>2</v>
      </c>
      <c r="F155" s="16">
        <f>VLOOKUP(C155,[1]master_data!$A$2:$E$495,3,FALSE)</f>
        <v>31000</v>
      </c>
      <c r="G155" s="16">
        <f>VLOOKUP(C155,[1]master_data!$A$2:$E$495,4,FALSE)</f>
        <v>50000</v>
      </c>
      <c r="H155" s="16">
        <f>E155*F155</f>
        <v>62000</v>
      </c>
      <c r="I155" s="16">
        <f>E155*G155</f>
        <v>100000</v>
      </c>
      <c r="J155" s="16">
        <f>I155-H155</f>
        <v>38000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44534</v>
      </c>
      <c r="B156" s="16" t="s">
        <v>2054</v>
      </c>
      <c r="C156" s="16" t="s">
        <v>192</v>
      </c>
      <c r="D156" s="16" t="str">
        <f>VLOOKUP(C156,[1]master_data!$A$2:$E$495,2,FALSE)</f>
        <v>PAKAN GOLD FISH HITAM</v>
      </c>
      <c r="E156" s="16">
        <v>4</v>
      </c>
      <c r="F156" s="16">
        <f>VLOOKUP(C156,[1]master_data!$A$2:$E$495,3,FALSE)</f>
        <v>7000</v>
      </c>
      <c r="G156" s="16">
        <f>VLOOKUP(C156,[1]master_data!$A$2:$E$495,4,FALSE)</f>
        <v>12000</v>
      </c>
      <c r="H156" s="16">
        <f>E156*F156</f>
        <v>28000</v>
      </c>
      <c r="I156" s="16">
        <f>E156*G156</f>
        <v>48000</v>
      </c>
      <c r="J156" s="16">
        <f>I156-H156</f>
        <v>20000</v>
      </c>
      <c r="K156" s="16" t="str">
        <f>VLOOKUP(C156,[1]master_data!$A$2:$E$495,5,FALSE)</f>
        <v>Aksesoris</v>
      </c>
      <c r="L156" s="1"/>
    </row>
    <row r="157" spans="1:12" ht="12" customHeight="1" x14ac:dyDescent="0.25">
      <c r="A157" s="15">
        <v>44534</v>
      </c>
      <c r="B157" s="16" t="s">
        <v>2055</v>
      </c>
      <c r="C157" s="16" t="s">
        <v>320</v>
      </c>
      <c r="D157" s="16" t="str">
        <f>VLOOKUP(C157,[1]master_data!$A$2:$E$495,2,FALSE)</f>
        <v>CUPANG</v>
      </c>
      <c r="E157" s="16">
        <v>26</v>
      </c>
      <c r="F157" s="16">
        <f>VLOOKUP(C157,[1]master_data!$A$2:$E$495,3,FALSE)</f>
        <v>2000</v>
      </c>
      <c r="G157" s="16">
        <f>VLOOKUP(C157,[1]master_data!$A$2:$E$495,4,FALSE)</f>
        <v>5000</v>
      </c>
      <c r="H157" s="16">
        <f>E157*F157</f>
        <v>52000</v>
      </c>
      <c r="I157" s="16">
        <f>E157*G157</f>
        <v>130000</v>
      </c>
      <c r="J157" s="16">
        <f>I157-H157</f>
        <v>78000</v>
      </c>
      <c r="K157" s="16" t="str">
        <f>VLOOKUP(C157,[1]master_data!$A$2:$E$495,5,FALSE)</f>
        <v>Ikan</v>
      </c>
      <c r="L157" s="1"/>
    </row>
    <row r="158" spans="1:12" ht="12" customHeight="1" x14ac:dyDescent="0.25">
      <c r="A158" s="15">
        <v>44534</v>
      </c>
      <c r="B158" s="16" t="s">
        <v>2056</v>
      </c>
      <c r="C158" s="16" t="s">
        <v>334</v>
      </c>
      <c r="D158" s="16" t="str">
        <f>VLOOKUP(C158,[1]master_data!$A$2:$E$495,2,FALSE)</f>
        <v>KOMET PAKAN</v>
      </c>
      <c r="E158" s="16">
        <v>6</v>
      </c>
      <c r="F158" s="16">
        <f>VLOOKUP(C158,[1]master_data!$A$2:$E$495,3,FALSE)</f>
        <v>300</v>
      </c>
      <c r="G158" s="16">
        <f>VLOOKUP(C158,[1]master_data!$A$2:$E$495,4,FALSE)</f>
        <v>1000</v>
      </c>
      <c r="H158" s="16">
        <f>E158*F158</f>
        <v>1800</v>
      </c>
      <c r="I158" s="16">
        <f>E158*G158</f>
        <v>6000</v>
      </c>
      <c r="J158" s="16">
        <f>I158-H158</f>
        <v>4200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44534</v>
      </c>
      <c r="B159" s="16" t="s">
        <v>2057</v>
      </c>
      <c r="C159" s="16" t="s">
        <v>70</v>
      </c>
      <c r="D159" s="16" t="str">
        <f>VLOOKUP(C159,[1]master_data!$A$2:$E$495,2,FALSE)</f>
        <v>MESIN ATMAN 103</v>
      </c>
      <c r="E159" s="16">
        <v>1</v>
      </c>
      <c r="F159" s="16">
        <f>VLOOKUP(C159,[1]master_data!$A$2:$E$495,3,FALSE)</f>
        <v>130000</v>
      </c>
      <c r="G159" s="16">
        <f>VLOOKUP(C159,[1]master_data!$A$2:$E$495,4,FALSE)</f>
        <v>175000</v>
      </c>
      <c r="H159" s="16">
        <f>E159*F159</f>
        <v>130000</v>
      </c>
      <c r="I159" s="16">
        <f>E159*G159</f>
        <v>175000</v>
      </c>
      <c r="J159" s="16">
        <f>I159-H159</f>
        <v>45000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44533</v>
      </c>
      <c r="B160" s="16" t="s">
        <v>2046</v>
      </c>
      <c r="C160" s="16" t="s">
        <v>241</v>
      </c>
      <c r="D160" s="16" t="str">
        <f>VLOOKUP(C160,[1]master_data!$A$2:$E$495,2,FALSE)</f>
        <v>PINSET KANDILA</v>
      </c>
      <c r="E160" s="16">
        <v>2</v>
      </c>
      <c r="F160" s="16">
        <f>VLOOKUP(C160,[1]master_data!$A$2:$E$495,3,FALSE)</f>
        <v>18000</v>
      </c>
      <c r="G160" s="16">
        <f>VLOOKUP(C160,[1]master_data!$A$2:$E$495,4,FALSE)</f>
        <v>35000</v>
      </c>
      <c r="H160" s="16">
        <f>E160*F160</f>
        <v>36000</v>
      </c>
      <c r="I160" s="16">
        <f>E160*G160</f>
        <v>70000</v>
      </c>
      <c r="J160" s="16">
        <f>I160-H160</f>
        <v>34000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44533</v>
      </c>
      <c r="B161" s="16" t="s">
        <v>2047</v>
      </c>
      <c r="C161" s="16" t="s">
        <v>347</v>
      </c>
      <c r="D161" s="16" t="str">
        <f>VLOOKUP(C161,[1]master_data!$A$2:$E$495,2,FALSE)</f>
        <v>MOLI BALON</v>
      </c>
      <c r="E161" s="16">
        <v>20</v>
      </c>
      <c r="F161" s="16">
        <f>VLOOKUP(C161,[1]master_data!$A$2:$E$495,3,FALSE)</f>
        <v>800</v>
      </c>
      <c r="G161" s="16">
        <f>VLOOKUP(C161,[1]master_data!$A$2:$E$495,4,FALSE)</f>
        <v>2000</v>
      </c>
      <c r="H161" s="16">
        <f>E161*F161</f>
        <v>16000</v>
      </c>
      <c r="I161" s="16">
        <f>E161*G161</f>
        <v>40000</v>
      </c>
      <c r="J161" s="16">
        <f>I161-H161</f>
        <v>24000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44533</v>
      </c>
      <c r="B162" s="16" t="s">
        <v>2048</v>
      </c>
      <c r="C162" s="16" t="s">
        <v>342</v>
      </c>
      <c r="D162" s="16" t="str">
        <f>VLOOKUP(C162,[1]master_data!$A$2:$E$495,2,FALSE)</f>
        <v>LOUHAN SUPER</v>
      </c>
      <c r="E162" s="16">
        <v>1</v>
      </c>
      <c r="F162" s="16">
        <f>VLOOKUP(C162,[1]master_data!$A$2:$E$495,3,FALSE)</f>
        <v>300000</v>
      </c>
      <c r="G162" s="16">
        <f>VLOOKUP(C162,[1]master_data!$A$2:$E$495,4,FALSE)</f>
        <v>500000</v>
      </c>
      <c r="H162" s="16">
        <f>E162*F162</f>
        <v>300000</v>
      </c>
      <c r="I162" s="16">
        <f>E162*G162</f>
        <v>500000</v>
      </c>
      <c r="J162" s="16">
        <f>I162-H162</f>
        <v>200000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44533</v>
      </c>
      <c r="B163" s="16" t="s">
        <v>2049</v>
      </c>
      <c r="C163" s="16" t="s">
        <v>51</v>
      </c>
      <c r="D163" s="16" t="str">
        <f>VLOOKUP(C163,[1]master_data!$A$2:$E$495,2,FALSE)</f>
        <v>MESIN RECENT 203</v>
      </c>
      <c r="E163" s="16">
        <v>1</v>
      </c>
      <c r="F163" s="16">
        <f>VLOOKUP(C163,[1]master_data!$A$2:$E$495,3,FALSE)</f>
        <v>43500</v>
      </c>
      <c r="G163" s="16">
        <f>VLOOKUP(C163,[1]master_data!$A$2:$E$495,4,FALSE)</f>
        <v>70000</v>
      </c>
      <c r="H163" s="16">
        <f>E163*F163</f>
        <v>43500</v>
      </c>
      <c r="I163" s="16">
        <f>E163*G163</f>
        <v>70000</v>
      </c>
      <c r="J163" s="16">
        <f>I163-H163</f>
        <v>26500</v>
      </c>
      <c r="K163" s="16" t="str">
        <f>VLOOKUP(C163,[1]master_data!$A$2:$E$495,5,FALSE)</f>
        <v>Aksesoris</v>
      </c>
      <c r="L163" s="1"/>
    </row>
    <row r="164" spans="1:12" ht="12" customHeight="1" x14ac:dyDescent="0.25">
      <c r="A164" s="15">
        <v>44533</v>
      </c>
      <c r="B164" s="16" t="s">
        <v>2050</v>
      </c>
      <c r="C164" s="16" t="s">
        <v>339</v>
      </c>
      <c r="D164" s="16" t="str">
        <f>VLOOKUP(C164,[1]master_data!$A$2:$E$495,2,FALSE)</f>
        <v>DISCUS</v>
      </c>
      <c r="E164" s="16">
        <v>2</v>
      </c>
      <c r="F164" s="16">
        <f>VLOOKUP(C164,[1]master_data!$A$2:$E$495,3,FALSE)</f>
        <v>50000</v>
      </c>
      <c r="G164" s="16">
        <f>VLOOKUP(C164,[1]master_data!$A$2:$E$495,4,FALSE)</f>
        <v>150000</v>
      </c>
      <c r="H164" s="16">
        <f>E164*F164</f>
        <v>100000</v>
      </c>
      <c r="I164" s="16">
        <f>E164*G164</f>
        <v>300000</v>
      </c>
      <c r="J164" s="16">
        <f>I164-H164</f>
        <v>200000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44532</v>
      </c>
      <c r="B165" s="16" t="s">
        <v>2038</v>
      </c>
      <c r="C165" s="16" t="s">
        <v>372</v>
      </c>
      <c r="D165" s="16" t="str">
        <f>VLOOKUP(C165,[1]master_data!$A$2:$E$495,2,FALSE)</f>
        <v>ZEBRA KUNING</v>
      </c>
      <c r="E165" s="16">
        <v>25</v>
      </c>
      <c r="F165" s="16">
        <f>VLOOKUP(C165,[1]master_data!$A$2:$E$495,3,FALSE)</f>
        <v>800</v>
      </c>
      <c r="G165" s="16">
        <f>VLOOKUP(C165,[1]master_data!$A$2:$E$495,4,FALSE)</f>
        <v>2000</v>
      </c>
      <c r="H165" s="16">
        <f>E165*F165</f>
        <v>20000</v>
      </c>
      <c r="I165" s="16">
        <f>E165*G165</f>
        <v>50000</v>
      </c>
      <c r="J165" s="16">
        <f>I165-H165</f>
        <v>30000</v>
      </c>
      <c r="K165" s="16" t="str">
        <f>VLOOKUP(C165,[1]master_data!$A$2:$E$495,5,FALSE)</f>
        <v>Ikan</v>
      </c>
      <c r="L165" s="1"/>
    </row>
    <row r="166" spans="1:12" ht="12" customHeight="1" x14ac:dyDescent="0.25">
      <c r="A166" s="15">
        <v>44532</v>
      </c>
      <c r="B166" s="16" t="s">
        <v>2039</v>
      </c>
      <c r="C166" s="16" t="s">
        <v>371</v>
      </c>
      <c r="D166" s="16" t="str">
        <f>VLOOKUP(C166,[1]master_data!$A$2:$E$495,2,FALSE)</f>
        <v>ZEBRA UNGU</v>
      </c>
      <c r="E166" s="16">
        <v>25</v>
      </c>
      <c r="F166" s="16">
        <f>VLOOKUP(C166,[1]master_data!$A$2:$E$495,3,FALSE)</f>
        <v>800</v>
      </c>
      <c r="G166" s="16">
        <f>VLOOKUP(C166,[1]master_data!$A$2:$E$495,4,FALSE)</f>
        <v>2000</v>
      </c>
      <c r="H166" s="16">
        <f>E166*F166</f>
        <v>20000</v>
      </c>
      <c r="I166" s="16">
        <f>E166*G166</f>
        <v>50000</v>
      </c>
      <c r="J166" s="16">
        <f>I166-H166</f>
        <v>30000</v>
      </c>
      <c r="K166" s="16" t="str">
        <f>VLOOKUP(C166,[1]master_data!$A$2:$E$495,5,FALSE)</f>
        <v>Ikan</v>
      </c>
      <c r="L166" s="1"/>
    </row>
    <row r="167" spans="1:12" ht="12" customHeight="1" x14ac:dyDescent="0.25">
      <c r="A167" s="15">
        <v>44532</v>
      </c>
      <c r="B167" s="16" t="s">
        <v>2040</v>
      </c>
      <c r="C167" s="16" t="s">
        <v>316</v>
      </c>
      <c r="D167" s="16" t="str">
        <f>VLOOKUP(C167,[1]master_data!$A$2:$E$495,2,FALSE)</f>
        <v>CHANNA BLUE PULCHRA K</v>
      </c>
      <c r="E167" s="16">
        <v>2</v>
      </c>
      <c r="F167" s="16">
        <f>VLOOKUP(C167,[1]master_data!$A$2:$E$495,3,FALSE)</f>
        <v>25000</v>
      </c>
      <c r="G167" s="16">
        <f>VLOOKUP(C167,[1]master_data!$A$2:$E$495,4,FALSE)</f>
        <v>50000</v>
      </c>
      <c r="H167" s="16">
        <f>E167*F167</f>
        <v>50000</v>
      </c>
      <c r="I167" s="16">
        <f>E167*G167</f>
        <v>100000</v>
      </c>
      <c r="J167" s="16">
        <f>I167-H167</f>
        <v>50000</v>
      </c>
      <c r="K167" s="16" t="str">
        <f>VLOOKUP(C167,[1]master_data!$A$2:$E$495,5,FALSE)</f>
        <v>Ikan</v>
      </c>
      <c r="L167" s="1"/>
    </row>
    <row r="168" spans="1:12" ht="12" customHeight="1" x14ac:dyDescent="0.25">
      <c r="A168" s="15">
        <v>44532</v>
      </c>
      <c r="B168" s="16" t="s">
        <v>2041</v>
      </c>
      <c r="C168" s="16" t="s">
        <v>369</v>
      </c>
      <c r="D168" s="16" t="str">
        <f>VLOOKUP(C168,[1]master_data!$A$2:$E$495,2,FALSE)</f>
        <v>ZEBRA PINK</v>
      </c>
      <c r="E168" s="16">
        <v>20</v>
      </c>
      <c r="F168" s="16">
        <f>VLOOKUP(C168,[1]master_data!$A$2:$E$495,3,FALSE)</f>
        <v>800</v>
      </c>
      <c r="G168" s="16">
        <f>VLOOKUP(C168,[1]master_data!$A$2:$E$495,4,FALSE)</f>
        <v>2000</v>
      </c>
      <c r="H168" s="16">
        <f>E168*F168</f>
        <v>16000</v>
      </c>
      <c r="I168" s="16">
        <f>E168*G168</f>
        <v>40000</v>
      </c>
      <c r="J168" s="16">
        <f>I168-H168</f>
        <v>24000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44532</v>
      </c>
      <c r="B169" s="16" t="s">
        <v>2042</v>
      </c>
      <c r="C169" s="16" t="s">
        <v>284</v>
      </c>
      <c r="D169" s="16" t="str">
        <f>VLOOKUP(C169,[1]master_data!$A$2:$E$495,2,FALSE)</f>
        <v>AKUARIUM 70 POLOS</v>
      </c>
      <c r="E169" s="16">
        <v>1</v>
      </c>
      <c r="F169" s="16">
        <f>VLOOKUP(C169,[1]master_data!$A$2:$E$495,3,FALSE)</f>
        <v>150000</v>
      </c>
      <c r="G169" s="16">
        <f>VLOOKUP(C169,[1]master_data!$A$2:$E$495,4,FALSE)</f>
        <v>200000</v>
      </c>
      <c r="H169" s="16">
        <f>E169*F169</f>
        <v>150000</v>
      </c>
      <c r="I169" s="16">
        <f>E169*G169</f>
        <v>200000</v>
      </c>
      <c r="J169" s="16">
        <f>I169-H169</f>
        <v>50000</v>
      </c>
      <c r="K169" s="16" t="str">
        <f>VLOOKUP(C169,[1]master_data!$A$2:$E$495,5,FALSE)</f>
        <v>Aksesoris</v>
      </c>
      <c r="L169" s="1"/>
    </row>
    <row r="170" spans="1:12" ht="12" customHeight="1" x14ac:dyDescent="0.25">
      <c r="A170" s="15">
        <v>44532</v>
      </c>
      <c r="B170" s="16" t="s">
        <v>2043</v>
      </c>
      <c r="C170" s="16" t="s">
        <v>310</v>
      </c>
      <c r="D170" s="16" t="str">
        <f>VLOOKUP(C170,[1]master_data!$A$2:$E$495,2,FALSE)</f>
        <v>ALIGATOR</v>
      </c>
      <c r="E170" s="16">
        <v>7</v>
      </c>
      <c r="F170" s="16">
        <f>VLOOKUP(C170,[1]master_data!$A$2:$E$495,3,FALSE)</f>
        <v>17000</v>
      </c>
      <c r="G170" s="16">
        <f>VLOOKUP(C170,[1]master_data!$A$2:$E$495,4,FALSE)</f>
        <v>35000</v>
      </c>
      <c r="H170" s="16">
        <f>E170*F170</f>
        <v>119000</v>
      </c>
      <c r="I170" s="16">
        <f>E170*G170</f>
        <v>245000</v>
      </c>
      <c r="J170" s="16">
        <f>I170-H170</f>
        <v>126000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44532</v>
      </c>
      <c r="B171" s="16" t="s">
        <v>2044</v>
      </c>
      <c r="C171" s="16" t="s">
        <v>362</v>
      </c>
      <c r="D171" s="16" t="str">
        <f>VLOOKUP(C171,[1]master_data!$A$2:$E$495,2,FALSE)</f>
        <v>SUMATRA BIASA</v>
      </c>
      <c r="E171" s="16">
        <v>1</v>
      </c>
      <c r="F171" s="16">
        <f>VLOOKUP(C171,[1]master_data!$A$2:$E$495,3,FALSE)</f>
        <v>800</v>
      </c>
      <c r="G171" s="16">
        <f>VLOOKUP(C171,[1]master_data!$A$2:$E$495,4,FALSE)</f>
        <v>2000</v>
      </c>
      <c r="H171" s="16">
        <f>E171*F171</f>
        <v>800</v>
      </c>
      <c r="I171" s="16">
        <f>E171*G171</f>
        <v>2000</v>
      </c>
      <c r="J171" s="16">
        <f>I171-H171</f>
        <v>1200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44532</v>
      </c>
      <c r="B172" s="16" t="s">
        <v>2045</v>
      </c>
      <c r="C172" s="16" t="s">
        <v>371</v>
      </c>
      <c r="D172" s="16" t="str">
        <f>VLOOKUP(C172,[1]master_data!$A$2:$E$495,2,FALSE)</f>
        <v>ZEBRA UNGU</v>
      </c>
      <c r="E172" s="16">
        <v>20</v>
      </c>
      <c r="F172" s="16">
        <f>VLOOKUP(C172,[1]master_data!$A$2:$E$495,3,FALSE)</f>
        <v>800</v>
      </c>
      <c r="G172" s="16">
        <f>VLOOKUP(C172,[1]master_data!$A$2:$E$495,4,FALSE)</f>
        <v>2000</v>
      </c>
      <c r="H172" s="16">
        <f>E172*F172</f>
        <v>16000</v>
      </c>
      <c r="I172" s="16">
        <f>E172*G172</f>
        <v>40000</v>
      </c>
      <c r="J172" s="16">
        <f>I172-H172</f>
        <v>24000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44531</v>
      </c>
      <c r="B173" s="16" t="s">
        <v>2034</v>
      </c>
      <c r="C173" s="16" t="s">
        <v>316</v>
      </c>
      <c r="D173" s="16" t="str">
        <f>VLOOKUP(C173,[1]master_data!$A$2:$E$495,2,FALSE)</f>
        <v>CHANNA BLUE PULCHRA K</v>
      </c>
      <c r="E173" s="16">
        <v>10</v>
      </c>
      <c r="F173" s="16">
        <f>VLOOKUP(C173,[1]master_data!$A$2:$E$495,3,FALSE)</f>
        <v>25000</v>
      </c>
      <c r="G173" s="16">
        <f>VLOOKUP(C173,[1]master_data!$A$2:$E$495,4,FALSE)</f>
        <v>50000</v>
      </c>
      <c r="H173" s="16">
        <f>E173*F173</f>
        <v>250000</v>
      </c>
      <c r="I173" s="16">
        <f>E173*G173</f>
        <v>500000</v>
      </c>
      <c r="J173" s="16">
        <f>I173-H173</f>
        <v>250000</v>
      </c>
      <c r="K173" s="16" t="str">
        <f>VLOOKUP(C173,[1]master_data!$A$2:$E$495,5,FALSE)</f>
        <v>Ikan</v>
      </c>
      <c r="L173" s="1"/>
    </row>
    <row r="174" spans="1:12" ht="12" customHeight="1" x14ac:dyDescent="0.25">
      <c r="A174" s="15">
        <v>44531</v>
      </c>
      <c r="B174" s="16" t="s">
        <v>2035</v>
      </c>
      <c r="C174" s="16" t="s">
        <v>163</v>
      </c>
      <c r="D174" s="16" t="str">
        <f>VLOOKUP(C174,[1]master_data!$A$2:$E$495,2,FALSE)</f>
        <v>AKARI PREMIUM RED</v>
      </c>
      <c r="E174" s="16">
        <v>2</v>
      </c>
      <c r="F174" s="16">
        <f>VLOOKUP(C174,[1]master_data!$A$2:$E$495,3,FALSE)</f>
        <v>37000</v>
      </c>
      <c r="G174" s="16">
        <f>VLOOKUP(C174,[1]master_data!$A$2:$E$495,4,FALSE)</f>
        <v>50000</v>
      </c>
      <c r="H174" s="16">
        <f>E174*F174</f>
        <v>74000</v>
      </c>
      <c r="I174" s="16">
        <f>E174*G174</f>
        <v>100000</v>
      </c>
      <c r="J174" s="16">
        <f>I174-H174</f>
        <v>26000</v>
      </c>
      <c r="K174" s="16" t="str">
        <f>VLOOKUP(C174,[1]master_data!$A$2:$E$495,5,FALSE)</f>
        <v>Aksesoris</v>
      </c>
      <c r="L174" s="1"/>
    </row>
    <row r="175" spans="1:12" ht="12" customHeight="1" x14ac:dyDescent="0.25">
      <c r="A175" s="15">
        <v>44531</v>
      </c>
      <c r="B175" s="16" t="s">
        <v>2036</v>
      </c>
      <c r="C175" s="16" t="s">
        <v>328</v>
      </c>
      <c r="D175" s="16" t="str">
        <f>VLOOKUP(C175,[1]master_data!$A$2:$E$495,2,FALSE)</f>
        <v>KOKI B</v>
      </c>
      <c r="E175" s="16">
        <v>1</v>
      </c>
      <c r="F175" s="16">
        <f>VLOOKUP(C175,[1]master_data!$A$2:$E$495,3,FALSE)</f>
        <v>20000</v>
      </c>
      <c r="G175" s="16">
        <f>VLOOKUP(C175,[1]master_data!$A$2:$E$495,4,FALSE)</f>
        <v>50000</v>
      </c>
      <c r="H175" s="16">
        <f>E175*F175</f>
        <v>20000</v>
      </c>
      <c r="I175" s="16">
        <f>E175*G175</f>
        <v>50000</v>
      </c>
      <c r="J175" s="16">
        <f>I175-H175</f>
        <v>30000</v>
      </c>
      <c r="K175" s="16" t="str">
        <f>VLOOKUP(C175,[1]master_data!$A$2:$E$495,5,FALSE)</f>
        <v>Ikan</v>
      </c>
      <c r="L175" s="1"/>
    </row>
    <row r="176" spans="1:12" ht="12" customHeight="1" x14ac:dyDescent="0.25">
      <c r="A176" s="15">
        <v>44531</v>
      </c>
      <c r="B176" s="16" t="s">
        <v>2037</v>
      </c>
      <c r="C176" s="16" t="s">
        <v>164</v>
      </c>
      <c r="D176" s="16" t="str">
        <f>VLOOKUP(C176,[1]master_data!$A$2:$E$495,2,FALSE)</f>
        <v>AKARI PREMIUM BLUE</v>
      </c>
      <c r="E176" s="16">
        <v>1</v>
      </c>
      <c r="F176" s="16">
        <f>VLOOKUP(C176,[1]master_data!$A$2:$E$495,3,FALSE)</f>
        <v>37000</v>
      </c>
      <c r="G176" s="16">
        <f>VLOOKUP(C176,[1]master_data!$A$2:$E$495,4,FALSE)</f>
        <v>50000</v>
      </c>
      <c r="H176" s="16">
        <f>E176*F176</f>
        <v>37000</v>
      </c>
      <c r="I176" s="16">
        <f>E176*G176</f>
        <v>50000</v>
      </c>
      <c r="J176" s="16">
        <f>I176-H176</f>
        <v>13000</v>
      </c>
      <c r="K176" s="16" t="str">
        <f>VLOOKUP(C176,[1]master_data!$A$2:$E$495,5,FALSE)</f>
        <v>Aksesoris</v>
      </c>
      <c r="L176" s="1"/>
    </row>
    <row r="177" spans="1:12" ht="12" customHeight="1" x14ac:dyDescent="0.25">
      <c r="A177" s="15">
        <v>44530</v>
      </c>
      <c r="B177" s="16" t="s">
        <v>2026</v>
      </c>
      <c r="C177" s="16" t="s">
        <v>304</v>
      </c>
      <c r="D177" s="16" t="str">
        <f>VLOOKUP(C177,[1]master_data!$A$2:$E$495,2,FALSE)</f>
        <v>CHANNA ANDRAO K</v>
      </c>
      <c r="E177" s="16">
        <v>2</v>
      </c>
      <c r="F177" s="16">
        <f>VLOOKUP(C177,[1]master_data!$A$2:$E$495,3,FALSE)</f>
        <v>20000</v>
      </c>
      <c r="G177" s="16">
        <f>VLOOKUP(C177,[1]master_data!$A$2:$E$495,4,FALSE)</f>
        <v>50000</v>
      </c>
      <c r="H177" s="16">
        <f>E177*F177</f>
        <v>40000</v>
      </c>
      <c r="I177" s="16">
        <f>E177*G177</f>
        <v>100000</v>
      </c>
      <c r="J177" s="16">
        <f>I177-H177</f>
        <v>60000</v>
      </c>
      <c r="K177" s="16" t="str">
        <f>VLOOKUP(C177,[1]master_data!$A$2:$E$495,5,FALSE)</f>
        <v>Ikan</v>
      </c>
      <c r="L177" s="1"/>
    </row>
    <row r="178" spans="1:12" ht="12" customHeight="1" x14ac:dyDescent="0.25">
      <c r="A178" s="15">
        <v>44530</v>
      </c>
      <c r="B178" s="16" t="s">
        <v>2027</v>
      </c>
      <c r="C178" s="16" t="s">
        <v>822</v>
      </c>
      <c r="D178" s="16" t="str">
        <f>VLOOKUP(C178,[1]master_data!$A$2:$E$495,2,FALSE)</f>
        <v>LED YAMANO 6W</v>
      </c>
      <c r="E178" s="16">
        <v>1</v>
      </c>
      <c r="F178" s="16">
        <f>VLOOKUP(C178,[1]master_data!$A$2:$E$495,3,FALSE)</f>
        <v>45000</v>
      </c>
      <c r="G178" s="16">
        <f>VLOOKUP(C178,[1]master_data!$A$2:$E$495,4,FALSE)</f>
        <v>75000</v>
      </c>
      <c r="H178" s="16">
        <f>E178*F178</f>
        <v>45000</v>
      </c>
      <c r="I178" s="16">
        <f>E178*G178</f>
        <v>75000</v>
      </c>
      <c r="J178" s="16">
        <f>I178-H178</f>
        <v>30000</v>
      </c>
      <c r="K178" s="16" t="str">
        <f>VLOOKUP(C178,[1]master_data!$A$2:$E$495,5,FALSE)</f>
        <v>Aksesoris</v>
      </c>
      <c r="L178" s="1"/>
    </row>
    <row r="179" spans="1:12" ht="12" customHeight="1" x14ac:dyDescent="0.25">
      <c r="A179" s="15">
        <v>44530</v>
      </c>
      <c r="B179" s="16" t="s">
        <v>2028</v>
      </c>
      <c r="C179" s="16" t="s">
        <v>312</v>
      </c>
      <c r="D179" s="16" t="str">
        <f>VLOOKUP(C179,[1]master_data!$A$2:$E$495,2,FALSE)</f>
        <v>BUENOS AIRES TETRA</v>
      </c>
      <c r="E179" s="16">
        <v>15</v>
      </c>
      <c r="F179" s="16">
        <f>VLOOKUP(C179,[1]master_data!$A$2:$E$495,3,FALSE)</f>
        <v>800</v>
      </c>
      <c r="G179" s="16">
        <f>VLOOKUP(C179,[1]master_data!$A$2:$E$495,4,FALSE)</f>
        <v>2000</v>
      </c>
      <c r="H179" s="16">
        <f>E179*F179</f>
        <v>12000</v>
      </c>
      <c r="I179" s="16">
        <f>E179*G179</f>
        <v>30000</v>
      </c>
      <c r="J179" s="16">
        <f>I179-H179</f>
        <v>18000</v>
      </c>
      <c r="K179" s="16" t="str">
        <f>VLOOKUP(C179,[1]master_data!$A$2:$E$495,5,FALSE)</f>
        <v>Ikan</v>
      </c>
      <c r="L179" s="1"/>
    </row>
    <row r="180" spans="1:12" ht="12" customHeight="1" x14ac:dyDescent="0.25">
      <c r="A180" s="15">
        <v>44530</v>
      </c>
      <c r="B180" s="16" t="s">
        <v>2029</v>
      </c>
      <c r="C180" s="16" t="s">
        <v>372</v>
      </c>
      <c r="D180" s="16" t="str">
        <f>VLOOKUP(C180,[1]master_data!$A$2:$E$495,2,FALSE)</f>
        <v>ZEBRA KUNING</v>
      </c>
      <c r="E180" s="16">
        <v>30</v>
      </c>
      <c r="F180" s="16">
        <f>VLOOKUP(C180,[1]master_data!$A$2:$E$495,3,FALSE)</f>
        <v>800</v>
      </c>
      <c r="G180" s="16">
        <f>VLOOKUP(C180,[1]master_data!$A$2:$E$495,4,FALSE)</f>
        <v>2000</v>
      </c>
      <c r="H180" s="16">
        <f>E180*F180</f>
        <v>24000</v>
      </c>
      <c r="I180" s="16">
        <f>E180*G180</f>
        <v>60000</v>
      </c>
      <c r="J180" s="16">
        <f>I180-H180</f>
        <v>36000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44530</v>
      </c>
      <c r="B181" s="16" t="s">
        <v>2030</v>
      </c>
      <c r="C181" s="16" t="s">
        <v>330</v>
      </c>
      <c r="D181" s="16" t="str">
        <f>VLOOKUP(C181,[1]master_data!$A$2:$E$495,2,FALSE)</f>
        <v>KOI T</v>
      </c>
      <c r="E181" s="16">
        <v>5</v>
      </c>
      <c r="F181" s="16">
        <f>VLOOKUP(C181,[1]master_data!$A$2:$E$495,3,FALSE)</f>
        <v>7000</v>
      </c>
      <c r="G181" s="16">
        <f>VLOOKUP(C181,[1]master_data!$A$2:$E$495,4,FALSE)</f>
        <v>20000</v>
      </c>
      <c r="H181" s="16">
        <f>E181*F181</f>
        <v>35000</v>
      </c>
      <c r="I181" s="16">
        <f>E181*G181</f>
        <v>100000</v>
      </c>
      <c r="J181" s="16">
        <f>I181-H181</f>
        <v>65000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44530</v>
      </c>
      <c r="B182" s="16" t="s">
        <v>2031</v>
      </c>
      <c r="C182" s="16" t="s">
        <v>340</v>
      </c>
      <c r="D182" s="16" t="str">
        <f>VLOOKUP(C182,[1]master_data!$A$2:$E$495,2,FALSE)</f>
        <v>LEMON</v>
      </c>
      <c r="E182" s="16">
        <v>30</v>
      </c>
      <c r="F182" s="16">
        <f>VLOOKUP(C182,[1]master_data!$A$2:$E$495,3,FALSE)</f>
        <v>1000</v>
      </c>
      <c r="G182" s="16">
        <f>VLOOKUP(C182,[1]master_data!$A$2:$E$495,4,FALSE)</f>
        <v>2000</v>
      </c>
      <c r="H182" s="16">
        <f>E182*F182</f>
        <v>30000</v>
      </c>
      <c r="I182" s="16">
        <f>E182*G182</f>
        <v>60000</v>
      </c>
      <c r="J182" s="16">
        <f>I182-H182</f>
        <v>30000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44530</v>
      </c>
      <c r="B183" s="16" t="s">
        <v>2032</v>
      </c>
      <c r="C183" s="16" t="s">
        <v>356</v>
      </c>
      <c r="D183" s="16" t="str">
        <f>VLOOKUP(C183,[1]master_data!$A$2:$E$495,2,FALSE)</f>
        <v>PARROT</v>
      </c>
      <c r="E183" s="16">
        <v>3</v>
      </c>
      <c r="F183" s="16">
        <f>VLOOKUP(C183,[1]master_data!$A$2:$E$495,3,FALSE)</f>
        <v>27000</v>
      </c>
      <c r="G183" s="16">
        <f>VLOOKUP(C183,[1]master_data!$A$2:$E$495,4,FALSE)</f>
        <v>60000</v>
      </c>
      <c r="H183" s="16">
        <f>E183*F183</f>
        <v>81000</v>
      </c>
      <c r="I183" s="16">
        <f>E183*G183</f>
        <v>180000</v>
      </c>
      <c r="J183" s="16">
        <f>I183-H183</f>
        <v>99000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44530</v>
      </c>
      <c r="B184" s="16" t="s">
        <v>2033</v>
      </c>
      <c r="C184" s="16" t="s">
        <v>293</v>
      </c>
      <c r="D184" s="16" t="str">
        <f>VLOOKUP(C184,[1]master_data!$A$2:$E$495,2,FALSE)</f>
        <v>PASIR MERAH K</v>
      </c>
      <c r="E184" s="16">
        <v>13</v>
      </c>
      <c r="F184" s="16">
        <f>VLOOKUP(C184,[1]master_data!$A$2:$E$495,3,FALSE)</f>
        <v>2500</v>
      </c>
      <c r="G184" s="16">
        <f>VLOOKUP(C184,[1]master_data!$A$2:$E$495,4,FALSE)</f>
        <v>5000</v>
      </c>
      <c r="H184" s="16">
        <f>E184*F184</f>
        <v>32500</v>
      </c>
      <c r="I184" s="16">
        <f>E184*G184</f>
        <v>65000</v>
      </c>
      <c r="J184" s="16">
        <f>I184-H184</f>
        <v>32500</v>
      </c>
      <c r="K184" s="16" t="str">
        <f>VLOOKUP(C184,[1]master_data!$A$2:$E$495,5,FALSE)</f>
        <v>Aksesoris</v>
      </c>
      <c r="L184" s="1"/>
    </row>
    <row r="185" spans="1:12" ht="12" customHeight="1" x14ac:dyDescent="0.25">
      <c r="A185" s="15">
        <v>44529</v>
      </c>
      <c r="B185" s="16" t="s">
        <v>2017</v>
      </c>
      <c r="C185" s="16" t="s">
        <v>311</v>
      </c>
      <c r="D185" s="16" t="str">
        <f>VLOOKUP(C185,[1]master_data!$A$2:$E$495,2,FALSE)</f>
        <v>BIPOLAR</v>
      </c>
      <c r="E185" s="16">
        <v>10</v>
      </c>
      <c r="F185" s="16">
        <f>VLOOKUP(C185,[1]master_data!$A$2:$E$495,3,FALSE)</f>
        <v>1000</v>
      </c>
      <c r="G185" s="16">
        <f>VLOOKUP(C185,[1]master_data!$A$2:$E$495,4,FALSE)</f>
        <v>2500</v>
      </c>
      <c r="H185" s="16">
        <f>E185*F185</f>
        <v>10000</v>
      </c>
      <c r="I185" s="16">
        <f>E185*G185</f>
        <v>25000</v>
      </c>
      <c r="J185" s="16">
        <f>I185-H185</f>
        <v>15000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44529</v>
      </c>
      <c r="B186" s="16" t="s">
        <v>2018</v>
      </c>
      <c r="C186" s="16" t="s">
        <v>315</v>
      </c>
      <c r="D186" s="16" t="str">
        <f>VLOOKUP(C186,[1]master_data!$A$2:$E$495,2,FALSE)</f>
        <v>BLACK GHOST</v>
      </c>
      <c r="E186" s="16">
        <v>15</v>
      </c>
      <c r="F186" s="16">
        <f>VLOOKUP(C186,[1]master_data!$A$2:$E$495,3,FALSE)</f>
        <v>4000</v>
      </c>
      <c r="G186" s="16">
        <f>VLOOKUP(C186,[1]master_data!$A$2:$E$495,4,FALSE)</f>
        <v>10000</v>
      </c>
      <c r="H186" s="16">
        <f>E186*F186</f>
        <v>60000</v>
      </c>
      <c r="I186" s="16">
        <f>E186*G186</f>
        <v>150000</v>
      </c>
      <c r="J186" s="16">
        <f>I186-H186</f>
        <v>90000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44529</v>
      </c>
      <c r="B187" s="16" t="s">
        <v>2019</v>
      </c>
      <c r="C187" s="16" t="s">
        <v>248</v>
      </c>
      <c r="D187" s="16" t="str">
        <f>VLOOKUP(C187,[1]master_data!$A$2:$E$495,2,FALSE)</f>
        <v>T PIPA</v>
      </c>
      <c r="E187" s="16">
        <v>15</v>
      </c>
      <c r="F187" s="16">
        <f>VLOOKUP(C187,[1]master_data!$A$2:$E$495,3,FALSE)</f>
        <v>800</v>
      </c>
      <c r="G187" s="16">
        <f>VLOOKUP(C187,[1]master_data!$A$2:$E$495,4,FALSE)</f>
        <v>2000</v>
      </c>
      <c r="H187" s="16">
        <f>E187*F187</f>
        <v>12000</v>
      </c>
      <c r="I187" s="16">
        <f>E187*G187</f>
        <v>30000</v>
      </c>
      <c r="J187" s="16">
        <f>I187-H187</f>
        <v>18000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44529</v>
      </c>
      <c r="B188" s="16" t="s">
        <v>2020</v>
      </c>
      <c r="C188" s="16" t="s">
        <v>370</v>
      </c>
      <c r="D188" s="16" t="str">
        <f>VLOOKUP(C188,[1]master_data!$A$2:$E$495,2,FALSE)</f>
        <v>ZEBRA HIJAU</v>
      </c>
      <c r="E188" s="16">
        <v>30</v>
      </c>
      <c r="F188" s="16">
        <f>VLOOKUP(C188,[1]master_data!$A$2:$E$495,3,FALSE)</f>
        <v>800</v>
      </c>
      <c r="G188" s="16">
        <f>VLOOKUP(C188,[1]master_data!$A$2:$E$495,4,FALSE)</f>
        <v>2000</v>
      </c>
      <c r="H188" s="16">
        <f>E188*F188</f>
        <v>24000</v>
      </c>
      <c r="I188" s="16">
        <f>E188*G188</f>
        <v>60000</v>
      </c>
      <c r="J188" s="16">
        <f>I188-H188</f>
        <v>36000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44529</v>
      </c>
      <c r="B189" s="16" t="s">
        <v>2021</v>
      </c>
      <c r="C189" s="16" t="s">
        <v>357</v>
      </c>
      <c r="D189" s="16" t="str">
        <f>VLOOKUP(C189,[1]master_data!$A$2:$E$495,2,FALSE)</f>
        <v>PESO</v>
      </c>
      <c r="E189" s="16">
        <v>2</v>
      </c>
      <c r="F189" s="16">
        <f>VLOOKUP(C189,[1]master_data!$A$2:$E$495,3,FALSE)</f>
        <v>19000</v>
      </c>
      <c r="G189" s="16">
        <f>VLOOKUP(C189,[1]master_data!$A$2:$E$495,4,FALSE)</f>
        <v>40000</v>
      </c>
      <c r="H189" s="16">
        <f>E189*F189</f>
        <v>38000</v>
      </c>
      <c r="I189" s="16">
        <f>E189*G189</f>
        <v>80000</v>
      </c>
      <c r="J189" s="16">
        <f>I189-H189</f>
        <v>42000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44529</v>
      </c>
      <c r="B190" s="16" t="s">
        <v>2022</v>
      </c>
      <c r="C190" s="16" t="s">
        <v>340</v>
      </c>
      <c r="D190" s="16" t="str">
        <f>VLOOKUP(C190,[1]master_data!$A$2:$E$495,2,FALSE)</f>
        <v>LEMON</v>
      </c>
      <c r="E190" s="16">
        <v>10</v>
      </c>
      <c r="F190" s="16">
        <f>VLOOKUP(C190,[1]master_data!$A$2:$E$495,3,FALSE)</f>
        <v>1000</v>
      </c>
      <c r="G190" s="16">
        <f>VLOOKUP(C190,[1]master_data!$A$2:$E$495,4,FALSE)</f>
        <v>2000</v>
      </c>
      <c r="H190" s="16">
        <f>E190*F190</f>
        <v>10000</v>
      </c>
      <c r="I190" s="16">
        <f>E190*G190</f>
        <v>20000</v>
      </c>
      <c r="J190" s="16">
        <f>I190-H190</f>
        <v>10000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44529</v>
      </c>
      <c r="B191" s="16" t="s">
        <v>2023</v>
      </c>
      <c r="C191" s="16" t="s">
        <v>323</v>
      </c>
      <c r="D191" s="16" t="str">
        <f>VLOOKUP(C191,[1]master_data!$A$2:$E$495,2,FALSE)</f>
        <v>GUPY</v>
      </c>
      <c r="E191" s="16">
        <v>25</v>
      </c>
      <c r="F191" s="16">
        <f>VLOOKUP(C191,[1]master_data!$A$2:$E$495,3,FALSE)</f>
        <v>1200</v>
      </c>
      <c r="G191" s="16">
        <f>VLOOKUP(C191,[1]master_data!$A$2:$E$495,4,FALSE)</f>
        <v>2500</v>
      </c>
      <c r="H191" s="16">
        <f>E191*F191</f>
        <v>30000</v>
      </c>
      <c r="I191" s="16">
        <f>E191*G191</f>
        <v>62500</v>
      </c>
      <c r="J191" s="16">
        <f>I191-H191</f>
        <v>32500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44529</v>
      </c>
      <c r="B192" s="16" t="s">
        <v>2024</v>
      </c>
      <c r="C192" s="16" t="s">
        <v>262</v>
      </c>
      <c r="D192" s="16" t="str">
        <f>VLOOKUP(C192,[1]master_data!$A$2:$E$495,2,FALSE)</f>
        <v>AIRSTONE D2L3</v>
      </c>
      <c r="E192" s="16">
        <v>19</v>
      </c>
      <c r="F192" s="16">
        <f>VLOOKUP(C192,[1]master_data!$A$2:$E$495,3,FALSE)</f>
        <v>1100</v>
      </c>
      <c r="G192" s="16">
        <f>VLOOKUP(C192,[1]master_data!$A$2:$E$495,4,FALSE)</f>
        <v>4000</v>
      </c>
      <c r="H192" s="16">
        <f>E192*F192</f>
        <v>20900</v>
      </c>
      <c r="I192" s="16">
        <f>E192*G192</f>
        <v>76000</v>
      </c>
      <c r="J192" s="16">
        <f>I192-H192</f>
        <v>55100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44529</v>
      </c>
      <c r="B193" s="16" t="s">
        <v>2025</v>
      </c>
      <c r="C193" s="16" t="s">
        <v>320</v>
      </c>
      <c r="D193" s="16" t="str">
        <f>VLOOKUP(C193,[1]master_data!$A$2:$E$495,2,FALSE)</f>
        <v>CUPANG</v>
      </c>
      <c r="E193" s="16">
        <v>1</v>
      </c>
      <c r="F193" s="16">
        <f>VLOOKUP(C193,[1]master_data!$A$2:$E$495,3,FALSE)</f>
        <v>2000</v>
      </c>
      <c r="G193" s="16">
        <f>VLOOKUP(C193,[1]master_data!$A$2:$E$495,4,FALSE)</f>
        <v>5000</v>
      </c>
      <c r="H193" s="16">
        <f>E193*F193</f>
        <v>2000</v>
      </c>
      <c r="I193" s="16">
        <f>E193*G193</f>
        <v>5000</v>
      </c>
      <c r="J193" s="16">
        <f>I193-H193</f>
        <v>3000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44528</v>
      </c>
      <c r="B194" s="16" t="s">
        <v>2013</v>
      </c>
      <c r="C194" s="16" t="s">
        <v>135</v>
      </c>
      <c r="D194" s="16" t="str">
        <f>VLOOKUP(C194,[1]master_data!$A$2:$E$495,2,FALSE)</f>
        <v>LED KANDILA PRO RED 100 CM</v>
      </c>
      <c r="E194" s="16">
        <v>2</v>
      </c>
      <c r="F194" s="16">
        <f>VLOOKUP(C194,[1]master_data!$A$2:$E$495,3,FALSE)</f>
        <v>225000</v>
      </c>
      <c r="G194" s="16">
        <f>VLOOKUP(C194,[1]master_data!$A$2:$E$495,4,FALSE)</f>
        <v>270000</v>
      </c>
      <c r="H194" s="16">
        <f>E194*F194</f>
        <v>450000</v>
      </c>
      <c r="I194" s="16">
        <f>E194*G194</f>
        <v>540000</v>
      </c>
      <c r="J194" s="16">
        <f>I194-H194</f>
        <v>90000</v>
      </c>
      <c r="K194" s="16" t="str">
        <f>VLOOKUP(C194,[1]master_data!$A$2:$E$495,5,FALSE)</f>
        <v>Aksesoris</v>
      </c>
      <c r="L194" s="1"/>
    </row>
    <row r="195" spans="1:12" ht="12" customHeight="1" x14ac:dyDescent="0.25">
      <c r="A195" s="15">
        <v>44528</v>
      </c>
      <c r="B195" s="16" t="s">
        <v>2014</v>
      </c>
      <c r="C195" s="16" t="s">
        <v>333</v>
      </c>
      <c r="D195" s="16" t="str">
        <f>VLOOKUP(C195,[1]master_data!$A$2:$E$495,2,FALSE)</f>
        <v>KAVIAT</v>
      </c>
      <c r="E195" s="16">
        <v>10</v>
      </c>
      <c r="F195" s="16">
        <f>VLOOKUP(C195,[1]master_data!$A$2:$E$495,3,FALSE)</f>
        <v>3500</v>
      </c>
      <c r="G195" s="16">
        <f>VLOOKUP(C195,[1]master_data!$A$2:$E$495,4,FALSE)</f>
        <v>8000</v>
      </c>
      <c r="H195" s="16">
        <f>E195*F195</f>
        <v>35000</v>
      </c>
      <c r="I195" s="16">
        <f>E195*G195</f>
        <v>80000</v>
      </c>
      <c r="J195" s="16">
        <f>I195-H195</f>
        <v>45000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44528</v>
      </c>
      <c r="B196" s="16" t="s">
        <v>2015</v>
      </c>
      <c r="C196" s="16" t="s">
        <v>275</v>
      </c>
      <c r="D196" s="16" t="str">
        <f>VLOOKUP(C196,[1]master_data!$A$2:$E$495,2,FALSE)</f>
        <v>AKUARIUM 70 ROBOT</v>
      </c>
      <c r="E196" s="16">
        <v>1</v>
      </c>
      <c r="F196" s="16">
        <f>VLOOKUP(C196,[1]master_data!$A$2:$E$495,3,FALSE)</f>
        <v>260000</v>
      </c>
      <c r="G196" s="16">
        <f>VLOOKUP(C196,[1]master_data!$A$2:$E$495,4,FALSE)</f>
        <v>350000</v>
      </c>
      <c r="H196" s="16">
        <f>E196*F196</f>
        <v>260000</v>
      </c>
      <c r="I196" s="16">
        <f>E196*G196</f>
        <v>350000</v>
      </c>
      <c r="J196" s="16">
        <f>I196-H196</f>
        <v>90000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44528</v>
      </c>
      <c r="B197" s="16" t="s">
        <v>2016</v>
      </c>
      <c r="C197" s="16" t="s">
        <v>320</v>
      </c>
      <c r="D197" s="16" t="str">
        <f>VLOOKUP(C197,[1]master_data!$A$2:$E$495,2,FALSE)</f>
        <v>CUPANG</v>
      </c>
      <c r="E197" s="16">
        <v>25</v>
      </c>
      <c r="F197" s="16">
        <f>VLOOKUP(C197,[1]master_data!$A$2:$E$495,3,FALSE)</f>
        <v>2000</v>
      </c>
      <c r="G197" s="16">
        <f>VLOOKUP(C197,[1]master_data!$A$2:$E$495,4,FALSE)</f>
        <v>5000</v>
      </c>
      <c r="H197" s="16">
        <f>E197*F197</f>
        <v>50000</v>
      </c>
      <c r="I197" s="16">
        <f>E197*G197</f>
        <v>125000</v>
      </c>
      <c r="J197" s="16">
        <f>I197-H197</f>
        <v>75000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44527</v>
      </c>
      <c r="B198" s="16" t="s">
        <v>2007</v>
      </c>
      <c r="C198" s="16" t="s">
        <v>343</v>
      </c>
      <c r="D198" s="16" t="str">
        <f>VLOOKUP(C198,[1]master_data!$A$2:$E$495,2,FALSE)</f>
        <v>MANFISH K</v>
      </c>
      <c r="E198" s="16">
        <v>30</v>
      </c>
      <c r="F198" s="16">
        <f>VLOOKUP(C198,[1]master_data!$A$2:$E$495,3,FALSE)</f>
        <v>2000</v>
      </c>
      <c r="G198" s="16">
        <f>VLOOKUP(C198,[1]master_data!$A$2:$E$495,4,FALSE)</f>
        <v>5000</v>
      </c>
      <c r="H198" s="16">
        <f>E198*F198</f>
        <v>60000</v>
      </c>
      <c r="I198" s="16">
        <f>E198*G198</f>
        <v>150000</v>
      </c>
      <c r="J198" s="16">
        <f>I198-H198</f>
        <v>90000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44527</v>
      </c>
      <c r="B199" s="16" t="s">
        <v>2008</v>
      </c>
      <c r="C199" s="16" t="s">
        <v>358</v>
      </c>
      <c r="D199" s="16" t="str">
        <f>VLOOKUP(C199,[1]master_data!$A$2:$E$495,2,FALSE)</f>
        <v>REDFIN HITAM</v>
      </c>
      <c r="E199" s="16">
        <v>25</v>
      </c>
      <c r="F199" s="16">
        <f>VLOOKUP(C199,[1]master_data!$A$2:$E$495,3,FALSE)</f>
        <v>1500</v>
      </c>
      <c r="G199" s="16">
        <f>VLOOKUP(C199,[1]master_data!$A$2:$E$495,4,FALSE)</f>
        <v>4000</v>
      </c>
      <c r="H199" s="16">
        <f>E199*F199</f>
        <v>37500</v>
      </c>
      <c r="I199" s="16">
        <f>E199*G199</f>
        <v>100000</v>
      </c>
      <c r="J199" s="16">
        <f>I199-H199</f>
        <v>62500</v>
      </c>
      <c r="K199" s="16" t="str">
        <f>VLOOKUP(C199,[1]master_data!$A$2:$E$495,5,FALSE)</f>
        <v>Ikan</v>
      </c>
      <c r="L199" s="1"/>
    </row>
    <row r="200" spans="1:12" ht="12" customHeight="1" x14ac:dyDescent="0.25">
      <c r="A200" s="15">
        <v>44527</v>
      </c>
      <c r="B200" s="16" t="s">
        <v>2009</v>
      </c>
      <c r="C200" s="16" t="s">
        <v>370</v>
      </c>
      <c r="D200" s="16" t="str">
        <f>VLOOKUP(C200,[1]master_data!$A$2:$E$495,2,FALSE)</f>
        <v>ZEBRA HIJAU</v>
      </c>
      <c r="E200" s="16">
        <v>30</v>
      </c>
      <c r="F200" s="16">
        <f>VLOOKUP(C200,[1]master_data!$A$2:$E$495,3,FALSE)</f>
        <v>800</v>
      </c>
      <c r="G200" s="16">
        <f>VLOOKUP(C200,[1]master_data!$A$2:$E$495,4,FALSE)</f>
        <v>2000</v>
      </c>
      <c r="H200" s="16">
        <f>E200*F200</f>
        <v>24000</v>
      </c>
      <c r="I200" s="16">
        <f>E200*G200</f>
        <v>60000</v>
      </c>
      <c r="J200" s="16">
        <f>I200-H200</f>
        <v>36000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44527</v>
      </c>
      <c r="B201" s="16" t="s">
        <v>2010</v>
      </c>
      <c r="C201" s="16" t="s">
        <v>318</v>
      </c>
      <c r="D201" s="16" t="str">
        <f>VLOOKUP(C201,[1]master_data!$A$2:$E$495,2,FALSE)</f>
        <v>KOMET BOKIM</v>
      </c>
      <c r="E201" s="16">
        <v>30</v>
      </c>
      <c r="F201" s="16">
        <f>VLOOKUP(C201,[1]master_data!$A$2:$E$495,3,FALSE)</f>
        <v>1500</v>
      </c>
      <c r="G201" s="16">
        <f>VLOOKUP(C201,[1]master_data!$A$2:$E$495,4,FALSE)</f>
        <v>5000</v>
      </c>
      <c r="H201" s="16">
        <f>E201*F201</f>
        <v>45000</v>
      </c>
      <c r="I201" s="16">
        <f>E201*G201</f>
        <v>150000</v>
      </c>
      <c r="J201" s="16">
        <f>I201-H201</f>
        <v>105000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44527</v>
      </c>
      <c r="B202" s="16" t="s">
        <v>2011</v>
      </c>
      <c r="C202" s="16" t="s">
        <v>334</v>
      </c>
      <c r="D202" s="16" t="str">
        <f>VLOOKUP(C202,[1]master_data!$A$2:$E$495,2,FALSE)</f>
        <v>KOMET PAKAN</v>
      </c>
      <c r="E202" s="16">
        <v>30</v>
      </c>
      <c r="F202" s="16">
        <f>VLOOKUP(C202,[1]master_data!$A$2:$E$495,3,FALSE)</f>
        <v>300</v>
      </c>
      <c r="G202" s="16">
        <f>VLOOKUP(C202,[1]master_data!$A$2:$E$495,4,FALSE)</f>
        <v>1000</v>
      </c>
      <c r="H202" s="16">
        <f>E202*F202</f>
        <v>9000</v>
      </c>
      <c r="I202" s="16">
        <f>E202*G202</f>
        <v>30000</v>
      </c>
      <c r="J202" s="16">
        <f>I202-H202</f>
        <v>21000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44527</v>
      </c>
      <c r="B203" s="16" t="s">
        <v>2012</v>
      </c>
      <c r="C203" s="16" t="s">
        <v>281</v>
      </c>
      <c r="D203" s="16" t="str">
        <f>VLOOKUP(C203,[1]master_data!$A$2:$E$495,2,FALSE)</f>
        <v>TOPLES 7,2 L</v>
      </c>
      <c r="E203" s="16">
        <v>1</v>
      </c>
      <c r="F203" s="16">
        <f>VLOOKUP(C203,[1]master_data!$A$2:$E$495,3,FALSE)</f>
        <v>45000</v>
      </c>
      <c r="G203" s="16">
        <f>VLOOKUP(C203,[1]master_data!$A$2:$E$495,4,FALSE)</f>
        <v>100000</v>
      </c>
      <c r="H203" s="16">
        <f>E203*F203</f>
        <v>45000</v>
      </c>
      <c r="I203" s="16">
        <f>E203*G203</f>
        <v>100000</v>
      </c>
      <c r="J203" s="16">
        <f>I203-H203</f>
        <v>55000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44526</v>
      </c>
      <c r="B204" s="16" t="s">
        <v>2002</v>
      </c>
      <c r="C204" s="16" t="s">
        <v>334</v>
      </c>
      <c r="D204" s="16" t="str">
        <f>VLOOKUP(C204,[1]master_data!$A$2:$E$495,2,FALSE)</f>
        <v>KOMET PAKAN</v>
      </c>
      <c r="E204" s="16">
        <v>60</v>
      </c>
      <c r="F204" s="16">
        <f>VLOOKUP(C204,[1]master_data!$A$2:$E$495,3,FALSE)</f>
        <v>300</v>
      </c>
      <c r="G204" s="16">
        <f>VLOOKUP(C204,[1]master_data!$A$2:$E$495,4,FALSE)</f>
        <v>1000</v>
      </c>
      <c r="H204" s="16">
        <f>E204*F204</f>
        <v>18000</v>
      </c>
      <c r="I204" s="16">
        <f>E204*G204</f>
        <v>60000</v>
      </c>
      <c r="J204" s="16">
        <f>I204-H204</f>
        <v>42000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44526</v>
      </c>
      <c r="B205" s="16" t="s">
        <v>2003</v>
      </c>
      <c r="C205" s="16" t="s">
        <v>184</v>
      </c>
      <c r="D205" s="16" t="str">
        <f>VLOOKUP(C205,[1]master_data!$A$2:$E$495,2,FALSE)</f>
        <v>OK IKO LOUHAN HITAM</v>
      </c>
      <c r="E205" s="16">
        <v>10</v>
      </c>
      <c r="F205" s="16">
        <f>VLOOKUP(C205,[1]master_data!$A$2:$E$495,3,FALSE)</f>
        <v>31500</v>
      </c>
      <c r="G205" s="16">
        <f>VLOOKUP(C205,[1]master_data!$A$2:$E$495,4,FALSE)</f>
        <v>50000</v>
      </c>
      <c r="H205" s="16">
        <f>E205*F205</f>
        <v>315000</v>
      </c>
      <c r="I205" s="16">
        <f>E205*G205</f>
        <v>500000</v>
      </c>
      <c r="J205" s="16">
        <f>I205-H205</f>
        <v>185000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44526</v>
      </c>
      <c r="B206" s="16" t="s">
        <v>2004</v>
      </c>
      <c r="C206" s="16" t="s">
        <v>350</v>
      </c>
      <c r="D206" s="16" t="str">
        <f>VLOOKUP(C206,[1]master_data!$A$2:$E$495,2,FALSE)</f>
        <v>NENTINEN</v>
      </c>
      <c r="E206" s="16">
        <v>20</v>
      </c>
      <c r="F206" s="16">
        <f>VLOOKUP(C206,[1]master_data!$A$2:$E$495,3,FALSE)</f>
        <v>1000</v>
      </c>
      <c r="G206" s="16">
        <f>VLOOKUP(C206,[1]master_data!$A$2:$E$495,4,FALSE)</f>
        <v>2500</v>
      </c>
      <c r="H206" s="16">
        <f>E206*F206</f>
        <v>20000</v>
      </c>
      <c r="I206" s="16">
        <f>E206*G206</f>
        <v>50000</v>
      </c>
      <c r="J206" s="16">
        <f>I206-H206</f>
        <v>30000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44526</v>
      </c>
      <c r="B207" s="16" t="s">
        <v>2005</v>
      </c>
      <c r="C207" s="16" t="s">
        <v>335</v>
      </c>
      <c r="D207" s="16" t="str">
        <f>VLOOKUP(C207,[1]master_data!$A$2:$E$495,2,FALSE)</f>
        <v>KOMET SLAYER</v>
      </c>
      <c r="E207" s="16">
        <v>10</v>
      </c>
      <c r="F207" s="16">
        <f>VLOOKUP(C207,[1]master_data!$A$2:$E$495,3,FALSE)</f>
        <v>2000</v>
      </c>
      <c r="G207" s="16">
        <f>VLOOKUP(C207,[1]master_data!$A$2:$E$495,4,FALSE)</f>
        <v>5000</v>
      </c>
      <c r="H207" s="16">
        <f>E207*F207</f>
        <v>20000</v>
      </c>
      <c r="I207" s="16">
        <f>E207*G207</f>
        <v>50000</v>
      </c>
      <c r="J207" s="16">
        <f>I207-H207</f>
        <v>30000</v>
      </c>
      <c r="K207" s="16" t="str">
        <f>VLOOKUP(C207,[1]master_data!$A$2:$E$495,5,FALSE)</f>
        <v>Ikan</v>
      </c>
      <c r="L207" s="1"/>
    </row>
    <row r="208" spans="1:12" ht="12" customHeight="1" x14ac:dyDescent="0.25">
      <c r="A208" s="15">
        <v>44526</v>
      </c>
      <c r="B208" s="16" t="s">
        <v>2006</v>
      </c>
      <c r="C208" s="16" t="s">
        <v>32</v>
      </c>
      <c r="D208" s="16" t="str">
        <f>VLOOKUP(C208,[1]master_data!$A$2:$E$495,2,FALSE)</f>
        <v>MESIN YAMANO 1800</v>
      </c>
      <c r="E208" s="16">
        <v>1</v>
      </c>
      <c r="F208" s="16">
        <f>VLOOKUP(C208,[1]master_data!$A$2:$E$495,3,FALSE)</f>
        <v>64000</v>
      </c>
      <c r="G208" s="16">
        <f>VLOOKUP(C208,[1]master_data!$A$2:$E$495,4,FALSE)</f>
        <v>110000</v>
      </c>
      <c r="H208" s="16">
        <f>E208*F208</f>
        <v>64000</v>
      </c>
      <c r="I208" s="16">
        <f>E208*G208</f>
        <v>110000</v>
      </c>
      <c r="J208" s="16">
        <f>I208-H208</f>
        <v>46000</v>
      </c>
      <c r="K208" s="16" t="str">
        <f>VLOOKUP(C208,[1]master_data!$A$2:$E$495,5,FALSE)</f>
        <v>Aksesoris</v>
      </c>
      <c r="L208" s="1"/>
    </row>
    <row r="209" spans="1:12" ht="12" customHeight="1" x14ac:dyDescent="0.25">
      <c r="A209" s="15">
        <v>44525</v>
      </c>
      <c r="B209" s="16" t="s">
        <v>1997</v>
      </c>
      <c r="C209" s="16" t="s">
        <v>322</v>
      </c>
      <c r="D209" s="16" t="str">
        <f>VLOOKUP(C209,[1]master_data!$A$2:$E$495,2,FALSE)</f>
        <v>GOLD FISH</v>
      </c>
      <c r="E209" s="16">
        <v>15</v>
      </c>
      <c r="F209" s="16">
        <f>VLOOKUP(C209,[1]master_data!$A$2:$E$495,3,FALSE)</f>
        <v>800</v>
      </c>
      <c r="G209" s="16">
        <f>VLOOKUP(C209,[1]master_data!$A$2:$E$495,4,FALSE)</f>
        <v>2000</v>
      </c>
      <c r="H209" s="16">
        <f>E209*F209</f>
        <v>12000</v>
      </c>
      <c r="I209" s="16">
        <f>E209*G209</f>
        <v>30000</v>
      </c>
      <c r="J209" s="16">
        <f>I209-H209</f>
        <v>18000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44525</v>
      </c>
      <c r="B210" s="16" t="s">
        <v>1998</v>
      </c>
      <c r="C210" s="16" t="s">
        <v>266</v>
      </c>
      <c r="D210" s="16" t="str">
        <f>VLOOKUP(C210,[1]master_data!$A$2:$E$495,2,FALSE)</f>
        <v>MAGNET 09</v>
      </c>
      <c r="E210" s="16">
        <v>1</v>
      </c>
      <c r="F210" s="16">
        <f>VLOOKUP(C210,[1]master_data!$A$2:$E$495,3,FALSE)</f>
        <v>58000</v>
      </c>
      <c r="G210" s="16">
        <f>VLOOKUP(C210,[1]master_data!$A$2:$E$495,4,FALSE)</f>
        <v>80000</v>
      </c>
      <c r="H210" s="16">
        <f>E210*F210</f>
        <v>58000</v>
      </c>
      <c r="I210" s="16">
        <f>E210*G210</f>
        <v>80000</v>
      </c>
      <c r="J210" s="16">
        <f>I210-H210</f>
        <v>22000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44525</v>
      </c>
      <c r="B211" s="16" t="s">
        <v>1999</v>
      </c>
      <c r="C211" s="16" t="s">
        <v>31</v>
      </c>
      <c r="D211" s="16" t="str">
        <f>VLOOKUP(C211,[1]master_data!$A$2:$E$495,2,FALSE)</f>
        <v>MESIN YAMANO 1600</v>
      </c>
      <c r="E211" s="16">
        <v>10</v>
      </c>
      <c r="F211" s="16">
        <f>VLOOKUP(C211,[1]master_data!$A$2:$E$495,3,FALSE)</f>
        <v>55000</v>
      </c>
      <c r="G211" s="16">
        <f>VLOOKUP(C211,[1]master_data!$A$2:$E$495,4,FALSE)</f>
        <v>75000</v>
      </c>
      <c r="H211" s="16">
        <f>E211*F211</f>
        <v>550000</v>
      </c>
      <c r="I211" s="16">
        <f>E211*G211</f>
        <v>750000</v>
      </c>
      <c r="J211" s="16">
        <f>I211-H211</f>
        <v>200000</v>
      </c>
      <c r="K211" s="16" t="str">
        <f>VLOOKUP(C211,[1]master_data!$A$2:$E$495,5,FALSE)</f>
        <v>Aksesoris</v>
      </c>
      <c r="L211" s="1"/>
    </row>
    <row r="212" spans="1:12" ht="12" customHeight="1" x14ac:dyDescent="0.25">
      <c r="A212" s="15">
        <v>44525</v>
      </c>
      <c r="B212" s="16" t="s">
        <v>2000</v>
      </c>
      <c r="C212" s="16" t="s">
        <v>197</v>
      </c>
      <c r="D212" s="16" t="str">
        <f>VLOOKUP(C212,[1]master_data!$A$2:$E$495,2,FALSE)</f>
        <v>AIRSTONE BAKSO B</v>
      </c>
      <c r="E212" s="16">
        <v>16</v>
      </c>
      <c r="F212" s="16">
        <f>VLOOKUP(C212,[1]master_data!$A$2:$E$495,3,FALSE)</f>
        <v>7700</v>
      </c>
      <c r="G212" s="16">
        <f>VLOOKUP(C212,[1]master_data!$A$2:$E$495,4,FALSE)</f>
        <v>10000</v>
      </c>
      <c r="H212" s="16">
        <f>E212*F212</f>
        <v>123200</v>
      </c>
      <c r="I212" s="16">
        <f>E212*G212</f>
        <v>160000</v>
      </c>
      <c r="J212" s="16">
        <f>I212-H212</f>
        <v>36800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44525</v>
      </c>
      <c r="B213" s="16" t="s">
        <v>2001</v>
      </c>
      <c r="C213" s="16" t="s">
        <v>202</v>
      </c>
      <c r="D213" s="16" t="str">
        <f>VLOOKUP(C213,[1]master_data!$A$2:$E$495,2,FALSE)</f>
        <v>GOSOKAN BIASA</v>
      </c>
      <c r="E213" s="16">
        <v>1</v>
      </c>
      <c r="F213" s="16">
        <f>VLOOKUP(C213,[1]master_data!$A$2:$E$495,3,FALSE)</f>
        <v>10000</v>
      </c>
      <c r="G213" s="16">
        <f>VLOOKUP(C213,[1]master_data!$A$2:$E$495,4,FALSE)</f>
        <v>20000</v>
      </c>
      <c r="H213" s="16">
        <f>E213*F213</f>
        <v>10000</v>
      </c>
      <c r="I213" s="16">
        <f>E213*G213</f>
        <v>20000</v>
      </c>
      <c r="J213" s="16">
        <f>I213-H213</f>
        <v>10000</v>
      </c>
      <c r="K213" s="16" t="str">
        <f>VLOOKUP(C213,[1]master_data!$A$2:$E$495,5,FALSE)</f>
        <v>Aksesoris</v>
      </c>
      <c r="L213" s="1"/>
    </row>
    <row r="214" spans="1:12" ht="12" customHeight="1" x14ac:dyDescent="0.25">
      <c r="A214" s="15">
        <v>44524</v>
      </c>
      <c r="B214" s="16" t="s">
        <v>1991</v>
      </c>
      <c r="C214" s="16" t="s">
        <v>200</v>
      </c>
      <c r="D214" s="16" t="str">
        <f>VLOOKUP(C214,[1]master_data!$A$2:$E$495,2,FALSE)</f>
        <v>AIRSTONE 80</v>
      </c>
      <c r="E214" s="16">
        <v>10</v>
      </c>
      <c r="F214" s="16">
        <f>VLOOKUP(C214,[1]master_data!$A$2:$E$495,3,FALSE)</f>
        <v>14000</v>
      </c>
      <c r="G214" s="16">
        <f>VLOOKUP(C214,[1]master_data!$A$2:$E$495,4,FALSE)</f>
        <v>22000</v>
      </c>
      <c r="H214" s="16">
        <f>E214*F214</f>
        <v>140000</v>
      </c>
      <c r="I214" s="16">
        <f>E214*G214</f>
        <v>220000</v>
      </c>
      <c r="J214" s="16">
        <f>I214-H214</f>
        <v>80000</v>
      </c>
      <c r="K214" s="16" t="str">
        <f>VLOOKUP(C214,[1]master_data!$A$2:$E$495,5,FALSE)</f>
        <v>Aksesoris</v>
      </c>
      <c r="L214" s="1"/>
    </row>
    <row r="215" spans="1:12" ht="12" customHeight="1" x14ac:dyDescent="0.25">
      <c r="A215" s="15">
        <v>44524</v>
      </c>
      <c r="B215" s="16" t="s">
        <v>1992</v>
      </c>
      <c r="C215" s="16" t="s">
        <v>309</v>
      </c>
      <c r="D215" s="16" t="str">
        <f>VLOOKUP(C215,[1]master_data!$A$2:$E$495,2,FALSE)</f>
        <v>ALGA EATER</v>
      </c>
      <c r="E215" s="16">
        <v>10</v>
      </c>
      <c r="F215" s="16">
        <f>VLOOKUP(C215,[1]master_data!$A$2:$E$495,3,FALSE)</f>
        <v>1750</v>
      </c>
      <c r="G215" s="16">
        <f>VLOOKUP(C215,[1]master_data!$A$2:$E$495,4,FALSE)</f>
        <v>5000</v>
      </c>
      <c r="H215" s="16">
        <f>E215*F215</f>
        <v>17500</v>
      </c>
      <c r="I215" s="16">
        <f>E215*G215</f>
        <v>50000</v>
      </c>
      <c r="J215" s="16">
        <f>I215-H215</f>
        <v>32500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44524</v>
      </c>
      <c r="B216" s="16" t="s">
        <v>1993</v>
      </c>
      <c r="C216" s="16" t="s">
        <v>205</v>
      </c>
      <c r="D216" s="16" t="str">
        <f>VLOOKUP(C216,[1]master_data!$A$2:$E$495,2,FALSE)</f>
        <v>ACRIPLAVIN</v>
      </c>
      <c r="E216" s="16">
        <v>20</v>
      </c>
      <c r="F216" s="16">
        <f>VLOOKUP(C216,[1]master_data!$A$2:$E$495,3,FALSE)</f>
        <v>3000</v>
      </c>
      <c r="G216" s="16">
        <f>VLOOKUP(C216,[1]master_data!$A$2:$E$495,4,FALSE)</f>
        <v>8000</v>
      </c>
      <c r="H216" s="16">
        <f>E216*F216</f>
        <v>60000</v>
      </c>
      <c r="I216" s="16">
        <f>E216*G216</f>
        <v>160000</v>
      </c>
      <c r="J216" s="16">
        <f>I216-H216</f>
        <v>100000</v>
      </c>
      <c r="K216" s="16" t="str">
        <f>VLOOKUP(C216,[1]master_data!$A$2:$E$495,5,FALSE)</f>
        <v>Aksesoris</v>
      </c>
      <c r="L216" s="1"/>
    </row>
    <row r="217" spans="1:12" ht="12" customHeight="1" x14ac:dyDescent="0.25">
      <c r="A217" s="15">
        <v>44524</v>
      </c>
      <c r="B217" s="16" t="s">
        <v>1994</v>
      </c>
      <c r="C217" s="16" t="s">
        <v>321</v>
      </c>
      <c r="D217" s="16" t="str">
        <f>VLOOKUP(C217,[1]master_data!$A$2:$E$495,2,FALSE)</f>
        <v>CATFISH</v>
      </c>
      <c r="E217" s="16">
        <v>2</v>
      </c>
      <c r="F217" s="16">
        <f>VLOOKUP(C217,[1]master_data!$A$2:$E$495,3,FALSE)</f>
        <v>20000</v>
      </c>
      <c r="G217" s="16">
        <f>VLOOKUP(C217,[1]master_data!$A$2:$E$495,4,FALSE)</f>
        <v>50000</v>
      </c>
      <c r="H217" s="16">
        <f>E217*F217</f>
        <v>40000</v>
      </c>
      <c r="I217" s="16">
        <f>E217*G217</f>
        <v>100000</v>
      </c>
      <c r="J217" s="16">
        <f>I217-H217</f>
        <v>60000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44524</v>
      </c>
      <c r="B218" s="16" t="s">
        <v>1995</v>
      </c>
      <c r="C218" s="16" t="s">
        <v>85</v>
      </c>
      <c r="D218" s="16" t="str">
        <f>VLOOKUP(C218,[1]master_data!$A$2:$E$495,2,FALSE)</f>
        <v>MEIN AMARA 1100</v>
      </c>
      <c r="E218" s="16">
        <v>1</v>
      </c>
      <c r="F218" s="16">
        <f>VLOOKUP(C218,[1]master_data!$A$2:$E$495,3,FALSE)</f>
        <v>47000</v>
      </c>
      <c r="G218" s="16">
        <f>VLOOKUP(C218,[1]master_data!$A$2:$E$495,4,FALSE)</f>
        <v>60000</v>
      </c>
      <c r="H218" s="16">
        <f>E218*F218</f>
        <v>47000</v>
      </c>
      <c r="I218" s="16">
        <f>E218*G218</f>
        <v>60000</v>
      </c>
      <c r="J218" s="16">
        <f>I218-H218</f>
        <v>13000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44524</v>
      </c>
      <c r="B219" s="16" t="s">
        <v>1996</v>
      </c>
      <c r="C219" s="16" t="s">
        <v>331</v>
      </c>
      <c r="D219" s="16" t="str">
        <f>VLOOKUP(C219,[1]master_data!$A$2:$E$495,2,FALSE)</f>
        <v>KOI B</v>
      </c>
      <c r="E219" s="16">
        <v>1</v>
      </c>
      <c r="F219" s="16">
        <f>VLOOKUP(C219,[1]master_data!$A$2:$E$495,3,FALSE)</f>
        <v>9000</v>
      </c>
      <c r="G219" s="16">
        <f>VLOOKUP(C219,[1]master_data!$A$2:$E$495,4,FALSE)</f>
        <v>30000</v>
      </c>
      <c r="H219" s="16">
        <f>E219*F219</f>
        <v>9000</v>
      </c>
      <c r="I219" s="16">
        <f>E219*G219</f>
        <v>30000</v>
      </c>
      <c r="J219" s="16">
        <f>I219-H219</f>
        <v>21000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44523</v>
      </c>
      <c r="B220" s="16" t="s">
        <v>1983</v>
      </c>
      <c r="C220" s="16" t="s">
        <v>370</v>
      </c>
      <c r="D220" s="16" t="str">
        <f>VLOOKUP(C220,[1]master_data!$A$2:$E$495,2,FALSE)</f>
        <v>ZEBRA HIJAU</v>
      </c>
      <c r="E220" s="16">
        <v>15</v>
      </c>
      <c r="F220" s="16">
        <f>VLOOKUP(C220,[1]master_data!$A$2:$E$495,3,FALSE)</f>
        <v>800</v>
      </c>
      <c r="G220" s="16">
        <f>VLOOKUP(C220,[1]master_data!$A$2:$E$495,4,FALSE)</f>
        <v>2000</v>
      </c>
      <c r="H220" s="16">
        <f>E220*F220</f>
        <v>12000</v>
      </c>
      <c r="I220" s="16">
        <f>E220*G220</f>
        <v>30000</v>
      </c>
      <c r="J220" s="16">
        <f>I220-H220</f>
        <v>18000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44523</v>
      </c>
      <c r="B221" s="16" t="s">
        <v>1984</v>
      </c>
      <c r="C221" s="16" t="s">
        <v>326</v>
      </c>
      <c r="D221" s="16" t="str">
        <f>VLOOKUP(C221,[1]master_data!$A$2:$E$495,2,FALSE)</f>
        <v>KOKI K</v>
      </c>
      <c r="E221" s="16">
        <v>10</v>
      </c>
      <c r="F221" s="16">
        <f>VLOOKUP(C221,[1]master_data!$A$2:$E$495,3,FALSE)</f>
        <v>3500</v>
      </c>
      <c r="G221" s="16">
        <f>VLOOKUP(C221,[1]master_data!$A$2:$E$495,4,FALSE)</f>
        <v>10000</v>
      </c>
      <c r="H221" s="16">
        <f>E221*F221</f>
        <v>35000</v>
      </c>
      <c r="I221" s="16">
        <f>E221*G221</f>
        <v>100000</v>
      </c>
      <c r="J221" s="16">
        <f>I221-H221</f>
        <v>65000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44523</v>
      </c>
      <c r="B222" s="16" t="s">
        <v>1985</v>
      </c>
      <c r="C222" s="16" t="s">
        <v>86</v>
      </c>
      <c r="D222" s="16" t="str">
        <f>VLOOKUP(C222,[1]master_data!$A$2:$E$495,2,FALSE)</f>
        <v>AIRATOR ROSTON BATERAI  101</v>
      </c>
      <c r="E222" s="16">
        <v>2</v>
      </c>
      <c r="F222" s="16">
        <f>VLOOKUP(C222,[1]master_data!$A$2:$E$495,3,FALSE)</f>
        <v>35000</v>
      </c>
      <c r="G222" s="16">
        <f>VLOOKUP(C222,[1]master_data!$A$2:$E$495,4,FALSE)</f>
        <v>50000</v>
      </c>
      <c r="H222" s="16">
        <f>E222*F222</f>
        <v>70000</v>
      </c>
      <c r="I222" s="16">
        <f>E222*G222</f>
        <v>100000</v>
      </c>
      <c r="J222" s="16">
        <f>I222-H222</f>
        <v>30000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44523</v>
      </c>
      <c r="B223" s="16" t="s">
        <v>1986</v>
      </c>
      <c r="C223" s="16" t="s">
        <v>334</v>
      </c>
      <c r="D223" s="16" t="str">
        <f>VLOOKUP(C223,[1]master_data!$A$2:$E$495,2,FALSE)</f>
        <v>KOMET PAKAN</v>
      </c>
      <c r="E223" s="16">
        <v>60</v>
      </c>
      <c r="F223" s="16">
        <f>VLOOKUP(C223,[1]master_data!$A$2:$E$495,3,FALSE)</f>
        <v>300</v>
      </c>
      <c r="G223" s="16">
        <f>VLOOKUP(C223,[1]master_data!$A$2:$E$495,4,FALSE)</f>
        <v>1000</v>
      </c>
      <c r="H223" s="16">
        <f>E223*F223</f>
        <v>18000</v>
      </c>
      <c r="I223" s="16">
        <f>E223*G223</f>
        <v>60000</v>
      </c>
      <c r="J223" s="16">
        <f>I223-H223</f>
        <v>42000</v>
      </c>
      <c r="K223" s="16" t="str">
        <f>VLOOKUP(C223,[1]master_data!$A$2:$E$495,5,FALSE)</f>
        <v>Ikan</v>
      </c>
      <c r="L223" s="1"/>
    </row>
    <row r="224" spans="1:12" ht="12" customHeight="1" x14ac:dyDescent="0.25">
      <c r="A224" s="15">
        <v>44523</v>
      </c>
      <c r="B224" s="16" t="s">
        <v>1987</v>
      </c>
      <c r="C224" s="16" t="s">
        <v>297</v>
      </c>
      <c r="D224" s="16" t="str">
        <f>VLOOKUP(C224,[1]master_data!$A$2:$E$495,2,FALSE)</f>
        <v>BATU WARNA FOSFOR K</v>
      </c>
      <c r="E224" s="16">
        <v>25</v>
      </c>
      <c r="F224" s="16">
        <f>VLOOKUP(C224,[1]master_data!$A$2:$E$495,3,FALSE)</f>
        <v>5500</v>
      </c>
      <c r="G224" s="16">
        <f>VLOOKUP(C224,[1]master_data!$A$2:$E$495,4,FALSE)</f>
        <v>10000</v>
      </c>
      <c r="H224" s="16">
        <f>E224*F224</f>
        <v>137500</v>
      </c>
      <c r="I224" s="16">
        <f>E224*G224</f>
        <v>250000</v>
      </c>
      <c r="J224" s="16">
        <f>I224-H224</f>
        <v>112500</v>
      </c>
      <c r="K224" s="16" t="str">
        <f>VLOOKUP(C224,[1]master_data!$A$2:$E$495,5,FALSE)</f>
        <v>Aksesoris</v>
      </c>
      <c r="L224" s="1"/>
    </row>
    <row r="225" spans="1:12" ht="12" customHeight="1" x14ac:dyDescent="0.25">
      <c r="A225" s="15">
        <v>44523</v>
      </c>
      <c r="B225" s="16" t="s">
        <v>1988</v>
      </c>
      <c r="C225" s="16" t="s">
        <v>79</v>
      </c>
      <c r="D225" s="16" t="str">
        <f>VLOOKUP(C225,[1]master_data!$A$2:$E$495,2,FALSE)</f>
        <v>MESIN AMARA 1200</v>
      </c>
      <c r="E225" s="16">
        <v>2</v>
      </c>
      <c r="F225" s="16">
        <f>VLOOKUP(C225,[1]master_data!$A$2:$E$495,3,FALSE)</f>
        <v>25000</v>
      </c>
      <c r="G225" s="16">
        <f>VLOOKUP(C225,[1]master_data!$A$2:$E$495,4,FALSE)</f>
        <v>40000</v>
      </c>
      <c r="H225" s="16">
        <f>E225*F225</f>
        <v>50000</v>
      </c>
      <c r="I225" s="16">
        <f>E225*G225</f>
        <v>80000</v>
      </c>
      <c r="J225" s="16">
        <f>I225-H225</f>
        <v>30000</v>
      </c>
      <c r="K225" s="16" t="str">
        <f>VLOOKUP(C225,[1]master_data!$A$2:$E$495,5,FALSE)</f>
        <v>Aksesoris</v>
      </c>
      <c r="L225" s="1"/>
    </row>
    <row r="226" spans="1:12" ht="12" customHeight="1" x14ac:dyDescent="0.25">
      <c r="A226" s="15">
        <v>44523</v>
      </c>
      <c r="B226" s="16" t="s">
        <v>1989</v>
      </c>
      <c r="C226" s="16" t="s">
        <v>373</v>
      </c>
      <c r="D226" s="16" t="str">
        <f>VLOOKUP(C226,[1]master_data!$A$2:$E$495,2,FALSE)</f>
        <v>SEPAT</v>
      </c>
      <c r="E226" s="16">
        <v>24</v>
      </c>
      <c r="F226" s="16">
        <f>VLOOKUP(C226,[1]master_data!$A$2:$E$495,3,FALSE)</f>
        <v>600</v>
      </c>
      <c r="G226" s="16">
        <f>VLOOKUP(C226,[1]master_data!$A$2:$E$495,4,FALSE)</f>
        <v>2000</v>
      </c>
      <c r="H226" s="16">
        <f>E226*F226</f>
        <v>14400</v>
      </c>
      <c r="I226" s="16">
        <f>E226*G226</f>
        <v>48000</v>
      </c>
      <c r="J226" s="16">
        <f>I226-H226</f>
        <v>33600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44523</v>
      </c>
      <c r="B227" s="16" t="s">
        <v>1990</v>
      </c>
      <c r="C227" s="16" t="s">
        <v>151</v>
      </c>
      <c r="D227" s="16" t="str">
        <f>VLOOKUP(C227,[1]master_data!$A$2:$E$495,2,FALSE)</f>
        <v>LED HIRO 20 CM</v>
      </c>
      <c r="E227" s="16">
        <v>3</v>
      </c>
      <c r="F227" s="16">
        <f>VLOOKUP(C227,[1]master_data!$A$2:$E$495,3,FALSE)</f>
        <v>17000</v>
      </c>
      <c r="G227" s="16">
        <f>VLOOKUP(C227,[1]master_data!$A$2:$E$495,4,FALSE)</f>
        <v>25000</v>
      </c>
      <c r="H227" s="16">
        <f>E227*F227</f>
        <v>51000</v>
      </c>
      <c r="I227" s="16">
        <f>E227*G227</f>
        <v>75000</v>
      </c>
      <c r="J227" s="16">
        <f>I227-H227</f>
        <v>24000</v>
      </c>
      <c r="K227" s="16" t="str">
        <f>VLOOKUP(C227,[1]master_data!$A$2:$E$495,5,FALSE)</f>
        <v>Aksesoris</v>
      </c>
      <c r="L227" s="1"/>
    </row>
    <row r="228" spans="1:12" ht="12" customHeight="1" x14ac:dyDescent="0.25">
      <c r="A228" s="15">
        <v>44522</v>
      </c>
      <c r="B228" s="16" t="s">
        <v>1974</v>
      </c>
      <c r="C228" s="16" t="s">
        <v>325</v>
      </c>
      <c r="D228" s="16" t="str">
        <f>VLOOKUP(C228,[1]master_data!$A$2:$E$495,2,FALSE)</f>
        <v>HIU TAWAR</v>
      </c>
      <c r="E228" s="16">
        <v>10</v>
      </c>
      <c r="F228" s="16">
        <f>VLOOKUP(C228,[1]master_data!$A$2:$E$495,3,FALSE)</f>
        <v>600</v>
      </c>
      <c r="G228" s="16">
        <f>VLOOKUP(C228,[1]master_data!$A$2:$E$495,4,FALSE)</f>
        <v>2000</v>
      </c>
      <c r="H228" s="16">
        <f>E228*F228</f>
        <v>6000</v>
      </c>
      <c r="I228" s="16">
        <f>E228*G228</f>
        <v>20000</v>
      </c>
      <c r="J228" s="16">
        <f>I228-H228</f>
        <v>14000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44522</v>
      </c>
      <c r="B229" s="16" t="s">
        <v>1975</v>
      </c>
      <c r="C229" s="16" t="s">
        <v>325</v>
      </c>
      <c r="D229" s="16" t="str">
        <f>VLOOKUP(C229,[1]master_data!$A$2:$E$495,2,FALSE)</f>
        <v>HIU TAWAR</v>
      </c>
      <c r="E229" s="16">
        <v>15</v>
      </c>
      <c r="F229" s="16">
        <f>VLOOKUP(C229,[1]master_data!$A$2:$E$495,3,FALSE)</f>
        <v>600</v>
      </c>
      <c r="G229" s="16">
        <f>VLOOKUP(C229,[1]master_data!$A$2:$E$495,4,FALSE)</f>
        <v>2000</v>
      </c>
      <c r="H229" s="16">
        <f>E229*F229</f>
        <v>9000</v>
      </c>
      <c r="I229" s="16">
        <f>E229*G229</f>
        <v>30000</v>
      </c>
      <c r="J229" s="16">
        <f>I229-H229</f>
        <v>21000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44522</v>
      </c>
      <c r="B230" s="16" t="s">
        <v>1976</v>
      </c>
      <c r="C230" s="16" t="s">
        <v>327</v>
      </c>
      <c r="D230" s="16" t="str">
        <f>VLOOKUP(C230,[1]master_data!$A$2:$E$495,2,FALSE)</f>
        <v>KOKI T</v>
      </c>
      <c r="E230" s="16">
        <v>2</v>
      </c>
      <c r="F230" s="16">
        <f>VLOOKUP(C230,[1]master_data!$A$2:$E$495,3,FALSE)</f>
        <v>8000</v>
      </c>
      <c r="G230" s="16">
        <f>VLOOKUP(C230,[1]master_data!$A$2:$E$495,4,FALSE)</f>
        <v>15000</v>
      </c>
      <c r="H230" s="16">
        <f>E230*F230</f>
        <v>16000</v>
      </c>
      <c r="I230" s="16">
        <f>E230*G230</f>
        <v>30000</v>
      </c>
      <c r="J230" s="16">
        <f>I230-H230</f>
        <v>14000</v>
      </c>
      <c r="K230" s="16" t="str">
        <f>VLOOKUP(C230,[1]master_data!$A$2:$E$495,5,FALSE)</f>
        <v>Ikan</v>
      </c>
      <c r="L230" s="1"/>
    </row>
    <row r="231" spans="1:12" ht="12" customHeight="1" x14ac:dyDescent="0.25">
      <c r="A231" s="15">
        <v>44522</v>
      </c>
      <c r="B231" s="16" t="s">
        <v>1977</v>
      </c>
      <c r="C231" s="16" t="s">
        <v>226</v>
      </c>
      <c r="D231" s="16" t="str">
        <f>VLOOKUP(C231,[1]master_data!$A$2:$E$495,2,FALSE)</f>
        <v>KRAN 2 W</v>
      </c>
      <c r="E231" s="16">
        <v>20</v>
      </c>
      <c r="F231" s="16">
        <f>VLOOKUP(C231,[1]master_data!$A$2:$E$495,3,FALSE)</f>
        <v>4000</v>
      </c>
      <c r="G231" s="16">
        <f>VLOOKUP(C231,[1]master_data!$A$2:$E$495,4,FALSE)</f>
        <v>6000</v>
      </c>
      <c r="H231" s="16">
        <f>E231*F231</f>
        <v>80000</v>
      </c>
      <c r="I231" s="16">
        <f>E231*G231</f>
        <v>120000</v>
      </c>
      <c r="J231" s="16">
        <f>I231-H231</f>
        <v>40000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44522</v>
      </c>
      <c r="B232" s="16" t="s">
        <v>1978</v>
      </c>
      <c r="C232" s="16" t="s">
        <v>332</v>
      </c>
      <c r="D232" s="16" t="str">
        <f>VLOOKUP(C232,[1]master_data!$A$2:$E$495,2,FALSE)</f>
        <v>KURA - KURA</v>
      </c>
      <c r="E232" s="16">
        <v>5</v>
      </c>
      <c r="F232" s="16">
        <f>VLOOKUP(C232,[1]master_data!$A$2:$E$495,3,FALSE)</f>
        <v>25000</v>
      </c>
      <c r="G232" s="16">
        <f>VLOOKUP(C232,[1]master_data!$A$2:$E$495,4,FALSE)</f>
        <v>35000</v>
      </c>
      <c r="H232" s="16">
        <f>E232*F232</f>
        <v>125000</v>
      </c>
      <c r="I232" s="16">
        <f>E232*G232</f>
        <v>175000</v>
      </c>
      <c r="J232" s="16">
        <f>I232-H232</f>
        <v>50000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44522</v>
      </c>
      <c r="B233" s="16" t="s">
        <v>1979</v>
      </c>
      <c r="C233" s="16" t="s">
        <v>351</v>
      </c>
      <c r="D233" s="16" t="str">
        <f>VLOOKUP(C233,[1]master_data!$A$2:$E$495,2,FALSE)</f>
        <v>NEON</v>
      </c>
      <c r="E233" s="16">
        <v>25</v>
      </c>
      <c r="F233" s="16">
        <f>VLOOKUP(C233,[1]master_data!$A$2:$E$495,3,FALSE)</f>
        <v>1250</v>
      </c>
      <c r="G233" s="16">
        <f>VLOOKUP(C233,[1]master_data!$A$2:$E$495,4,FALSE)</f>
        <v>5000</v>
      </c>
      <c r="H233" s="16">
        <f>E233*F233</f>
        <v>31250</v>
      </c>
      <c r="I233" s="16">
        <f>E233*G233</f>
        <v>125000</v>
      </c>
      <c r="J233" s="16">
        <f>I233-H233</f>
        <v>93750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44522</v>
      </c>
      <c r="B234" s="16" t="s">
        <v>1980</v>
      </c>
      <c r="C234" s="16" t="s">
        <v>355</v>
      </c>
      <c r="D234" s="16" t="str">
        <f>VLOOKUP(C234,[1]master_data!$A$2:$E$495,2,FALSE)</f>
        <v>PALMAS</v>
      </c>
      <c r="E234" s="16">
        <v>5</v>
      </c>
      <c r="F234" s="16">
        <f>VLOOKUP(C234,[1]master_data!$A$2:$E$495,3,FALSE)</f>
        <v>10000</v>
      </c>
      <c r="G234" s="16">
        <f>VLOOKUP(C234,[1]master_data!$A$2:$E$495,4,FALSE)</f>
        <v>25000</v>
      </c>
      <c r="H234" s="16">
        <f>E234*F234</f>
        <v>50000</v>
      </c>
      <c r="I234" s="16">
        <f>E234*G234</f>
        <v>125000</v>
      </c>
      <c r="J234" s="16">
        <f>I234-H234</f>
        <v>75000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44522</v>
      </c>
      <c r="B235" s="16" t="s">
        <v>1981</v>
      </c>
      <c r="C235" s="16" t="s">
        <v>13</v>
      </c>
      <c r="D235" s="16" t="str">
        <f>VLOOKUP(C235,[1]master_data!$A$2:$E$495,2,FALSE)</f>
        <v>MESIN YANG 105</v>
      </c>
      <c r="E235" s="16">
        <v>1</v>
      </c>
      <c r="F235" s="16">
        <f>VLOOKUP(C235,[1]master_data!$A$2:$E$495,3,FALSE)</f>
        <v>140000</v>
      </c>
      <c r="G235" s="16">
        <f>VLOOKUP(C235,[1]master_data!$A$2:$E$495,4,FALSE)</f>
        <v>190000</v>
      </c>
      <c r="H235" s="16">
        <f>E235*F235</f>
        <v>140000</v>
      </c>
      <c r="I235" s="16">
        <f>E235*G235</f>
        <v>190000</v>
      </c>
      <c r="J235" s="16">
        <f>I235-H235</f>
        <v>50000</v>
      </c>
      <c r="K235" s="16" t="str">
        <f>VLOOKUP(C235,[1]master_data!$A$2:$E$495,5,FALSE)</f>
        <v>Aksesoris</v>
      </c>
      <c r="L235" s="1"/>
    </row>
    <row r="236" spans="1:12" ht="12" customHeight="1" x14ac:dyDescent="0.25">
      <c r="A236" s="15">
        <v>44522</v>
      </c>
      <c r="B236" s="16" t="s">
        <v>1982</v>
      </c>
      <c r="C236" s="16" t="s">
        <v>359</v>
      </c>
      <c r="D236" s="16" t="str">
        <f>VLOOKUP(C236,[1]master_data!$A$2:$E$495,2,FALSE)</f>
        <v>REDFIN ALBINO</v>
      </c>
      <c r="E236" s="16">
        <v>100</v>
      </c>
      <c r="F236" s="16">
        <f>VLOOKUP(C236,[1]master_data!$A$2:$E$495,3,FALSE)</f>
        <v>1500</v>
      </c>
      <c r="G236" s="16">
        <f>VLOOKUP(C236,[1]master_data!$A$2:$E$495,4,FALSE)</f>
        <v>4000</v>
      </c>
      <c r="H236" s="16">
        <f>E236*F236</f>
        <v>150000</v>
      </c>
      <c r="I236" s="16">
        <f>E236*G236</f>
        <v>400000</v>
      </c>
      <c r="J236" s="16">
        <f>I236-H236</f>
        <v>250000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44521</v>
      </c>
      <c r="B237" s="16" t="s">
        <v>1971</v>
      </c>
      <c r="C237" s="16" t="s">
        <v>7</v>
      </c>
      <c r="D237" s="16" t="str">
        <f>VLOOKUP(C237,[1]master_data!$A$2:$E$495,2,FALSE)</f>
        <v>MESIN YANG 1600</v>
      </c>
      <c r="E237" s="16">
        <v>5</v>
      </c>
      <c r="F237" s="16">
        <f>VLOOKUP(C237,[1]master_data!$A$2:$E$495,3,FALSE)</f>
        <v>64000</v>
      </c>
      <c r="G237" s="16">
        <f>VLOOKUP(C237,[1]master_data!$A$2:$E$495,4,FALSE)</f>
        <v>90000</v>
      </c>
      <c r="H237" s="16">
        <f>E237*F237</f>
        <v>320000</v>
      </c>
      <c r="I237" s="16">
        <f>E237*G237</f>
        <v>450000</v>
      </c>
      <c r="J237" s="16">
        <f>I237-H237</f>
        <v>130000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44521</v>
      </c>
      <c r="B238" s="16" t="s">
        <v>1972</v>
      </c>
      <c r="C238" s="16" t="s">
        <v>7</v>
      </c>
      <c r="D238" s="16" t="str">
        <f>VLOOKUP(C238,[1]master_data!$A$2:$E$495,2,FALSE)</f>
        <v>MESIN YANG 1600</v>
      </c>
      <c r="E238" s="16">
        <v>5</v>
      </c>
      <c r="F238" s="16">
        <f>VLOOKUP(C238,[1]master_data!$A$2:$E$495,3,FALSE)</f>
        <v>64000</v>
      </c>
      <c r="G238" s="16">
        <f>VLOOKUP(C238,[1]master_data!$A$2:$E$495,4,FALSE)</f>
        <v>90000</v>
      </c>
      <c r="H238" s="16">
        <f>E238*F238</f>
        <v>320000</v>
      </c>
      <c r="I238" s="16">
        <f>E238*G238</f>
        <v>450000</v>
      </c>
      <c r="J238" s="16">
        <f>I238-H238</f>
        <v>130000</v>
      </c>
      <c r="K238" s="16" t="str">
        <f>VLOOKUP(C238,[1]master_data!$A$2:$E$495,5,FALSE)</f>
        <v>Aksesoris</v>
      </c>
      <c r="L238" s="1"/>
    </row>
    <row r="239" spans="1:12" ht="12" customHeight="1" x14ac:dyDescent="0.25">
      <c r="A239" s="15">
        <v>44521</v>
      </c>
      <c r="B239" s="16" t="s">
        <v>1973</v>
      </c>
      <c r="C239" s="16" t="s">
        <v>280</v>
      </c>
      <c r="D239" s="16" t="str">
        <f>VLOOKUP(C239,[1]master_data!$A$2:$E$495,2,FALSE)</f>
        <v>TOPLES 3,3 L</v>
      </c>
      <c r="E239" s="16">
        <v>1</v>
      </c>
      <c r="F239" s="16">
        <f>VLOOKUP(C239,[1]master_data!$A$2:$E$495,3,FALSE)</f>
        <v>50000</v>
      </c>
      <c r="G239" s="16">
        <f>VLOOKUP(C239,[1]master_data!$A$2:$E$495,4,FALSE)</f>
        <v>75000</v>
      </c>
      <c r="H239" s="16">
        <f>E239*F239</f>
        <v>50000</v>
      </c>
      <c r="I239" s="16">
        <f>E239*G239</f>
        <v>75000</v>
      </c>
      <c r="J239" s="16">
        <f>I239-H239</f>
        <v>25000</v>
      </c>
      <c r="K239" s="16" t="str">
        <f>VLOOKUP(C239,[1]master_data!$A$2:$E$495,5,FALSE)</f>
        <v>Aksesoris</v>
      </c>
      <c r="L239" s="1"/>
    </row>
    <row r="240" spans="1:12" ht="12" customHeight="1" x14ac:dyDescent="0.25">
      <c r="A240" s="15">
        <v>44520</v>
      </c>
      <c r="B240" s="16" t="s">
        <v>1965</v>
      </c>
      <c r="C240" s="16" t="s">
        <v>359</v>
      </c>
      <c r="D240" s="16" t="str">
        <f>VLOOKUP(C240,[1]master_data!$A$2:$E$495,2,FALSE)</f>
        <v>REDFIN ALBINO</v>
      </c>
      <c r="E240" s="16">
        <v>10</v>
      </c>
      <c r="F240" s="16">
        <f>VLOOKUP(C240,[1]master_data!$A$2:$E$495,3,FALSE)</f>
        <v>1500</v>
      </c>
      <c r="G240" s="16">
        <f>VLOOKUP(C240,[1]master_data!$A$2:$E$495,4,FALSE)</f>
        <v>4000</v>
      </c>
      <c r="H240" s="16">
        <f>E240*F240</f>
        <v>15000</v>
      </c>
      <c r="I240" s="16">
        <f>E240*G240</f>
        <v>40000</v>
      </c>
      <c r="J240" s="16">
        <f>I240-H240</f>
        <v>25000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44520</v>
      </c>
      <c r="B241" s="16" t="s">
        <v>1966</v>
      </c>
      <c r="C241" s="16" t="s">
        <v>362</v>
      </c>
      <c r="D241" s="16" t="str">
        <f>VLOOKUP(C241,[1]master_data!$A$2:$E$495,2,FALSE)</f>
        <v>SUMATRA BIASA</v>
      </c>
      <c r="E241" s="16">
        <v>25</v>
      </c>
      <c r="F241" s="16">
        <f>VLOOKUP(C241,[1]master_data!$A$2:$E$495,3,FALSE)</f>
        <v>800</v>
      </c>
      <c r="G241" s="16">
        <f>VLOOKUP(C241,[1]master_data!$A$2:$E$495,4,FALSE)</f>
        <v>2000</v>
      </c>
      <c r="H241" s="16">
        <f>E241*F241</f>
        <v>20000</v>
      </c>
      <c r="I241" s="16">
        <f>E241*G241</f>
        <v>50000</v>
      </c>
      <c r="J241" s="16">
        <f>I241-H241</f>
        <v>30000</v>
      </c>
      <c r="K241" s="16" t="str">
        <f>VLOOKUP(C241,[1]master_data!$A$2:$E$495,5,FALSE)</f>
        <v>Ikan</v>
      </c>
      <c r="L241" s="1"/>
    </row>
    <row r="242" spans="1:12" ht="12" customHeight="1" x14ac:dyDescent="0.25">
      <c r="A242" s="15">
        <v>44520</v>
      </c>
      <c r="B242" s="16" t="s">
        <v>1967</v>
      </c>
      <c r="C242" s="16" t="s">
        <v>261</v>
      </c>
      <c r="D242" s="16" t="str">
        <f>VLOOKUP(C242,[1]master_data!$A$2:$E$495,2,FALSE)</f>
        <v>AIRSTONE D2L5</v>
      </c>
      <c r="E242" s="16">
        <v>20</v>
      </c>
      <c r="F242" s="16">
        <f>VLOOKUP(C242,[1]master_data!$A$2:$E$495,3,FALSE)</f>
        <v>1850</v>
      </c>
      <c r="G242" s="16">
        <f>VLOOKUP(C242,[1]master_data!$A$2:$E$495,4,FALSE)</f>
        <v>5000</v>
      </c>
      <c r="H242" s="16">
        <f>E242*F242</f>
        <v>37000</v>
      </c>
      <c r="I242" s="16">
        <f>E242*G242</f>
        <v>100000</v>
      </c>
      <c r="J242" s="16">
        <f>I242-H242</f>
        <v>63000</v>
      </c>
      <c r="K242" s="16" t="str">
        <f>VLOOKUP(C242,[1]master_data!$A$2:$E$495,5,FALSE)</f>
        <v>Aksesoris</v>
      </c>
      <c r="L242" s="1"/>
    </row>
    <row r="243" spans="1:12" ht="12" customHeight="1" x14ac:dyDescent="0.25">
      <c r="A243" s="15">
        <v>44520</v>
      </c>
      <c r="B243" s="16" t="s">
        <v>1968</v>
      </c>
      <c r="C243" s="16" t="s">
        <v>92</v>
      </c>
      <c r="D243" s="16" t="str">
        <f>VLOOKUP(C243,[1]master_data!$A$2:$E$495,2,FALSE)</f>
        <v>AIRATOR KANDILA LUB 2</v>
      </c>
      <c r="E243" s="16">
        <v>1</v>
      </c>
      <c r="F243" s="16">
        <f>VLOOKUP(C243,[1]master_data!$A$2:$E$495,3,FALSE)</f>
        <v>26000</v>
      </c>
      <c r="G243" s="16">
        <f>VLOOKUP(C243,[1]master_data!$A$2:$E$495,4,FALSE)</f>
        <v>50000</v>
      </c>
      <c r="H243" s="16">
        <f>E243*F243</f>
        <v>26000</v>
      </c>
      <c r="I243" s="16">
        <f>E243*G243</f>
        <v>50000</v>
      </c>
      <c r="J243" s="16">
        <f>I243-H243</f>
        <v>24000</v>
      </c>
      <c r="K243" s="16" t="str">
        <f>VLOOKUP(C243,[1]master_data!$A$2:$E$495,5,FALSE)</f>
        <v>Aksesoris</v>
      </c>
      <c r="L243" s="1"/>
    </row>
    <row r="244" spans="1:12" ht="12" customHeight="1" x14ac:dyDescent="0.25">
      <c r="A244" s="15">
        <v>44520</v>
      </c>
      <c r="B244" s="16" t="s">
        <v>1969</v>
      </c>
      <c r="C244" s="16" t="s">
        <v>186</v>
      </c>
      <c r="D244" s="16" t="str">
        <f>VLOOKUP(C244,[1]master_data!$A$2:$E$495,2,FALSE)</f>
        <v>FISH LOVE PAKAN</v>
      </c>
      <c r="E244" s="16">
        <v>30</v>
      </c>
      <c r="F244" s="16">
        <f>VLOOKUP(C244,[1]master_data!$A$2:$E$495,3,FALSE)</f>
        <v>2500</v>
      </c>
      <c r="G244" s="16">
        <f>VLOOKUP(C244,[1]master_data!$A$2:$E$495,4,FALSE)</f>
        <v>5000</v>
      </c>
      <c r="H244" s="16">
        <f>E244*F244</f>
        <v>75000</v>
      </c>
      <c r="I244" s="16">
        <f>E244*G244</f>
        <v>150000</v>
      </c>
      <c r="J244" s="16">
        <f>I244-H244</f>
        <v>75000</v>
      </c>
      <c r="K244" s="16" t="str">
        <f>VLOOKUP(C244,[1]master_data!$A$2:$E$495,5,FALSE)</f>
        <v>Aksesoris</v>
      </c>
      <c r="L244" s="1"/>
    </row>
    <row r="245" spans="1:12" ht="12" customHeight="1" x14ac:dyDescent="0.25">
      <c r="A245" s="15">
        <v>44520</v>
      </c>
      <c r="B245" s="16" t="s">
        <v>1970</v>
      </c>
      <c r="C245" s="16" t="s">
        <v>139</v>
      </c>
      <c r="D245" s="16" t="str">
        <f>VLOOKUP(C245,[1]master_data!$A$2:$E$495,2,FALSE)</f>
        <v>LED KANDILA DnN 20 CM</v>
      </c>
      <c r="E245" s="16">
        <v>7</v>
      </c>
      <c r="F245" s="16">
        <f>VLOOKUP(C245,[1]master_data!$A$2:$E$495,3,FALSE)</f>
        <v>26000</v>
      </c>
      <c r="G245" s="16">
        <f>VLOOKUP(C245,[1]master_data!$A$2:$E$495,4,FALSE)</f>
        <v>40000</v>
      </c>
      <c r="H245" s="16">
        <f>E245*F245</f>
        <v>182000</v>
      </c>
      <c r="I245" s="16">
        <f>E245*G245</f>
        <v>280000</v>
      </c>
      <c r="J245" s="16">
        <f>I245-H245</f>
        <v>98000</v>
      </c>
      <c r="K245" s="16" t="str">
        <f>VLOOKUP(C245,[1]master_data!$A$2:$E$495,5,FALSE)</f>
        <v>Aksesoris</v>
      </c>
      <c r="L245" s="1"/>
    </row>
    <row r="246" spans="1:12" ht="12" customHeight="1" x14ac:dyDescent="0.25">
      <c r="A246" s="15">
        <v>44519</v>
      </c>
      <c r="B246" s="16" t="s">
        <v>1958</v>
      </c>
      <c r="C246" s="16" t="s">
        <v>343</v>
      </c>
      <c r="D246" s="16" t="str">
        <f>VLOOKUP(C246,[1]master_data!$A$2:$E$495,2,FALSE)</f>
        <v>MANFISH K</v>
      </c>
      <c r="E246" s="16">
        <v>30</v>
      </c>
      <c r="F246" s="16">
        <f>VLOOKUP(C246,[1]master_data!$A$2:$E$495,3,FALSE)</f>
        <v>2000</v>
      </c>
      <c r="G246" s="16">
        <f>VLOOKUP(C246,[1]master_data!$A$2:$E$495,4,FALSE)</f>
        <v>5000</v>
      </c>
      <c r="H246" s="16">
        <f>E246*F246</f>
        <v>60000</v>
      </c>
      <c r="I246" s="16">
        <f>E246*G246</f>
        <v>150000</v>
      </c>
      <c r="J246" s="16">
        <f>I246-H246</f>
        <v>90000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44519</v>
      </c>
      <c r="B247" s="16" t="s">
        <v>1959</v>
      </c>
      <c r="C247" s="16" t="s">
        <v>363</v>
      </c>
      <c r="D247" s="16" t="str">
        <f>VLOOKUP(C247,[1]master_data!$A$2:$E$495,2,FALSE)</f>
        <v>SUMATRA GOLD FISH</v>
      </c>
      <c r="E247" s="16">
        <v>20</v>
      </c>
      <c r="F247" s="16">
        <f>VLOOKUP(C247,[1]master_data!$A$2:$E$495,3,FALSE)</f>
        <v>2500</v>
      </c>
      <c r="G247" s="16">
        <f>VLOOKUP(C247,[1]master_data!$A$2:$E$495,4,FALSE)</f>
        <v>4000</v>
      </c>
      <c r="H247" s="16">
        <f>E247*F247</f>
        <v>50000</v>
      </c>
      <c r="I247" s="16">
        <f>E247*G247</f>
        <v>80000</v>
      </c>
      <c r="J247" s="16">
        <f>I247-H247</f>
        <v>30000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44519</v>
      </c>
      <c r="B248" s="16" t="s">
        <v>1960</v>
      </c>
      <c r="C248" s="16" t="s">
        <v>357</v>
      </c>
      <c r="D248" s="16" t="str">
        <f>VLOOKUP(C248,[1]master_data!$A$2:$E$495,2,FALSE)</f>
        <v>PESO</v>
      </c>
      <c r="E248" s="16">
        <v>2</v>
      </c>
      <c r="F248" s="16">
        <f>VLOOKUP(C248,[1]master_data!$A$2:$E$495,3,FALSE)</f>
        <v>19000</v>
      </c>
      <c r="G248" s="16">
        <f>VLOOKUP(C248,[1]master_data!$A$2:$E$495,4,FALSE)</f>
        <v>40000</v>
      </c>
      <c r="H248" s="16">
        <f>E248*F248</f>
        <v>38000</v>
      </c>
      <c r="I248" s="16">
        <f>E248*G248</f>
        <v>80000</v>
      </c>
      <c r="J248" s="16">
        <f>I248-H248</f>
        <v>42000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44519</v>
      </c>
      <c r="B249" s="16" t="s">
        <v>1961</v>
      </c>
      <c r="C249" s="16" t="s">
        <v>338</v>
      </c>
      <c r="D249" s="16" t="str">
        <f>VLOOKUP(C249,[1]master_data!$A$2:$E$495,2,FALSE)</f>
        <v>CAROLINE</v>
      </c>
      <c r="E249" s="16">
        <v>25</v>
      </c>
      <c r="F249" s="16">
        <f>VLOOKUP(C249,[1]master_data!$A$2:$E$495,3,FALSE)</f>
        <v>900</v>
      </c>
      <c r="G249" s="16">
        <f>VLOOKUP(C249,[1]master_data!$A$2:$E$495,4,FALSE)</f>
        <v>2000</v>
      </c>
      <c r="H249" s="16">
        <f>E249*F249</f>
        <v>22500</v>
      </c>
      <c r="I249" s="16">
        <f>E249*G249</f>
        <v>50000</v>
      </c>
      <c r="J249" s="16">
        <f>I249-H249</f>
        <v>27500</v>
      </c>
      <c r="K249" s="16" t="str">
        <f>VLOOKUP(C249,[1]master_data!$A$2:$E$495,5,FALSE)</f>
        <v>Ikan</v>
      </c>
      <c r="L249" s="1"/>
    </row>
    <row r="250" spans="1:12" ht="12" customHeight="1" x14ac:dyDescent="0.25">
      <c r="A250" s="15">
        <v>44519</v>
      </c>
      <c r="B250" s="16" t="s">
        <v>1962</v>
      </c>
      <c r="C250" s="16" t="s">
        <v>361</v>
      </c>
      <c r="D250" s="16" t="str">
        <f>VLOOKUP(C250,[1]master_data!$A$2:$E$495,2,FALSE)</f>
        <v>CHANNA RED BARITO B</v>
      </c>
      <c r="E250" s="16">
        <v>1</v>
      </c>
      <c r="F250" s="16">
        <f>VLOOKUP(C250,[1]master_data!$A$2:$E$495,3,FALSE)</f>
        <v>120000</v>
      </c>
      <c r="G250" s="16">
        <f>VLOOKUP(C250,[1]master_data!$A$2:$E$495,4,FALSE)</f>
        <v>200000</v>
      </c>
      <c r="H250" s="16">
        <f>E250*F250</f>
        <v>120000</v>
      </c>
      <c r="I250" s="16">
        <f>E250*G250</f>
        <v>200000</v>
      </c>
      <c r="J250" s="16">
        <f>I250-H250</f>
        <v>80000</v>
      </c>
      <c r="K250" s="16" t="str">
        <f>VLOOKUP(C250,[1]master_data!$A$2:$E$495,5,FALSE)</f>
        <v>Ikan</v>
      </c>
      <c r="L250" s="1"/>
    </row>
    <row r="251" spans="1:12" ht="12" customHeight="1" x14ac:dyDescent="0.25">
      <c r="A251" s="15">
        <v>44519</v>
      </c>
      <c r="B251" s="16" t="s">
        <v>1963</v>
      </c>
      <c r="C251" s="16" t="s">
        <v>329</v>
      </c>
      <c r="D251" s="16" t="str">
        <f>VLOOKUP(C251,[1]master_data!$A$2:$E$495,2,FALSE)</f>
        <v>KOI K</v>
      </c>
      <c r="E251" s="16">
        <v>8</v>
      </c>
      <c r="F251" s="16">
        <f>VLOOKUP(C251,[1]master_data!$A$2:$E$495,3,FALSE)</f>
        <v>2500</v>
      </c>
      <c r="G251" s="16">
        <f>VLOOKUP(C251,[1]master_data!$A$2:$E$495,4,FALSE)</f>
        <v>10000</v>
      </c>
      <c r="H251" s="16">
        <f>E251*F251</f>
        <v>20000</v>
      </c>
      <c r="I251" s="16">
        <f>E251*G251</f>
        <v>80000</v>
      </c>
      <c r="J251" s="16">
        <f>I251-H251</f>
        <v>60000</v>
      </c>
      <c r="K251" s="16" t="str">
        <f>VLOOKUP(C251,[1]master_data!$A$2:$E$495,5,FALSE)</f>
        <v>Ikan</v>
      </c>
      <c r="L251" s="1"/>
    </row>
    <row r="252" spans="1:12" ht="12" customHeight="1" x14ac:dyDescent="0.25">
      <c r="A252" s="15">
        <v>44519</v>
      </c>
      <c r="B252" s="16" t="s">
        <v>1964</v>
      </c>
      <c r="C252" s="16" t="s">
        <v>304</v>
      </c>
      <c r="D252" s="16" t="str">
        <f>VLOOKUP(C252,[1]master_data!$A$2:$E$495,2,FALSE)</f>
        <v>CHANNA ANDRAO K</v>
      </c>
      <c r="E252" s="16">
        <v>2</v>
      </c>
      <c r="F252" s="16">
        <f>VLOOKUP(C252,[1]master_data!$A$2:$E$495,3,FALSE)</f>
        <v>20000</v>
      </c>
      <c r="G252" s="16">
        <f>VLOOKUP(C252,[1]master_data!$A$2:$E$495,4,FALSE)</f>
        <v>50000</v>
      </c>
      <c r="H252" s="16">
        <f>E252*F252</f>
        <v>40000</v>
      </c>
      <c r="I252" s="16">
        <f>E252*G252</f>
        <v>100000</v>
      </c>
      <c r="J252" s="16">
        <f>I252-H252</f>
        <v>60000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44518</v>
      </c>
      <c r="B253" s="16" t="s">
        <v>1951</v>
      </c>
      <c r="C253" s="16" t="s">
        <v>362</v>
      </c>
      <c r="D253" s="16" t="str">
        <f>VLOOKUP(C253,[1]master_data!$A$2:$E$495,2,FALSE)</f>
        <v>SUMATRA BIASA</v>
      </c>
      <c r="E253" s="16">
        <v>10</v>
      </c>
      <c r="F253" s="16">
        <f>VLOOKUP(C253,[1]master_data!$A$2:$E$495,3,FALSE)</f>
        <v>800</v>
      </c>
      <c r="G253" s="16">
        <f>VLOOKUP(C253,[1]master_data!$A$2:$E$495,4,FALSE)</f>
        <v>2000</v>
      </c>
      <c r="H253" s="16">
        <f>E253*F253</f>
        <v>8000</v>
      </c>
      <c r="I253" s="16">
        <f>E253*G253</f>
        <v>20000</v>
      </c>
      <c r="J253" s="16">
        <f>I253-H253</f>
        <v>12000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44518</v>
      </c>
      <c r="B254" s="16" t="s">
        <v>1952</v>
      </c>
      <c r="C254" s="16" t="s">
        <v>226</v>
      </c>
      <c r="D254" s="16" t="str">
        <f>VLOOKUP(C254,[1]master_data!$A$2:$E$495,2,FALSE)</f>
        <v>KRAN 2 W</v>
      </c>
      <c r="E254" s="16">
        <v>30</v>
      </c>
      <c r="F254" s="16">
        <f>VLOOKUP(C254,[1]master_data!$A$2:$E$495,3,FALSE)</f>
        <v>4000</v>
      </c>
      <c r="G254" s="16">
        <f>VLOOKUP(C254,[1]master_data!$A$2:$E$495,4,FALSE)</f>
        <v>6000</v>
      </c>
      <c r="H254" s="16">
        <f>E254*F254</f>
        <v>120000</v>
      </c>
      <c r="I254" s="16">
        <f>E254*G254</f>
        <v>180000</v>
      </c>
      <c r="J254" s="16">
        <f>I254-H254</f>
        <v>60000</v>
      </c>
      <c r="K254" s="16" t="str">
        <f>VLOOKUP(C254,[1]master_data!$A$2:$E$495,5,FALSE)</f>
        <v>Aksesoris</v>
      </c>
      <c r="L254" s="1"/>
    </row>
    <row r="255" spans="1:12" ht="12" customHeight="1" x14ac:dyDescent="0.25">
      <c r="A255" s="15">
        <v>44518</v>
      </c>
      <c r="B255" s="16" t="s">
        <v>1953</v>
      </c>
      <c r="C255" s="16" t="s">
        <v>284</v>
      </c>
      <c r="D255" s="16" t="str">
        <f>VLOOKUP(C255,[1]master_data!$A$2:$E$495,2,FALSE)</f>
        <v>AKUARIUM 70 POLOS</v>
      </c>
      <c r="E255" s="16">
        <v>2</v>
      </c>
      <c r="F255" s="16">
        <f>VLOOKUP(C255,[1]master_data!$A$2:$E$495,3,FALSE)</f>
        <v>150000</v>
      </c>
      <c r="G255" s="16">
        <f>VLOOKUP(C255,[1]master_data!$A$2:$E$495,4,FALSE)</f>
        <v>200000</v>
      </c>
      <c r="H255" s="16">
        <f>E255*F255</f>
        <v>300000</v>
      </c>
      <c r="I255" s="16">
        <f>E255*G255</f>
        <v>400000</v>
      </c>
      <c r="J255" s="16">
        <f>I255-H255</f>
        <v>100000</v>
      </c>
      <c r="K255" s="16" t="str">
        <f>VLOOKUP(C255,[1]master_data!$A$2:$E$495,5,FALSE)</f>
        <v>Aksesoris</v>
      </c>
      <c r="L255" s="1"/>
    </row>
    <row r="256" spans="1:12" ht="12" customHeight="1" x14ac:dyDescent="0.25">
      <c r="A256" s="15">
        <v>44518</v>
      </c>
      <c r="B256" s="16" t="s">
        <v>1954</v>
      </c>
      <c r="C256" s="16" t="s">
        <v>211</v>
      </c>
      <c r="D256" s="16" t="str">
        <f>VLOOKUP(C256,[1]master_data!$A$2:$E$495,2,FALSE)</f>
        <v>COP SEKAT KACA</v>
      </c>
      <c r="E256" s="16">
        <v>30</v>
      </c>
      <c r="F256" s="16">
        <f>VLOOKUP(C256,[1]master_data!$A$2:$E$495,3,FALSE)</f>
        <v>800</v>
      </c>
      <c r="G256" s="16">
        <f>VLOOKUP(C256,[1]master_data!$A$2:$E$495,4,FALSE)</f>
        <v>2000</v>
      </c>
      <c r="H256" s="16">
        <f>E256*F256</f>
        <v>24000</v>
      </c>
      <c r="I256" s="16">
        <f>E256*G256</f>
        <v>60000</v>
      </c>
      <c r="J256" s="16">
        <f>I256-H256</f>
        <v>36000</v>
      </c>
      <c r="K256" s="16" t="str">
        <f>VLOOKUP(C256,[1]master_data!$A$2:$E$495,5,FALSE)</f>
        <v>Aksesoris</v>
      </c>
      <c r="L256" s="1"/>
    </row>
    <row r="257" spans="1:12" ht="12" customHeight="1" x14ac:dyDescent="0.25">
      <c r="A257" s="15">
        <v>44518</v>
      </c>
      <c r="B257" s="16" t="s">
        <v>1955</v>
      </c>
      <c r="C257" s="16" t="s">
        <v>307</v>
      </c>
      <c r="D257" s="16" t="str">
        <f>VLOOKUP(C257,[1]master_data!$A$2:$E$495,2,FALSE)</f>
        <v>ARWANA SILVER K</v>
      </c>
      <c r="E257" s="16">
        <v>2</v>
      </c>
      <c r="F257" s="16">
        <f>VLOOKUP(C257,[1]master_data!$A$2:$E$495,3,FALSE)</f>
        <v>100000</v>
      </c>
      <c r="G257" s="16">
        <f>VLOOKUP(C257,[1]master_data!$A$2:$E$495,4,FALSE)</f>
        <v>200000</v>
      </c>
      <c r="H257" s="16">
        <f>E257*F257</f>
        <v>200000</v>
      </c>
      <c r="I257" s="16">
        <f>E257*G257</f>
        <v>400000</v>
      </c>
      <c r="J257" s="16">
        <f>I257-H257</f>
        <v>200000</v>
      </c>
      <c r="K257" s="16" t="str">
        <f>VLOOKUP(C257,[1]master_data!$A$2:$E$495,5,FALSE)</f>
        <v>Ikan</v>
      </c>
      <c r="L257" s="1"/>
    </row>
    <row r="258" spans="1:12" ht="12" customHeight="1" x14ac:dyDescent="0.25">
      <c r="A258" s="15">
        <v>44518</v>
      </c>
      <c r="B258" s="16" t="s">
        <v>1956</v>
      </c>
      <c r="C258" s="16" t="s">
        <v>114</v>
      </c>
      <c r="D258" s="16" t="str">
        <f>VLOOKUP(C258,[1]master_data!$A$2:$E$495,2,FALSE)</f>
        <v>LED NIKITA NS 600</v>
      </c>
      <c r="E258" s="16">
        <v>1</v>
      </c>
      <c r="F258" s="16">
        <f>VLOOKUP(C258,[1]master_data!$A$2:$E$495,3,FALSE)</f>
        <v>50000</v>
      </c>
      <c r="G258" s="16">
        <f>VLOOKUP(C258,[1]master_data!$A$2:$E$495,4,FALSE)</f>
        <v>75000</v>
      </c>
      <c r="H258" s="16">
        <f>E258*F258</f>
        <v>50000</v>
      </c>
      <c r="I258" s="16">
        <f>E258*G258</f>
        <v>75000</v>
      </c>
      <c r="J258" s="16">
        <f>I258-H258</f>
        <v>25000</v>
      </c>
      <c r="K258" s="16" t="str">
        <f>VLOOKUP(C258,[1]master_data!$A$2:$E$495,5,FALSE)</f>
        <v>Aksesoris</v>
      </c>
      <c r="L258" s="1"/>
    </row>
    <row r="259" spans="1:12" ht="12" customHeight="1" x14ac:dyDescent="0.25">
      <c r="A259" s="15">
        <v>44518</v>
      </c>
      <c r="B259" s="16" t="s">
        <v>1957</v>
      </c>
      <c r="C259" s="16" t="s">
        <v>304</v>
      </c>
      <c r="D259" s="16" t="str">
        <f>VLOOKUP(C259,[1]master_data!$A$2:$E$495,2,FALSE)</f>
        <v>CHANNA ANDRAO K</v>
      </c>
      <c r="E259" s="16">
        <v>2</v>
      </c>
      <c r="F259" s="16">
        <f>VLOOKUP(C259,[1]master_data!$A$2:$E$495,3,FALSE)</f>
        <v>20000</v>
      </c>
      <c r="G259" s="16">
        <f>VLOOKUP(C259,[1]master_data!$A$2:$E$495,4,FALSE)</f>
        <v>50000</v>
      </c>
      <c r="H259" s="16">
        <f>E259*F259</f>
        <v>40000</v>
      </c>
      <c r="I259" s="16">
        <f>E259*G259</f>
        <v>100000</v>
      </c>
      <c r="J259" s="16">
        <f>I259-H259</f>
        <v>60000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44517</v>
      </c>
      <c r="B260" s="16" t="s">
        <v>1945</v>
      </c>
      <c r="C260" s="16" t="s">
        <v>157</v>
      </c>
      <c r="D260" s="16" t="str">
        <f>VLOOKUP(C260,[1]master_data!$A$2:$E$495,2,FALSE)</f>
        <v>LED KANDILA DnN ECO 50 CM</v>
      </c>
      <c r="E260" s="16">
        <v>5</v>
      </c>
      <c r="F260" s="16">
        <f>VLOOKUP(C260,[1]master_data!$A$2:$E$495,3,FALSE)</f>
        <v>56000</v>
      </c>
      <c r="G260" s="16">
        <f>VLOOKUP(C260,[1]master_data!$A$2:$E$495,4,FALSE)</f>
        <v>85000</v>
      </c>
      <c r="H260" s="16">
        <f>E260*F260</f>
        <v>280000</v>
      </c>
      <c r="I260" s="16">
        <f>E260*G260</f>
        <v>425000</v>
      </c>
      <c r="J260" s="16">
        <f>I260-H260</f>
        <v>145000</v>
      </c>
      <c r="K260" s="16" t="str">
        <f>VLOOKUP(C260,[1]master_data!$A$2:$E$495,5,FALSE)</f>
        <v>Aksesoris</v>
      </c>
      <c r="L260" s="1"/>
    </row>
    <row r="261" spans="1:12" ht="12" customHeight="1" x14ac:dyDescent="0.25">
      <c r="A261" s="15">
        <v>44517</v>
      </c>
      <c r="B261" s="16" t="s">
        <v>1946</v>
      </c>
      <c r="C261" s="16" t="s">
        <v>366</v>
      </c>
      <c r="D261" s="16" t="str">
        <f>VLOOKUP(C261,[1]master_data!$A$2:$E$495,2,FALSE)</f>
        <v>SYNODONTI B</v>
      </c>
      <c r="E261" s="16">
        <v>15</v>
      </c>
      <c r="F261" s="16">
        <f>VLOOKUP(C261,[1]master_data!$A$2:$E$495,3,FALSE)</f>
        <v>4000</v>
      </c>
      <c r="G261" s="16">
        <f>VLOOKUP(C261,[1]master_data!$A$2:$E$495,4,FALSE)</f>
        <v>10000</v>
      </c>
      <c r="H261" s="16">
        <f>E261*F261</f>
        <v>60000</v>
      </c>
      <c r="I261" s="16">
        <f>E261*G261</f>
        <v>150000</v>
      </c>
      <c r="J261" s="16">
        <f>I261-H261</f>
        <v>90000</v>
      </c>
      <c r="K261" s="16" t="str">
        <f>VLOOKUP(C261,[1]master_data!$A$2:$E$495,5,FALSE)</f>
        <v>Ikan</v>
      </c>
      <c r="L261" s="1"/>
    </row>
    <row r="262" spans="1:12" ht="12" customHeight="1" x14ac:dyDescent="0.25">
      <c r="A262" s="15">
        <v>44517</v>
      </c>
      <c r="B262" s="16" t="s">
        <v>1947</v>
      </c>
      <c r="C262" s="16" t="s">
        <v>337</v>
      </c>
      <c r="D262" s="16" t="str">
        <f>VLOOKUP(C262,[1]master_data!$A$2:$E$495,2,FALSE)</f>
        <v>KOI SLAYER B</v>
      </c>
      <c r="E262" s="16">
        <v>2</v>
      </c>
      <c r="F262" s="16">
        <f>VLOOKUP(C262,[1]master_data!$A$2:$E$495,3,FALSE)</f>
        <v>8000</v>
      </c>
      <c r="G262" s="16">
        <f>VLOOKUP(C262,[1]master_data!$A$2:$E$495,4,FALSE)</f>
        <v>20000</v>
      </c>
      <c r="H262" s="16">
        <f>E262*F262</f>
        <v>16000</v>
      </c>
      <c r="I262" s="16">
        <f>E262*G262</f>
        <v>40000</v>
      </c>
      <c r="J262" s="16">
        <f>I262-H262</f>
        <v>24000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44517</v>
      </c>
      <c r="B263" s="16" t="s">
        <v>1948</v>
      </c>
      <c r="C263" s="16" t="s">
        <v>146</v>
      </c>
      <c r="D263" s="16" t="str">
        <f>VLOOKUP(C263,[1]master_data!$A$2:$E$495,2,FALSE)</f>
        <v>LED AQURA 40 CM</v>
      </c>
      <c r="E263" s="16">
        <v>1</v>
      </c>
      <c r="F263" s="16">
        <f>VLOOKUP(C263,[1]master_data!$A$2:$E$495,3,FALSE)</f>
        <v>21000</v>
      </c>
      <c r="G263" s="16">
        <f>VLOOKUP(C263,[1]master_data!$A$2:$E$495,4,FALSE)</f>
        <v>40000</v>
      </c>
      <c r="H263" s="16">
        <f>E263*F263</f>
        <v>21000</v>
      </c>
      <c r="I263" s="16">
        <f>E263*G263</f>
        <v>40000</v>
      </c>
      <c r="J263" s="16">
        <f>I263-H263</f>
        <v>19000</v>
      </c>
      <c r="K263" s="16" t="str">
        <f>VLOOKUP(C263,[1]master_data!$A$2:$E$495,5,FALSE)</f>
        <v>Aksesoris</v>
      </c>
      <c r="L263" s="1"/>
    </row>
    <row r="264" spans="1:12" ht="12" customHeight="1" x14ac:dyDescent="0.25">
      <c r="A264" s="15">
        <v>44517</v>
      </c>
      <c r="B264" s="16" t="s">
        <v>1949</v>
      </c>
      <c r="C264" s="16" t="s">
        <v>353</v>
      </c>
      <c r="D264" s="16" t="str">
        <f>VLOOKUP(C264,[1]master_data!$A$2:$E$495,2,FALSE)</f>
        <v>PEMBERSIH KACA BIASA</v>
      </c>
      <c r="E264" s="16">
        <v>21</v>
      </c>
      <c r="F264" s="16">
        <f>VLOOKUP(C264,[1]master_data!$A$2:$E$495,3,FALSE)</f>
        <v>2000</v>
      </c>
      <c r="G264" s="16">
        <f>VLOOKUP(C264,[1]master_data!$A$2:$E$495,4,FALSE)</f>
        <v>5000</v>
      </c>
      <c r="H264" s="16">
        <f>E264*F264</f>
        <v>42000</v>
      </c>
      <c r="I264" s="16">
        <f>E264*G264</f>
        <v>105000</v>
      </c>
      <c r="J264" s="16">
        <f>I264-H264</f>
        <v>63000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44517</v>
      </c>
      <c r="B265" s="16" t="s">
        <v>1950</v>
      </c>
      <c r="C265" s="16" t="s">
        <v>193</v>
      </c>
      <c r="D265" s="16" t="str">
        <f>VLOOKUP(C265,[1]master_data!$A$2:$E$495,2,FALSE)</f>
        <v>TAKARI SINKING</v>
      </c>
      <c r="E265" s="16">
        <v>1</v>
      </c>
      <c r="F265" s="16">
        <f>VLOOKUP(C265,[1]master_data!$A$2:$E$495,3,FALSE)</f>
        <v>7100</v>
      </c>
      <c r="G265" s="16">
        <f>VLOOKUP(C265,[1]master_data!$A$2:$E$495,4,FALSE)</f>
        <v>10000</v>
      </c>
      <c r="H265" s="16">
        <f>E265*F265</f>
        <v>7100</v>
      </c>
      <c r="I265" s="16">
        <f>E265*G265</f>
        <v>10000</v>
      </c>
      <c r="J265" s="16">
        <f>I265-H265</f>
        <v>2900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44516</v>
      </c>
      <c r="B266" s="16" t="s">
        <v>1941</v>
      </c>
      <c r="C266" s="16" t="s">
        <v>226</v>
      </c>
      <c r="D266" s="16" t="str">
        <f>VLOOKUP(C266,[1]master_data!$A$2:$E$495,2,FALSE)</f>
        <v>KRAN 2 W</v>
      </c>
      <c r="E266" s="16">
        <v>25</v>
      </c>
      <c r="F266" s="16">
        <f>VLOOKUP(C266,[1]master_data!$A$2:$E$495,3,FALSE)</f>
        <v>4000</v>
      </c>
      <c r="G266" s="16">
        <f>VLOOKUP(C266,[1]master_data!$A$2:$E$495,4,FALSE)</f>
        <v>6000</v>
      </c>
      <c r="H266" s="16">
        <f>E266*F266</f>
        <v>100000</v>
      </c>
      <c r="I266" s="16">
        <f>E266*G266</f>
        <v>150000</v>
      </c>
      <c r="J266" s="16">
        <f>I266-H266</f>
        <v>50000</v>
      </c>
      <c r="K266" s="16" t="str">
        <f>VLOOKUP(C266,[1]master_data!$A$2:$E$495,5,FALSE)</f>
        <v>Aksesoris</v>
      </c>
      <c r="L266" s="1"/>
    </row>
    <row r="267" spans="1:12" ht="12" customHeight="1" x14ac:dyDescent="0.25">
      <c r="A267" s="15">
        <v>44516</v>
      </c>
      <c r="B267" s="16" t="s">
        <v>1942</v>
      </c>
      <c r="C267" s="16" t="s">
        <v>57</v>
      </c>
      <c r="D267" s="16" t="str">
        <f>VLOOKUP(C267,[1]master_data!$A$2:$E$495,2,FALSE)</f>
        <v>MINI FILTER</v>
      </c>
      <c r="E267" s="16">
        <v>2</v>
      </c>
      <c r="F267" s="16">
        <f>VLOOKUP(C267,[1]master_data!$A$2:$E$495,3,FALSE)</f>
        <v>13000</v>
      </c>
      <c r="G267" s="16">
        <f>VLOOKUP(C267,[1]master_data!$A$2:$E$495,4,FALSE)</f>
        <v>25000</v>
      </c>
      <c r="H267" s="16">
        <f>E267*F267</f>
        <v>26000</v>
      </c>
      <c r="I267" s="16">
        <f>E267*G267</f>
        <v>50000</v>
      </c>
      <c r="J267" s="16">
        <f>I267-H267</f>
        <v>24000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44516</v>
      </c>
      <c r="B268" s="16" t="s">
        <v>1943</v>
      </c>
      <c r="C268" s="16" t="s">
        <v>360</v>
      </c>
      <c r="D268" s="16" t="str">
        <f>VLOOKUP(C268,[1]master_data!$A$2:$E$495,2,FALSE)</f>
        <v xml:space="preserve"> CHANNA RED BARITO K</v>
      </c>
      <c r="E268" s="16">
        <v>5</v>
      </c>
      <c r="F268" s="16">
        <f>VLOOKUP(C268,[1]master_data!$A$2:$E$495,3,FALSE)</f>
        <v>45000</v>
      </c>
      <c r="G268" s="16">
        <f>VLOOKUP(C268,[1]master_data!$A$2:$E$495,4,FALSE)</f>
        <v>100000</v>
      </c>
      <c r="H268" s="16">
        <f>E268*F268</f>
        <v>225000</v>
      </c>
      <c r="I268" s="16">
        <f>E268*G268</f>
        <v>500000</v>
      </c>
      <c r="J268" s="16">
        <f>I268-H268</f>
        <v>275000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44516</v>
      </c>
      <c r="B269" s="16" t="s">
        <v>1944</v>
      </c>
      <c r="C269" s="16" t="s">
        <v>296</v>
      </c>
      <c r="D269" s="16" t="str">
        <f>VLOOKUP(C269,[1]master_data!$A$2:$E$495,2,FALSE)</f>
        <v>PASIR PANTAI</v>
      </c>
      <c r="E269" s="16">
        <v>1</v>
      </c>
      <c r="F269" s="16">
        <f>VLOOKUP(C269,[1]master_data!$A$2:$E$495,3,FALSE)</f>
        <v>5000</v>
      </c>
      <c r="G269" s="16">
        <f>VLOOKUP(C269,[1]master_data!$A$2:$E$495,4,FALSE)</f>
        <v>10000</v>
      </c>
      <c r="H269" s="16">
        <f>E269*F269</f>
        <v>5000</v>
      </c>
      <c r="I269" s="16">
        <f>E269*G269</f>
        <v>10000</v>
      </c>
      <c r="J269" s="16">
        <f>I269-H269</f>
        <v>5000</v>
      </c>
      <c r="K269" s="16" t="str">
        <f>VLOOKUP(C269,[1]master_data!$A$2:$E$495,5,FALSE)</f>
        <v>Aksesoris</v>
      </c>
      <c r="L269" s="1"/>
    </row>
    <row r="270" spans="1:12" ht="12" customHeight="1" x14ac:dyDescent="0.25">
      <c r="A270" s="15">
        <v>44515</v>
      </c>
      <c r="B270" s="16" t="s">
        <v>1933</v>
      </c>
      <c r="C270" s="16" t="s">
        <v>345</v>
      </c>
      <c r="D270" s="16" t="str">
        <f>VLOOKUP(C270,[1]master_data!$A$2:$E$495,2,FALSE)</f>
        <v>MARU B</v>
      </c>
      <c r="E270" s="16">
        <v>2</v>
      </c>
      <c r="F270" s="16">
        <f>VLOOKUP(C270,[1]master_data!$A$2:$E$495,3,FALSE)</f>
        <v>90000</v>
      </c>
      <c r="G270" s="16">
        <f>VLOOKUP(C270,[1]master_data!$A$2:$E$495,4,FALSE)</f>
        <v>150000</v>
      </c>
      <c r="H270" s="16">
        <f>E270*F270</f>
        <v>180000</v>
      </c>
      <c r="I270" s="16">
        <f>E270*G270</f>
        <v>300000</v>
      </c>
      <c r="J270" s="16">
        <f>I270-H270</f>
        <v>120000</v>
      </c>
      <c r="K270" s="16" t="str">
        <f>VLOOKUP(C270,[1]master_data!$A$2:$E$495,5,FALSE)</f>
        <v>Ikan</v>
      </c>
      <c r="L270" s="1"/>
    </row>
    <row r="271" spans="1:12" ht="12" customHeight="1" x14ac:dyDescent="0.25">
      <c r="A271" s="15">
        <v>44515</v>
      </c>
      <c r="B271" s="16" t="s">
        <v>1934</v>
      </c>
      <c r="C271" s="16" t="s">
        <v>358</v>
      </c>
      <c r="D271" s="16" t="str">
        <f>VLOOKUP(C271,[1]master_data!$A$2:$E$495,2,FALSE)</f>
        <v>REDFIN HITAM</v>
      </c>
      <c r="E271" s="16">
        <v>15</v>
      </c>
      <c r="F271" s="16">
        <f>VLOOKUP(C271,[1]master_data!$A$2:$E$495,3,FALSE)</f>
        <v>1500</v>
      </c>
      <c r="G271" s="16">
        <f>VLOOKUP(C271,[1]master_data!$A$2:$E$495,4,FALSE)</f>
        <v>4000</v>
      </c>
      <c r="H271" s="16">
        <f>E271*F271</f>
        <v>22500</v>
      </c>
      <c r="I271" s="16">
        <f>E271*G271</f>
        <v>60000</v>
      </c>
      <c r="J271" s="16">
        <f>I271-H271</f>
        <v>37500</v>
      </c>
      <c r="K271" s="16" t="str">
        <f>VLOOKUP(C271,[1]master_data!$A$2:$E$495,5,FALSE)</f>
        <v>Ikan</v>
      </c>
      <c r="L271" s="1"/>
    </row>
    <row r="272" spans="1:12" ht="12" customHeight="1" x14ac:dyDescent="0.25">
      <c r="A272" s="15">
        <v>44515</v>
      </c>
      <c r="B272" s="16" t="s">
        <v>1935</v>
      </c>
      <c r="C272" s="16" t="s">
        <v>363</v>
      </c>
      <c r="D272" s="16" t="str">
        <f>VLOOKUP(C272,[1]master_data!$A$2:$E$495,2,FALSE)</f>
        <v>SUMATRA GOLD FISH</v>
      </c>
      <c r="E272" s="16">
        <v>30</v>
      </c>
      <c r="F272" s="16">
        <f>VLOOKUP(C272,[1]master_data!$A$2:$E$495,3,FALSE)</f>
        <v>2500</v>
      </c>
      <c r="G272" s="16">
        <f>VLOOKUP(C272,[1]master_data!$A$2:$E$495,4,FALSE)</f>
        <v>4000</v>
      </c>
      <c r="H272" s="16">
        <f>E272*F272</f>
        <v>75000</v>
      </c>
      <c r="I272" s="16">
        <f>E272*G272</f>
        <v>120000</v>
      </c>
      <c r="J272" s="16">
        <f>I272-H272</f>
        <v>45000</v>
      </c>
      <c r="K272" s="16" t="str">
        <f>VLOOKUP(C272,[1]master_data!$A$2:$E$495,5,FALSE)</f>
        <v>Ikan</v>
      </c>
      <c r="L272" s="1"/>
    </row>
    <row r="273" spans="1:12" ht="12" customHeight="1" x14ac:dyDescent="0.25">
      <c r="A273" s="15">
        <v>44515</v>
      </c>
      <c r="B273" s="16" t="s">
        <v>1936</v>
      </c>
      <c r="C273" s="16" t="s">
        <v>367</v>
      </c>
      <c r="D273" s="16" t="str">
        <f>VLOOKUP(C273,[1]master_data!$A$2:$E$495,2,FALSE)</f>
        <v>TETRA</v>
      </c>
      <c r="E273" s="16">
        <v>10</v>
      </c>
      <c r="F273" s="16">
        <f>VLOOKUP(C273,[1]master_data!$A$2:$E$495,3,FALSE)</f>
        <v>800</v>
      </c>
      <c r="G273" s="16">
        <f>VLOOKUP(C273,[1]master_data!$A$2:$E$495,4,FALSE)</f>
        <v>2000</v>
      </c>
      <c r="H273" s="16">
        <f>E273*F273</f>
        <v>8000</v>
      </c>
      <c r="I273" s="16">
        <f>E273*G273</f>
        <v>20000</v>
      </c>
      <c r="J273" s="16">
        <f>I273-H273</f>
        <v>12000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44515</v>
      </c>
      <c r="B274" s="16" t="s">
        <v>1937</v>
      </c>
      <c r="C274" s="16" t="s">
        <v>316</v>
      </c>
      <c r="D274" s="16" t="str">
        <f>VLOOKUP(C274,[1]master_data!$A$2:$E$495,2,FALSE)</f>
        <v>CHANNA BLUE PULCHRA K</v>
      </c>
      <c r="E274" s="16">
        <v>2</v>
      </c>
      <c r="F274" s="16">
        <f>VLOOKUP(C274,[1]master_data!$A$2:$E$495,3,FALSE)</f>
        <v>25000</v>
      </c>
      <c r="G274" s="16">
        <f>VLOOKUP(C274,[1]master_data!$A$2:$E$495,4,FALSE)</f>
        <v>50000</v>
      </c>
      <c r="H274" s="16">
        <f>E274*F274</f>
        <v>50000</v>
      </c>
      <c r="I274" s="16">
        <f>E274*G274</f>
        <v>100000</v>
      </c>
      <c r="J274" s="16">
        <f>I274-H274</f>
        <v>50000</v>
      </c>
      <c r="K274" s="16" t="str">
        <f>VLOOKUP(C274,[1]master_data!$A$2:$E$495,5,FALSE)</f>
        <v>Ikan</v>
      </c>
      <c r="L274" s="1"/>
    </row>
    <row r="275" spans="1:12" ht="12" customHeight="1" x14ac:dyDescent="0.25">
      <c r="A275" s="15">
        <v>44515</v>
      </c>
      <c r="B275" s="16" t="s">
        <v>1938</v>
      </c>
      <c r="C275" s="16" t="s">
        <v>330</v>
      </c>
      <c r="D275" s="16" t="str">
        <f>VLOOKUP(C275,[1]master_data!$A$2:$E$495,2,FALSE)</f>
        <v>KOI T</v>
      </c>
      <c r="E275" s="16">
        <v>10</v>
      </c>
      <c r="F275" s="16">
        <f>VLOOKUP(C275,[1]master_data!$A$2:$E$495,3,FALSE)</f>
        <v>7000</v>
      </c>
      <c r="G275" s="16">
        <f>VLOOKUP(C275,[1]master_data!$A$2:$E$495,4,FALSE)</f>
        <v>20000</v>
      </c>
      <c r="H275" s="16">
        <f>E275*F275</f>
        <v>70000</v>
      </c>
      <c r="I275" s="16">
        <f>E275*G275</f>
        <v>200000</v>
      </c>
      <c r="J275" s="16">
        <f>I275-H275</f>
        <v>130000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44515</v>
      </c>
      <c r="B276" s="16" t="s">
        <v>1939</v>
      </c>
      <c r="C276" s="16" t="s">
        <v>357</v>
      </c>
      <c r="D276" s="16" t="str">
        <f>VLOOKUP(C276,[1]master_data!$A$2:$E$495,2,FALSE)</f>
        <v>PESO</v>
      </c>
      <c r="E276" s="16">
        <v>1</v>
      </c>
      <c r="F276" s="16">
        <f>VLOOKUP(C276,[1]master_data!$A$2:$E$495,3,FALSE)</f>
        <v>19000</v>
      </c>
      <c r="G276" s="16">
        <f>VLOOKUP(C276,[1]master_data!$A$2:$E$495,4,FALSE)</f>
        <v>40000</v>
      </c>
      <c r="H276" s="16">
        <f>E276*F276</f>
        <v>19000</v>
      </c>
      <c r="I276" s="16">
        <f>E276*G276</f>
        <v>40000</v>
      </c>
      <c r="J276" s="16">
        <f>I276-H276</f>
        <v>21000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44515</v>
      </c>
      <c r="B277" s="16" t="s">
        <v>1940</v>
      </c>
      <c r="C277" s="16" t="s">
        <v>296</v>
      </c>
      <c r="D277" s="16" t="str">
        <f>VLOOKUP(C277,[1]master_data!$A$2:$E$495,2,FALSE)</f>
        <v>PASIR PANTAI</v>
      </c>
      <c r="E277" s="16">
        <v>1</v>
      </c>
      <c r="F277" s="16">
        <f>VLOOKUP(C277,[1]master_data!$A$2:$E$495,3,FALSE)</f>
        <v>5000</v>
      </c>
      <c r="G277" s="16">
        <f>VLOOKUP(C277,[1]master_data!$A$2:$E$495,4,FALSE)</f>
        <v>10000</v>
      </c>
      <c r="H277" s="16">
        <f>E277*F277</f>
        <v>5000</v>
      </c>
      <c r="I277" s="16">
        <f>E277*G277</f>
        <v>10000</v>
      </c>
      <c r="J277" s="16">
        <f>I277-H277</f>
        <v>5000</v>
      </c>
      <c r="K277" s="16" t="str">
        <f>VLOOKUP(C277,[1]master_data!$A$2:$E$495,5,FALSE)</f>
        <v>Aksesoris</v>
      </c>
      <c r="L277" s="1"/>
    </row>
    <row r="278" spans="1:12" ht="12" customHeight="1" x14ac:dyDescent="0.25">
      <c r="A278" s="15">
        <v>44514</v>
      </c>
      <c r="B278" s="16" t="s">
        <v>1929</v>
      </c>
      <c r="C278" s="16" t="s">
        <v>239</v>
      </c>
      <c r="D278" s="16" t="str">
        <f>VLOOKUP(C278,[1]master_data!$A$2:$E$495,2,FALSE)</f>
        <v>OBAT QUARANTINI MED</v>
      </c>
      <c r="E278" s="16">
        <v>10</v>
      </c>
      <c r="F278" s="16">
        <f>VLOOKUP(C278,[1]master_data!$A$2:$E$495,3,FALSE)</f>
        <v>37000</v>
      </c>
      <c r="G278" s="16">
        <f>VLOOKUP(C278,[1]master_data!$A$2:$E$495,4,FALSE)</f>
        <v>60000</v>
      </c>
      <c r="H278" s="16">
        <f>E278*F278</f>
        <v>370000</v>
      </c>
      <c r="I278" s="16">
        <f>E278*G278</f>
        <v>600000</v>
      </c>
      <c r="J278" s="16">
        <f>I278-H278</f>
        <v>230000</v>
      </c>
      <c r="K278" s="16" t="str">
        <f>VLOOKUP(C278,[1]master_data!$A$2:$E$495,5,FALSE)</f>
        <v>Aksesoris</v>
      </c>
      <c r="L278" s="1"/>
    </row>
    <row r="279" spans="1:12" ht="12" customHeight="1" x14ac:dyDescent="0.25">
      <c r="A279" s="15">
        <v>44514</v>
      </c>
      <c r="B279" s="16" t="s">
        <v>1930</v>
      </c>
      <c r="C279" s="16" t="s">
        <v>257</v>
      </c>
      <c r="D279" s="16" t="str">
        <f>VLOOKUP(C279,[1]master_data!$A$2:$E$495,2,FALSE)</f>
        <v>JARING PENDEK BULAT</v>
      </c>
      <c r="E279" s="16">
        <v>8</v>
      </c>
      <c r="F279" s="16">
        <f>VLOOKUP(C279,[1]master_data!$A$2:$E$495,3,FALSE)</f>
        <v>15000</v>
      </c>
      <c r="G279" s="16">
        <f>VLOOKUP(C279,[1]master_data!$A$2:$E$495,4,FALSE)</f>
        <v>30000</v>
      </c>
      <c r="H279" s="16">
        <f>E279*F279</f>
        <v>120000</v>
      </c>
      <c r="I279" s="16">
        <f>E279*G279</f>
        <v>240000</v>
      </c>
      <c r="J279" s="16">
        <f>I279-H279</f>
        <v>120000</v>
      </c>
      <c r="K279" s="16" t="str">
        <f>VLOOKUP(C279,[1]master_data!$A$2:$E$495,5,FALSE)</f>
        <v>Aksesoris</v>
      </c>
      <c r="L279" s="1"/>
    </row>
    <row r="280" spans="1:12" ht="12" customHeight="1" x14ac:dyDescent="0.25">
      <c r="A280" s="15">
        <v>44514</v>
      </c>
      <c r="B280" s="16" t="s">
        <v>1931</v>
      </c>
      <c r="C280" s="16" t="s">
        <v>287</v>
      </c>
      <c r="D280" s="16" t="str">
        <f>VLOOKUP(C280,[1]master_data!$A$2:$E$495,2,FALSE)</f>
        <v>TUTUP AKUARIUM L</v>
      </c>
      <c r="E280" s="16">
        <v>1</v>
      </c>
      <c r="F280" s="16">
        <f>VLOOKUP(C280,[1]master_data!$A$2:$E$495,3,FALSE)</f>
        <v>28000</v>
      </c>
      <c r="G280" s="16">
        <f>VLOOKUP(C280,[1]master_data!$A$2:$E$495,4,FALSE)</f>
        <v>40000</v>
      </c>
      <c r="H280" s="16">
        <f>E280*F280</f>
        <v>28000</v>
      </c>
      <c r="I280" s="16">
        <f>E280*G280</f>
        <v>40000</v>
      </c>
      <c r="J280" s="16">
        <f>I280-H280</f>
        <v>12000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44514</v>
      </c>
      <c r="B281" s="16" t="s">
        <v>1932</v>
      </c>
      <c r="C281" s="16" t="s">
        <v>328</v>
      </c>
      <c r="D281" s="16" t="str">
        <f>VLOOKUP(C281,[1]master_data!$A$2:$E$495,2,FALSE)</f>
        <v>KOKI B</v>
      </c>
      <c r="E281" s="16">
        <v>1</v>
      </c>
      <c r="F281" s="16">
        <f>VLOOKUP(C281,[1]master_data!$A$2:$E$495,3,FALSE)</f>
        <v>20000</v>
      </c>
      <c r="G281" s="16">
        <f>VLOOKUP(C281,[1]master_data!$A$2:$E$495,4,FALSE)</f>
        <v>50000</v>
      </c>
      <c r="H281" s="16">
        <f>E281*F281</f>
        <v>20000</v>
      </c>
      <c r="I281" s="16">
        <f>E281*G281</f>
        <v>50000</v>
      </c>
      <c r="J281" s="16">
        <f>I281-H281</f>
        <v>30000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44513</v>
      </c>
      <c r="B282" s="16" t="s">
        <v>1918</v>
      </c>
      <c r="C282" s="16" t="s">
        <v>314</v>
      </c>
      <c r="D282" s="16" t="str">
        <f>VLOOKUP(C282,[1]master_data!$A$2:$E$495,2,FALSE)</f>
        <v>BALA BALA B</v>
      </c>
      <c r="E282" s="16">
        <v>2</v>
      </c>
      <c r="F282" s="16">
        <f>VLOOKUP(C282,[1]master_data!$A$2:$E$495,3,FALSE)</f>
        <v>7000</v>
      </c>
      <c r="G282" s="16">
        <f>VLOOKUP(C282,[1]master_data!$A$2:$E$495,4,FALSE)</f>
        <v>15000</v>
      </c>
      <c r="H282" s="16">
        <f>E282*F282</f>
        <v>14000</v>
      </c>
      <c r="I282" s="16">
        <f>E282*G282</f>
        <v>30000</v>
      </c>
      <c r="J282" s="16">
        <f>I282-H282</f>
        <v>16000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44513</v>
      </c>
      <c r="B283" s="16" t="s">
        <v>1919</v>
      </c>
      <c r="C283" s="16" t="s">
        <v>327</v>
      </c>
      <c r="D283" s="16" t="str">
        <f>VLOOKUP(C283,[1]master_data!$A$2:$E$495,2,FALSE)</f>
        <v>KOKI T</v>
      </c>
      <c r="E283" s="16">
        <v>10</v>
      </c>
      <c r="F283" s="16">
        <f>VLOOKUP(C283,[1]master_data!$A$2:$E$495,3,FALSE)</f>
        <v>8000</v>
      </c>
      <c r="G283" s="16">
        <f>VLOOKUP(C283,[1]master_data!$A$2:$E$495,4,FALSE)</f>
        <v>15000</v>
      </c>
      <c r="H283" s="16">
        <f>E283*F283</f>
        <v>80000</v>
      </c>
      <c r="I283" s="16">
        <f>E283*G283</f>
        <v>150000</v>
      </c>
      <c r="J283" s="16">
        <f>I283-H283</f>
        <v>70000</v>
      </c>
      <c r="K283" s="16" t="str">
        <f>VLOOKUP(C283,[1]master_data!$A$2:$E$495,5,FALSE)</f>
        <v>Ikan</v>
      </c>
      <c r="L283" s="1"/>
    </row>
    <row r="284" spans="1:12" ht="12" customHeight="1" x14ac:dyDescent="0.25">
      <c r="A284" s="15">
        <v>44513</v>
      </c>
      <c r="B284" s="16" t="s">
        <v>1920</v>
      </c>
      <c r="C284" s="16" t="s">
        <v>117</v>
      </c>
      <c r="D284" s="16" t="str">
        <f>VLOOKUP(C284,[1]master_data!$A$2:$E$495,2,FALSE)</f>
        <v>LED NIKITA NS 800</v>
      </c>
      <c r="E284" s="16">
        <v>1</v>
      </c>
      <c r="F284" s="16">
        <f>VLOOKUP(C284,[1]master_data!$A$2:$E$495,3,FALSE)</f>
        <v>74000</v>
      </c>
      <c r="G284" s="16">
        <f>VLOOKUP(C284,[1]master_data!$A$2:$E$495,4,FALSE)</f>
        <v>100000</v>
      </c>
      <c r="H284" s="16">
        <f>E284*F284</f>
        <v>74000</v>
      </c>
      <c r="I284" s="16">
        <f>E284*G284</f>
        <v>100000</v>
      </c>
      <c r="J284" s="16">
        <f>I284-H284</f>
        <v>26000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44513</v>
      </c>
      <c r="B285" s="16" t="s">
        <v>1921</v>
      </c>
      <c r="C285" s="16" t="s">
        <v>314</v>
      </c>
      <c r="D285" s="16" t="str">
        <f>VLOOKUP(C285,[1]master_data!$A$2:$E$495,2,FALSE)</f>
        <v>BALA BALA B</v>
      </c>
      <c r="E285" s="16">
        <v>2</v>
      </c>
      <c r="F285" s="16">
        <f>VLOOKUP(C285,[1]master_data!$A$2:$E$495,3,FALSE)</f>
        <v>7000</v>
      </c>
      <c r="G285" s="16">
        <f>VLOOKUP(C285,[1]master_data!$A$2:$E$495,4,FALSE)</f>
        <v>15000</v>
      </c>
      <c r="H285" s="16">
        <f>E285*F285</f>
        <v>14000</v>
      </c>
      <c r="I285" s="16">
        <f>E285*G285</f>
        <v>30000</v>
      </c>
      <c r="J285" s="16">
        <f>I285-H285</f>
        <v>16000</v>
      </c>
      <c r="K285" s="16" t="str">
        <f>VLOOKUP(C285,[1]master_data!$A$2:$E$495,5,FALSE)</f>
        <v>Ikan</v>
      </c>
      <c r="L285" s="1"/>
    </row>
    <row r="286" spans="1:12" ht="12" customHeight="1" x14ac:dyDescent="0.25">
      <c r="A286" s="15">
        <v>44513</v>
      </c>
      <c r="B286" s="16" t="s">
        <v>1922</v>
      </c>
      <c r="C286" s="16" t="s">
        <v>213</v>
      </c>
      <c r="D286" s="16" t="str">
        <f>VLOOKUP(C286,[1]master_data!$A$2:$E$495,2,FALSE)</f>
        <v>CORNER FLTER TOP OF MEDIUM</v>
      </c>
      <c r="E286" s="16">
        <v>5</v>
      </c>
      <c r="F286" s="16">
        <f>VLOOKUP(C286,[1]master_data!$A$2:$E$495,3,FALSE)</f>
        <v>14000</v>
      </c>
      <c r="G286" s="16">
        <f>VLOOKUP(C286,[1]master_data!$A$2:$E$495,4,FALSE)</f>
        <v>25000</v>
      </c>
      <c r="H286" s="16">
        <f>E286*F286</f>
        <v>70000</v>
      </c>
      <c r="I286" s="16">
        <f>E286*G286</f>
        <v>125000</v>
      </c>
      <c r="J286" s="16">
        <f>I286-H286</f>
        <v>55000</v>
      </c>
      <c r="K286" s="16" t="str">
        <f>VLOOKUP(C286,[1]master_data!$A$2:$E$495,5,FALSE)</f>
        <v>Aksesoris</v>
      </c>
      <c r="L286" s="1"/>
    </row>
    <row r="287" spans="1:12" ht="12" customHeight="1" x14ac:dyDescent="0.25">
      <c r="A287" s="15">
        <v>44513</v>
      </c>
      <c r="B287" s="16" t="s">
        <v>1923</v>
      </c>
      <c r="C287" s="16" t="s">
        <v>212</v>
      </c>
      <c r="D287" s="16" t="str">
        <f>VLOOKUP(C287,[1]master_data!$A$2:$E$495,2,FALSE)</f>
        <v>CORNER FILTER MULTI NAVIGATOR</v>
      </c>
      <c r="E287" s="16">
        <v>1</v>
      </c>
      <c r="F287" s="16">
        <f>VLOOKUP(C287,[1]master_data!$A$2:$E$495,3,FALSE)</f>
        <v>21000</v>
      </c>
      <c r="G287" s="16">
        <f>VLOOKUP(C287,[1]master_data!$A$2:$E$495,4,FALSE)</f>
        <v>30000</v>
      </c>
      <c r="H287" s="16">
        <f>E287*F287</f>
        <v>21000</v>
      </c>
      <c r="I287" s="16">
        <f>E287*G287</f>
        <v>30000</v>
      </c>
      <c r="J287" s="16">
        <f>I287-H287</f>
        <v>9000</v>
      </c>
      <c r="K287" s="16" t="str">
        <f>VLOOKUP(C287,[1]master_data!$A$2:$E$495,5,FALSE)</f>
        <v>Aksesoris</v>
      </c>
      <c r="L287" s="1"/>
    </row>
    <row r="288" spans="1:12" ht="12" customHeight="1" x14ac:dyDescent="0.25">
      <c r="A288" s="15">
        <v>44513</v>
      </c>
      <c r="B288" s="16" t="s">
        <v>1924</v>
      </c>
      <c r="C288" s="16" t="s">
        <v>314</v>
      </c>
      <c r="D288" s="16" t="str">
        <f>VLOOKUP(C288,[1]master_data!$A$2:$E$495,2,FALSE)</f>
        <v>BALA BALA B</v>
      </c>
      <c r="E288" s="16">
        <v>1</v>
      </c>
      <c r="F288" s="16">
        <f>VLOOKUP(C288,[1]master_data!$A$2:$E$495,3,FALSE)</f>
        <v>7000</v>
      </c>
      <c r="G288" s="16">
        <f>VLOOKUP(C288,[1]master_data!$A$2:$E$495,4,FALSE)</f>
        <v>15000</v>
      </c>
      <c r="H288" s="16">
        <f>E288*F288</f>
        <v>7000</v>
      </c>
      <c r="I288" s="16">
        <f>E288*G288</f>
        <v>15000</v>
      </c>
      <c r="J288" s="16">
        <f>I288-H288</f>
        <v>8000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44513</v>
      </c>
      <c r="B289" s="16" t="s">
        <v>1925</v>
      </c>
      <c r="C289" s="16" t="s">
        <v>316</v>
      </c>
      <c r="D289" s="16" t="str">
        <f>VLOOKUP(C289,[1]master_data!$A$2:$E$495,2,FALSE)</f>
        <v>CHANNA BLUE PULCHRA K</v>
      </c>
      <c r="E289" s="16">
        <v>1</v>
      </c>
      <c r="F289" s="16">
        <f>VLOOKUP(C289,[1]master_data!$A$2:$E$495,3,FALSE)</f>
        <v>25000</v>
      </c>
      <c r="G289" s="16">
        <f>VLOOKUP(C289,[1]master_data!$A$2:$E$495,4,FALSE)</f>
        <v>50000</v>
      </c>
      <c r="H289" s="16">
        <f>E289*F289</f>
        <v>25000</v>
      </c>
      <c r="I289" s="16">
        <f>E289*G289</f>
        <v>50000</v>
      </c>
      <c r="J289" s="16">
        <f>I289-H289</f>
        <v>25000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44513</v>
      </c>
      <c r="B290" s="16" t="s">
        <v>1926</v>
      </c>
      <c r="C290" s="16" t="s">
        <v>358</v>
      </c>
      <c r="D290" s="16" t="str">
        <f>VLOOKUP(C290,[1]master_data!$A$2:$E$495,2,FALSE)</f>
        <v>REDFIN HITAM</v>
      </c>
      <c r="E290" s="16">
        <v>30</v>
      </c>
      <c r="F290" s="16">
        <f>VLOOKUP(C290,[1]master_data!$A$2:$E$495,3,FALSE)</f>
        <v>1500</v>
      </c>
      <c r="G290" s="16">
        <f>VLOOKUP(C290,[1]master_data!$A$2:$E$495,4,FALSE)</f>
        <v>4000</v>
      </c>
      <c r="H290" s="16">
        <f>E290*F290</f>
        <v>45000</v>
      </c>
      <c r="I290" s="16">
        <f>E290*G290</f>
        <v>120000</v>
      </c>
      <c r="J290" s="16">
        <f>I290-H290</f>
        <v>75000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44513</v>
      </c>
      <c r="B291" s="16" t="s">
        <v>1927</v>
      </c>
      <c r="C291" s="16" t="s">
        <v>314</v>
      </c>
      <c r="D291" s="16" t="str">
        <f>VLOOKUP(C291,[1]master_data!$A$2:$E$495,2,FALSE)</f>
        <v>BALA BALA B</v>
      </c>
      <c r="E291" s="16">
        <v>8</v>
      </c>
      <c r="F291" s="16">
        <f>VLOOKUP(C291,[1]master_data!$A$2:$E$495,3,FALSE)</f>
        <v>7000</v>
      </c>
      <c r="G291" s="16">
        <f>VLOOKUP(C291,[1]master_data!$A$2:$E$495,4,FALSE)</f>
        <v>15000</v>
      </c>
      <c r="H291" s="16">
        <f>E291*F291</f>
        <v>56000</v>
      </c>
      <c r="I291" s="16">
        <f>E291*G291</f>
        <v>120000</v>
      </c>
      <c r="J291" s="16">
        <f>I291-H291</f>
        <v>64000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44513</v>
      </c>
      <c r="B292" s="16" t="s">
        <v>1928</v>
      </c>
      <c r="C292" s="16" t="s">
        <v>264</v>
      </c>
      <c r="D292" s="16" t="str">
        <f>VLOOKUP(C292,[1]master_data!$A$2:$E$495,2,FALSE)</f>
        <v>TERMOMETER</v>
      </c>
      <c r="E292" s="16">
        <v>1</v>
      </c>
      <c r="F292" s="16">
        <f>VLOOKUP(C292,[1]master_data!$A$2:$E$495,3,FALSE)</f>
        <v>5250</v>
      </c>
      <c r="G292" s="16">
        <f>VLOOKUP(C292,[1]master_data!$A$2:$E$495,4,FALSE)</f>
        <v>10000</v>
      </c>
      <c r="H292" s="16">
        <f>E292*F292</f>
        <v>5250</v>
      </c>
      <c r="I292" s="16">
        <f>E292*G292</f>
        <v>10000</v>
      </c>
      <c r="J292" s="16">
        <f>I292-H292</f>
        <v>4750</v>
      </c>
      <c r="K292" s="16" t="str">
        <f>VLOOKUP(C292,[1]master_data!$A$2:$E$495,5,FALSE)</f>
        <v>Aksesoris</v>
      </c>
      <c r="L292" s="1"/>
    </row>
    <row r="293" spans="1:12" ht="12" customHeight="1" x14ac:dyDescent="0.25">
      <c r="A293" s="15">
        <v>44512</v>
      </c>
      <c r="B293" s="16" t="s">
        <v>1912</v>
      </c>
      <c r="C293" s="16" t="s">
        <v>190</v>
      </c>
      <c r="D293" s="16" t="str">
        <f>VLOOKUP(C293,[1]master_data!$A$2:$E$495,2,FALSE)</f>
        <v>PREMIUM RED BG</v>
      </c>
      <c r="E293" s="16">
        <v>10</v>
      </c>
      <c r="F293" s="16">
        <f>VLOOKUP(C293,[1]master_data!$A$2:$E$495,3,FALSE)</f>
        <v>12500</v>
      </c>
      <c r="G293" s="16">
        <f>VLOOKUP(C293,[1]master_data!$A$2:$E$495,4,FALSE)</f>
        <v>25000</v>
      </c>
      <c r="H293" s="16">
        <f>E293*F293</f>
        <v>125000</v>
      </c>
      <c r="I293" s="16">
        <f>E293*G293</f>
        <v>250000</v>
      </c>
      <c r="J293" s="16">
        <f>I293-H293</f>
        <v>125000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44512</v>
      </c>
      <c r="B294" s="16" t="s">
        <v>1913</v>
      </c>
      <c r="C294" s="16" t="s">
        <v>330</v>
      </c>
      <c r="D294" s="16" t="str">
        <f>VLOOKUP(C294,[1]master_data!$A$2:$E$495,2,FALSE)</f>
        <v>KOI T</v>
      </c>
      <c r="E294" s="16">
        <v>5</v>
      </c>
      <c r="F294" s="16">
        <f>VLOOKUP(C294,[1]master_data!$A$2:$E$495,3,FALSE)</f>
        <v>7000</v>
      </c>
      <c r="G294" s="16">
        <f>VLOOKUP(C294,[1]master_data!$A$2:$E$495,4,FALSE)</f>
        <v>20000</v>
      </c>
      <c r="H294" s="16">
        <f>E294*F294</f>
        <v>35000</v>
      </c>
      <c r="I294" s="16">
        <f>E294*G294</f>
        <v>100000</v>
      </c>
      <c r="J294" s="16">
        <f>I294-H294</f>
        <v>65000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44512</v>
      </c>
      <c r="B295" s="16" t="s">
        <v>1914</v>
      </c>
      <c r="C295" s="16" t="s">
        <v>222</v>
      </c>
      <c r="D295" s="16" t="str">
        <f>VLOOKUP(C295,[1]master_data!$A$2:$E$495,2,FALSE)</f>
        <v>JARING 20</v>
      </c>
      <c r="E295" s="16">
        <v>20</v>
      </c>
      <c r="F295" s="16">
        <f>VLOOKUP(C295,[1]master_data!$A$2:$E$495,3,FALSE)</f>
        <v>5600</v>
      </c>
      <c r="G295" s="16">
        <f>VLOOKUP(C295,[1]master_data!$A$2:$E$495,4,FALSE)</f>
        <v>10000</v>
      </c>
      <c r="H295" s="16">
        <f>E295*F295</f>
        <v>112000</v>
      </c>
      <c r="I295" s="16">
        <f>E295*G295</f>
        <v>200000</v>
      </c>
      <c r="J295" s="16">
        <f>I295-H295</f>
        <v>88000</v>
      </c>
      <c r="K295" s="16" t="str">
        <f>VLOOKUP(C295,[1]master_data!$A$2:$E$495,5,FALSE)</f>
        <v>Aksesoris</v>
      </c>
      <c r="L295" s="1"/>
    </row>
    <row r="296" spans="1:12" ht="12" customHeight="1" x14ac:dyDescent="0.25">
      <c r="A296" s="15">
        <v>44512</v>
      </c>
      <c r="B296" s="16" t="s">
        <v>1915</v>
      </c>
      <c r="C296" s="16" t="s">
        <v>347</v>
      </c>
      <c r="D296" s="16" t="str">
        <f>VLOOKUP(C296,[1]master_data!$A$2:$E$495,2,FALSE)</f>
        <v>MOLI BALON</v>
      </c>
      <c r="E296" s="16">
        <v>15</v>
      </c>
      <c r="F296" s="16">
        <f>VLOOKUP(C296,[1]master_data!$A$2:$E$495,3,FALSE)</f>
        <v>800</v>
      </c>
      <c r="G296" s="16">
        <f>VLOOKUP(C296,[1]master_data!$A$2:$E$495,4,FALSE)</f>
        <v>2000</v>
      </c>
      <c r="H296" s="16">
        <f>E296*F296</f>
        <v>12000</v>
      </c>
      <c r="I296" s="16">
        <f>E296*G296</f>
        <v>30000</v>
      </c>
      <c r="J296" s="16">
        <f>I296-H296</f>
        <v>18000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44512</v>
      </c>
      <c r="B297" s="16" t="s">
        <v>1916</v>
      </c>
      <c r="C297" s="16" t="s">
        <v>245</v>
      </c>
      <c r="D297" s="16" t="str">
        <f>VLOOKUP(C297,[1]master_data!$A$2:$E$495,2,FALSE)</f>
        <v>SELANG SPIRAL</v>
      </c>
      <c r="E297" s="16">
        <v>15</v>
      </c>
      <c r="F297" s="16">
        <f>VLOOKUP(C297,[1]master_data!$A$2:$E$495,3,FALSE)</f>
        <v>2600</v>
      </c>
      <c r="G297" s="16">
        <f>VLOOKUP(C297,[1]master_data!$A$2:$E$495,4,FALSE)</f>
        <v>5000</v>
      </c>
      <c r="H297" s="16">
        <f>E297*F297</f>
        <v>39000</v>
      </c>
      <c r="I297" s="16">
        <f>E297*G297</f>
        <v>75000</v>
      </c>
      <c r="J297" s="16">
        <f>I297-H297</f>
        <v>36000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44512</v>
      </c>
      <c r="B298" s="16" t="s">
        <v>1917</v>
      </c>
      <c r="C298" s="16" t="s">
        <v>226</v>
      </c>
      <c r="D298" s="16" t="str">
        <f>VLOOKUP(C298,[1]master_data!$A$2:$E$495,2,FALSE)</f>
        <v>KRAN 2 W</v>
      </c>
      <c r="E298" s="16">
        <v>15</v>
      </c>
      <c r="F298" s="16">
        <f>VLOOKUP(C298,[1]master_data!$A$2:$E$495,3,FALSE)</f>
        <v>4000</v>
      </c>
      <c r="G298" s="16">
        <f>VLOOKUP(C298,[1]master_data!$A$2:$E$495,4,FALSE)</f>
        <v>6000</v>
      </c>
      <c r="H298" s="16">
        <f>E298*F298</f>
        <v>60000</v>
      </c>
      <c r="I298" s="16">
        <f>E298*G298</f>
        <v>90000</v>
      </c>
      <c r="J298" s="16">
        <f>I298-H298</f>
        <v>30000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44511</v>
      </c>
      <c r="B299" s="16" t="s">
        <v>1903</v>
      </c>
      <c r="C299" s="16" t="s">
        <v>226</v>
      </c>
      <c r="D299" s="16" t="str">
        <f>VLOOKUP(C299,[1]master_data!$A$2:$E$495,2,FALSE)</f>
        <v>KRAN 2 W</v>
      </c>
      <c r="E299" s="16">
        <v>15</v>
      </c>
      <c r="F299" s="16">
        <f>VLOOKUP(C299,[1]master_data!$A$2:$E$495,3,FALSE)</f>
        <v>4000</v>
      </c>
      <c r="G299" s="16">
        <f>VLOOKUP(C299,[1]master_data!$A$2:$E$495,4,FALSE)</f>
        <v>6000</v>
      </c>
      <c r="H299" s="16">
        <f>E299*F299</f>
        <v>60000</v>
      </c>
      <c r="I299" s="16">
        <f>E299*G299</f>
        <v>90000</v>
      </c>
      <c r="J299" s="16">
        <f>I299-H299</f>
        <v>30000</v>
      </c>
      <c r="K299" s="16" t="str">
        <f>VLOOKUP(C299,[1]master_data!$A$2:$E$495,5,FALSE)</f>
        <v>Aksesoris</v>
      </c>
      <c r="L299" s="1"/>
    </row>
    <row r="300" spans="1:12" ht="12" customHeight="1" x14ac:dyDescent="0.25">
      <c r="A300" s="15">
        <v>44511</v>
      </c>
      <c r="B300" s="16" t="s">
        <v>1904</v>
      </c>
      <c r="C300" s="16" t="s">
        <v>311</v>
      </c>
      <c r="D300" s="16" t="str">
        <f>VLOOKUP(C300,[1]master_data!$A$2:$E$495,2,FALSE)</f>
        <v>BIPOLAR</v>
      </c>
      <c r="E300" s="16">
        <v>10</v>
      </c>
      <c r="F300" s="16">
        <f>VLOOKUP(C300,[1]master_data!$A$2:$E$495,3,FALSE)</f>
        <v>1000</v>
      </c>
      <c r="G300" s="16">
        <f>VLOOKUP(C300,[1]master_data!$A$2:$E$495,4,FALSE)</f>
        <v>2500</v>
      </c>
      <c r="H300" s="16">
        <f>E300*F300</f>
        <v>10000</v>
      </c>
      <c r="I300" s="16">
        <f>E300*G300</f>
        <v>25000</v>
      </c>
      <c r="J300" s="16">
        <f>I300-H300</f>
        <v>15000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44511</v>
      </c>
      <c r="B301" s="16" t="s">
        <v>1905</v>
      </c>
      <c r="C301" s="16" t="s">
        <v>144</v>
      </c>
      <c r="D301" s="16" t="str">
        <f>VLOOKUP(C301,[1]master_data!$A$2:$E$495,2,FALSE)</f>
        <v>LED ARROW 3 MODE 80 CM</v>
      </c>
      <c r="E301" s="16">
        <v>5</v>
      </c>
      <c r="F301" s="16">
        <f>VLOOKUP(C301,[1]master_data!$A$2:$E$495,3,FALSE)</f>
        <v>69000</v>
      </c>
      <c r="G301" s="16">
        <f>VLOOKUP(C301,[1]master_data!$A$2:$E$495,4,FALSE)</f>
        <v>90000</v>
      </c>
      <c r="H301" s="16">
        <f>E301*F301</f>
        <v>345000</v>
      </c>
      <c r="I301" s="16">
        <f>E301*G301</f>
        <v>450000</v>
      </c>
      <c r="J301" s="16">
        <f>I301-H301</f>
        <v>105000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44511</v>
      </c>
      <c r="B302" s="16" t="s">
        <v>1906</v>
      </c>
      <c r="C302" s="16" t="s">
        <v>29</v>
      </c>
      <c r="D302" s="16" t="str">
        <f>VLOOKUP(C302,[1]master_data!$A$2:$E$495,2,FALSE)</f>
        <v>MESIN YAMANO 1000L</v>
      </c>
      <c r="E302" s="16">
        <v>10</v>
      </c>
      <c r="F302" s="16">
        <f>VLOOKUP(C302,[1]master_data!$A$2:$E$495,3,FALSE)</f>
        <v>40000</v>
      </c>
      <c r="G302" s="16">
        <f>VLOOKUP(C302,[1]master_data!$A$2:$E$495,4,FALSE)</f>
        <v>60000</v>
      </c>
      <c r="H302" s="16">
        <f>E302*F302</f>
        <v>400000</v>
      </c>
      <c r="I302" s="16">
        <f>E302*G302</f>
        <v>600000</v>
      </c>
      <c r="J302" s="16">
        <f>I302-H302</f>
        <v>200000</v>
      </c>
      <c r="K302" s="16" t="str">
        <f>VLOOKUP(C302,[1]master_data!$A$2:$E$495,5,FALSE)</f>
        <v>Aksesoris</v>
      </c>
      <c r="L302" s="1"/>
    </row>
    <row r="303" spans="1:12" ht="12" customHeight="1" x14ac:dyDescent="0.25">
      <c r="A303" s="15">
        <v>44511</v>
      </c>
      <c r="B303" s="16" t="s">
        <v>1907</v>
      </c>
      <c r="C303" s="16" t="s">
        <v>334</v>
      </c>
      <c r="D303" s="16" t="str">
        <f>VLOOKUP(C303,[1]master_data!$A$2:$E$495,2,FALSE)</f>
        <v>KOMET PAKAN</v>
      </c>
      <c r="E303" s="16">
        <v>60</v>
      </c>
      <c r="F303" s="16">
        <f>VLOOKUP(C303,[1]master_data!$A$2:$E$495,3,FALSE)</f>
        <v>300</v>
      </c>
      <c r="G303" s="16">
        <f>VLOOKUP(C303,[1]master_data!$A$2:$E$495,4,FALSE)</f>
        <v>1000</v>
      </c>
      <c r="H303" s="16">
        <f>E303*F303</f>
        <v>18000</v>
      </c>
      <c r="I303" s="16">
        <f>E303*G303</f>
        <v>60000</v>
      </c>
      <c r="J303" s="16">
        <f>I303-H303</f>
        <v>42000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44511</v>
      </c>
      <c r="B304" s="16" t="s">
        <v>1908</v>
      </c>
      <c r="C304" s="16" t="s">
        <v>250</v>
      </c>
      <c r="D304" s="16" t="str">
        <f>VLOOKUP(C304,[1]master_data!$A$2:$E$495,2,FALSE)</f>
        <v>T SELANG</v>
      </c>
      <c r="E304" s="16">
        <v>10</v>
      </c>
      <c r="F304" s="16">
        <f>VLOOKUP(C304,[1]master_data!$A$2:$E$495,3,FALSE)</f>
        <v>750</v>
      </c>
      <c r="G304" s="16">
        <f>VLOOKUP(C304,[1]master_data!$A$2:$E$495,4,FALSE)</f>
        <v>1500</v>
      </c>
      <c r="H304" s="16">
        <f>E304*F304</f>
        <v>7500</v>
      </c>
      <c r="I304" s="16">
        <f>E304*G304</f>
        <v>15000</v>
      </c>
      <c r="J304" s="16">
        <f>I304-H304</f>
        <v>7500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44511</v>
      </c>
      <c r="B305" s="16" t="s">
        <v>1909</v>
      </c>
      <c r="C305" s="16" t="s">
        <v>326</v>
      </c>
      <c r="D305" s="16" t="str">
        <f>VLOOKUP(C305,[1]master_data!$A$2:$E$495,2,FALSE)</f>
        <v>KOKI K</v>
      </c>
      <c r="E305" s="16">
        <v>1</v>
      </c>
      <c r="F305" s="16">
        <f>VLOOKUP(C305,[1]master_data!$A$2:$E$495,3,FALSE)</f>
        <v>3500</v>
      </c>
      <c r="G305" s="16">
        <f>VLOOKUP(C305,[1]master_data!$A$2:$E$495,4,FALSE)</f>
        <v>10000</v>
      </c>
      <c r="H305" s="16">
        <f>E305*F305</f>
        <v>3500</v>
      </c>
      <c r="I305" s="16">
        <f>E305*G305</f>
        <v>10000</v>
      </c>
      <c r="J305" s="16">
        <f>I305-H305</f>
        <v>6500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44511</v>
      </c>
      <c r="B306" s="16" t="s">
        <v>1910</v>
      </c>
      <c r="C306" s="16" t="s">
        <v>344</v>
      </c>
      <c r="D306" s="16" t="str">
        <f>VLOOKUP(C306,[1]master_data!$A$2:$E$495,2,FALSE)</f>
        <v>MANFISH B</v>
      </c>
      <c r="E306" s="16">
        <v>1</v>
      </c>
      <c r="F306" s="16">
        <f>VLOOKUP(C306,[1]master_data!$A$2:$E$495,3,FALSE)</f>
        <v>4000</v>
      </c>
      <c r="G306" s="16">
        <f>VLOOKUP(C306,[1]master_data!$A$2:$E$495,4,FALSE)</f>
        <v>10000</v>
      </c>
      <c r="H306" s="16">
        <f>E306*F306</f>
        <v>4000</v>
      </c>
      <c r="I306" s="16">
        <f>E306*G306</f>
        <v>10000</v>
      </c>
      <c r="J306" s="16">
        <f>I306-H306</f>
        <v>6000</v>
      </c>
      <c r="K306" s="16" t="str">
        <f>VLOOKUP(C306,[1]master_data!$A$2:$E$495,5,FALSE)</f>
        <v>Ikan</v>
      </c>
      <c r="L306" s="1"/>
    </row>
    <row r="307" spans="1:12" ht="12" customHeight="1" x14ac:dyDescent="0.25">
      <c r="A307" s="15">
        <v>44511</v>
      </c>
      <c r="B307" s="16" t="s">
        <v>1911</v>
      </c>
      <c r="C307" s="16" t="s">
        <v>359</v>
      </c>
      <c r="D307" s="16" t="str">
        <f>VLOOKUP(C307,[1]master_data!$A$2:$E$495,2,FALSE)</f>
        <v>REDFIN ALBINO</v>
      </c>
      <c r="E307" s="16">
        <v>100</v>
      </c>
      <c r="F307" s="16">
        <f>VLOOKUP(C307,[1]master_data!$A$2:$E$495,3,FALSE)</f>
        <v>1500</v>
      </c>
      <c r="G307" s="16">
        <f>VLOOKUP(C307,[1]master_data!$A$2:$E$495,4,FALSE)</f>
        <v>4000</v>
      </c>
      <c r="H307" s="16">
        <f>E307*F307</f>
        <v>150000</v>
      </c>
      <c r="I307" s="16">
        <f>E307*G307</f>
        <v>400000</v>
      </c>
      <c r="J307" s="16">
        <f>I307-H307</f>
        <v>250000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44510</v>
      </c>
      <c r="B308" s="16" t="s">
        <v>1898</v>
      </c>
      <c r="C308" s="16" t="s">
        <v>245</v>
      </c>
      <c r="D308" s="16" t="str">
        <f>VLOOKUP(C308,[1]master_data!$A$2:$E$495,2,FALSE)</f>
        <v>SELANG SPIRAL</v>
      </c>
      <c r="E308" s="16">
        <v>10</v>
      </c>
      <c r="F308" s="16">
        <f>VLOOKUP(C308,[1]master_data!$A$2:$E$495,3,FALSE)</f>
        <v>2600</v>
      </c>
      <c r="G308" s="16">
        <f>VLOOKUP(C308,[1]master_data!$A$2:$E$495,4,FALSE)</f>
        <v>5000</v>
      </c>
      <c r="H308" s="16">
        <f>E308*F308</f>
        <v>26000</v>
      </c>
      <c r="I308" s="16">
        <f>E308*G308</f>
        <v>50000</v>
      </c>
      <c r="J308" s="16">
        <f>I308-H308</f>
        <v>24000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44510</v>
      </c>
      <c r="B309" s="16" t="s">
        <v>1899</v>
      </c>
      <c r="C309" s="16" t="s">
        <v>360</v>
      </c>
      <c r="D309" s="16" t="str">
        <f>VLOOKUP(C309,[1]master_data!$A$2:$E$495,2,FALSE)</f>
        <v xml:space="preserve"> CHANNA RED BARITO K</v>
      </c>
      <c r="E309" s="16">
        <v>5</v>
      </c>
      <c r="F309" s="16">
        <f>VLOOKUP(C309,[1]master_data!$A$2:$E$495,3,FALSE)</f>
        <v>45000</v>
      </c>
      <c r="G309" s="16">
        <f>VLOOKUP(C309,[1]master_data!$A$2:$E$495,4,FALSE)</f>
        <v>100000</v>
      </c>
      <c r="H309" s="16">
        <f>E309*F309</f>
        <v>225000</v>
      </c>
      <c r="I309" s="16">
        <f>E309*G309</f>
        <v>500000</v>
      </c>
      <c r="J309" s="16">
        <f>I309-H309</f>
        <v>275000</v>
      </c>
      <c r="K309" s="16" t="str">
        <f>VLOOKUP(C309,[1]master_data!$A$2:$E$495,5,FALSE)</f>
        <v>Ikan</v>
      </c>
      <c r="L309" s="1"/>
    </row>
    <row r="310" spans="1:12" ht="12" customHeight="1" x14ac:dyDescent="0.25">
      <c r="A310" s="15">
        <v>44510</v>
      </c>
      <c r="B310" s="16" t="s">
        <v>1900</v>
      </c>
      <c r="C310" s="16" t="s">
        <v>372</v>
      </c>
      <c r="D310" s="16" t="str">
        <f>VLOOKUP(C310,[1]master_data!$A$2:$E$495,2,FALSE)</f>
        <v>ZEBRA KUNING</v>
      </c>
      <c r="E310" s="16">
        <v>25</v>
      </c>
      <c r="F310" s="16">
        <f>VLOOKUP(C310,[1]master_data!$A$2:$E$495,3,FALSE)</f>
        <v>800</v>
      </c>
      <c r="G310" s="16">
        <f>VLOOKUP(C310,[1]master_data!$A$2:$E$495,4,FALSE)</f>
        <v>2000</v>
      </c>
      <c r="H310" s="16">
        <f>E310*F310</f>
        <v>20000</v>
      </c>
      <c r="I310" s="16">
        <f>E310*G310</f>
        <v>50000</v>
      </c>
      <c r="J310" s="16">
        <f>I310-H310</f>
        <v>30000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44510</v>
      </c>
      <c r="B311" s="16" t="s">
        <v>1901</v>
      </c>
      <c r="C311" s="16" t="s">
        <v>326</v>
      </c>
      <c r="D311" s="16" t="str">
        <f>VLOOKUP(C311,[1]master_data!$A$2:$E$495,2,FALSE)</f>
        <v>KOKI K</v>
      </c>
      <c r="E311" s="16">
        <v>9</v>
      </c>
      <c r="F311" s="16">
        <f>VLOOKUP(C311,[1]master_data!$A$2:$E$495,3,FALSE)</f>
        <v>3500</v>
      </c>
      <c r="G311" s="16">
        <f>VLOOKUP(C311,[1]master_data!$A$2:$E$495,4,FALSE)</f>
        <v>10000</v>
      </c>
      <c r="H311" s="16">
        <f>E311*F311</f>
        <v>31500</v>
      </c>
      <c r="I311" s="16">
        <f>E311*G311</f>
        <v>90000</v>
      </c>
      <c r="J311" s="16">
        <f>I311-H311</f>
        <v>58500</v>
      </c>
      <c r="K311" s="16" t="str">
        <f>VLOOKUP(C311,[1]master_data!$A$2:$E$495,5,FALSE)</f>
        <v>Ikan</v>
      </c>
      <c r="L311" s="1"/>
    </row>
    <row r="312" spans="1:12" ht="12" customHeight="1" x14ac:dyDescent="0.25">
      <c r="A312" s="15">
        <v>44510</v>
      </c>
      <c r="B312" s="16" t="s">
        <v>1902</v>
      </c>
      <c r="C312" s="16" t="s">
        <v>94</v>
      </c>
      <c r="D312" s="16" t="str">
        <f>VLOOKUP(C312,[1]master_data!$A$2:$E$495,2,FALSE)</f>
        <v>AIRATOR ROSTON LUB 1</v>
      </c>
      <c r="E312" s="16">
        <v>1</v>
      </c>
      <c r="F312" s="16">
        <f>VLOOKUP(C312,[1]master_data!$A$2:$E$495,3,FALSE)</f>
        <v>20000</v>
      </c>
      <c r="G312" s="16">
        <f>VLOOKUP(C312,[1]master_data!$A$2:$E$495,4,FALSE)</f>
        <v>30000</v>
      </c>
      <c r="H312" s="16">
        <f>E312*F312</f>
        <v>20000</v>
      </c>
      <c r="I312" s="16">
        <f>E312*G312</f>
        <v>30000</v>
      </c>
      <c r="J312" s="16">
        <f>I312-H312</f>
        <v>10000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44509</v>
      </c>
      <c r="B313" s="16" t="s">
        <v>1896</v>
      </c>
      <c r="C313" s="16" t="s">
        <v>311</v>
      </c>
      <c r="D313" s="16" t="str">
        <f>VLOOKUP(C313,[1]master_data!$A$2:$E$495,2,FALSE)</f>
        <v>BIPOLAR</v>
      </c>
      <c r="E313" s="16">
        <v>25</v>
      </c>
      <c r="F313" s="16">
        <f>VLOOKUP(C313,[1]master_data!$A$2:$E$495,3,FALSE)</f>
        <v>1000</v>
      </c>
      <c r="G313" s="16">
        <f>VLOOKUP(C313,[1]master_data!$A$2:$E$495,4,FALSE)</f>
        <v>2500</v>
      </c>
      <c r="H313" s="16">
        <f>E313*F313</f>
        <v>25000</v>
      </c>
      <c r="I313" s="16">
        <f>E313*G313</f>
        <v>62500</v>
      </c>
      <c r="J313" s="16">
        <f>I313-H313</f>
        <v>37500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44509</v>
      </c>
      <c r="B314" s="16" t="s">
        <v>1897</v>
      </c>
      <c r="C314" s="16" t="s">
        <v>274</v>
      </c>
      <c r="D314" s="16" t="str">
        <f>VLOOKUP(C314,[1]master_data!$A$2:$E$495,2,FALSE)</f>
        <v>AKUARIUM NIKITA M60</v>
      </c>
      <c r="E314" s="16">
        <v>2</v>
      </c>
      <c r="F314" s="16">
        <f>VLOOKUP(C314,[1]master_data!$A$2:$E$495,3,FALSE)</f>
        <v>60000</v>
      </c>
      <c r="G314" s="16">
        <f>VLOOKUP(C314,[1]master_data!$A$2:$E$495,4,FALSE)</f>
        <v>230000</v>
      </c>
      <c r="H314" s="16">
        <f>E314*F314</f>
        <v>120000</v>
      </c>
      <c r="I314" s="16">
        <f>E314*G314</f>
        <v>460000</v>
      </c>
      <c r="J314" s="16">
        <f>I314-H314</f>
        <v>340000</v>
      </c>
      <c r="K314" s="16" t="str">
        <f>VLOOKUP(C314,[1]master_data!$A$2:$E$495,5,FALSE)</f>
        <v>Aksesoris</v>
      </c>
      <c r="L314" s="1"/>
    </row>
    <row r="315" spans="1:12" ht="12" customHeight="1" x14ac:dyDescent="0.25">
      <c r="A315" s="15">
        <v>44508</v>
      </c>
      <c r="B315" s="16" t="s">
        <v>1894</v>
      </c>
      <c r="C315" s="16" t="s">
        <v>356</v>
      </c>
      <c r="D315" s="16" t="str">
        <f>VLOOKUP(C315,[1]master_data!$A$2:$E$495,2,FALSE)</f>
        <v>PARROT</v>
      </c>
      <c r="E315" s="16">
        <v>10</v>
      </c>
      <c r="F315" s="16">
        <f>VLOOKUP(C315,[1]master_data!$A$2:$E$495,3,FALSE)</f>
        <v>27000</v>
      </c>
      <c r="G315" s="16">
        <f>VLOOKUP(C315,[1]master_data!$A$2:$E$495,4,FALSE)</f>
        <v>60000</v>
      </c>
      <c r="H315" s="16">
        <f>E315*F315</f>
        <v>270000</v>
      </c>
      <c r="I315" s="16">
        <f>E315*G315</f>
        <v>600000</v>
      </c>
      <c r="J315" s="16">
        <f>I315-H315</f>
        <v>330000</v>
      </c>
      <c r="K315" s="16" t="str">
        <f>VLOOKUP(C315,[1]master_data!$A$2:$E$495,5,FALSE)</f>
        <v>Ikan</v>
      </c>
      <c r="L315" s="1"/>
    </row>
    <row r="316" spans="1:12" ht="12" customHeight="1" x14ac:dyDescent="0.25">
      <c r="A316" s="15">
        <v>44508</v>
      </c>
      <c r="B316" s="16" t="s">
        <v>1895</v>
      </c>
      <c r="C316" s="16" t="s">
        <v>303</v>
      </c>
      <c r="D316" s="16" t="str">
        <f>VLOOKUP(C316,[1]master_data!$A$2:$E$495,2,FALSE)</f>
        <v>CHANNA ASIATICA K</v>
      </c>
      <c r="E316" s="16">
        <v>2</v>
      </c>
      <c r="F316" s="16">
        <f>VLOOKUP(C316,[1]master_data!$A$2:$E$495,3,FALSE)</f>
        <v>10000</v>
      </c>
      <c r="G316" s="16">
        <f>VLOOKUP(C316,[1]master_data!$A$2:$E$495,4,FALSE)</f>
        <v>40000</v>
      </c>
      <c r="H316" s="16">
        <f>E316*F316</f>
        <v>20000</v>
      </c>
      <c r="I316" s="16">
        <f>E316*G316</f>
        <v>80000</v>
      </c>
      <c r="J316" s="16">
        <f>I316-H316</f>
        <v>60000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44507</v>
      </c>
      <c r="B317" s="16" t="s">
        <v>1891</v>
      </c>
      <c r="C317" s="16" t="s">
        <v>324</v>
      </c>
      <c r="D317" s="16" t="str">
        <f>VLOOKUP(C317,[1]master_data!$A$2:$E$495,2,FALSE)</f>
        <v>GOLDEN BLACK</v>
      </c>
      <c r="E317" s="16">
        <v>30</v>
      </c>
      <c r="F317" s="16">
        <f>VLOOKUP(C317,[1]master_data!$A$2:$E$495,3,FALSE)</f>
        <v>800</v>
      </c>
      <c r="G317" s="16">
        <f>VLOOKUP(C317,[1]master_data!$A$2:$E$495,4,FALSE)</f>
        <v>2000</v>
      </c>
      <c r="H317" s="16">
        <f>E317*F317</f>
        <v>24000</v>
      </c>
      <c r="I317" s="16">
        <f>E317*G317</f>
        <v>60000</v>
      </c>
      <c r="J317" s="16">
        <f>I317-H317</f>
        <v>36000</v>
      </c>
      <c r="K317" s="16" t="str">
        <f>VLOOKUP(C317,[1]master_data!$A$2:$E$495,5,FALSE)</f>
        <v>Ikan</v>
      </c>
      <c r="L317" s="1"/>
    </row>
    <row r="318" spans="1:12" ht="12" customHeight="1" x14ac:dyDescent="0.25">
      <c r="A318" s="15">
        <v>44507</v>
      </c>
      <c r="B318" s="16" t="s">
        <v>1892</v>
      </c>
      <c r="C318" s="16" t="s">
        <v>304</v>
      </c>
      <c r="D318" s="16" t="str">
        <f>VLOOKUP(C318,[1]master_data!$A$2:$E$495,2,FALSE)</f>
        <v>CHANNA ANDRAO K</v>
      </c>
      <c r="E318" s="16">
        <v>20</v>
      </c>
      <c r="F318" s="16">
        <f>VLOOKUP(C318,[1]master_data!$A$2:$E$495,3,FALSE)</f>
        <v>20000</v>
      </c>
      <c r="G318" s="16">
        <f>VLOOKUP(C318,[1]master_data!$A$2:$E$495,4,FALSE)</f>
        <v>50000</v>
      </c>
      <c r="H318" s="16">
        <f>E318*F318</f>
        <v>400000</v>
      </c>
      <c r="I318" s="16">
        <f>E318*G318</f>
        <v>1000000</v>
      </c>
      <c r="J318" s="16">
        <f>I318-H318</f>
        <v>600000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44507</v>
      </c>
      <c r="B319" s="16" t="s">
        <v>1893</v>
      </c>
      <c r="C319" s="16" t="s">
        <v>303</v>
      </c>
      <c r="D319" s="16" t="str">
        <f>VLOOKUP(C319,[1]master_data!$A$2:$E$495,2,FALSE)</f>
        <v>CHANNA ASIATICA K</v>
      </c>
      <c r="E319" s="16">
        <v>2</v>
      </c>
      <c r="F319" s="16">
        <f>VLOOKUP(C319,[1]master_data!$A$2:$E$495,3,FALSE)</f>
        <v>10000</v>
      </c>
      <c r="G319" s="16">
        <f>VLOOKUP(C319,[1]master_data!$A$2:$E$495,4,FALSE)</f>
        <v>40000</v>
      </c>
      <c r="H319" s="16">
        <f>E319*F319</f>
        <v>20000</v>
      </c>
      <c r="I319" s="16">
        <f>E319*G319</f>
        <v>80000</v>
      </c>
      <c r="J319" s="16">
        <f>I319-H319</f>
        <v>60000</v>
      </c>
      <c r="K319" s="16" t="str">
        <f>VLOOKUP(C319,[1]master_data!$A$2:$E$495,5,FALSE)</f>
        <v>Ikan</v>
      </c>
      <c r="L319" s="1"/>
    </row>
    <row r="320" spans="1:12" ht="12" customHeight="1" x14ac:dyDescent="0.25">
      <c r="A320" s="15">
        <v>44506</v>
      </c>
      <c r="B320" s="16" t="s">
        <v>1881</v>
      </c>
      <c r="C320" s="16" t="s">
        <v>360</v>
      </c>
      <c r="D320" s="16" t="str">
        <f>VLOOKUP(C320,[1]master_data!$A$2:$E$495,2,FALSE)</f>
        <v xml:space="preserve"> CHANNA RED BARITO K</v>
      </c>
      <c r="E320" s="16">
        <v>1</v>
      </c>
      <c r="F320" s="16">
        <f>VLOOKUP(C320,[1]master_data!$A$2:$E$495,3,FALSE)</f>
        <v>45000</v>
      </c>
      <c r="G320" s="16">
        <f>VLOOKUP(C320,[1]master_data!$A$2:$E$495,4,FALSE)</f>
        <v>100000</v>
      </c>
      <c r="H320" s="16">
        <f>E320*F320</f>
        <v>45000</v>
      </c>
      <c r="I320" s="16">
        <f>E320*G320</f>
        <v>100000</v>
      </c>
      <c r="J320" s="16">
        <f>I320-H320</f>
        <v>55000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44506</v>
      </c>
      <c r="B321" s="16" t="s">
        <v>1882</v>
      </c>
      <c r="C321" s="16" t="s">
        <v>234</v>
      </c>
      <c r="D321" s="16" t="str">
        <f>VLOOKUP(C321,[1]master_data!$A$2:$E$495,2,FALSE)</f>
        <v>MAGNET S</v>
      </c>
      <c r="E321" s="16">
        <v>1</v>
      </c>
      <c r="F321" s="16">
        <f>VLOOKUP(C321,[1]master_data!$A$2:$E$495,3,FALSE)</f>
        <v>20000</v>
      </c>
      <c r="G321" s="16">
        <f>VLOOKUP(C321,[1]master_data!$A$2:$E$495,4,FALSE)</f>
        <v>30000</v>
      </c>
      <c r="H321" s="16">
        <f>E321*F321</f>
        <v>20000</v>
      </c>
      <c r="I321" s="16">
        <f>E321*G321</f>
        <v>30000</v>
      </c>
      <c r="J321" s="16">
        <f>I321-H321</f>
        <v>10000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44506</v>
      </c>
      <c r="B322" s="16" t="s">
        <v>1883</v>
      </c>
      <c r="C322" s="16" t="s">
        <v>155</v>
      </c>
      <c r="D322" s="16" t="str">
        <f>VLOOKUP(C322,[1]master_data!$A$2:$E$495,2,FALSE)</f>
        <v>LED KANDILA PRO RED ECO 40 CM</v>
      </c>
      <c r="E322" s="16">
        <v>1</v>
      </c>
      <c r="F322" s="16">
        <f>VLOOKUP(C322,[1]master_data!$A$2:$E$495,3,FALSE)</f>
        <v>45000</v>
      </c>
      <c r="G322" s="16">
        <f>VLOOKUP(C322,[1]master_data!$A$2:$E$495,4,FALSE)</f>
        <v>65000</v>
      </c>
      <c r="H322" s="16">
        <f>E322*F322</f>
        <v>45000</v>
      </c>
      <c r="I322" s="16">
        <f>E322*G322</f>
        <v>65000</v>
      </c>
      <c r="J322" s="16">
        <f>I322-H322</f>
        <v>20000</v>
      </c>
      <c r="K322" s="16" t="str">
        <f>VLOOKUP(C322,[1]master_data!$A$2:$E$495,5,FALSE)</f>
        <v>Aksesoris</v>
      </c>
      <c r="L322" s="1"/>
    </row>
    <row r="323" spans="1:12" ht="12" customHeight="1" x14ac:dyDescent="0.25">
      <c r="A323" s="15">
        <v>44506</v>
      </c>
      <c r="B323" s="16" t="s">
        <v>1884</v>
      </c>
      <c r="C323" s="16" t="s">
        <v>335</v>
      </c>
      <c r="D323" s="16" t="str">
        <f>VLOOKUP(C323,[1]master_data!$A$2:$E$495,2,FALSE)</f>
        <v>KOMET SLAYER</v>
      </c>
      <c r="E323" s="16">
        <v>10</v>
      </c>
      <c r="F323" s="16">
        <f>VLOOKUP(C323,[1]master_data!$A$2:$E$495,3,FALSE)</f>
        <v>2000</v>
      </c>
      <c r="G323" s="16">
        <f>VLOOKUP(C323,[1]master_data!$A$2:$E$495,4,FALSE)</f>
        <v>5000</v>
      </c>
      <c r="H323" s="16">
        <f>E323*F323</f>
        <v>20000</v>
      </c>
      <c r="I323" s="16">
        <f>E323*G323</f>
        <v>50000</v>
      </c>
      <c r="J323" s="16">
        <f>I323-H323</f>
        <v>30000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44506</v>
      </c>
      <c r="B324" s="16" t="s">
        <v>1885</v>
      </c>
      <c r="C324" s="16" t="s">
        <v>352</v>
      </c>
      <c r="D324" s="16" t="str">
        <f>VLOOKUP(C324,[1]master_data!$A$2:$E$495,2,FALSE)</f>
        <v>OSCAR</v>
      </c>
      <c r="E324" s="16">
        <v>5</v>
      </c>
      <c r="F324" s="16">
        <f>VLOOKUP(C324,[1]master_data!$A$2:$E$495,3,FALSE)</f>
        <v>25000</v>
      </c>
      <c r="G324" s="16">
        <f>VLOOKUP(C324,[1]master_data!$A$2:$E$495,4,FALSE)</f>
        <v>50000</v>
      </c>
      <c r="H324" s="16">
        <f>E324*F324</f>
        <v>125000</v>
      </c>
      <c r="I324" s="16">
        <f>E324*G324</f>
        <v>250000</v>
      </c>
      <c r="J324" s="16">
        <f>I324-H324</f>
        <v>125000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44506</v>
      </c>
      <c r="B325" s="16" t="s">
        <v>1886</v>
      </c>
      <c r="C325" s="16" t="s">
        <v>325</v>
      </c>
      <c r="D325" s="16" t="str">
        <f>VLOOKUP(C325,[1]master_data!$A$2:$E$495,2,FALSE)</f>
        <v>HIU TAWAR</v>
      </c>
      <c r="E325" s="16">
        <v>10</v>
      </c>
      <c r="F325" s="16">
        <f>VLOOKUP(C325,[1]master_data!$A$2:$E$495,3,FALSE)</f>
        <v>600</v>
      </c>
      <c r="G325" s="16">
        <f>VLOOKUP(C325,[1]master_data!$A$2:$E$495,4,FALSE)</f>
        <v>2000</v>
      </c>
      <c r="H325" s="16">
        <f>E325*F325</f>
        <v>6000</v>
      </c>
      <c r="I325" s="16">
        <f>E325*G325</f>
        <v>20000</v>
      </c>
      <c r="J325" s="16">
        <f>I325-H325</f>
        <v>14000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44506</v>
      </c>
      <c r="B326" s="16" t="s">
        <v>1887</v>
      </c>
      <c r="C326" s="16" t="s">
        <v>310</v>
      </c>
      <c r="D326" s="16" t="str">
        <f>VLOOKUP(C326,[1]master_data!$A$2:$E$495,2,FALSE)</f>
        <v>ALIGATOR</v>
      </c>
      <c r="E326" s="16">
        <v>5</v>
      </c>
      <c r="F326" s="16">
        <f>VLOOKUP(C326,[1]master_data!$A$2:$E$495,3,FALSE)</f>
        <v>17000</v>
      </c>
      <c r="G326" s="16">
        <f>VLOOKUP(C326,[1]master_data!$A$2:$E$495,4,FALSE)</f>
        <v>35000</v>
      </c>
      <c r="H326" s="16">
        <f>E326*F326</f>
        <v>85000</v>
      </c>
      <c r="I326" s="16">
        <f>E326*G326</f>
        <v>175000</v>
      </c>
      <c r="J326" s="16">
        <f>I326-H326</f>
        <v>90000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44506</v>
      </c>
      <c r="B327" s="16" t="s">
        <v>1888</v>
      </c>
      <c r="C327" s="16" t="s">
        <v>368</v>
      </c>
      <c r="D327" s="16" t="str">
        <f>VLOOKUP(C327,[1]master_data!$A$2:$E$495,2,FALSE)</f>
        <v>TOMAN</v>
      </c>
      <c r="E327" s="16">
        <v>2</v>
      </c>
      <c r="F327" s="16">
        <f>VLOOKUP(C327,[1]master_data!$A$2:$E$495,3,FALSE)</f>
        <v>10000</v>
      </c>
      <c r="G327" s="16">
        <f>VLOOKUP(C327,[1]master_data!$A$2:$E$495,4,FALSE)</f>
        <v>25000</v>
      </c>
      <c r="H327" s="16">
        <f>E327*F327</f>
        <v>20000</v>
      </c>
      <c r="I327" s="16">
        <f>E327*G327</f>
        <v>50000</v>
      </c>
      <c r="J327" s="16">
        <f>I327-H327</f>
        <v>30000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44506</v>
      </c>
      <c r="B328" s="16" t="s">
        <v>1889</v>
      </c>
      <c r="C328" s="16" t="s">
        <v>333</v>
      </c>
      <c r="D328" s="16" t="str">
        <f>VLOOKUP(C328,[1]master_data!$A$2:$E$495,2,FALSE)</f>
        <v>KAVIAT</v>
      </c>
      <c r="E328" s="16">
        <v>2</v>
      </c>
      <c r="F328" s="16">
        <f>VLOOKUP(C328,[1]master_data!$A$2:$E$495,3,FALSE)</f>
        <v>3500</v>
      </c>
      <c r="G328" s="16">
        <f>VLOOKUP(C328,[1]master_data!$A$2:$E$495,4,FALSE)</f>
        <v>8000</v>
      </c>
      <c r="H328" s="16">
        <f>E328*F328</f>
        <v>7000</v>
      </c>
      <c r="I328" s="16">
        <f>E328*G328</f>
        <v>16000</v>
      </c>
      <c r="J328" s="16">
        <f>I328-H328</f>
        <v>9000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44506</v>
      </c>
      <c r="B329" s="16" t="s">
        <v>1890</v>
      </c>
      <c r="C329" s="16" t="s">
        <v>355</v>
      </c>
      <c r="D329" s="16" t="str">
        <f>VLOOKUP(C329,[1]master_data!$A$2:$E$495,2,FALSE)</f>
        <v>PALMAS</v>
      </c>
      <c r="E329" s="16">
        <v>10</v>
      </c>
      <c r="F329" s="16">
        <f>VLOOKUP(C329,[1]master_data!$A$2:$E$495,3,FALSE)</f>
        <v>10000</v>
      </c>
      <c r="G329" s="16">
        <f>VLOOKUP(C329,[1]master_data!$A$2:$E$495,4,FALSE)</f>
        <v>25000</v>
      </c>
      <c r="H329" s="16">
        <f>E329*F329</f>
        <v>100000</v>
      </c>
      <c r="I329" s="16">
        <f>E329*G329</f>
        <v>250000</v>
      </c>
      <c r="J329" s="16">
        <f>I329-H329</f>
        <v>150000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44505</v>
      </c>
      <c r="B330" s="16" t="s">
        <v>1876</v>
      </c>
      <c r="C330" s="16" t="s">
        <v>52</v>
      </c>
      <c r="D330" s="16" t="str">
        <f>VLOOKUP(C330,[1]master_data!$A$2:$E$495,2,FALSE)</f>
        <v>MESIN HIKARI 1200</v>
      </c>
      <c r="E330" s="16">
        <v>2</v>
      </c>
      <c r="F330" s="16">
        <f>VLOOKUP(C330,[1]master_data!$A$2:$E$495,3,FALSE)</f>
        <v>27000</v>
      </c>
      <c r="G330" s="16">
        <f>VLOOKUP(C330,[1]master_data!$A$2:$E$495,4,FALSE)</f>
        <v>35000</v>
      </c>
      <c r="H330" s="16">
        <f>E330*F330</f>
        <v>54000</v>
      </c>
      <c r="I330" s="16">
        <f>E330*G330</f>
        <v>70000</v>
      </c>
      <c r="J330" s="16">
        <f>I330-H330</f>
        <v>16000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44505</v>
      </c>
      <c r="B331" s="16" t="s">
        <v>1877</v>
      </c>
      <c r="C331" s="16" t="s">
        <v>352</v>
      </c>
      <c r="D331" s="16" t="str">
        <f>VLOOKUP(C331,[1]master_data!$A$2:$E$495,2,FALSE)</f>
        <v>OSCAR</v>
      </c>
      <c r="E331" s="16">
        <v>5</v>
      </c>
      <c r="F331" s="16">
        <f>VLOOKUP(C331,[1]master_data!$A$2:$E$495,3,FALSE)</f>
        <v>25000</v>
      </c>
      <c r="G331" s="16">
        <f>VLOOKUP(C331,[1]master_data!$A$2:$E$495,4,FALSE)</f>
        <v>50000</v>
      </c>
      <c r="H331" s="16">
        <f>E331*F331</f>
        <v>125000</v>
      </c>
      <c r="I331" s="16">
        <f>E331*G331</f>
        <v>250000</v>
      </c>
      <c r="J331" s="16">
        <f>I331-H331</f>
        <v>125000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44505</v>
      </c>
      <c r="B332" s="16" t="s">
        <v>1878</v>
      </c>
      <c r="C332" s="16" t="s">
        <v>350</v>
      </c>
      <c r="D332" s="16" t="str">
        <f>VLOOKUP(C332,[1]master_data!$A$2:$E$495,2,FALSE)</f>
        <v>NENTINEN</v>
      </c>
      <c r="E332" s="16">
        <v>25</v>
      </c>
      <c r="F332" s="16">
        <f>VLOOKUP(C332,[1]master_data!$A$2:$E$495,3,FALSE)</f>
        <v>1000</v>
      </c>
      <c r="G332" s="16">
        <f>VLOOKUP(C332,[1]master_data!$A$2:$E$495,4,FALSE)</f>
        <v>2500</v>
      </c>
      <c r="H332" s="16">
        <f>E332*F332</f>
        <v>25000</v>
      </c>
      <c r="I332" s="16">
        <f>E332*G332</f>
        <v>62500</v>
      </c>
      <c r="J332" s="16">
        <f>I332-H332</f>
        <v>37500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44505</v>
      </c>
      <c r="B333" s="16" t="s">
        <v>1879</v>
      </c>
      <c r="C333" s="16" t="s">
        <v>28</v>
      </c>
      <c r="D333" s="16" t="str">
        <f>VLOOKUP(C333,[1]master_data!$A$2:$E$495,2,FALSE)</f>
        <v>TOP FILTER ROSTON B</v>
      </c>
      <c r="E333" s="16">
        <v>3</v>
      </c>
      <c r="F333" s="16">
        <f>VLOOKUP(C333,[1]master_data!$A$2:$E$495,3,FALSE)</f>
        <v>35000</v>
      </c>
      <c r="G333" s="16">
        <f>VLOOKUP(C333,[1]master_data!$A$2:$E$495,4,FALSE)</f>
        <v>65000</v>
      </c>
      <c r="H333" s="16">
        <f>E333*F333</f>
        <v>105000</v>
      </c>
      <c r="I333" s="16">
        <f>E333*G333</f>
        <v>195000</v>
      </c>
      <c r="J333" s="16">
        <f>I333-H333</f>
        <v>90000</v>
      </c>
      <c r="K333" s="16" t="str">
        <f>VLOOKUP(C333,[1]master_data!$A$2:$E$495,5,FALSE)</f>
        <v>Aksesoris</v>
      </c>
      <c r="L333" s="1"/>
    </row>
    <row r="334" spans="1:12" ht="12" customHeight="1" x14ac:dyDescent="0.25">
      <c r="A334" s="15">
        <v>44505</v>
      </c>
      <c r="B334" s="16" t="s">
        <v>1880</v>
      </c>
      <c r="C334" s="16" t="s">
        <v>362</v>
      </c>
      <c r="D334" s="16" t="str">
        <f>VLOOKUP(C334,[1]master_data!$A$2:$E$495,2,FALSE)</f>
        <v>SUMATRA BIASA</v>
      </c>
      <c r="E334" s="16">
        <v>5</v>
      </c>
      <c r="F334" s="16">
        <f>VLOOKUP(C334,[1]master_data!$A$2:$E$495,3,FALSE)</f>
        <v>800</v>
      </c>
      <c r="G334" s="16">
        <f>VLOOKUP(C334,[1]master_data!$A$2:$E$495,4,FALSE)</f>
        <v>2000</v>
      </c>
      <c r="H334" s="16">
        <f>E334*F334</f>
        <v>4000</v>
      </c>
      <c r="I334" s="16">
        <f>E334*G334</f>
        <v>10000</v>
      </c>
      <c r="J334" s="16">
        <f>I334-H334</f>
        <v>6000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44504</v>
      </c>
      <c r="B335" s="16" t="s">
        <v>1872</v>
      </c>
      <c r="C335" s="16" t="s">
        <v>363</v>
      </c>
      <c r="D335" s="16" t="str">
        <f>VLOOKUP(C335,[1]master_data!$A$2:$E$495,2,FALSE)</f>
        <v>SUMATRA GOLD FISH</v>
      </c>
      <c r="E335" s="16">
        <v>30</v>
      </c>
      <c r="F335" s="16">
        <f>VLOOKUP(C335,[1]master_data!$A$2:$E$495,3,FALSE)</f>
        <v>2500</v>
      </c>
      <c r="G335" s="16">
        <f>VLOOKUP(C335,[1]master_data!$A$2:$E$495,4,FALSE)</f>
        <v>4000</v>
      </c>
      <c r="H335" s="16">
        <f>E335*F335</f>
        <v>75000</v>
      </c>
      <c r="I335" s="16">
        <f>E335*G335</f>
        <v>120000</v>
      </c>
      <c r="J335" s="16">
        <f>I335-H335</f>
        <v>45000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44504</v>
      </c>
      <c r="B336" s="16" t="s">
        <v>1873</v>
      </c>
      <c r="C336" s="16" t="s">
        <v>315</v>
      </c>
      <c r="D336" s="16" t="str">
        <f>VLOOKUP(C336,[1]master_data!$A$2:$E$495,2,FALSE)</f>
        <v>BLACK GHOST</v>
      </c>
      <c r="E336" s="16">
        <v>25</v>
      </c>
      <c r="F336" s="16">
        <f>VLOOKUP(C336,[1]master_data!$A$2:$E$495,3,FALSE)</f>
        <v>4000</v>
      </c>
      <c r="G336" s="16">
        <f>VLOOKUP(C336,[1]master_data!$A$2:$E$495,4,FALSE)</f>
        <v>10000</v>
      </c>
      <c r="H336" s="16">
        <f>E336*F336</f>
        <v>100000</v>
      </c>
      <c r="I336" s="16">
        <f>E336*G336</f>
        <v>250000</v>
      </c>
      <c r="J336" s="16">
        <f>I336-H336</f>
        <v>150000</v>
      </c>
      <c r="K336" s="16" t="str">
        <f>VLOOKUP(C336,[1]master_data!$A$2:$E$495,5,FALSE)</f>
        <v>Ikan</v>
      </c>
      <c r="L336" s="1"/>
    </row>
    <row r="337" spans="1:12" ht="12" customHeight="1" x14ac:dyDescent="0.25">
      <c r="A337" s="15">
        <v>44504</v>
      </c>
      <c r="B337" s="16" t="s">
        <v>1874</v>
      </c>
      <c r="C337" s="16" t="s">
        <v>366</v>
      </c>
      <c r="D337" s="16" t="str">
        <f>VLOOKUP(C337,[1]master_data!$A$2:$E$495,2,FALSE)</f>
        <v>SYNODONTI B</v>
      </c>
      <c r="E337" s="16">
        <v>25</v>
      </c>
      <c r="F337" s="16">
        <f>VLOOKUP(C337,[1]master_data!$A$2:$E$495,3,FALSE)</f>
        <v>4000</v>
      </c>
      <c r="G337" s="16">
        <f>VLOOKUP(C337,[1]master_data!$A$2:$E$495,4,FALSE)</f>
        <v>10000</v>
      </c>
      <c r="H337" s="16">
        <f>E337*F337</f>
        <v>100000</v>
      </c>
      <c r="I337" s="16">
        <f>E337*G337</f>
        <v>250000</v>
      </c>
      <c r="J337" s="16">
        <f>I337-H337</f>
        <v>150000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44504</v>
      </c>
      <c r="B338" s="16" t="s">
        <v>1875</v>
      </c>
      <c r="C338" s="16" t="s">
        <v>328</v>
      </c>
      <c r="D338" s="16" t="str">
        <f>VLOOKUP(C338,[1]master_data!$A$2:$E$495,2,FALSE)</f>
        <v>KOKI B</v>
      </c>
      <c r="E338" s="16">
        <v>1</v>
      </c>
      <c r="F338" s="16">
        <f>VLOOKUP(C338,[1]master_data!$A$2:$E$495,3,FALSE)</f>
        <v>20000</v>
      </c>
      <c r="G338" s="16">
        <f>VLOOKUP(C338,[1]master_data!$A$2:$E$495,4,FALSE)</f>
        <v>50000</v>
      </c>
      <c r="H338" s="16">
        <f>E338*F338</f>
        <v>20000</v>
      </c>
      <c r="I338" s="16">
        <f>E338*G338</f>
        <v>50000</v>
      </c>
      <c r="J338" s="16">
        <f>I338-H338</f>
        <v>30000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44503</v>
      </c>
      <c r="B339" s="16" t="s">
        <v>1866</v>
      </c>
      <c r="C339" s="16" t="s">
        <v>10</v>
      </c>
      <c r="D339" s="16" t="str">
        <f>VLOOKUP(C339,[1]master_data!$A$2:$E$495,2,FALSE)</f>
        <v>MESIN YANG 2600</v>
      </c>
      <c r="E339" s="16">
        <v>1</v>
      </c>
      <c r="F339" s="16">
        <f>VLOOKUP(C339,[1]master_data!$A$2:$E$495,3,FALSE)</f>
        <v>82000</v>
      </c>
      <c r="G339" s="16">
        <f>VLOOKUP(C339,[1]master_data!$A$2:$E$495,4,FALSE)</f>
        <v>115000</v>
      </c>
      <c r="H339" s="16">
        <f>E339*F339</f>
        <v>82000</v>
      </c>
      <c r="I339" s="16">
        <f>E339*G339</f>
        <v>115000</v>
      </c>
      <c r="J339" s="16">
        <f>I339-H339</f>
        <v>33000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44503</v>
      </c>
      <c r="B340" s="16" t="s">
        <v>1867</v>
      </c>
      <c r="C340" s="16" t="s">
        <v>44</v>
      </c>
      <c r="D340" s="16" t="str">
        <f>VLOOKUP(C340,[1]master_data!$A$2:$E$495,2,FALSE)</f>
        <v>TOP FILTER NIKITA K</v>
      </c>
      <c r="E340" s="16">
        <v>1</v>
      </c>
      <c r="F340" s="16">
        <f>VLOOKUP(C340,[1]master_data!$A$2:$E$495,3,FALSE)</f>
        <v>36000</v>
      </c>
      <c r="G340" s="16">
        <f>VLOOKUP(C340,[1]master_data!$A$2:$E$495,4,FALSE)</f>
        <v>55000</v>
      </c>
      <c r="H340" s="16">
        <f>E340*F340</f>
        <v>36000</v>
      </c>
      <c r="I340" s="16">
        <f>E340*G340</f>
        <v>55000</v>
      </c>
      <c r="J340" s="16">
        <f>I340-H340</f>
        <v>19000</v>
      </c>
      <c r="K340" s="16" t="str">
        <f>VLOOKUP(C340,[1]master_data!$A$2:$E$495,5,FALSE)</f>
        <v>Aksesoris</v>
      </c>
      <c r="L340" s="1"/>
    </row>
    <row r="341" spans="1:12" ht="12" customHeight="1" x14ac:dyDescent="0.25">
      <c r="A341" s="15">
        <v>44503</v>
      </c>
      <c r="B341" s="16" t="s">
        <v>1868</v>
      </c>
      <c r="C341" s="16" t="s">
        <v>152</v>
      </c>
      <c r="D341" s="16" t="str">
        <f>VLOOKUP(C341,[1]master_data!$A$2:$E$495,2,FALSE)</f>
        <v>LED KANDILA PRO RED 150 CM</v>
      </c>
      <c r="E341" s="16">
        <v>2</v>
      </c>
      <c r="F341" s="16">
        <f>VLOOKUP(C341,[1]master_data!$A$2:$E$495,3,FALSE)</f>
        <v>265000</v>
      </c>
      <c r="G341" s="16">
        <f>VLOOKUP(C341,[1]master_data!$A$2:$E$495,4,FALSE)</f>
        <v>365000</v>
      </c>
      <c r="H341" s="16">
        <f>E341*F341</f>
        <v>530000</v>
      </c>
      <c r="I341" s="16">
        <f>E341*G341</f>
        <v>730000</v>
      </c>
      <c r="J341" s="16">
        <f>I341-H341</f>
        <v>200000</v>
      </c>
      <c r="K341" s="16" t="str">
        <f>VLOOKUP(C341,[1]master_data!$A$2:$E$495,5,FALSE)</f>
        <v>Aksesoris</v>
      </c>
      <c r="L341" s="1"/>
    </row>
    <row r="342" spans="1:12" ht="12" customHeight="1" x14ac:dyDescent="0.25">
      <c r="A342" s="15">
        <v>44503</v>
      </c>
      <c r="B342" s="16" t="s">
        <v>1869</v>
      </c>
      <c r="C342" s="16" t="s">
        <v>67</v>
      </c>
      <c r="D342" s="16" t="str">
        <f>VLOOKUP(C342,[1]master_data!$A$2:$E$495,2,FALSE)</f>
        <v>BOX KOSONG K</v>
      </c>
      <c r="E342" s="16">
        <v>10</v>
      </c>
      <c r="F342" s="16">
        <f>VLOOKUP(C342,[1]master_data!$A$2:$E$495,3,FALSE)</f>
        <v>10000</v>
      </c>
      <c r="G342" s="16">
        <f>VLOOKUP(C342,[1]master_data!$A$2:$E$495,4,FALSE)</f>
        <v>20000</v>
      </c>
      <c r="H342" s="16">
        <f>E342*F342</f>
        <v>100000</v>
      </c>
      <c r="I342" s="16">
        <f>E342*G342</f>
        <v>200000</v>
      </c>
      <c r="J342" s="16">
        <f>I342-H342</f>
        <v>100000</v>
      </c>
      <c r="K342" s="16" t="str">
        <f>VLOOKUP(C342,[1]master_data!$A$2:$E$495,5,FALSE)</f>
        <v>Aksesoris</v>
      </c>
      <c r="L342" s="1"/>
    </row>
    <row r="343" spans="1:12" ht="12" customHeight="1" x14ac:dyDescent="0.25">
      <c r="A343" s="15">
        <v>44503</v>
      </c>
      <c r="B343" s="16" t="s">
        <v>1870</v>
      </c>
      <c r="C343" s="16" t="s">
        <v>369</v>
      </c>
      <c r="D343" s="16" t="str">
        <f>VLOOKUP(C343,[1]master_data!$A$2:$E$495,2,FALSE)</f>
        <v>ZEBRA PINK</v>
      </c>
      <c r="E343" s="16">
        <v>50</v>
      </c>
      <c r="F343" s="16">
        <f>VLOOKUP(C343,[1]master_data!$A$2:$E$495,3,FALSE)</f>
        <v>800</v>
      </c>
      <c r="G343" s="16">
        <f>VLOOKUP(C343,[1]master_data!$A$2:$E$495,4,FALSE)</f>
        <v>2000</v>
      </c>
      <c r="H343" s="16">
        <f>E343*F343</f>
        <v>40000</v>
      </c>
      <c r="I343" s="16">
        <f>E343*G343</f>
        <v>100000</v>
      </c>
      <c r="J343" s="16">
        <f>I343-H343</f>
        <v>60000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44503</v>
      </c>
      <c r="B344" s="16" t="s">
        <v>1871</v>
      </c>
      <c r="C344" s="16" t="s">
        <v>202</v>
      </c>
      <c r="D344" s="16" t="str">
        <f>VLOOKUP(C344,[1]master_data!$A$2:$E$495,2,FALSE)</f>
        <v>GOSOKAN BIASA</v>
      </c>
      <c r="E344" s="16">
        <v>1</v>
      </c>
      <c r="F344" s="16">
        <f>VLOOKUP(C344,[1]master_data!$A$2:$E$495,3,FALSE)</f>
        <v>10000</v>
      </c>
      <c r="G344" s="16">
        <f>VLOOKUP(C344,[1]master_data!$A$2:$E$495,4,FALSE)</f>
        <v>20000</v>
      </c>
      <c r="H344" s="16">
        <f>E344*F344</f>
        <v>10000</v>
      </c>
      <c r="I344" s="16">
        <f>E344*G344</f>
        <v>20000</v>
      </c>
      <c r="J344" s="16">
        <f>I344-H344</f>
        <v>10000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44502</v>
      </c>
      <c r="B345" s="16" t="s">
        <v>1864</v>
      </c>
      <c r="C345" s="16" t="s">
        <v>342</v>
      </c>
      <c r="D345" s="16" t="str">
        <f>VLOOKUP(C345,[1]master_data!$A$2:$E$495,2,FALSE)</f>
        <v>LOUHAN SUPER</v>
      </c>
      <c r="E345" s="16">
        <v>2</v>
      </c>
      <c r="F345" s="16">
        <f>VLOOKUP(C345,[1]master_data!$A$2:$E$495,3,FALSE)</f>
        <v>300000</v>
      </c>
      <c r="G345" s="16">
        <f>VLOOKUP(C345,[1]master_data!$A$2:$E$495,4,FALSE)</f>
        <v>500000</v>
      </c>
      <c r="H345" s="16">
        <f>E345*F345</f>
        <v>600000</v>
      </c>
      <c r="I345" s="16">
        <f>E345*G345</f>
        <v>1000000</v>
      </c>
      <c r="J345" s="16">
        <f>I345-H345</f>
        <v>400000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44502</v>
      </c>
      <c r="B346" s="16" t="s">
        <v>1865</v>
      </c>
      <c r="C346" s="16" t="s">
        <v>325</v>
      </c>
      <c r="D346" s="16" t="str">
        <f>VLOOKUP(C346,[1]master_data!$A$2:$E$495,2,FALSE)</f>
        <v>HIU TAWAR</v>
      </c>
      <c r="E346" s="16">
        <v>10</v>
      </c>
      <c r="F346" s="16">
        <f>VLOOKUP(C346,[1]master_data!$A$2:$E$495,3,FALSE)</f>
        <v>600</v>
      </c>
      <c r="G346" s="16">
        <f>VLOOKUP(C346,[1]master_data!$A$2:$E$495,4,FALSE)</f>
        <v>2000</v>
      </c>
      <c r="H346" s="16">
        <f>E346*F346</f>
        <v>6000</v>
      </c>
      <c r="I346" s="16">
        <f>E346*G346</f>
        <v>20000</v>
      </c>
      <c r="J346" s="16">
        <f>I346-H346</f>
        <v>14000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44501</v>
      </c>
      <c r="B347" s="16" t="s">
        <v>1857</v>
      </c>
      <c r="C347" s="16" t="s">
        <v>279</v>
      </c>
      <c r="D347" s="16" t="str">
        <f>VLOOKUP(C347,[1]master_data!$A$2:$E$495,2,FALSE)</f>
        <v>TOPLES  1,5 L</v>
      </c>
      <c r="E347" s="16">
        <v>1</v>
      </c>
      <c r="F347" s="16">
        <f>VLOOKUP(C347,[1]master_data!$A$2:$E$495,3,FALSE)</f>
        <v>38500</v>
      </c>
      <c r="G347" s="16">
        <f>VLOOKUP(C347,[1]master_data!$A$2:$E$495,4,FALSE)</f>
        <v>55000</v>
      </c>
      <c r="H347" s="16">
        <f>E347*F347</f>
        <v>38500</v>
      </c>
      <c r="I347" s="16">
        <f>E347*G347</f>
        <v>55000</v>
      </c>
      <c r="J347" s="16">
        <f>I347-H347</f>
        <v>16500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44501</v>
      </c>
      <c r="B348" s="16" t="s">
        <v>1858</v>
      </c>
      <c r="C348" s="16" t="s">
        <v>357</v>
      </c>
      <c r="D348" s="16" t="str">
        <f>VLOOKUP(C348,[1]master_data!$A$2:$E$495,2,FALSE)</f>
        <v>PESO</v>
      </c>
      <c r="E348" s="16">
        <v>1</v>
      </c>
      <c r="F348" s="16">
        <f>VLOOKUP(C348,[1]master_data!$A$2:$E$495,3,FALSE)</f>
        <v>19000</v>
      </c>
      <c r="G348" s="16">
        <f>VLOOKUP(C348,[1]master_data!$A$2:$E$495,4,FALSE)</f>
        <v>40000</v>
      </c>
      <c r="H348" s="16">
        <f>E348*F348</f>
        <v>19000</v>
      </c>
      <c r="I348" s="16">
        <f>E348*G348</f>
        <v>40000</v>
      </c>
      <c r="J348" s="16">
        <f>I348-H348</f>
        <v>21000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44501</v>
      </c>
      <c r="B349" s="16" t="s">
        <v>1859</v>
      </c>
      <c r="C349" s="16" t="s">
        <v>239</v>
      </c>
      <c r="D349" s="16" t="str">
        <f>VLOOKUP(C349,[1]master_data!$A$2:$E$495,2,FALSE)</f>
        <v>OBAT QUARANTINI MED</v>
      </c>
      <c r="E349" s="16">
        <v>5</v>
      </c>
      <c r="F349" s="16">
        <f>VLOOKUP(C349,[1]master_data!$A$2:$E$495,3,FALSE)</f>
        <v>37000</v>
      </c>
      <c r="G349" s="16">
        <f>VLOOKUP(C349,[1]master_data!$A$2:$E$495,4,FALSE)</f>
        <v>60000</v>
      </c>
      <c r="H349" s="16">
        <f>E349*F349</f>
        <v>185000</v>
      </c>
      <c r="I349" s="16">
        <f>E349*G349</f>
        <v>300000</v>
      </c>
      <c r="J349" s="16">
        <f>I349-H349</f>
        <v>115000</v>
      </c>
      <c r="K349" s="16" t="str">
        <f>VLOOKUP(C349,[1]master_data!$A$2:$E$495,5,FALSE)</f>
        <v>Aksesoris</v>
      </c>
      <c r="L349" s="1"/>
    </row>
    <row r="350" spans="1:12" ht="12" customHeight="1" x14ac:dyDescent="0.25">
      <c r="A350" s="15">
        <v>44501</v>
      </c>
      <c r="B350" s="16" t="s">
        <v>1860</v>
      </c>
      <c r="C350" s="16" t="s">
        <v>158</v>
      </c>
      <c r="D350" s="16" t="str">
        <f>VLOOKUP(C350,[1]master_data!$A$2:$E$495,2,FALSE)</f>
        <v>LED KANDILA DnN ECO 100 CM</v>
      </c>
      <c r="E350" s="16">
        <v>1</v>
      </c>
      <c r="F350" s="16">
        <f>VLOOKUP(C350,[1]master_data!$A$2:$E$495,3,FALSE)</f>
        <v>103000</v>
      </c>
      <c r="G350" s="16">
        <f>VLOOKUP(C350,[1]master_data!$A$2:$E$495,4,FALSE)</f>
        <v>135000</v>
      </c>
      <c r="H350" s="16">
        <f>E350*F350</f>
        <v>103000</v>
      </c>
      <c r="I350" s="16">
        <f>E350*G350</f>
        <v>135000</v>
      </c>
      <c r="J350" s="16">
        <f>I350-H350</f>
        <v>32000</v>
      </c>
      <c r="K350" s="16" t="str">
        <f>VLOOKUP(C350,[1]master_data!$A$2:$E$495,5,FALSE)</f>
        <v>Aksesoris</v>
      </c>
      <c r="L350" s="1"/>
    </row>
    <row r="351" spans="1:12" ht="12" customHeight="1" x14ac:dyDescent="0.25">
      <c r="A351" s="15">
        <v>44501</v>
      </c>
      <c r="B351" s="16" t="s">
        <v>1861</v>
      </c>
      <c r="C351" s="16" t="s">
        <v>169</v>
      </c>
      <c r="D351" s="16" t="str">
        <f>VLOOKUP(C351,[1]master_data!$A$2:$E$495,2,FALSE)</f>
        <v>TAKARI K</v>
      </c>
      <c r="E351" s="16">
        <v>20</v>
      </c>
      <c r="F351" s="16">
        <f>VLOOKUP(C351,[1]master_data!$A$2:$E$495,3,FALSE)</f>
        <v>3500</v>
      </c>
      <c r="G351" s="16">
        <f>VLOOKUP(C351,[1]master_data!$A$2:$E$495,4,FALSE)</f>
        <v>5000</v>
      </c>
      <c r="H351" s="16">
        <f>E351*F351</f>
        <v>70000</v>
      </c>
      <c r="I351" s="16">
        <f>E351*G351</f>
        <v>100000</v>
      </c>
      <c r="J351" s="16">
        <f>I351-H351</f>
        <v>30000</v>
      </c>
      <c r="K351" s="16" t="str">
        <f>VLOOKUP(C351,[1]master_data!$A$2:$E$495,5,FALSE)</f>
        <v>Aksesoris</v>
      </c>
      <c r="L351" s="1"/>
    </row>
    <row r="352" spans="1:12" ht="12" customHeight="1" x14ac:dyDescent="0.25">
      <c r="A352" s="15">
        <v>44501</v>
      </c>
      <c r="B352" s="16" t="s">
        <v>1862</v>
      </c>
      <c r="C352" s="16" t="s">
        <v>374</v>
      </c>
      <c r="D352" s="16" t="str">
        <f>VLOOKUP(C352,[1]master_data!$A$2:$E$495,2,FALSE)</f>
        <v>SEPAT ALBINO</v>
      </c>
      <c r="E352" s="16">
        <v>25</v>
      </c>
      <c r="F352" s="16">
        <f>VLOOKUP(C352,[1]master_data!$A$2:$E$495,3,FALSE)</f>
        <v>2000</v>
      </c>
      <c r="G352" s="16">
        <f>VLOOKUP(C352,[1]master_data!$A$2:$E$495,4,FALSE)</f>
        <v>5000</v>
      </c>
      <c r="H352" s="16">
        <f>E352*F352</f>
        <v>50000</v>
      </c>
      <c r="I352" s="16">
        <f>E352*G352</f>
        <v>125000</v>
      </c>
      <c r="J352" s="16">
        <f>I352-H352</f>
        <v>75000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44501</v>
      </c>
      <c r="B353" s="16" t="s">
        <v>1863</v>
      </c>
      <c r="C353" s="16" t="s">
        <v>241</v>
      </c>
      <c r="D353" s="16" t="str">
        <f>VLOOKUP(C353,[1]master_data!$A$2:$E$495,2,FALSE)</f>
        <v>PINSET KANDILA</v>
      </c>
      <c r="E353" s="16">
        <v>1</v>
      </c>
      <c r="F353" s="16">
        <f>VLOOKUP(C353,[1]master_data!$A$2:$E$495,3,FALSE)</f>
        <v>18000</v>
      </c>
      <c r="G353" s="16">
        <f>VLOOKUP(C353,[1]master_data!$A$2:$E$495,4,FALSE)</f>
        <v>35000</v>
      </c>
      <c r="H353" s="16">
        <f>E353*F353</f>
        <v>18000</v>
      </c>
      <c r="I353" s="16">
        <f>E353*G353</f>
        <v>35000</v>
      </c>
      <c r="J353" s="16">
        <f>I353-H353</f>
        <v>17000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44500</v>
      </c>
      <c r="B354" s="16" t="s">
        <v>1850</v>
      </c>
      <c r="C354" s="16" t="s">
        <v>180</v>
      </c>
      <c r="D354" s="16" t="str">
        <f>VLOOKUP(C354,[1]master_data!$A$2:$E$495,2,FALSE)</f>
        <v>HOKKY KOI COLOUR</v>
      </c>
      <c r="E354" s="16">
        <v>1</v>
      </c>
      <c r="F354" s="16">
        <f>VLOOKUP(C354,[1]master_data!$A$2:$E$495,3,FALSE)</f>
        <v>55000</v>
      </c>
      <c r="G354" s="16">
        <f>VLOOKUP(C354,[1]master_data!$A$2:$E$495,4,FALSE)</f>
        <v>60000</v>
      </c>
      <c r="H354" s="16">
        <f>E354*F354</f>
        <v>55000</v>
      </c>
      <c r="I354" s="16">
        <f>E354*G354</f>
        <v>60000</v>
      </c>
      <c r="J354" s="16">
        <f>I354-H354</f>
        <v>5000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44500</v>
      </c>
      <c r="B355" s="16" t="s">
        <v>1851</v>
      </c>
      <c r="C355" s="16" t="s">
        <v>373</v>
      </c>
      <c r="D355" s="16" t="str">
        <f>VLOOKUP(C355,[1]master_data!$A$2:$E$495,2,FALSE)</f>
        <v>SEPAT</v>
      </c>
      <c r="E355" s="16">
        <v>25</v>
      </c>
      <c r="F355" s="16">
        <f>VLOOKUP(C355,[1]master_data!$A$2:$E$495,3,FALSE)</f>
        <v>600</v>
      </c>
      <c r="G355" s="16">
        <f>VLOOKUP(C355,[1]master_data!$A$2:$E$495,4,FALSE)</f>
        <v>2000</v>
      </c>
      <c r="H355" s="16">
        <f>E355*F355</f>
        <v>15000</v>
      </c>
      <c r="I355" s="16">
        <f>E355*G355</f>
        <v>50000</v>
      </c>
      <c r="J355" s="16">
        <f>I355-H355</f>
        <v>35000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44500</v>
      </c>
      <c r="B356" s="16" t="s">
        <v>1852</v>
      </c>
      <c r="C356" s="16" t="s">
        <v>697</v>
      </c>
      <c r="D356" s="16" t="str">
        <f>VLOOKUP(C356,[1]master_data!$A$2:$E$495,2,FALSE)</f>
        <v>LED HIKARI 3 MODE 80 CM</v>
      </c>
      <c r="E356" s="16">
        <v>1</v>
      </c>
      <c r="F356" s="16">
        <f>VLOOKUP(C356,[1]master_data!$A$2:$E$495,3,FALSE)</f>
        <v>89000</v>
      </c>
      <c r="G356" s="16">
        <f>VLOOKUP(C356,[1]master_data!$A$2:$E$495,4,FALSE)</f>
        <v>140000</v>
      </c>
      <c r="H356" s="16">
        <f>E356*F356</f>
        <v>89000</v>
      </c>
      <c r="I356" s="16">
        <f>E356*G356</f>
        <v>140000</v>
      </c>
      <c r="J356" s="16">
        <f>I356-H356</f>
        <v>51000</v>
      </c>
      <c r="K356" s="16" t="str">
        <f>VLOOKUP(C356,[1]master_data!$A$2:$E$495,5,FALSE)</f>
        <v>Aksesoris</v>
      </c>
      <c r="L356" s="1"/>
    </row>
    <row r="357" spans="1:12" ht="12" customHeight="1" x14ac:dyDescent="0.25">
      <c r="A357" s="15">
        <v>44500</v>
      </c>
      <c r="B357" s="16" t="s">
        <v>1853</v>
      </c>
      <c r="C357" s="16" t="s">
        <v>150</v>
      </c>
      <c r="D357" s="16" t="str">
        <f>VLOOKUP(C357,[1]master_data!$A$2:$E$495,2,FALSE)</f>
        <v>LED ARMADA 3 MODE M50</v>
      </c>
      <c r="E357" s="16">
        <v>1</v>
      </c>
      <c r="F357" s="16">
        <f>VLOOKUP(C357,[1]master_data!$A$2:$E$495,3,FALSE)</f>
        <v>26000</v>
      </c>
      <c r="G357" s="16">
        <f>VLOOKUP(C357,[1]master_data!$A$2:$E$495,4,FALSE)</f>
        <v>50000</v>
      </c>
      <c r="H357" s="16">
        <f>E357*F357</f>
        <v>26000</v>
      </c>
      <c r="I357" s="16">
        <f>E357*G357</f>
        <v>50000</v>
      </c>
      <c r="J357" s="16">
        <f>I357-H357</f>
        <v>24000</v>
      </c>
      <c r="K357" s="16" t="str">
        <f>VLOOKUP(C357,[1]master_data!$A$2:$E$495,5,FALSE)</f>
        <v>Aksesoris</v>
      </c>
      <c r="L357" s="1"/>
    </row>
    <row r="358" spans="1:12" ht="12" customHeight="1" x14ac:dyDescent="0.25">
      <c r="A358" s="15">
        <v>44500</v>
      </c>
      <c r="B358" s="16" t="s">
        <v>1854</v>
      </c>
      <c r="C358" s="16" t="s">
        <v>370</v>
      </c>
      <c r="D358" s="16" t="str">
        <f>VLOOKUP(C358,[1]master_data!$A$2:$E$495,2,FALSE)</f>
        <v>ZEBRA HIJAU</v>
      </c>
      <c r="E358" s="16">
        <v>20</v>
      </c>
      <c r="F358" s="16">
        <f>VLOOKUP(C358,[1]master_data!$A$2:$E$495,3,FALSE)</f>
        <v>800</v>
      </c>
      <c r="G358" s="16">
        <f>VLOOKUP(C358,[1]master_data!$A$2:$E$495,4,FALSE)</f>
        <v>2000</v>
      </c>
      <c r="H358" s="16">
        <f>E358*F358</f>
        <v>16000</v>
      </c>
      <c r="I358" s="16">
        <f>E358*G358</f>
        <v>40000</v>
      </c>
      <c r="J358" s="16">
        <f>I358-H358</f>
        <v>24000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44500</v>
      </c>
      <c r="B359" s="16" t="s">
        <v>1855</v>
      </c>
      <c r="C359" s="16" t="s">
        <v>357</v>
      </c>
      <c r="D359" s="16" t="str">
        <f>VLOOKUP(C359,[1]master_data!$A$2:$E$495,2,FALSE)</f>
        <v>PESO</v>
      </c>
      <c r="E359" s="16">
        <v>12</v>
      </c>
      <c r="F359" s="16">
        <f>VLOOKUP(C359,[1]master_data!$A$2:$E$495,3,FALSE)</f>
        <v>19000</v>
      </c>
      <c r="G359" s="16">
        <f>VLOOKUP(C359,[1]master_data!$A$2:$E$495,4,FALSE)</f>
        <v>40000</v>
      </c>
      <c r="H359" s="16">
        <f>E359*F359</f>
        <v>228000</v>
      </c>
      <c r="I359" s="16">
        <f>E359*G359</f>
        <v>480000</v>
      </c>
      <c r="J359" s="16">
        <f>I359-H359</f>
        <v>252000</v>
      </c>
      <c r="K359" s="16" t="str">
        <f>VLOOKUP(C359,[1]master_data!$A$2:$E$495,5,FALSE)</f>
        <v>Ikan</v>
      </c>
      <c r="L359" s="1"/>
    </row>
    <row r="360" spans="1:12" ht="12" customHeight="1" x14ac:dyDescent="0.25">
      <c r="A360" s="15">
        <v>44500</v>
      </c>
      <c r="B360" s="16" t="s">
        <v>1856</v>
      </c>
      <c r="C360" s="16" t="s">
        <v>318</v>
      </c>
      <c r="D360" s="16" t="str">
        <f>VLOOKUP(C360,[1]master_data!$A$2:$E$495,2,FALSE)</f>
        <v>KOMET BOKIM</v>
      </c>
      <c r="E360" s="16">
        <v>15</v>
      </c>
      <c r="F360" s="16">
        <f>VLOOKUP(C360,[1]master_data!$A$2:$E$495,3,FALSE)</f>
        <v>1500</v>
      </c>
      <c r="G360" s="16">
        <f>VLOOKUP(C360,[1]master_data!$A$2:$E$495,4,FALSE)</f>
        <v>5000</v>
      </c>
      <c r="H360" s="16">
        <f>E360*F360</f>
        <v>22500</v>
      </c>
      <c r="I360" s="16">
        <f>E360*G360</f>
        <v>75000</v>
      </c>
      <c r="J360" s="16">
        <f>I360-H360</f>
        <v>52500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44499</v>
      </c>
      <c r="B361" s="16" t="s">
        <v>1846</v>
      </c>
      <c r="C361" s="16" t="s">
        <v>347</v>
      </c>
      <c r="D361" s="16" t="str">
        <f>VLOOKUP(C361,[1]master_data!$A$2:$E$495,2,FALSE)</f>
        <v>MOLI BALON</v>
      </c>
      <c r="E361" s="16">
        <v>25</v>
      </c>
      <c r="F361" s="16">
        <f>VLOOKUP(C361,[1]master_data!$A$2:$E$495,3,FALSE)</f>
        <v>800</v>
      </c>
      <c r="G361" s="16">
        <f>VLOOKUP(C361,[1]master_data!$A$2:$E$495,4,FALSE)</f>
        <v>2000</v>
      </c>
      <c r="H361" s="16">
        <f>E361*F361</f>
        <v>20000</v>
      </c>
      <c r="I361" s="16">
        <f>E361*G361</f>
        <v>50000</v>
      </c>
      <c r="J361" s="16">
        <f>I361-H361</f>
        <v>30000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44499</v>
      </c>
      <c r="B362" s="16" t="s">
        <v>1847</v>
      </c>
      <c r="C362" s="16" t="s">
        <v>365</v>
      </c>
      <c r="D362" s="16" t="str">
        <f>VLOOKUP(C362,[1]master_data!$A$2:$E$495,2,FALSE)</f>
        <v>SYNODONTIS K</v>
      </c>
      <c r="E362" s="16">
        <v>10</v>
      </c>
      <c r="F362" s="16">
        <f>VLOOKUP(C362,[1]master_data!$A$2:$E$495,3,FALSE)</f>
        <v>1500</v>
      </c>
      <c r="G362" s="16">
        <f>VLOOKUP(C362,[1]master_data!$A$2:$E$495,4,FALSE)</f>
        <v>5000</v>
      </c>
      <c r="H362" s="16">
        <f>E362*F362</f>
        <v>15000</v>
      </c>
      <c r="I362" s="16">
        <f>E362*G362</f>
        <v>50000</v>
      </c>
      <c r="J362" s="16">
        <f>I362-H362</f>
        <v>35000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44499</v>
      </c>
      <c r="B363" s="16" t="s">
        <v>1848</v>
      </c>
      <c r="C363" s="16" t="s">
        <v>329</v>
      </c>
      <c r="D363" s="16" t="str">
        <f>VLOOKUP(C363,[1]master_data!$A$2:$E$495,2,FALSE)</f>
        <v>KOI K</v>
      </c>
      <c r="E363" s="16">
        <v>20</v>
      </c>
      <c r="F363" s="16">
        <f>VLOOKUP(C363,[1]master_data!$A$2:$E$495,3,FALSE)</f>
        <v>2500</v>
      </c>
      <c r="G363" s="16">
        <f>VLOOKUP(C363,[1]master_data!$A$2:$E$495,4,FALSE)</f>
        <v>10000</v>
      </c>
      <c r="H363" s="16">
        <f>E363*F363</f>
        <v>50000</v>
      </c>
      <c r="I363" s="16">
        <f>E363*G363</f>
        <v>200000</v>
      </c>
      <c r="J363" s="16">
        <f>I363-H363</f>
        <v>150000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44499</v>
      </c>
      <c r="B364" s="16" t="s">
        <v>1849</v>
      </c>
      <c r="C364" s="16" t="s">
        <v>55</v>
      </c>
      <c r="D364" s="16" t="str">
        <f>VLOOKUP(C364,[1]master_data!$A$2:$E$495,2,FALSE)</f>
        <v>MESIN ATMAN 105</v>
      </c>
      <c r="E364" s="16">
        <v>2</v>
      </c>
      <c r="F364" s="16">
        <f>VLOOKUP(C364,[1]master_data!$A$2:$E$495,3,FALSE)</f>
        <v>275000</v>
      </c>
      <c r="G364" s="16">
        <f>VLOOKUP(C364,[1]master_data!$A$2:$E$495,4,FALSE)</f>
        <v>350000</v>
      </c>
      <c r="H364" s="16">
        <f>E364*F364</f>
        <v>550000</v>
      </c>
      <c r="I364" s="16">
        <f>E364*G364</f>
        <v>700000</v>
      </c>
      <c r="J364" s="16">
        <f>I364-H364</f>
        <v>150000</v>
      </c>
      <c r="K364" s="16" t="str">
        <f>VLOOKUP(C364,[1]master_data!$A$2:$E$495,5,FALSE)</f>
        <v>Aksesoris</v>
      </c>
      <c r="L364" s="1"/>
    </row>
    <row r="365" spans="1:12" ht="12" customHeight="1" x14ac:dyDescent="0.25">
      <c r="A365" s="15">
        <v>44498</v>
      </c>
      <c r="B365" s="16" t="s">
        <v>1838</v>
      </c>
      <c r="C365" s="16" t="s">
        <v>158</v>
      </c>
      <c r="D365" s="16" t="str">
        <f>VLOOKUP(C365,[1]master_data!$A$2:$E$495,2,FALSE)</f>
        <v>LED KANDILA DnN ECO 100 CM</v>
      </c>
      <c r="E365" s="16">
        <v>1</v>
      </c>
      <c r="F365" s="16">
        <f>VLOOKUP(C365,[1]master_data!$A$2:$E$495,3,FALSE)</f>
        <v>103000</v>
      </c>
      <c r="G365" s="16">
        <f>VLOOKUP(C365,[1]master_data!$A$2:$E$495,4,FALSE)</f>
        <v>135000</v>
      </c>
      <c r="H365" s="16">
        <f>E365*F365</f>
        <v>103000</v>
      </c>
      <c r="I365" s="16">
        <f>E365*G365</f>
        <v>135000</v>
      </c>
      <c r="J365" s="16">
        <f>I365-H365</f>
        <v>32000</v>
      </c>
      <c r="K365" s="16" t="str">
        <f>VLOOKUP(C365,[1]master_data!$A$2:$E$495,5,FALSE)</f>
        <v>Aksesoris</v>
      </c>
      <c r="L365" s="1"/>
    </row>
    <row r="366" spans="1:12" ht="12" customHeight="1" x14ac:dyDescent="0.25">
      <c r="A366" s="15">
        <v>44498</v>
      </c>
      <c r="B366" s="16" t="s">
        <v>1839</v>
      </c>
      <c r="C366" s="16" t="s">
        <v>327</v>
      </c>
      <c r="D366" s="16" t="str">
        <f>VLOOKUP(C366,[1]master_data!$A$2:$E$495,2,FALSE)</f>
        <v>KOKI T</v>
      </c>
      <c r="E366" s="16">
        <v>2</v>
      </c>
      <c r="F366" s="16">
        <f>VLOOKUP(C366,[1]master_data!$A$2:$E$495,3,FALSE)</f>
        <v>8000</v>
      </c>
      <c r="G366" s="16">
        <f>VLOOKUP(C366,[1]master_data!$A$2:$E$495,4,FALSE)</f>
        <v>15000</v>
      </c>
      <c r="H366" s="16">
        <f>E366*F366</f>
        <v>16000</v>
      </c>
      <c r="I366" s="16">
        <f>E366*G366</f>
        <v>30000</v>
      </c>
      <c r="J366" s="16">
        <f>I366-H366</f>
        <v>14000</v>
      </c>
      <c r="K366" s="16" t="str">
        <f>VLOOKUP(C366,[1]master_data!$A$2:$E$495,5,FALSE)</f>
        <v>Ikan</v>
      </c>
      <c r="L366" s="1"/>
    </row>
    <row r="367" spans="1:12" ht="12" customHeight="1" x14ac:dyDescent="0.25">
      <c r="A367" s="15">
        <v>44498</v>
      </c>
      <c r="B367" s="16" t="s">
        <v>1840</v>
      </c>
      <c r="C367" s="16" t="s">
        <v>326</v>
      </c>
      <c r="D367" s="16" t="str">
        <f>VLOOKUP(C367,[1]master_data!$A$2:$E$495,2,FALSE)</f>
        <v>KOKI K</v>
      </c>
      <c r="E367" s="16">
        <v>10</v>
      </c>
      <c r="F367" s="16">
        <f>VLOOKUP(C367,[1]master_data!$A$2:$E$495,3,FALSE)</f>
        <v>3500</v>
      </c>
      <c r="G367" s="16">
        <f>VLOOKUP(C367,[1]master_data!$A$2:$E$495,4,FALSE)</f>
        <v>10000</v>
      </c>
      <c r="H367" s="16">
        <f>E367*F367</f>
        <v>35000</v>
      </c>
      <c r="I367" s="16">
        <f>E367*G367</f>
        <v>100000</v>
      </c>
      <c r="J367" s="16">
        <f>I367-H367</f>
        <v>65000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44498</v>
      </c>
      <c r="B368" s="16" t="s">
        <v>1841</v>
      </c>
      <c r="C368" s="16" t="s">
        <v>74</v>
      </c>
      <c r="D368" s="16" t="str">
        <f>VLOOKUP(C368,[1]master_data!$A$2:$E$495,2,FALSE)</f>
        <v>MESIN KIYOSAKI 1800</v>
      </c>
      <c r="E368" s="16">
        <v>2</v>
      </c>
      <c r="F368" s="16">
        <f>VLOOKUP(C368,[1]master_data!$A$2:$E$495,3,FALSE)</f>
        <v>45000</v>
      </c>
      <c r="G368" s="16">
        <f>VLOOKUP(C368,[1]master_data!$A$2:$E$495,4,FALSE)</f>
        <v>100000</v>
      </c>
      <c r="H368" s="16">
        <f>E368*F368</f>
        <v>90000</v>
      </c>
      <c r="I368" s="16">
        <f>E368*G368</f>
        <v>200000</v>
      </c>
      <c r="J368" s="16">
        <f>I368-H368</f>
        <v>110000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44498</v>
      </c>
      <c r="B369" s="16" t="s">
        <v>1842</v>
      </c>
      <c r="C369" s="16" t="s">
        <v>327</v>
      </c>
      <c r="D369" s="16" t="str">
        <f>VLOOKUP(C369,[1]master_data!$A$2:$E$495,2,FALSE)</f>
        <v>KOKI T</v>
      </c>
      <c r="E369" s="16">
        <v>10</v>
      </c>
      <c r="F369" s="16">
        <f>VLOOKUP(C369,[1]master_data!$A$2:$E$495,3,FALSE)</f>
        <v>8000</v>
      </c>
      <c r="G369" s="16">
        <f>VLOOKUP(C369,[1]master_data!$A$2:$E$495,4,FALSE)</f>
        <v>15000</v>
      </c>
      <c r="H369" s="16">
        <f>E369*F369</f>
        <v>80000</v>
      </c>
      <c r="I369" s="16">
        <f>E369*G369</f>
        <v>150000</v>
      </c>
      <c r="J369" s="16">
        <f>I369-H369</f>
        <v>70000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44498</v>
      </c>
      <c r="B370" s="16" t="s">
        <v>1843</v>
      </c>
      <c r="C370" s="16" t="s">
        <v>225</v>
      </c>
      <c r="D370" s="16" t="str">
        <f>VLOOKUP(C370,[1]master_data!$A$2:$E$495,2,FALSE)</f>
        <v>KRAN 1 W</v>
      </c>
      <c r="E370" s="16">
        <v>10</v>
      </c>
      <c r="F370" s="16">
        <f>VLOOKUP(C370,[1]master_data!$A$2:$E$495,3,FALSE)</f>
        <v>1200</v>
      </c>
      <c r="G370" s="16">
        <f>VLOOKUP(C370,[1]master_data!$A$2:$E$495,4,FALSE)</f>
        <v>3000</v>
      </c>
      <c r="H370" s="16">
        <f>E370*F370</f>
        <v>12000</v>
      </c>
      <c r="I370" s="16">
        <f>E370*G370</f>
        <v>30000</v>
      </c>
      <c r="J370" s="16">
        <f>I370-H370</f>
        <v>18000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44498</v>
      </c>
      <c r="B371" s="16" t="s">
        <v>1844</v>
      </c>
      <c r="C371" s="16" t="s">
        <v>256</v>
      </c>
      <c r="D371" s="16" t="str">
        <f>VLOOKUP(C371,[1]master_data!$A$2:$E$495,2,FALSE)</f>
        <v>HEATER STENLEES 75 W</v>
      </c>
      <c r="E371" s="16">
        <v>2</v>
      </c>
      <c r="F371" s="16">
        <f>VLOOKUP(C371,[1]master_data!$A$2:$E$495,3,FALSE)</f>
        <v>70000</v>
      </c>
      <c r="G371" s="16">
        <f>VLOOKUP(C371,[1]master_data!$A$2:$E$495,4,FALSE)</f>
        <v>90000</v>
      </c>
      <c r="H371" s="16">
        <f>E371*F371</f>
        <v>140000</v>
      </c>
      <c r="I371" s="16">
        <f>E371*G371</f>
        <v>180000</v>
      </c>
      <c r="J371" s="16">
        <f>I371-H371</f>
        <v>40000</v>
      </c>
      <c r="K371" s="16" t="str">
        <f>VLOOKUP(C371,[1]master_data!$A$2:$E$495,5,FALSE)</f>
        <v>Aksesoris</v>
      </c>
      <c r="L371" s="1"/>
    </row>
    <row r="372" spans="1:12" ht="12" customHeight="1" x14ac:dyDescent="0.25">
      <c r="A372" s="15">
        <v>44498</v>
      </c>
      <c r="B372" s="16" t="s">
        <v>1845</v>
      </c>
      <c r="C372" s="16" t="s">
        <v>32</v>
      </c>
      <c r="D372" s="16" t="str">
        <f>VLOOKUP(C372,[1]master_data!$A$2:$E$495,2,FALSE)</f>
        <v>MESIN YAMANO 1800</v>
      </c>
      <c r="E372" s="16">
        <v>2</v>
      </c>
      <c r="F372" s="16">
        <f>VLOOKUP(C372,[1]master_data!$A$2:$E$495,3,FALSE)</f>
        <v>64000</v>
      </c>
      <c r="G372" s="16">
        <f>VLOOKUP(C372,[1]master_data!$A$2:$E$495,4,FALSE)</f>
        <v>110000</v>
      </c>
      <c r="H372" s="16">
        <f>E372*F372</f>
        <v>128000</v>
      </c>
      <c r="I372" s="16">
        <f>E372*G372</f>
        <v>220000</v>
      </c>
      <c r="J372" s="16">
        <f>I372-H372</f>
        <v>92000</v>
      </c>
      <c r="K372" s="16" t="str">
        <f>VLOOKUP(C372,[1]master_data!$A$2:$E$495,5,FALSE)</f>
        <v>Aksesoris</v>
      </c>
      <c r="L372" s="1"/>
    </row>
    <row r="373" spans="1:12" ht="12" customHeight="1" x14ac:dyDescent="0.25">
      <c r="A373" s="15">
        <v>44497</v>
      </c>
      <c r="B373" s="16" t="s">
        <v>1832</v>
      </c>
      <c r="C373" s="16" t="s">
        <v>84</v>
      </c>
      <c r="D373" s="16" t="str">
        <f>VLOOKUP(C373,[1]master_data!$A$2:$E$495,2,FALSE)</f>
        <v>MESIN AMARA 106</v>
      </c>
      <c r="E373" s="16">
        <v>2</v>
      </c>
      <c r="F373" s="16">
        <f>VLOOKUP(C373,[1]master_data!$A$2:$E$495,3,FALSE)</f>
        <v>270000</v>
      </c>
      <c r="G373" s="16">
        <f>VLOOKUP(C373,[1]master_data!$A$2:$E$495,4,FALSE)</f>
        <v>330000</v>
      </c>
      <c r="H373" s="16">
        <f>E373*F373</f>
        <v>540000</v>
      </c>
      <c r="I373" s="16">
        <f>E373*G373</f>
        <v>660000</v>
      </c>
      <c r="J373" s="16">
        <f>I373-H373</f>
        <v>120000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44497</v>
      </c>
      <c r="B374" s="16" t="s">
        <v>1833</v>
      </c>
      <c r="C374" s="16" t="s">
        <v>35</v>
      </c>
      <c r="D374" s="16" t="str">
        <f>VLOOKUP(C374,[1]master_data!$A$2:$E$495,2,FALSE)</f>
        <v>MESIN YAMANO 104</v>
      </c>
      <c r="E374" s="16">
        <v>1</v>
      </c>
      <c r="F374" s="16">
        <f>VLOOKUP(C374,[1]master_data!$A$2:$E$495,3,FALSE)</f>
        <v>98000</v>
      </c>
      <c r="G374" s="16">
        <f>VLOOKUP(C374,[1]master_data!$A$2:$E$495,4,FALSE)</f>
        <v>135000</v>
      </c>
      <c r="H374" s="16">
        <f>E374*F374</f>
        <v>98000</v>
      </c>
      <c r="I374" s="16">
        <f>E374*G374</f>
        <v>135000</v>
      </c>
      <c r="J374" s="16">
        <f>I374-H374</f>
        <v>37000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44497</v>
      </c>
      <c r="B375" s="16" t="s">
        <v>1834</v>
      </c>
      <c r="C375" s="16" t="s">
        <v>368</v>
      </c>
      <c r="D375" s="16" t="str">
        <f>VLOOKUP(C375,[1]master_data!$A$2:$E$495,2,FALSE)</f>
        <v>TOMAN</v>
      </c>
      <c r="E375" s="16">
        <v>1</v>
      </c>
      <c r="F375" s="16">
        <f>VLOOKUP(C375,[1]master_data!$A$2:$E$495,3,FALSE)</f>
        <v>10000</v>
      </c>
      <c r="G375" s="16">
        <f>VLOOKUP(C375,[1]master_data!$A$2:$E$495,4,FALSE)</f>
        <v>25000</v>
      </c>
      <c r="H375" s="16">
        <f>E375*F375</f>
        <v>10000</v>
      </c>
      <c r="I375" s="16">
        <f>E375*G375</f>
        <v>25000</v>
      </c>
      <c r="J375" s="16">
        <f>I375-H375</f>
        <v>15000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44497</v>
      </c>
      <c r="B376" s="16" t="s">
        <v>1835</v>
      </c>
      <c r="C376" s="16" t="s">
        <v>303</v>
      </c>
      <c r="D376" s="16" t="str">
        <f>VLOOKUP(C376,[1]master_data!$A$2:$E$495,2,FALSE)</f>
        <v>CHANNA ASIATICA K</v>
      </c>
      <c r="E376" s="16">
        <v>5</v>
      </c>
      <c r="F376" s="16">
        <f>VLOOKUP(C376,[1]master_data!$A$2:$E$495,3,FALSE)</f>
        <v>10000</v>
      </c>
      <c r="G376" s="16">
        <f>VLOOKUP(C376,[1]master_data!$A$2:$E$495,4,FALSE)</f>
        <v>40000</v>
      </c>
      <c r="H376" s="16">
        <f>E376*F376</f>
        <v>50000</v>
      </c>
      <c r="I376" s="16">
        <f>E376*G376</f>
        <v>200000</v>
      </c>
      <c r="J376" s="16">
        <f>I376-H376</f>
        <v>150000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44497</v>
      </c>
      <c r="B377" s="16" t="s">
        <v>1836</v>
      </c>
      <c r="C377" s="16" t="s">
        <v>314</v>
      </c>
      <c r="D377" s="16" t="str">
        <f>VLOOKUP(C377,[1]master_data!$A$2:$E$495,2,FALSE)</f>
        <v>BALA BALA B</v>
      </c>
      <c r="E377" s="16">
        <v>5</v>
      </c>
      <c r="F377" s="16">
        <f>VLOOKUP(C377,[1]master_data!$A$2:$E$495,3,FALSE)</f>
        <v>7000</v>
      </c>
      <c r="G377" s="16">
        <f>VLOOKUP(C377,[1]master_data!$A$2:$E$495,4,FALSE)</f>
        <v>15000</v>
      </c>
      <c r="H377" s="16">
        <f>E377*F377</f>
        <v>35000</v>
      </c>
      <c r="I377" s="16">
        <f>E377*G377</f>
        <v>75000</v>
      </c>
      <c r="J377" s="16">
        <f>I377-H377</f>
        <v>40000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44497</v>
      </c>
      <c r="B378" s="16" t="s">
        <v>1837</v>
      </c>
      <c r="C378" s="16" t="s">
        <v>218</v>
      </c>
      <c r="D378" s="16" t="str">
        <f>VLOOKUP(C378,[1]master_data!$A$2:$E$495,2,FALSE)</f>
        <v>HEATER KACA 75 W</v>
      </c>
      <c r="E378" s="16">
        <v>2</v>
      </c>
      <c r="F378" s="16">
        <f>VLOOKUP(C378,[1]master_data!$A$2:$E$495,3,FALSE)</f>
        <v>33000</v>
      </c>
      <c r="G378" s="16">
        <f>VLOOKUP(C378,[1]master_data!$A$2:$E$495,4,FALSE)</f>
        <v>50000</v>
      </c>
      <c r="H378" s="16">
        <f>E378*F378</f>
        <v>66000</v>
      </c>
      <c r="I378" s="16">
        <f>E378*G378</f>
        <v>100000</v>
      </c>
      <c r="J378" s="16">
        <f>I378-H378</f>
        <v>34000</v>
      </c>
      <c r="K378" s="16" t="str">
        <f>VLOOKUP(C378,[1]master_data!$A$2:$E$495,5,FALSE)</f>
        <v>Aksesoris</v>
      </c>
      <c r="L378" s="1"/>
    </row>
    <row r="379" spans="1:12" ht="12" customHeight="1" x14ac:dyDescent="0.25">
      <c r="A379" s="15">
        <v>44496</v>
      </c>
      <c r="B379" s="16" t="s">
        <v>1828</v>
      </c>
      <c r="C379" s="16" t="s">
        <v>75</v>
      </c>
      <c r="D379" s="16" t="str">
        <f>VLOOKUP(C379,[1]master_data!$A$2:$E$495,2,FALSE)</f>
        <v>MESIN KIYOSAKI 105B</v>
      </c>
      <c r="E379" s="16">
        <v>2</v>
      </c>
      <c r="F379" s="16">
        <f>VLOOKUP(C379,[1]master_data!$A$2:$E$495,3,FALSE)</f>
        <v>110000</v>
      </c>
      <c r="G379" s="16">
        <f>VLOOKUP(C379,[1]master_data!$A$2:$E$495,4,FALSE)</f>
        <v>160000</v>
      </c>
      <c r="H379" s="16">
        <f>E379*F379</f>
        <v>220000</v>
      </c>
      <c r="I379" s="16">
        <f>E379*G379</f>
        <v>320000</v>
      </c>
      <c r="J379" s="16">
        <f>I379-H379</f>
        <v>100000</v>
      </c>
      <c r="K379" s="16" t="str">
        <f>VLOOKUP(C379,[1]master_data!$A$2:$E$495,5,FALSE)</f>
        <v>Aksesoris</v>
      </c>
      <c r="L379" s="1"/>
    </row>
    <row r="380" spans="1:12" ht="12" customHeight="1" x14ac:dyDescent="0.25">
      <c r="A380" s="15">
        <v>44496</v>
      </c>
      <c r="B380" s="16" t="s">
        <v>1829</v>
      </c>
      <c r="C380" s="16" t="s">
        <v>314</v>
      </c>
      <c r="D380" s="16" t="str">
        <f>VLOOKUP(C380,[1]master_data!$A$2:$E$495,2,FALSE)</f>
        <v>BALA BALA B</v>
      </c>
      <c r="E380" s="16">
        <v>2</v>
      </c>
      <c r="F380" s="16">
        <f>VLOOKUP(C380,[1]master_data!$A$2:$E$495,3,FALSE)</f>
        <v>7000</v>
      </c>
      <c r="G380" s="16">
        <f>VLOOKUP(C380,[1]master_data!$A$2:$E$495,4,FALSE)</f>
        <v>15000</v>
      </c>
      <c r="H380" s="16">
        <f>E380*F380</f>
        <v>14000</v>
      </c>
      <c r="I380" s="16">
        <f>E380*G380</f>
        <v>30000</v>
      </c>
      <c r="J380" s="16">
        <f>I380-H380</f>
        <v>16000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44496</v>
      </c>
      <c r="B381" s="16" t="s">
        <v>1830</v>
      </c>
      <c r="C381" s="16" t="s">
        <v>288</v>
      </c>
      <c r="D381" s="16" t="str">
        <f>VLOOKUP(C381,[1]master_data!$A$2:$E$495,2,FALSE)</f>
        <v>SOLITER B1</v>
      </c>
      <c r="E381" s="16">
        <v>10</v>
      </c>
      <c r="F381" s="16">
        <f>VLOOKUP(C381,[1]master_data!$A$2:$E$495,3,FALSE)</f>
        <v>45000</v>
      </c>
      <c r="G381" s="16">
        <f>VLOOKUP(C381,[1]master_data!$A$2:$E$495,4,FALSE)</f>
        <v>60000</v>
      </c>
      <c r="H381" s="16">
        <f>E381*F381</f>
        <v>450000</v>
      </c>
      <c r="I381" s="16">
        <f>E381*G381</f>
        <v>600000</v>
      </c>
      <c r="J381" s="16">
        <f>I381-H381</f>
        <v>150000</v>
      </c>
      <c r="K381" s="16" t="str">
        <f>VLOOKUP(C381,[1]master_data!$A$2:$E$495,5,FALSE)</f>
        <v>Aksesoris</v>
      </c>
      <c r="L381" s="1"/>
    </row>
    <row r="382" spans="1:12" ht="12" customHeight="1" x14ac:dyDescent="0.25">
      <c r="A382" s="15">
        <v>44496</v>
      </c>
      <c r="B382" s="16" t="s">
        <v>1831</v>
      </c>
      <c r="C382" s="16" t="s">
        <v>41</v>
      </c>
      <c r="D382" s="16" t="str">
        <f>VLOOKUP(C382,[1]master_data!$A$2:$E$495,2,FALSE)</f>
        <v>MESIN YAMANO 2600</v>
      </c>
      <c r="E382" s="16">
        <v>1</v>
      </c>
      <c r="F382" s="16">
        <f>VLOOKUP(C382,[1]master_data!$A$2:$E$495,3,FALSE)</f>
        <v>82500</v>
      </c>
      <c r="G382" s="16">
        <f>VLOOKUP(C382,[1]master_data!$A$2:$E$495,4,FALSE)</f>
        <v>115000</v>
      </c>
      <c r="H382" s="16">
        <f>E382*F382</f>
        <v>82500</v>
      </c>
      <c r="I382" s="16">
        <f>E382*G382</f>
        <v>115000</v>
      </c>
      <c r="J382" s="16">
        <f>I382-H382</f>
        <v>32500</v>
      </c>
      <c r="K382" s="16" t="str">
        <f>VLOOKUP(C382,[1]master_data!$A$2:$E$495,5,FALSE)</f>
        <v>Aksesoris</v>
      </c>
      <c r="L382" s="1"/>
    </row>
    <row r="383" spans="1:12" ht="12" customHeight="1" x14ac:dyDescent="0.25">
      <c r="A383" s="15">
        <v>44495</v>
      </c>
      <c r="B383" s="16" t="s">
        <v>1820</v>
      </c>
      <c r="C383" s="16" t="s">
        <v>221</v>
      </c>
      <c r="D383" s="16" t="str">
        <f>VLOOKUP(C383,[1]master_data!$A$2:$E$495,2,FALSE)</f>
        <v>JARING 12</v>
      </c>
      <c r="E383" s="16">
        <v>20</v>
      </c>
      <c r="F383" s="16">
        <f>VLOOKUP(C383,[1]master_data!$A$2:$E$495,3,FALSE)</f>
        <v>4000</v>
      </c>
      <c r="G383" s="16">
        <f>VLOOKUP(C383,[1]master_data!$A$2:$E$495,4,FALSE)</f>
        <v>7000</v>
      </c>
      <c r="H383" s="16">
        <f>E383*F383</f>
        <v>80000</v>
      </c>
      <c r="I383" s="16">
        <f>E383*G383</f>
        <v>140000</v>
      </c>
      <c r="J383" s="16">
        <f>I383-H383</f>
        <v>60000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44495</v>
      </c>
      <c r="B384" s="16" t="s">
        <v>1821</v>
      </c>
      <c r="C384" s="16" t="s">
        <v>373</v>
      </c>
      <c r="D384" s="16" t="str">
        <f>VLOOKUP(C384,[1]master_data!$A$2:$E$495,2,FALSE)</f>
        <v>SEPAT</v>
      </c>
      <c r="E384" s="16">
        <v>20</v>
      </c>
      <c r="F384" s="16">
        <f>VLOOKUP(C384,[1]master_data!$A$2:$E$495,3,FALSE)</f>
        <v>600</v>
      </c>
      <c r="G384" s="16">
        <f>VLOOKUP(C384,[1]master_data!$A$2:$E$495,4,FALSE)</f>
        <v>2000</v>
      </c>
      <c r="H384" s="16">
        <f>E384*F384</f>
        <v>12000</v>
      </c>
      <c r="I384" s="16">
        <f>E384*G384</f>
        <v>40000</v>
      </c>
      <c r="J384" s="16">
        <f>I384-H384</f>
        <v>28000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44495</v>
      </c>
      <c r="B385" s="16" t="s">
        <v>1822</v>
      </c>
      <c r="C385" s="16" t="s">
        <v>320</v>
      </c>
      <c r="D385" s="16" t="str">
        <f>VLOOKUP(C385,[1]master_data!$A$2:$E$495,2,FALSE)</f>
        <v>CUPANG</v>
      </c>
      <c r="E385" s="16">
        <v>10</v>
      </c>
      <c r="F385" s="16">
        <f>VLOOKUP(C385,[1]master_data!$A$2:$E$495,3,FALSE)</f>
        <v>2000</v>
      </c>
      <c r="G385" s="16">
        <f>VLOOKUP(C385,[1]master_data!$A$2:$E$495,4,FALSE)</f>
        <v>5000</v>
      </c>
      <c r="H385" s="16">
        <f>E385*F385</f>
        <v>20000</v>
      </c>
      <c r="I385" s="16">
        <f>E385*G385</f>
        <v>50000</v>
      </c>
      <c r="J385" s="16">
        <f>I385-H385</f>
        <v>30000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44495</v>
      </c>
      <c r="B386" s="16" t="s">
        <v>1823</v>
      </c>
      <c r="C386" s="16" t="s">
        <v>325</v>
      </c>
      <c r="D386" s="16" t="str">
        <f>VLOOKUP(C386,[1]master_data!$A$2:$E$495,2,FALSE)</f>
        <v>HIU TAWAR</v>
      </c>
      <c r="E386" s="16">
        <v>10</v>
      </c>
      <c r="F386" s="16">
        <f>VLOOKUP(C386,[1]master_data!$A$2:$E$495,3,FALSE)</f>
        <v>600</v>
      </c>
      <c r="G386" s="16">
        <f>VLOOKUP(C386,[1]master_data!$A$2:$E$495,4,FALSE)</f>
        <v>2000</v>
      </c>
      <c r="H386" s="16">
        <f>E386*F386</f>
        <v>6000</v>
      </c>
      <c r="I386" s="16">
        <f>E386*G386</f>
        <v>20000</v>
      </c>
      <c r="J386" s="16">
        <f>I386-H386</f>
        <v>14000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44495</v>
      </c>
      <c r="B387" s="16" t="s">
        <v>1824</v>
      </c>
      <c r="C387" s="16" t="s">
        <v>335</v>
      </c>
      <c r="D387" s="16" t="str">
        <f>VLOOKUP(C387,[1]master_data!$A$2:$E$495,2,FALSE)</f>
        <v>KOMET SLAYER</v>
      </c>
      <c r="E387" s="16">
        <v>20</v>
      </c>
      <c r="F387" s="16">
        <f>VLOOKUP(C387,[1]master_data!$A$2:$E$495,3,FALSE)</f>
        <v>2000</v>
      </c>
      <c r="G387" s="16">
        <f>VLOOKUP(C387,[1]master_data!$A$2:$E$495,4,FALSE)</f>
        <v>5000</v>
      </c>
      <c r="H387" s="16">
        <f>E387*F387</f>
        <v>40000</v>
      </c>
      <c r="I387" s="16">
        <f>E387*G387</f>
        <v>100000</v>
      </c>
      <c r="J387" s="16">
        <f>I387-H387</f>
        <v>60000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44495</v>
      </c>
      <c r="B388" s="16" t="s">
        <v>1825</v>
      </c>
      <c r="C388" s="16" t="s">
        <v>359</v>
      </c>
      <c r="D388" s="16" t="str">
        <f>VLOOKUP(C388,[1]master_data!$A$2:$E$495,2,FALSE)</f>
        <v>REDFIN ALBINO</v>
      </c>
      <c r="E388" s="16">
        <v>30</v>
      </c>
      <c r="F388" s="16">
        <f>VLOOKUP(C388,[1]master_data!$A$2:$E$495,3,FALSE)</f>
        <v>1500</v>
      </c>
      <c r="G388" s="16">
        <f>VLOOKUP(C388,[1]master_data!$A$2:$E$495,4,FALSE)</f>
        <v>4000</v>
      </c>
      <c r="H388" s="16">
        <f>E388*F388</f>
        <v>45000</v>
      </c>
      <c r="I388" s="16">
        <f>E388*G388</f>
        <v>120000</v>
      </c>
      <c r="J388" s="16">
        <f>I388-H388</f>
        <v>75000</v>
      </c>
      <c r="K388" s="16" t="str">
        <f>VLOOKUP(C388,[1]master_data!$A$2:$E$495,5,FALSE)</f>
        <v>Ikan</v>
      </c>
      <c r="L388" s="1"/>
    </row>
    <row r="389" spans="1:12" ht="12" customHeight="1" x14ac:dyDescent="0.25">
      <c r="A389" s="15">
        <v>44495</v>
      </c>
      <c r="B389" s="16" t="s">
        <v>1826</v>
      </c>
      <c r="C389" s="16" t="s">
        <v>353</v>
      </c>
      <c r="D389" s="16" t="str">
        <f>VLOOKUP(C389,[1]master_data!$A$2:$E$495,2,FALSE)</f>
        <v>PEMBERSIH KACA BIASA</v>
      </c>
      <c r="E389" s="16">
        <v>30</v>
      </c>
      <c r="F389" s="16">
        <f>VLOOKUP(C389,[1]master_data!$A$2:$E$495,3,FALSE)</f>
        <v>2000</v>
      </c>
      <c r="G389" s="16">
        <f>VLOOKUP(C389,[1]master_data!$A$2:$E$495,4,FALSE)</f>
        <v>5000</v>
      </c>
      <c r="H389" s="16">
        <f>E389*F389</f>
        <v>60000</v>
      </c>
      <c r="I389" s="16">
        <f>E389*G389</f>
        <v>150000</v>
      </c>
      <c r="J389" s="16">
        <f>I389-H389</f>
        <v>90000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44495</v>
      </c>
      <c r="B390" s="16" t="s">
        <v>1827</v>
      </c>
      <c r="C390" s="16" t="s">
        <v>336</v>
      </c>
      <c r="D390" s="16" t="str">
        <f>VLOOKUP(C390,[1]master_data!$A$2:$E$495,2,FALSE)</f>
        <v>KOI SLAYER K</v>
      </c>
      <c r="E390" s="16">
        <v>2</v>
      </c>
      <c r="F390" s="16">
        <f>VLOOKUP(C390,[1]master_data!$A$2:$E$495,3,FALSE)</f>
        <v>3500</v>
      </c>
      <c r="G390" s="16">
        <f>VLOOKUP(C390,[1]master_data!$A$2:$E$495,4,FALSE)</f>
        <v>10000</v>
      </c>
      <c r="H390" s="16">
        <f>E390*F390</f>
        <v>7000</v>
      </c>
      <c r="I390" s="16">
        <f>E390*G390</f>
        <v>20000</v>
      </c>
      <c r="J390" s="16">
        <f>I390-H390</f>
        <v>13000</v>
      </c>
      <c r="K390" s="16" t="str">
        <f>VLOOKUP(C390,[1]master_data!$A$2:$E$495,5,FALSE)</f>
        <v>Ikan</v>
      </c>
      <c r="L390" s="1"/>
    </row>
    <row r="391" spans="1:12" ht="12" customHeight="1" x14ac:dyDescent="0.25">
      <c r="A391" s="15">
        <v>44494</v>
      </c>
      <c r="B391" s="16" t="s">
        <v>1815</v>
      </c>
      <c r="C391" s="16" t="s">
        <v>374</v>
      </c>
      <c r="D391" s="16" t="str">
        <f>VLOOKUP(C391,[1]master_data!$A$2:$E$495,2,FALSE)</f>
        <v>SEPAT ALBINO</v>
      </c>
      <c r="E391" s="16">
        <v>30</v>
      </c>
      <c r="F391" s="16">
        <f>VLOOKUP(C391,[1]master_data!$A$2:$E$495,3,FALSE)</f>
        <v>2000</v>
      </c>
      <c r="G391" s="16">
        <f>VLOOKUP(C391,[1]master_data!$A$2:$E$495,4,FALSE)</f>
        <v>5000</v>
      </c>
      <c r="H391" s="16">
        <f>E391*F391</f>
        <v>60000</v>
      </c>
      <c r="I391" s="16">
        <f>E391*G391</f>
        <v>150000</v>
      </c>
      <c r="J391" s="16">
        <f>I391-H391</f>
        <v>90000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44494</v>
      </c>
      <c r="B392" s="16" t="s">
        <v>1816</v>
      </c>
      <c r="C392" s="16" t="s">
        <v>307</v>
      </c>
      <c r="D392" s="16" t="str">
        <f>VLOOKUP(C392,[1]master_data!$A$2:$E$495,2,FALSE)</f>
        <v>ARWANA SILVER K</v>
      </c>
      <c r="E392" s="16">
        <v>2</v>
      </c>
      <c r="F392" s="16">
        <f>VLOOKUP(C392,[1]master_data!$A$2:$E$495,3,FALSE)</f>
        <v>100000</v>
      </c>
      <c r="G392" s="16">
        <f>VLOOKUP(C392,[1]master_data!$A$2:$E$495,4,FALSE)</f>
        <v>200000</v>
      </c>
      <c r="H392" s="16">
        <f>E392*F392</f>
        <v>200000</v>
      </c>
      <c r="I392" s="16">
        <f>E392*G392</f>
        <v>400000</v>
      </c>
      <c r="J392" s="16">
        <f>I392-H392</f>
        <v>200000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44494</v>
      </c>
      <c r="B393" s="16" t="s">
        <v>1817</v>
      </c>
      <c r="C393" s="16" t="s">
        <v>41</v>
      </c>
      <c r="D393" s="16" t="str">
        <f>VLOOKUP(C393,[1]master_data!$A$2:$E$495,2,FALSE)</f>
        <v>MESIN YAMANO 2600</v>
      </c>
      <c r="E393" s="16">
        <v>2</v>
      </c>
      <c r="F393" s="16">
        <f>VLOOKUP(C393,[1]master_data!$A$2:$E$495,3,FALSE)</f>
        <v>82500</v>
      </c>
      <c r="G393" s="16">
        <f>VLOOKUP(C393,[1]master_data!$A$2:$E$495,4,FALSE)</f>
        <v>115000</v>
      </c>
      <c r="H393" s="16">
        <f>E393*F393</f>
        <v>165000</v>
      </c>
      <c r="I393" s="16">
        <f>E393*G393</f>
        <v>230000</v>
      </c>
      <c r="J393" s="16">
        <f>I393-H393</f>
        <v>65000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44494</v>
      </c>
      <c r="B394" s="16" t="s">
        <v>1818</v>
      </c>
      <c r="C394" s="16" t="s">
        <v>315</v>
      </c>
      <c r="D394" s="16" t="str">
        <f>VLOOKUP(C394,[1]master_data!$A$2:$E$495,2,FALSE)</f>
        <v>BLACK GHOST</v>
      </c>
      <c r="E394" s="16">
        <v>10</v>
      </c>
      <c r="F394" s="16">
        <f>VLOOKUP(C394,[1]master_data!$A$2:$E$495,3,FALSE)</f>
        <v>4000</v>
      </c>
      <c r="G394" s="16">
        <f>VLOOKUP(C394,[1]master_data!$A$2:$E$495,4,FALSE)</f>
        <v>10000</v>
      </c>
      <c r="H394" s="16">
        <f>E394*F394</f>
        <v>40000</v>
      </c>
      <c r="I394" s="16">
        <f>E394*G394</f>
        <v>100000</v>
      </c>
      <c r="J394" s="16">
        <f>I394-H394</f>
        <v>60000</v>
      </c>
      <c r="K394" s="16" t="str">
        <f>VLOOKUP(C394,[1]master_data!$A$2:$E$495,5,FALSE)</f>
        <v>Ikan</v>
      </c>
      <c r="L394" s="1"/>
    </row>
    <row r="395" spans="1:12" ht="12" customHeight="1" x14ac:dyDescent="0.25">
      <c r="A395" s="15">
        <v>44494</v>
      </c>
      <c r="B395" s="16" t="s">
        <v>1819</v>
      </c>
      <c r="C395" s="16" t="s">
        <v>359</v>
      </c>
      <c r="D395" s="16" t="str">
        <f>VLOOKUP(C395,[1]master_data!$A$2:$E$495,2,FALSE)</f>
        <v>REDFIN ALBINO</v>
      </c>
      <c r="E395" s="16">
        <v>100</v>
      </c>
      <c r="F395" s="16">
        <f>VLOOKUP(C395,[1]master_data!$A$2:$E$495,3,FALSE)</f>
        <v>1500</v>
      </c>
      <c r="G395" s="16">
        <f>VLOOKUP(C395,[1]master_data!$A$2:$E$495,4,FALSE)</f>
        <v>4000</v>
      </c>
      <c r="H395" s="16">
        <f>E395*F395</f>
        <v>150000</v>
      </c>
      <c r="I395" s="16">
        <f>E395*G395</f>
        <v>400000</v>
      </c>
      <c r="J395" s="16">
        <f>I395-H395</f>
        <v>250000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44493</v>
      </c>
      <c r="B396" s="16" t="s">
        <v>1808</v>
      </c>
      <c r="C396" s="16" t="s">
        <v>137</v>
      </c>
      <c r="D396" s="16" t="str">
        <f>VLOOKUP(C396,[1]master_data!$A$2:$E$495,2,FALSE)</f>
        <v>LED KANDILA VIBRANT 60 CM</v>
      </c>
      <c r="E396" s="16">
        <v>1</v>
      </c>
      <c r="F396" s="16">
        <f>VLOOKUP(C396,[1]master_data!$A$2:$E$495,3,FALSE)</f>
        <v>109000</v>
      </c>
      <c r="G396" s="16">
        <f>VLOOKUP(C396,[1]master_data!$A$2:$E$495,4,FALSE)</f>
        <v>150000</v>
      </c>
      <c r="H396" s="16">
        <f>E396*F396</f>
        <v>109000</v>
      </c>
      <c r="I396" s="16">
        <f>E396*G396</f>
        <v>150000</v>
      </c>
      <c r="J396" s="16">
        <f>I396-H396</f>
        <v>41000</v>
      </c>
      <c r="K396" s="16" t="str">
        <f>VLOOKUP(C396,[1]master_data!$A$2:$E$495,5,FALSE)</f>
        <v>Aksesoris</v>
      </c>
      <c r="L396" s="1"/>
    </row>
    <row r="397" spans="1:12" ht="12" customHeight="1" x14ac:dyDescent="0.25">
      <c r="A397" s="15">
        <v>44493</v>
      </c>
      <c r="B397" s="16" t="s">
        <v>1809</v>
      </c>
      <c r="C397" s="16" t="s">
        <v>330</v>
      </c>
      <c r="D397" s="16" t="str">
        <f>VLOOKUP(C397,[1]master_data!$A$2:$E$495,2,FALSE)</f>
        <v>KOI T</v>
      </c>
      <c r="E397" s="16">
        <v>1</v>
      </c>
      <c r="F397" s="16">
        <f>VLOOKUP(C397,[1]master_data!$A$2:$E$495,3,FALSE)</f>
        <v>7000</v>
      </c>
      <c r="G397" s="16">
        <f>VLOOKUP(C397,[1]master_data!$A$2:$E$495,4,FALSE)</f>
        <v>20000</v>
      </c>
      <c r="H397" s="16">
        <f>E397*F397</f>
        <v>7000</v>
      </c>
      <c r="I397" s="16">
        <f>E397*G397</f>
        <v>20000</v>
      </c>
      <c r="J397" s="16">
        <f>I397-H397</f>
        <v>13000</v>
      </c>
      <c r="K397" s="16" t="str">
        <f>VLOOKUP(C397,[1]master_data!$A$2:$E$495,5,FALSE)</f>
        <v>Ikan</v>
      </c>
      <c r="L397" s="1"/>
    </row>
    <row r="398" spans="1:12" ht="12" customHeight="1" x14ac:dyDescent="0.25">
      <c r="A398" s="15">
        <v>44493</v>
      </c>
      <c r="B398" s="16" t="s">
        <v>1810</v>
      </c>
      <c r="C398" s="16" t="s">
        <v>356</v>
      </c>
      <c r="D398" s="16" t="str">
        <f>VLOOKUP(C398,[1]master_data!$A$2:$E$495,2,FALSE)</f>
        <v>PARROT</v>
      </c>
      <c r="E398" s="16">
        <v>5</v>
      </c>
      <c r="F398" s="16">
        <f>VLOOKUP(C398,[1]master_data!$A$2:$E$495,3,FALSE)</f>
        <v>27000</v>
      </c>
      <c r="G398" s="16">
        <f>VLOOKUP(C398,[1]master_data!$A$2:$E$495,4,FALSE)</f>
        <v>60000</v>
      </c>
      <c r="H398" s="16">
        <f>E398*F398</f>
        <v>135000</v>
      </c>
      <c r="I398" s="16">
        <f>E398*G398</f>
        <v>300000</v>
      </c>
      <c r="J398" s="16">
        <f>I398-H398</f>
        <v>165000</v>
      </c>
      <c r="K398" s="16" t="str">
        <f>VLOOKUP(C398,[1]master_data!$A$2:$E$495,5,FALSE)</f>
        <v>Ikan</v>
      </c>
      <c r="L398" s="1"/>
    </row>
    <row r="399" spans="1:12" ht="12" customHeight="1" x14ac:dyDescent="0.25">
      <c r="A399" s="15">
        <v>44493</v>
      </c>
      <c r="B399" s="16" t="s">
        <v>1811</v>
      </c>
      <c r="C399" s="16" t="s">
        <v>31</v>
      </c>
      <c r="D399" s="16" t="str">
        <f>VLOOKUP(C399,[1]master_data!$A$2:$E$495,2,FALSE)</f>
        <v>MESIN YAMANO 1600</v>
      </c>
      <c r="E399" s="16">
        <v>2</v>
      </c>
      <c r="F399" s="16">
        <f>VLOOKUP(C399,[1]master_data!$A$2:$E$495,3,FALSE)</f>
        <v>55000</v>
      </c>
      <c r="G399" s="16">
        <f>VLOOKUP(C399,[1]master_data!$A$2:$E$495,4,FALSE)</f>
        <v>75000</v>
      </c>
      <c r="H399" s="16">
        <f>E399*F399</f>
        <v>110000</v>
      </c>
      <c r="I399" s="16">
        <f>E399*G399</f>
        <v>150000</v>
      </c>
      <c r="J399" s="16">
        <f>I399-H399</f>
        <v>40000</v>
      </c>
      <c r="K399" s="16" t="str">
        <f>VLOOKUP(C399,[1]master_data!$A$2:$E$495,5,FALSE)</f>
        <v>Aksesoris</v>
      </c>
      <c r="L399" s="1"/>
    </row>
    <row r="400" spans="1:12" ht="12" customHeight="1" x14ac:dyDescent="0.25">
      <c r="A400" s="15">
        <v>44493</v>
      </c>
      <c r="B400" s="16" t="s">
        <v>1812</v>
      </c>
      <c r="C400" s="16" t="s">
        <v>216</v>
      </c>
      <c r="D400" s="16" t="str">
        <f>VLOOKUP(C400,[1]master_data!$A$2:$E$495,2,FALSE)</f>
        <v>CAROPHIL YELLOW</v>
      </c>
      <c r="E400" s="16">
        <v>5</v>
      </c>
      <c r="F400" s="16">
        <f>VLOOKUP(C400,[1]master_data!$A$2:$E$495,3,FALSE)</f>
        <v>20000</v>
      </c>
      <c r="G400" s="16">
        <f>VLOOKUP(C400,[1]master_data!$A$2:$E$495,4,FALSE)</f>
        <v>30000</v>
      </c>
      <c r="H400" s="16">
        <f>E400*F400</f>
        <v>100000</v>
      </c>
      <c r="I400" s="16">
        <f>E400*G400</f>
        <v>150000</v>
      </c>
      <c r="J400" s="16">
        <f>I400-H400</f>
        <v>50000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44493</v>
      </c>
      <c r="B401" s="16" t="s">
        <v>1813</v>
      </c>
      <c r="C401" s="16" t="s">
        <v>372</v>
      </c>
      <c r="D401" s="16" t="str">
        <f>VLOOKUP(C401,[1]master_data!$A$2:$E$495,2,FALSE)</f>
        <v>ZEBRA KUNING</v>
      </c>
      <c r="E401" s="16">
        <v>20</v>
      </c>
      <c r="F401" s="16">
        <f>VLOOKUP(C401,[1]master_data!$A$2:$E$495,3,FALSE)</f>
        <v>800</v>
      </c>
      <c r="G401" s="16">
        <f>VLOOKUP(C401,[1]master_data!$A$2:$E$495,4,FALSE)</f>
        <v>2000</v>
      </c>
      <c r="H401" s="16">
        <f>E401*F401</f>
        <v>16000</v>
      </c>
      <c r="I401" s="16">
        <f>E401*G401</f>
        <v>40000</v>
      </c>
      <c r="J401" s="16">
        <f>I401-H401</f>
        <v>24000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44493</v>
      </c>
      <c r="B402" s="16" t="s">
        <v>1814</v>
      </c>
      <c r="C402" s="16" t="s">
        <v>165</v>
      </c>
      <c r="D402" s="16" t="str">
        <f>VLOOKUP(C402,[1]master_data!$A$2:$E$495,2,FALSE)</f>
        <v>AKARI PREMIUM MAXI</v>
      </c>
      <c r="E402" s="16">
        <v>8</v>
      </c>
      <c r="F402" s="16">
        <f>VLOOKUP(C402,[1]master_data!$A$2:$E$495,3,FALSE)</f>
        <v>42000</v>
      </c>
      <c r="G402" s="16">
        <f>VLOOKUP(C402,[1]master_data!$A$2:$E$495,4,FALSE)</f>
        <v>50000</v>
      </c>
      <c r="H402" s="16">
        <f>E402*F402</f>
        <v>336000</v>
      </c>
      <c r="I402" s="16">
        <f>E402*G402</f>
        <v>400000</v>
      </c>
      <c r="J402" s="16">
        <f>I402-H402</f>
        <v>64000</v>
      </c>
      <c r="K402" s="16" t="str">
        <f>VLOOKUP(C402,[1]master_data!$A$2:$E$495,5,FALSE)</f>
        <v>Aksesoris</v>
      </c>
      <c r="L402" s="1"/>
    </row>
    <row r="403" spans="1:12" ht="12" customHeight="1" x14ac:dyDescent="0.25">
      <c r="A403" s="15">
        <v>44492</v>
      </c>
      <c r="B403" s="16" t="s">
        <v>1801</v>
      </c>
      <c r="C403" s="16" t="s">
        <v>251</v>
      </c>
      <c r="D403" s="16" t="str">
        <f>VLOOKUP(C403,[1]master_data!$A$2:$E$495,2,FALSE)</f>
        <v>LURUS SELANG</v>
      </c>
      <c r="E403" s="16">
        <v>25</v>
      </c>
      <c r="F403" s="16">
        <f>VLOOKUP(C403,[1]master_data!$A$2:$E$495,3,FALSE)</f>
        <v>750</v>
      </c>
      <c r="G403" s="16">
        <f>VLOOKUP(C403,[1]master_data!$A$2:$E$495,4,FALSE)</f>
        <v>1500</v>
      </c>
      <c r="H403" s="16">
        <f>E403*F403</f>
        <v>18750</v>
      </c>
      <c r="I403" s="16">
        <f>E403*G403</f>
        <v>37500</v>
      </c>
      <c r="J403" s="16">
        <f>I403-H403</f>
        <v>18750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44492</v>
      </c>
      <c r="B404" s="16" t="s">
        <v>1802</v>
      </c>
      <c r="C404" s="16" t="s">
        <v>42</v>
      </c>
      <c r="D404" s="16" t="str">
        <f>VLOOKUP(C404,[1]master_data!$A$2:$E$495,2,FALSE)</f>
        <v>MESIN YAMANO MP 44</v>
      </c>
      <c r="E404" s="16">
        <v>10</v>
      </c>
      <c r="F404" s="16">
        <f>VLOOKUP(C404,[1]master_data!$A$2:$E$495,3,FALSE)</f>
        <v>40000</v>
      </c>
      <c r="G404" s="16">
        <f>VLOOKUP(C404,[1]master_data!$A$2:$E$495,4,FALSE)</f>
        <v>60000</v>
      </c>
      <c r="H404" s="16">
        <f>E404*F404</f>
        <v>400000</v>
      </c>
      <c r="I404" s="16">
        <f>E404*G404</f>
        <v>600000</v>
      </c>
      <c r="J404" s="16">
        <f>I404-H404</f>
        <v>200000</v>
      </c>
      <c r="K404" s="16" t="str">
        <f>VLOOKUP(C404,[1]master_data!$A$2:$E$495,5,FALSE)</f>
        <v>Aksesoris</v>
      </c>
      <c r="L404" s="1"/>
    </row>
    <row r="405" spans="1:12" ht="12" customHeight="1" x14ac:dyDescent="0.25">
      <c r="A405" s="15">
        <v>44492</v>
      </c>
      <c r="B405" s="16" t="s">
        <v>1803</v>
      </c>
      <c r="C405" s="16" t="s">
        <v>195</v>
      </c>
      <c r="D405" s="16" t="str">
        <f>VLOOKUP(C405,[1]master_data!$A$2:$E$495,2,FALSE)</f>
        <v>BACTERIAL STATER</v>
      </c>
      <c r="E405" s="16">
        <v>2</v>
      </c>
      <c r="F405" s="16">
        <f>VLOOKUP(C405,[1]master_data!$A$2:$E$495,3,FALSE)</f>
        <v>10000</v>
      </c>
      <c r="G405" s="16">
        <f>VLOOKUP(C405,[1]master_data!$A$2:$E$495,4,FALSE)</f>
        <v>15000</v>
      </c>
      <c r="H405" s="16">
        <f>E405*F405</f>
        <v>20000</v>
      </c>
      <c r="I405" s="16">
        <f>E405*G405</f>
        <v>30000</v>
      </c>
      <c r="J405" s="16">
        <f>I405-H405</f>
        <v>10000</v>
      </c>
      <c r="K405" s="16" t="str">
        <f>VLOOKUP(C405,[1]master_data!$A$2:$E$495,5,FALSE)</f>
        <v>Aksesoris</v>
      </c>
      <c r="L405" s="1"/>
    </row>
    <row r="406" spans="1:12" ht="12" customHeight="1" x14ac:dyDescent="0.25">
      <c r="A406" s="15">
        <v>44492</v>
      </c>
      <c r="B406" s="16" t="s">
        <v>1804</v>
      </c>
      <c r="C406" s="16" t="s">
        <v>133</v>
      </c>
      <c r="D406" s="16" t="str">
        <f>VLOOKUP(C406,[1]master_data!$A$2:$E$495,2,FALSE)</f>
        <v>LED KANDILA PRO RED 40 CM</v>
      </c>
      <c r="E406" s="16">
        <v>1</v>
      </c>
      <c r="F406" s="16">
        <f>VLOOKUP(C406,[1]master_data!$A$2:$E$495,3,FALSE)</f>
        <v>120000</v>
      </c>
      <c r="G406" s="16">
        <f>VLOOKUP(C406,[1]master_data!$A$2:$E$495,4,FALSE)</f>
        <v>160000</v>
      </c>
      <c r="H406" s="16">
        <f>E406*F406</f>
        <v>120000</v>
      </c>
      <c r="I406" s="16">
        <f>E406*G406</f>
        <v>160000</v>
      </c>
      <c r="J406" s="16">
        <f>I406-H406</f>
        <v>40000</v>
      </c>
      <c r="K406" s="16" t="str">
        <f>VLOOKUP(C406,[1]master_data!$A$2:$E$495,5,FALSE)</f>
        <v>Aksesoris</v>
      </c>
      <c r="L406" s="1"/>
    </row>
    <row r="407" spans="1:12" ht="12" customHeight="1" x14ac:dyDescent="0.25">
      <c r="A407" s="15">
        <v>44492</v>
      </c>
      <c r="B407" s="16" t="s">
        <v>1805</v>
      </c>
      <c r="C407" s="16" t="s">
        <v>345</v>
      </c>
      <c r="D407" s="16" t="str">
        <f>VLOOKUP(C407,[1]master_data!$A$2:$E$495,2,FALSE)</f>
        <v>MARU B</v>
      </c>
      <c r="E407" s="16">
        <v>2</v>
      </c>
      <c r="F407" s="16">
        <f>VLOOKUP(C407,[1]master_data!$A$2:$E$495,3,FALSE)</f>
        <v>90000</v>
      </c>
      <c r="G407" s="16">
        <f>VLOOKUP(C407,[1]master_data!$A$2:$E$495,4,FALSE)</f>
        <v>150000</v>
      </c>
      <c r="H407" s="16">
        <f>E407*F407</f>
        <v>180000</v>
      </c>
      <c r="I407" s="16">
        <f>E407*G407</f>
        <v>300000</v>
      </c>
      <c r="J407" s="16">
        <f>I407-H407</f>
        <v>120000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44492</v>
      </c>
      <c r="B408" s="16" t="s">
        <v>1806</v>
      </c>
      <c r="C408" s="16" t="s">
        <v>241</v>
      </c>
      <c r="D408" s="16" t="str">
        <f>VLOOKUP(C408,[1]master_data!$A$2:$E$495,2,FALSE)</f>
        <v>PINSET KANDILA</v>
      </c>
      <c r="E408" s="16">
        <v>4</v>
      </c>
      <c r="F408" s="16">
        <f>VLOOKUP(C408,[1]master_data!$A$2:$E$495,3,FALSE)</f>
        <v>18000</v>
      </c>
      <c r="G408" s="16">
        <f>VLOOKUP(C408,[1]master_data!$A$2:$E$495,4,FALSE)</f>
        <v>35000</v>
      </c>
      <c r="H408" s="16">
        <f>E408*F408</f>
        <v>72000</v>
      </c>
      <c r="I408" s="16">
        <f>E408*G408</f>
        <v>140000</v>
      </c>
      <c r="J408" s="16">
        <f>I408-H408</f>
        <v>68000</v>
      </c>
      <c r="K408" s="16" t="str">
        <f>VLOOKUP(C408,[1]master_data!$A$2:$E$495,5,FALSE)</f>
        <v>Aksesoris</v>
      </c>
      <c r="L408" s="1"/>
    </row>
    <row r="409" spans="1:12" ht="12" customHeight="1" x14ac:dyDescent="0.25">
      <c r="A409" s="15">
        <v>44492</v>
      </c>
      <c r="B409" s="16" t="s">
        <v>1807</v>
      </c>
      <c r="C409" s="16" t="s">
        <v>330</v>
      </c>
      <c r="D409" s="16" t="str">
        <f>VLOOKUP(C409,[1]master_data!$A$2:$E$495,2,FALSE)</f>
        <v>KOI T</v>
      </c>
      <c r="E409" s="16">
        <v>10</v>
      </c>
      <c r="F409" s="16">
        <f>VLOOKUP(C409,[1]master_data!$A$2:$E$495,3,FALSE)</f>
        <v>7000</v>
      </c>
      <c r="G409" s="16">
        <f>VLOOKUP(C409,[1]master_data!$A$2:$E$495,4,FALSE)</f>
        <v>20000</v>
      </c>
      <c r="H409" s="16">
        <f>E409*F409</f>
        <v>70000</v>
      </c>
      <c r="I409" s="16">
        <f>E409*G409</f>
        <v>200000</v>
      </c>
      <c r="J409" s="16">
        <f>I409-H409</f>
        <v>130000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44491</v>
      </c>
      <c r="B410" s="16" t="s">
        <v>1796</v>
      </c>
      <c r="C410" s="16" t="s">
        <v>339</v>
      </c>
      <c r="D410" s="16" t="str">
        <f>VLOOKUP(C410,[1]master_data!$A$2:$E$495,2,FALSE)</f>
        <v>DISCUS</v>
      </c>
      <c r="E410" s="16">
        <v>4</v>
      </c>
      <c r="F410" s="16">
        <f>VLOOKUP(C410,[1]master_data!$A$2:$E$495,3,FALSE)</f>
        <v>50000</v>
      </c>
      <c r="G410" s="16">
        <f>VLOOKUP(C410,[1]master_data!$A$2:$E$495,4,FALSE)</f>
        <v>150000</v>
      </c>
      <c r="H410" s="16">
        <f>E410*F410</f>
        <v>200000</v>
      </c>
      <c r="I410" s="16">
        <f>E410*G410</f>
        <v>600000</v>
      </c>
      <c r="J410" s="16">
        <f>I410-H410</f>
        <v>400000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44491</v>
      </c>
      <c r="B411" s="16" t="s">
        <v>1797</v>
      </c>
      <c r="C411" s="16" t="s">
        <v>199</v>
      </c>
      <c r="D411" s="16" t="str">
        <f>VLOOKUP(C411,[1]master_data!$A$2:$E$495,2,FALSE)</f>
        <v>AIRSTONE 60</v>
      </c>
      <c r="E411" s="16">
        <v>5</v>
      </c>
      <c r="F411" s="16">
        <f>VLOOKUP(C411,[1]master_data!$A$2:$E$495,3,FALSE)</f>
        <v>8000</v>
      </c>
      <c r="G411" s="16">
        <f>VLOOKUP(C411,[1]master_data!$A$2:$E$495,4,FALSE)</f>
        <v>17000</v>
      </c>
      <c r="H411" s="16">
        <f>E411*F411</f>
        <v>40000</v>
      </c>
      <c r="I411" s="16">
        <f>E411*G411</f>
        <v>85000</v>
      </c>
      <c r="J411" s="16">
        <f>I411-H411</f>
        <v>45000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44491</v>
      </c>
      <c r="B412" s="16" t="s">
        <v>1798</v>
      </c>
      <c r="C412" s="16" t="s">
        <v>303</v>
      </c>
      <c r="D412" s="16" t="str">
        <f>VLOOKUP(C412,[1]master_data!$A$2:$E$495,2,FALSE)</f>
        <v>CHANNA ASIATICA K</v>
      </c>
      <c r="E412" s="16">
        <v>2</v>
      </c>
      <c r="F412" s="16">
        <f>VLOOKUP(C412,[1]master_data!$A$2:$E$495,3,FALSE)</f>
        <v>10000</v>
      </c>
      <c r="G412" s="16">
        <f>VLOOKUP(C412,[1]master_data!$A$2:$E$495,4,FALSE)</f>
        <v>40000</v>
      </c>
      <c r="H412" s="16">
        <f>E412*F412</f>
        <v>20000</v>
      </c>
      <c r="I412" s="16">
        <f>E412*G412</f>
        <v>80000</v>
      </c>
      <c r="J412" s="16">
        <f>I412-H412</f>
        <v>60000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44491</v>
      </c>
      <c r="B413" s="16" t="s">
        <v>1799</v>
      </c>
      <c r="C413" s="16" t="s">
        <v>245</v>
      </c>
      <c r="D413" s="16" t="str">
        <f>VLOOKUP(C413,[1]master_data!$A$2:$E$495,2,FALSE)</f>
        <v>SELANG SPIRAL</v>
      </c>
      <c r="E413" s="16">
        <v>10</v>
      </c>
      <c r="F413" s="16">
        <f>VLOOKUP(C413,[1]master_data!$A$2:$E$495,3,FALSE)</f>
        <v>2600</v>
      </c>
      <c r="G413" s="16">
        <f>VLOOKUP(C413,[1]master_data!$A$2:$E$495,4,FALSE)</f>
        <v>5000</v>
      </c>
      <c r="H413" s="16">
        <f>E413*F413</f>
        <v>26000</v>
      </c>
      <c r="I413" s="16">
        <f>E413*G413</f>
        <v>50000</v>
      </c>
      <c r="J413" s="16">
        <f>I413-H413</f>
        <v>24000</v>
      </c>
      <c r="K413" s="16" t="str">
        <f>VLOOKUP(C413,[1]master_data!$A$2:$E$495,5,FALSE)</f>
        <v>Aksesoris</v>
      </c>
      <c r="L413" s="1"/>
    </row>
    <row r="414" spans="1:12" ht="12" customHeight="1" x14ac:dyDescent="0.25">
      <c r="A414" s="15">
        <v>44491</v>
      </c>
      <c r="B414" s="16" t="s">
        <v>1800</v>
      </c>
      <c r="C414" s="16" t="s">
        <v>5</v>
      </c>
      <c r="D414" s="16" t="str">
        <f>VLOOKUP(C414,[1]master_data!$A$2:$E$495,2,FALSE)</f>
        <v>MESIN YANG 1000 L</v>
      </c>
      <c r="E414" s="16">
        <v>1</v>
      </c>
      <c r="F414" s="16">
        <f>VLOOKUP(C414,[1]master_data!$A$2:$E$495,3,FALSE)</f>
        <v>31000</v>
      </c>
      <c r="G414" s="16">
        <f>VLOOKUP(C414,[1]master_data!$A$2:$E$495,4,FALSE)</f>
        <v>50000</v>
      </c>
      <c r="H414" s="16">
        <f>E414*F414</f>
        <v>31000</v>
      </c>
      <c r="I414" s="16">
        <f>E414*G414</f>
        <v>50000</v>
      </c>
      <c r="J414" s="16">
        <f>I414-H414</f>
        <v>19000</v>
      </c>
      <c r="K414" s="16" t="str">
        <f>VLOOKUP(C414,[1]master_data!$A$2:$E$495,5,FALSE)</f>
        <v>Aksesoris</v>
      </c>
      <c r="L414" s="1"/>
    </row>
    <row r="415" spans="1:12" ht="12" customHeight="1" x14ac:dyDescent="0.25">
      <c r="A415" s="15">
        <v>44490</v>
      </c>
      <c r="B415" s="16" t="s">
        <v>1792</v>
      </c>
      <c r="C415" s="16" t="s">
        <v>241</v>
      </c>
      <c r="D415" s="16" t="str">
        <f>VLOOKUP(C415,[1]master_data!$A$2:$E$495,2,FALSE)</f>
        <v>PINSET KANDILA</v>
      </c>
      <c r="E415" s="16">
        <v>7</v>
      </c>
      <c r="F415" s="16">
        <f>VLOOKUP(C415,[1]master_data!$A$2:$E$495,3,FALSE)</f>
        <v>18000</v>
      </c>
      <c r="G415" s="16">
        <f>VLOOKUP(C415,[1]master_data!$A$2:$E$495,4,FALSE)</f>
        <v>35000</v>
      </c>
      <c r="H415" s="16">
        <f>E415*F415</f>
        <v>126000</v>
      </c>
      <c r="I415" s="16">
        <f>E415*G415</f>
        <v>245000</v>
      </c>
      <c r="J415" s="16">
        <f>I415-H415</f>
        <v>119000</v>
      </c>
      <c r="K415" s="16" t="str">
        <f>VLOOKUP(C415,[1]master_data!$A$2:$E$495,5,FALSE)</f>
        <v>Aksesoris</v>
      </c>
      <c r="L415" s="1"/>
    </row>
    <row r="416" spans="1:12" ht="12" customHeight="1" x14ac:dyDescent="0.25">
      <c r="A416" s="15">
        <v>44490</v>
      </c>
      <c r="B416" s="16" t="s">
        <v>1793</v>
      </c>
      <c r="C416" s="16" t="s">
        <v>304</v>
      </c>
      <c r="D416" s="16" t="str">
        <f>VLOOKUP(C416,[1]master_data!$A$2:$E$495,2,FALSE)</f>
        <v>CHANNA ANDRAO K</v>
      </c>
      <c r="E416" s="16">
        <v>20</v>
      </c>
      <c r="F416" s="16">
        <f>VLOOKUP(C416,[1]master_data!$A$2:$E$495,3,FALSE)</f>
        <v>20000</v>
      </c>
      <c r="G416" s="16">
        <f>VLOOKUP(C416,[1]master_data!$A$2:$E$495,4,FALSE)</f>
        <v>50000</v>
      </c>
      <c r="H416" s="16">
        <f>E416*F416</f>
        <v>400000</v>
      </c>
      <c r="I416" s="16">
        <f>E416*G416</f>
        <v>1000000</v>
      </c>
      <c r="J416" s="16">
        <f>I416-H416</f>
        <v>600000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44490</v>
      </c>
      <c r="B417" s="16" t="s">
        <v>1794</v>
      </c>
      <c r="C417" s="16" t="s">
        <v>354</v>
      </c>
      <c r="D417" s="16" t="str">
        <f>VLOOKUP(C417,[1]master_data!$A$2:$E$495,2,FALSE)</f>
        <v>PEMBERSIH KACA ALBINO</v>
      </c>
      <c r="E417" s="16">
        <v>6</v>
      </c>
      <c r="F417" s="16">
        <f>VLOOKUP(C417,[1]master_data!$A$2:$E$495,3,FALSE)</f>
        <v>2500</v>
      </c>
      <c r="G417" s="16">
        <f>VLOOKUP(C417,[1]master_data!$A$2:$E$495,4,FALSE)</f>
        <v>5000</v>
      </c>
      <c r="H417" s="16">
        <f>E417*F417</f>
        <v>15000</v>
      </c>
      <c r="I417" s="16">
        <f>E417*G417</f>
        <v>30000</v>
      </c>
      <c r="J417" s="16">
        <f>I417-H417</f>
        <v>15000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44490</v>
      </c>
      <c r="B418" s="16" t="s">
        <v>1795</v>
      </c>
      <c r="C418" s="16" t="s">
        <v>330</v>
      </c>
      <c r="D418" s="16" t="str">
        <f>VLOOKUP(C418,[1]master_data!$A$2:$E$495,2,FALSE)</f>
        <v>KOI T</v>
      </c>
      <c r="E418" s="16">
        <v>10</v>
      </c>
      <c r="F418" s="16">
        <f>VLOOKUP(C418,[1]master_data!$A$2:$E$495,3,FALSE)</f>
        <v>7000</v>
      </c>
      <c r="G418" s="16">
        <f>VLOOKUP(C418,[1]master_data!$A$2:$E$495,4,FALSE)</f>
        <v>20000</v>
      </c>
      <c r="H418" s="16">
        <f>E418*F418</f>
        <v>70000</v>
      </c>
      <c r="I418" s="16">
        <f>E418*G418</f>
        <v>200000</v>
      </c>
      <c r="J418" s="16">
        <f>I418-H418</f>
        <v>130000</v>
      </c>
      <c r="K418" s="16" t="str">
        <f>VLOOKUP(C418,[1]master_data!$A$2:$E$495,5,FALSE)</f>
        <v>Ikan</v>
      </c>
      <c r="L418" s="1"/>
    </row>
    <row r="419" spans="1:12" ht="12" customHeight="1" x14ac:dyDescent="0.25">
      <c r="A419" s="15">
        <v>44489</v>
      </c>
      <c r="B419" s="16" t="s">
        <v>1787</v>
      </c>
      <c r="C419" s="16" t="s">
        <v>180</v>
      </c>
      <c r="D419" s="16" t="str">
        <f>VLOOKUP(C419,[1]master_data!$A$2:$E$495,2,FALSE)</f>
        <v>HOKKY KOI COLOUR</v>
      </c>
      <c r="E419" s="16">
        <v>5</v>
      </c>
      <c r="F419" s="16">
        <f>VLOOKUP(C419,[1]master_data!$A$2:$E$495,3,FALSE)</f>
        <v>55000</v>
      </c>
      <c r="G419" s="16">
        <f>VLOOKUP(C419,[1]master_data!$A$2:$E$495,4,FALSE)</f>
        <v>60000</v>
      </c>
      <c r="H419" s="16">
        <f>E419*F419</f>
        <v>275000</v>
      </c>
      <c r="I419" s="16">
        <f>E419*G419</f>
        <v>300000</v>
      </c>
      <c r="J419" s="16">
        <f>I419-H419</f>
        <v>25000</v>
      </c>
      <c r="K419" s="16" t="str">
        <f>VLOOKUP(C419,[1]master_data!$A$2:$E$495,5,FALSE)</f>
        <v>Aksesoris</v>
      </c>
      <c r="L419" s="1"/>
    </row>
    <row r="420" spans="1:12" ht="12" customHeight="1" x14ac:dyDescent="0.25">
      <c r="A420" s="15">
        <v>44489</v>
      </c>
      <c r="B420" s="16" t="s">
        <v>1788</v>
      </c>
      <c r="C420" s="16" t="s">
        <v>344</v>
      </c>
      <c r="D420" s="16" t="str">
        <f>VLOOKUP(C420,[1]master_data!$A$2:$E$495,2,FALSE)</f>
        <v>MANFISH B</v>
      </c>
      <c r="E420" s="16">
        <v>10</v>
      </c>
      <c r="F420" s="16">
        <f>VLOOKUP(C420,[1]master_data!$A$2:$E$495,3,FALSE)</f>
        <v>4000</v>
      </c>
      <c r="G420" s="16">
        <f>VLOOKUP(C420,[1]master_data!$A$2:$E$495,4,FALSE)</f>
        <v>10000</v>
      </c>
      <c r="H420" s="16">
        <f>E420*F420</f>
        <v>40000</v>
      </c>
      <c r="I420" s="16">
        <f>E420*G420</f>
        <v>100000</v>
      </c>
      <c r="J420" s="16">
        <f>I420-H420</f>
        <v>60000</v>
      </c>
      <c r="K420" s="16" t="str">
        <f>VLOOKUP(C420,[1]master_data!$A$2:$E$495,5,FALSE)</f>
        <v>Ikan</v>
      </c>
      <c r="L420" s="1"/>
    </row>
    <row r="421" spans="1:12" ht="12" customHeight="1" x14ac:dyDescent="0.25">
      <c r="A421" s="15">
        <v>44489</v>
      </c>
      <c r="B421" s="16" t="s">
        <v>1789</v>
      </c>
      <c r="C421" s="16" t="s">
        <v>313</v>
      </c>
      <c r="D421" s="16" t="str">
        <f>VLOOKUP(C421,[1]master_data!$A$2:$E$495,2,FALSE)</f>
        <v>BALA BALA K</v>
      </c>
      <c r="E421" s="16">
        <v>20</v>
      </c>
      <c r="F421" s="16">
        <f>VLOOKUP(C421,[1]master_data!$A$2:$E$495,3,FALSE)</f>
        <v>4000</v>
      </c>
      <c r="G421" s="16">
        <f>VLOOKUP(C421,[1]master_data!$A$2:$E$495,4,FALSE)</f>
        <v>8000</v>
      </c>
      <c r="H421" s="16">
        <f>E421*F421</f>
        <v>80000</v>
      </c>
      <c r="I421" s="16">
        <f>E421*G421</f>
        <v>160000</v>
      </c>
      <c r="J421" s="16">
        <f>I421-H421</f>
        <v>80000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44489</v>
      </c>
      <c r="B422" s="16" t="s">
        <v>1790</v>
      </c>
      <c r="C422" s="16" t="s">
        <v>328</v>
      </c>
      <c r="D422" s="16" t="str">
        <f>VLOOKUP(C422,[1]master_data!$A$2:$E$495,2,FALSE)</f>
        <v>KOKI B</v>
      </c>
      <c r="E422" s="16">
        <v>9</v>
      </c>
      <c r="F422" s="16">
        <f>VLOOKUP(C422,[1]master_data!$A$2:$E$495,3,FALSE)</f>
        <v>20000</v>
      </c>
      <c r="G422" s="16">
        <f>VLOOKUP(C422,[1]master_data!$A$2:$E$495,4,FALSE)</f>
        <v>50000</v>
      </c>
      <c r="H422" s="16">
        <f>E422*F422</f>
        <v>180000</v>
      </c>
      <c r="I422" s="16">
        <f>E422*G422</f>
        <v>450000</v>
      </c>
      <c r="J422" s="16">
        <f>I422-H422</f>
        <v>270000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44489</v>
      </c>
      <c r="B423" s="16" t="s">
        <v>1791</v>
      </c>
      <c r="C423" s="16" t="s">
        <v>338</v>
      </c>
      <c r="D423" s="16" t="str">
        <f>VLOOKUP(C423,[1]master_data!$A$2:$E$495,2,FALSE)</f>
        <v>CAROLINE</v>
      </c>
      <c r="E423" s="16">
        <v>4</v>
      </c>
      <c r="F423" s="16">
        <f>VLOOKUP(C423,[1]master_data!$A$2:$E$495,3,FALSE)</f>
        <v>900</v>
      </c>
      <c r="G423" s="16">
        <f>VLOOKUP(C423,[1]master_data!$A$2:$E$495,4,FALSE)</f>
        <v>2000</v>
      </c>
      <c r="H423" s="16">
        <f>E423*F423</f>
        <v>3600</v>
      </c>
      <c r="I423" s="16">
        <f>E423*G423</f>
        <v>8000</v>
      </c>
      <c r="J423" s="16">
        <f>I423-H423</f>
        <v>4400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44488</v>
      </c>
      <c r="B424" s="16" t="s">
        <v>1782</v>
      </c>
      <c r="C424" s="16" t="s">
        <v>349</v>
      </c>
      <c r="D424" s="16" t="str">
        <f>VLOOKUP(C424,[1]master_data!$A$2:$E$495,2,FALSE)</f>
        <v>RED EYE TETRA</v>
      </c>
      <c r="E424" s="16">
        <v>30</v>
      </c>
      <c r="F424" s="16">
        <f>VLOOKUP(C424,[1]master_data!$A$2:$E$495,3,FALSE)</f>
        <v>900</v>
      </c>
      <c r="G424" s="16">
        <f>VLOOKUP(C424,[1]master_data!$A$2:$E$495,4,FALSE)</f>
        <v>2000</v>
      </c>
      <c r="H424" s="16">
        <f>E424*F424</f>
        <v>27000</v>
      </c>
      <c r="I424" s="16">
        <f>E424*G424</f>
        <v>60000</v>
      </c>
      <c r="J424" s="16">
        <f>I424-H424</f>
        <v>33000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44488</v>
      </c>
      <c r="B425" s="16" t="s">
        <v>1783</v>
      </c>
      <c r="C425" s="16" t="s">
        <v>328</v>
      </c>
      <c r="D425" s="16" t="str">
        <f>VLOOKUP(C425,[1]master_data!$A$2:$E$495,2,FALSE)</f>
        <v>KOKI B</v>
      </c>
      <c r="E425" s="16">
        <v>5</v>
      </c>
      <c r="F425" s="16">
        <f>VLOOKUP(C425,[1]master_data!$A$2:$E$495,3,FALSE)</f>
        <v>20000</v>
      </c>
      <c r="G425" s="16">
        <f>VLOOKUP(C425,[1]master_data!$A$2:$E$495,4,FALSE)</f>
        <v>50000</v>
      </c>
      <c r="H425" s="16">
        <f>E425*F425</f>
        <v>100000</v>
      </c>
      <c r="I425" s="16">
        <f>E425*G425</f>
        <v>250000</v>
      </c>
      <c r="J425" s="16">
        <f>I425-H425</f>
        <v>150000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44488</v>
      </c>
      <c r="B426" s="16" t="s">
        <v>1784</v>
      </c>
      <c r="C426" s="16" t="s">
        <v>234</v>
      </c>
      <c r="D426" s="16" t="str">
        <f>VLOOKUP(C426,[1]master_data!$A$2:$E$495,2,FALSE)</f>
        <v>MAGNET S</v>
      </c>
      <c r="E426" s="16">
        <v>10</v>
      </c>
      <c r="F426" s="16">
        <f>VLOOKUP(C426,[1]master_data!$A$2:$E$495,3,FALSE)</f>
        <v>20000</v>
      </c>
      <c r="G426" s="16">
        <f>VLOOKUP(C426,[1]master_data!$A$2:$E$495,4,FALSE)</f>
        <v>30000</v>
      </c>
      <c r="H426" s="16">
        <f>E426*F426</f>
        <v>200000</v>
      </c>
      <c r="I426" s="16">
        <f>E426*G426</f>
        <v>300000</v>
      </c>
      <c r="J426" s="16">
        <f>I426-H426</f>
        <v>100000</v>
      </c>
      <c r="K426" s="16" t="str">
        <f>VLOOKUP(C426,[1]master_data!$A$2:$E$495,5,FALSE)</f>
        <v>Aksesoris</v>
      </c>
      <c r="L426" s="1"/>
    </row>
    <row r="427" spans="1:12" ht="12" customHeight="1" x14ac:dyDescent="0.25">
      <c r="A427" s="15">
        <v>44488</v>
      </c>
      <c r="B427" s="16" t="s">
        <v>1785</v>
      </c>
      <c r="C427" s="16" t="s">
        <v>305</v>
      </c>
      <c r="D427" s="16" t="str">
        <f>VLOOKUP(C427,[1]master_data!$A$2:$E$495,2,FALSE)</f>
        <v>CHANNA ASIATICA B</v>
      </c>
      <c r="E427" s="16">
        <v>2</v>
      </c>
      <c r="F427" s="16">
        <f>VLOOKUP(C427,[1]master_data!$A$2:$E$495,3,FALSE)</f>
        <v>40000</v>
      </c>
      <c r="G427" s="16">
        <f>VLOOKUP(C427,[1]master_data!$A$2:$E$495,4,FALSE)</f>
        <v>100000</v>
      </c>
      <c r="H427" s="16">
        <f>E427*F427</f>
        <v>80000</v>
      </c>
      <c r="I427" s="16">
        <f>E427*G427</f>
        <v>200000</v>
      </c>
      <c r="J427" s="16">
        <f>I427-H427</f>
        <v>120000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44488</v>
      </c>
      <c r="B428" s="16" t="s">
        <v>1786</v>
      </c>
      <c r="C428" s="16" t="s">
        <v>194</v>
      </c>
      <c r="D428" s="16" t="str">
        <f>VLOOKUP(C428,[1]master_data!$A$2:$E$495,2,FALSE)</f>
        <v>HOKKY PAKAN KURA</v>
      </c>
      <c r="E428" s="16">
        <v>15</v>
      </c>
      <c r="F428" s="16">
        <f>VLOOKUP(C428,[1]master_data!$A$2:$E$495,3,FALSE)</f>
        <v>7500</v>
      </c>
      <c r="G428" s="16">
        <f>VLOOKUP(C428,[1]master_data!$A$2:$E$495,4,FALSE)</f>
        <v>10000</v>
      </c>
      <c r="H428" s="16">
        <f>E428*F428</f>
        <v>112500</v>
      </c>
      <c r="I428" s="16">
        <f>E428*G428</f>
        <v>150000</v>
      </c>
      <c r="J428" s="16">
        <f>I428-H428</f>
        <v>37500</v>
      </c>
      <c r="K428" s="16" t="str">
        <f>VLOOKUP(C428,[1]master_data!$A$2:$E$495,5,FALSE)</f>
        <v>Aksesoris</v>
      </c>
      <c r="L428" s="1"/>
    </row>
    <row r="429" spans="1:12" ht="12" customHeight="1" x14ac:dyDescent="0.25">
      <c r="A429" s="15">
        <v>44487</v>
      </c>
      <c r="B429" s="16" t="s">
        <v>1777</v>
      </c>
      <c r="C429" s="16" t="s">
        <v>232</v>
      </c>
      <c r="D429" s="16" t="str">
        <f>VLOOKUP(C429,[1]master_data!$A$2:$E$495,2,FALSE)</f>
        <v>MAINAN KODOK</v>
      </c>
      <c r="E429" s="16">
        <v>5</v>
      </c>
      <c r="F429" s="16">
        <f>VLOOKUP(C429,[1]master_data!$A$2:$E$495,3,FALSE)</f>
        <v>11000</v>
      </c>
      <c r="G429" s="16">
        <f>VLOOKUP(C429,[1]master_data!$A$2:$E$495,4,FALSE)</f>
        <v>20000</v>
      </c>
      <c r="H429" s="16">
        <f>E429*F429</f>
        <v>55000</v>
      </c>
      <c r="I429" s="16">
        <f>E429*G429</f>
        <v>100000</v>
      </c>
      <c r="J429" s="16">
        <f>I429-H429</f>
        <v>45000</v>
      </c>
      <c r="K429" s="16" t="str">
        <f>VLOOKUP(C429,[1]master_data!$A$2:$E$495,5,FALSE)</f>
        <v>Aksesoris</v>
      </c>
      <c r="L429" s="1"/>
    </row>
    <row r="430" spans="1:12" ht="12" customHeight="1" x14ac:dyDescent="0.25">
      <c r="A430" s="15">
        <v>44487</v>
      </c>
      <c r="B430" s="16" t="s">
        <v>1778</v>
      </c>
      <c r="C430" s="16" t="s">
        <v>336</v>
      </c>
      <c r="D430" s="16" t="str">
        <f>VLOOKUP(C430,[1]master_data!$A$2:$E$495,2,FALSE)</f>
        <v>KOI SLAYER K</v>
      </c>
      <c r="E430" s="16">
        <v>20</v>
      </c>
      <c r="F430" s="16">
        <f>VLOOKUP(C430,[1]master_data!$A$2:$E$495,3,FALSE)</f>
        <v>3500</v>
      </c>
      <c r="G430" s="16">
        <f>VLOOKUP(C430,[1]master_data!$A$2:$E$495,4,FALSE)</f>
        <v>10000</v>
      </c>
      <c r="H430" s="16">
        <f>E430*F430</f>
        <v>70000</v>
      </c>
      <c r="I430" s="16">
        <f>E430*G430</f>
        <v>200000</v>
      </c>
      <c r="J430" s="16">
        <f>I430-H430</f>
        <v>130000</v>
      </c>
      <c r="K430" s="16" t="str">
        <f>VLOOKUP(C430,[1]master_data!$A$2:$E$495,5,FALSE)</f>
        <v>Ikan</v>
      </c>
      <c r="L430" s="1"/>
    </row>
    <row r="431" spans="1:12" ht="12" customHeight="1" x14ac:dyDescent="0.25">
      <c r="A431" s="15">
        <v>44487</v>
      </c>
      <c r="B431" s="16" t="s">
        <v>1779</v>
      </c>
      <c r="C431" s="16" t="s">
        <v>345</v>
      </c>
      <c r="D431" s="16" t="str">
        <f>VLOOKUP(C431,[1]master_data!$A$2:$E$495,2,FALSE)</f>
        <v>MARU B</v>
      </c>
      <c r="E431" s="16">
        <v>2</v>
      </c>
      <c r="F431" s="16">
        <f>VLOOKUP(C431,[1]master_data!$A$2:$E$495,3,FALSE)</f>
        <v>90000</v>
      </c>
      <c r="G431" s="16">
        <f>VLOOKUP(C431,[1]master_data!$A$2:$E$495,4,FALSE)</f>
        <v>150000</v>
      </c>
      <c r="H431" s="16">
        <f>E431*F431</f>
        <v>180000</v>
      </c>
      <c r="I431" s="16">
        <f>E431*G431</f>
        <v>300000</v>
      </c>
      <c r="J431" s="16">
        <f>I431-H431</f>
        <v>120000</v>
      </c>
      <c r="K431" s="16" t="str">
        <f>VLOOKUP(C431,[1]master_data!$A$2:$E$495,5,FALSE)</f>
        <v>Ikan</v>
      </c>
      <c r="L431" s="1"/>
    </row>
    <row r="432" spans="1:12" ht="12" customHeight="1" x14ac:dyDescent="0.25">
      <c r="A432" s="15">
        <v>44487</v>
      </c>
      <c r="B432" s="16" t="s">
        <v>1780</v>
      </c>
      <c r="C432" s="16" t="s">
        <v>309</v>
      </c>
      <c r="D432" s="16" t="str">
        <f>VLOOKUP(C432,[1]master_data!$A$2:$E$495,2,FALSE)</f>
        <v>ALGA EATER</v>
      </c>
      <c r="E432" s="16">
        <v>30</v>
      </c>
      <c r="F432" s="16">
        <f>VLOOKUP(C432,[1]master_data!$A$2:$E$495,3,FALSE)</f>
        <v>1750</v>
      </c>
      <c r="G432" s="16">
        <f>VLOOKUP(C432,[1]master_data!$A$2:$E$495,4,FALSE)</f>
        <v>5000</v>
      </c>
      <c r="H432" s="16">
        <f>E432*F432</f>
        <v>52500</v>
      </c>
      <c r="I432" s="16">
        <f>E432*G432</f>
        <v>150000</v>
      </c>
      <c r="J432" s="16">
        <f>I432-H432</f>
        <v>97500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44487</v>
      </c>
      <c r="B433" s="16" t="s">
        <v>1781</v>
      </c>
      <c r="C433" s="16" t="s">
        <v>155</v>
      </c>
      <c r="D433" s="16" t="str">
        <f>VLOOKUP(C433,[1]master_data!$A$2:$E$495,2,FALSE)</f>
        <v>LED KANDILA PRO RED ECO 40 CM</v>
      </c>
      <c r="E433" s="16">
        <v>3</v>
      </c>
      <c r="F433" s="16">
        <f>VLOOKUP(C433,[1]master_data!$A$2:$E$495,3,FALSE)</f>
        <v>45000</v>
      </c>
      <c r="G433" s="16">
        <f>VLOOKUP(C433,[1]master_data!$A$2:$E$495,4,FALSE)</f>
        <v>65000</v>
      </c>
      <c r="H433" s="16">
        <f>E433*F433</f>
        <v>135000</v>
      </c>
      <c r="I433" s="16">
        <f>E433*G433</f>
        <v>195000</v>
      </c>
      <c r="J433" s="16">
        <f>I433-H433</f>
        <v>60000</v>
      </c>
      <c r="K433" s="16" t="str">
        <f>VLOOKUP(C433,[1]master_data!$A$2:$E$495,5,FALSE)</f>
        <v>Aksesoris</v>
      </c>
      <c r="L433" s="1"/>
    </row>
    <row r="434" spans="1:12" ht="12" customHeight="1" x14ac:dyDescent="0.25">
      <c r="A434" s="15">
        <v>44486</v>
      </c>
      <c r="B434" s="16" t="s">
        <v>1769</v>
      </c>
      <c r="C434" s="16" t="s">
        <v>167</v>
      </c>
      <c r="D434" s="16" t="str">
        <f>VLOOKUP(C434,[1]master_data!$A$2:$E$495,2,FALSE)</f>
        <v>MAGOT</v>
      </c>
      <c r="E434" s="16">
        <v>15</v>
      </c>
      <c r="F434" s="16">
        <f>VLOOKUP(C434,[1]master_data!$A$2:$E$495,3,FALSE)</f>
        <v>4500</v>
      </c>
      <c r="G434" s="16">
        <f>VLOOKUP(C434,[1]master_data!$A$2:$E$495,4,FALSE)</f>
        <v>10000</v>
      </c>
      <c r="H434" s="16">
        <f>E434*F434</f>
        <v>67500</v>
      </c>
      <c r="I434" s="16">
        <f>E434*G434</f>
        <v>150000</v>
      </c>
      <c r="J434" s="16">
        <f>I434-H434</f>
        <v>82500</v>
      </c>
      <c r="K434" s="16" t="str">
        <f>VLOOKUP(C434,[1]master_data!$A$2:$E$495,5,FALSE)</f>
        <v>Aksesoris</v>
      </c>
      <c r="L434" s="1"/>
    </row>
    <row r="435" spans="1:12" ht="12" customHeight="1" x14ac:dyDescent="0.25">
      <c r="A435" s="15">
        <v>44486</v>
      </c>
      <c r="B435" s="16" t="s">
        <v>1770</v>
      </c>
      <c r="C435" s="16" t="s">
        <v>25</v>
      </c>
      <c r="D435" s="16" t="str">
        <f>VLOOKUP(C435,[1]master_data!$A$2:$E$495,2,FALSE)</f>
        <v>MESIN ROSTON 107</v>
      </c>
      <c r="E435" s="16">
        <v>3</v>
      </c>
      <c r="F435" s="16">
        <f>VLOOKUP(C435,[1]master_data!$A$2:$E$495,3,FALSE)</f>
        <v>185000</v>
      </c>
      <c r="G435" s="16">
        <f>VLOOKUP(C435,[1]master_data!$A$2:$E$495,4,FALSE)</f>
        <v>260000</v>
      </c>
      <c r="H435" s="16">
        <f>E435*F435</f>
        <v>555000</v>
      </c>
      <c r="I435" s="16">
        <f>E435*G435</f>
        <v>780000</v>
      </c>
      <c r="J435" s="16">
        <f>I435-H435</f>
        <v>225000</v>
      </c>
      <c r="K435" s="16" t="str">
        <f>VLOOKUP(C435,[1]master_data!$A$2:$E$495,5,FALSE)</f>
        <v>Aksesoris</v>
      </c>
      <c r="L435" s="1"/>
    </row>
    <row r="436" spans="1:12" ht="12" customHeight="1" x14ac:dyDescent="0.25">
      <c r="A436" s="15">
        <v>44486</v>
      </c>
      <c r="B436" s="16" t="s">
        <v>1771</v>
      </c>
      <c r="C436" s="16" t="s">
        <v>330</v>
      </c>
      <c r="D436" s="16" t="str">
        <f>VLOOKUP(C436,[1]master_data!$A$2:$E$495,2,FALSE)</f>
        <v>KOI T</v>
      </c>
      <c r="E436" s="16">
        <v>2</v>
      </c>
      <c r="F436" s="16">
        <f>VLOOKUP(C436,[1]master_data!$A$2:$E$495,3,FALSE)</f>
        <v>7000</v>
      </c>
      <c r="G436" s="16">
        <f>VLOOKUP(C436,[1]master_data!$A$2:$E$495,4,FALSE)</f>
        <v>20000</v>
      </c>
      <c r="H436" s="16">
        <f>E436*F436</f>
        <v>14000</v>
      </c>
      <c r="I436" s="16">
        <f>E436*G436</f>
        <v>40000</v>
      </c>
      <c r="J436" s="16">
        <f>I436-H436</f>
        <v>26000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44486</v>
      </c>
      <c r="B437" s="16" t="s">
        <v>1772</v>
      </c>
      <c r="C437" s="16" t="s">
        <v>191</v>
      </c>
      <c r="D437" s="16" t="str">
        <f>VLOOKUP(C437,[1]master_data!$A$2:$E$495,2,FALSE)</f>
        <v>PAKAN KURA WARNA</v>
      </c>
      <c r="E437" s="16">
        <v>5</v>
      </c>
      <c r="F437" s="16">
        <f>VLOOKUP(C437,[1]master_data!$A$2:$E$495,3,FALSE)</f>
        <v>7000</v>
      </c>
      <c r="G437" s="16">
        <f>VLOOKUP(C437,[1]master_data!$A$2:$E$495,4,FALSE)</f>
        <v>12000</v>
      </c>
      <c r="H437" s="16">
        <f>E437*F437</f>
        <v>35000</v>
      </c>
      <c r="I437" s="16">
        <f>E437*G437</f>
        <v>60000</v>
      </c>
      <c r="J437" s="16">
        <f>I437-H437</f>
        <v>25000</v>
      </c>
      <c r="K437" s="16" t="str">
        <f>VLOOKUP(C437,[1]master_data!$A$2:$E$495,5,FALSE)</f>
        <v>Aksesoris</v>
      </c>
      <c r="L437" s="1"/>
    </row>
    <row r="438" spans="1:12" ht="12" customHeight="1" x14ac:dyDescent="0.25">
      <c r="A438" s="15">
        <v>44486</v>
      </c>
      <c r="B438" s="16" t="s">
        <v>1773</v>
      </c>
      <c r="C438" s="16" t="s">
        <v>156</v>
      </c>
      <c r="D438" s="16" t="str">
        <f>VLOOKUP(C438,[1]master_data!$A$2:$E$495,2,FALSE)</f>
        <v>LED KANDILA PRO RED ECO 60 CM</v>
      </c>
      <c r="E438" s="16">
        <v>1</v>
      </c>
      <c r="F438" s="16">
        <f>VLOOKUP(C438,[1]master_data!$A$2:$E$495,3,FALSE)</f>
        <v>60000</v>
      </c>
      <c r="G438" s="16">
        <f>VLOOKUP(C438,[1]master_data!$A$2:$E$495,4,FALSE)</f>
        <v>80000</v>
      </c>
      <c r="H438" s="16">
        <f>E438*F438</f>
        <v>60000</v>
      </c>
      <c r="I438" s="16">
        <f>E438*G438</f>
        <v>80000</v>
      </c>
      <c r="J438" s="16">
        <f>I438-H438</f>
        <v>20000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44486</v>
      </c>
      <c r="B439" s="16" t="s">
        <v>1774</v>
      </c>
      <c r="C439" s="16" t="s">
        <v>280</v>
      </c>
      <c r="D439" s="16" t="str">
        <f>VLOOKUP(C439,[1]master_data!$A$2:$E$495,2,FALSE)</f>
        <v>TOPLES 3,3 L</v>
      </c>
      <c r="E439" s="16">
        <v>2</v>
      </c>
      <c r="F439" s="16">
        <f>VLOOKUP(C439,[1]master_data!$A$2:$E$495,3,FALSE)</f>
        <v>50000</v>
      </c>
      <c r="G439" s="16">
        <f>VLOOKUP(C439,[1]master_data!$A$2:$E$495,4,FALSE)</f>
        <v>75000</v>
      </c>
      <c r="H439" s="16">
        <f>E439*F439</f>
        <v>100000</v>
      </c>
      <c r="I439" s="16">
        <f>E439*G439</f>
        <v>150000</v>
      </c>
      <c r="J439" s="16">
        <f>I439-H439</f>
        <v>50000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44486</v>
      </c>
      <c r="B440" s="16" t="s">
        <v>1775</v>
      </c>
      <c r="C440" s="16" t="s">
        <v>167</v>
      </c>
      <c r="D440" s="16" t="str">
        <f>VLOOKUP(C440,[1]master_data!$A$2:$E$495,2,FALSE)</f>
        <v>MAGOT</v>
      </c>
      <c r="E440" s="16">
        <v>8</v>
      </c>
      <c r="F440" s="16">
        <f>VLOOKUP(C440,[1]master_data!$A$2:$E$495,3,FALSE)</f>
        <v>4500</v>
      </c>
      <c r="G440" s="16">
        <f>VLOOKUP(C440,[1]master_data!$A$2:$E$495,4,FALSE)</f>
        <v>10000</v>
      </c>
      <c r="H440" s="16">
        <f>E440*F440</f>
        <v>36000</v>
      </c>
      <c r="I440" s="16">
        <f>E440*G440</f>
        <v>80000</v>
      </c>
      <c r="J440" s="16">
        <f>I440-H440</f>
        <v>44000</v>
      </c>
      <c r="K440" s="16" t="str">
        <f>VLOOKUP(C440,[1]master_data!$A$2:$E$495,5,FALSE)</f>
        <v>Aksesoris</v>
      </c>
      <c r="L440" s="1"/>
    </row>
    <row r="441" spans="1:12" ht="12" customHeight="1" x14ac:dyDescent="0.25">
      <c r="A441" s="15">
        <v>44486</v>
      </c>
      <c r="B441" s="16" t="s">
        <v>1776</v>
      </c>
      <c r="C441" s="16" t="s">
        <v>369</v>
      </c>
      <c r="D441" s="16" t="str">
        <f>VLOOKUP(C441,[1]master_data!$A$2:$E$495,2,FALSE)</f>
        <v>ZEBRA PINK</v>
      </c>
      <c r="E441" s="16">
        <v>4</v>
      </c>
      <c r="F441" s="16">
        <f>VLOOKUP(C441,[1]master_data!$A$2:$E$495,3,FALSE)</f>
        <v>800</v>
      </c>
      <c r="G441" s="16">
        <f>VLOOKUP(C441,[1]master_data!$A$2:$E$495,4,FALSE)</f>
        <v>2000</v>
      </c>
      <c r="H441" s="16">
        <f>E441*F441</f>
        <v>3200</v>
      </c>
      <c r="I441" s="16">
        <f>E441*G441</f>
        <v>8000</v>
      </c>
      <c r="J441" s="16">
        <f>I441-H441</f>
        <v>4800</v>
      </c>
      <c r="K441" s="16" t="str">
        <f>VLOOKUP(C441,[1]master_data!$A$2:$E$495,5,FALSE)</f>
        <v>Ikan</v>
      </c>
      <c r="L441" s="1"/>
    </row>
    <row r="442" spans="1:12" ht="12" customHeight="1" x14ac:dyDescent="0.25">
      <c r="A442" s="15">
        <v>44485</v>
      </c>
      <c r="B442" s="16" t="s">
        <v>1761</v>
      </c>
      <c r="C442" s="16" t="s">
        <v>362</v>
      </c>
      <c r="D442" s="16" t="str">
        <f>VLOOKUP(C442,[1]master_data!$A$2:$E$495,2,FALSE)</f>
        <v>SUMATRA BIASA</v>
      </c>
      <c r="E442" s="16">
        <v>30</v>
      </c>
      <c r="F442" s="16">
        <f>VLOOKUP(C442,[1]master_data!$A$2:$E$495,3,FALSE)</f>
        <v>800</v>
      </c>
      <c r="G442" s="16">
        <f>VLOOKUP(C442,[1]master_data!$A$2:$E$495,4,FALSE)</f>
        <v>2000</v>
      </c>
      <c r="H442" s="16">
        <f>E442*F442</f>
        <v>24000</v>
      </c>
      <c r="I442" s="16">
        <f>E442*G442</f>
        <v>60000</v>
      </c>
      <c r="J442" s="16">
        <f>I442-H442</f>
        <v>36000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44485</v>
      </c>
      <c r="B443" s="16" t="s">
        <v>1762</v>
      </c>
      <c r="C443" s="16" t="s">
        <v>286</v>
      </c>
      <c r="D443" s="16" t="str">
        <f>VLOOKUP(C443,[1]master_data!$A$2:$E$495,2,FALSE)</f>
        <v>TUTUP AKUARIUM M</v>
      </c>
      <c r="E443" s="16">
        <v>1</v>
      </c>
      <c r="F443" s="16">
        <f>VLOOKUP(C443,[1]master_data!$A$2:$E$495,3,FALSE)</f>
        <v>25000</v>
      </c>
      <c r="G443" s="16">
        <f>VLOOKUP(C443,[1]master_data!$A$2:$E$495,4,FALSE)</f>
        <v>35000</v>
      </c>
      <c r="H443" s="16">
        <f>E443*F443</f>
        <v>25000</v>
      </c>
      <c r="I443" s="16">
        <f>E443*G443</f>
        <v>35000</v>
      </c>
      <c r="J443" s="16">
        <f>I443-H443</f>
        <v>10000</v>
      </c>
      <c r="K443" s="16" t="str">
        <f>VLOOKUP(C443,[1]master_data!$A$2:$E$495,5,FALSE)</f>
        <v>Aksesoris</v>
      </c>
      <c r="L443" s="1"/>
    </row>
    <row r="444" spans="1:12" ht="12" customHeight="1" x14ac:dyDescent="0.25">
      <c r="A444" s="15">
        <v>44485</v>
      </c>
      <c r="B444" s="16" t="s">
        <v>1763</v>
      </c>
      <c r="C444" s="16" t="s">
        <v>322</v>
      </c>
      <c r="D444" s="16" t="str">
        <f>VLOOKUP(C444,[1]master_data!$A$2:$E$495,2,FALSE)</f>
        <v>GOLD FISH</v>
      </c>
      <c r="E444" s="16">
        <v>25</v>
      </c>
      <c r="F444" s="16">
        <f>VLOOKUP(C444,[1]master_data!$A$2:$E$495,3,FALSE)</f>
        <v>800</v>
      </c>
      <c r="G444" s="16">
        <f>VLOOKUP(C444,[1]master_data!$A$2:$E$495,4,FALSE)</f>
        <v>2000</v>
      </c>
      <c r="H444" s="16">
        <f>E444*F444</f>
        <v>20000</v>
      </c>
      <c r="I444" s="16">
        <f>E444*G444</f>
        <v>50000</v>
      </c>
      <c r="J444" s="16">
        <f>I444-H444</f>
        <v>30000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44485</v>
      </c>
      <c r="B445" s="16" t="s">
        <v>1764</v>
      </c>
      <c r="C445" s="16" t="s">
        <v>329</v>
      </c>
      <c r="D445" s="16" t="str">
        <f>VLOOKUP(C445,[1]master_data!$A$2:$E$495,2,FALSE)</f>
        <v>KOI K</v>
      </c>
      <c r="E445" s="16">
        <v>25</v>
      </c>
      <c r="F445" s="16">
        <f>VLOOKUP(C445,[1]master_data!$A$2:$E$495,3,FALSE)</f>
        <v>2500</v>
      </c>
      <c r="G445" s="16">
        <f>VLOOKUP(C445,[1]master_data!$A$2:$E$495,4,FALSE)</f>
        <v>10000</v>
      </c>
      <c r="H445" s="16">
        <f>E445*F445</f>
        <v>62500</v>
      </c>
      <c r="I445" s="16">
        <f>E445*G445</f>
        <v>250000</v>
      </c>
      <c r="J445" s="16">
        <f>I445-H445</f>
        <v>187500</v>
      </c>
      <c r="K445" s="16" t="str">
        <f>VLOOKUP(C445,[1]master_data!$A$2:$E$495,5,FALSE)</f>
        <v>Ikan</v>
      </c>
      <c r="L445" s="1"/>
    </row>
    <row r="446" spans="1:12" ht="12" customHeight="1" x14ac:dyDescent="0.25">
      <c r="A446" s="15">
        <v>44485</v>
      </c>
      <c r="B446" s="16" t="s">
        <v>1765</v>
      </c>
      <c r="C446" s="16" t="s">
        <v>140</v>
      </c>
      <c r="D446" s="16" t="str">
        <f>VLOOKUP(C446,[1]master_data!$A$2:$E$495,2,FALSE)</f>
        <v>LED KANDILA DnN 30 CM</v>
      </c>
      <c r="E446" s="16">
        <v>2</v>
      </c>
      <c r="F446" s="16">
        <f>VLOOKUP(C446,[1]master_data!$A$2:$E$495,3,FALSE)</f>
        <v>30000</v>
      </c>
      <c r="G446" s="16">
        <f>VLOOKUP(C446,[1]master_data!$A$2:$E$495,4,FALSE)</f>
        <v>45000</v>
      </c>
      <c r="H446" s="16">
        <f>E446*F446</f>
        <v>60000</v>
      </c>
      <c r="I446" s="16">
        <f>E446*G446</f>
        <v>90000</v>
      </c>
      <c r="J446" s="16">
        <f>I446-H446</f>
        <v>30000</v>
      </c>
      <c r="K446" s="16" t="str">
        <f>VLOOKUP(C446,[1]master_data!$A$2:$E$495,5,FALSE)</f>
        <v>Aksesoris</v>
      </c>
      <c r="L446" s="1"/>
    </row>
    <row r="447" spans="1:12" ht="12" customHeight="1" x14ac:dyDescent="0.25">
      <c r="A447" s="15">
        <v>44485</v>
      </c>
      <c r="B447" s="16" t="s">
        <v>1766</v>
      </c>
      <c r="C447" s="16" t="s">
        <v>351</v>
      </c>
      <c r="D447" s="16" t="str">
        <f>VLOOKUP(C447,[1]master_data!$A$2:$E$495,2,FALSE)</f>
        <v>NEON</v>
      </c>
      <c r="E447" s="16">
        <v>10</v>
      </c>
      <c r="F447" s="16">
        <f>VLOOKUP(C447,[1]master_data!$A$2:$E$495,3,FALSE)</f>
        <v>1250</v>
      </c>
      <c r="G447" s="16">
        <f>VLOOKUP(C447,[1]master_data!$A$2:$E$495,4,FALSE)</f>
        <v>5000</v>
      </c>
      <c r="H447" s="16">
        <f>E447*F447</f>
        <v>12500</v>
      </c>
      <c r="I447" s="16">
        <f>E447*G447</f>
        <v>50000</v>
      </c>
      <c r="J447" s="16">
        <f>I447-H447</f>
        <v>37500</v>
      </c>
      <c r="K447" s="16" t="str">
        <f>VLOOKUP(C447,[1]master_data!$A$2:$E$495,5,FALSE)</f>
        <v>Ikan</v>
      </c>
      <c r="L447" s="1"/>
    </row>
    <row r="448" spans="1:12" ht="12" customHeight="1" x14ac:dyDescent="0.25">
      <c r="A448" s="15">
        <v>44485</v>
      </c>
      <c r="B448" s="16" t="s">
        <v>1767</v>
      </c>
      <c r="C448" s="16" t="s">
        <v>37</v>
      </c>
      <c r="D448" s="16" t="str">
        <f>VLOOKUP(C448,[1]master_data!$A$2:$E$495,2,FALSE)</f>
        <v>MESIN YAMANO 107</v>
      </c>
      <c r="E448" s="16">
        <v>1</v>
      </c>
      <c r="F448" s="16">
        <f>VLOOKUP(C448,[1]master_data!$A$2:$E$495,3,FALSE)</f>
        <v>280000</v>
      </c>
      <c r="G448" s="16">
        <f>VLOOKUP(C448,[1]master_data!$A$2:$E$495,4,FALSE)</f>
        <v>321000</v>
      </c>
      <c r="H448" s="16">
        <f>E448*F448</f>
        <v>280000</v>
      </c>
      <c r="I448" s="16">
        <f>E448*G448</f>
        <v>321000</v>
      </c>
      <c r="J448" s="16">
        <f>I448-H448</f>
        <v>41000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44485</v>
      </c>
      <c r="B449" s="16" t="s">
        <v>1768</v>
      </c>
      <c r="C449" s="16" t="s">
        <v>324</v>
      </c>
      <c r="D449" s="16" t="str">
        <f>VLOOKUP(C449,[1]master_data!$A$2:$E$495,2,FALSE)</f>
        <v>GOLDEN BLACK</v>
      </c>
      <c r="E449" s="16">
        <v>10</v>
      </c>
      <c r="F449" s="16">
        <f>VLOOKUP(C449,[1]master_data!$A$2:$E$495,3,FALSE)</f>
        <v>800</v>
      </c>
      <c r="G449" s="16">
        <f>VLOOKUP(C449,[1]master_data!$A$2:$E$495,4,FALSE)</f>
        <v>2000</v>
      </c>
      <c r="H449" s="16">
        <f>E449*F449</f>
        <v>8000</v>
      </c>
      <c r="I449" s="16">
        <f>E449*G449</f>
        <v>20000</v>
      </c>
      <c r="J449" s="16">
        <f>I449-H449</f>
        <v>12000</v>
      </c>
      <c r="K449" s="16" t="str">
        <f>VLOOKUP(C449,[1]master_data!$A$2:$E$495,5,FALSE)</f>
        <v>Ikan</v>
      </c>
      <c r="L449" s="1"/>
    </row>
    <row r="450" spans="1:12" ht="12" customHeight="1" x14ac:dyDescent="0.25">
      <c r="A450" s="15">
        <v>44484</v>
      </c>
      <c r="B450" s="16" t="s">
        <v>1754</v>
      </c>
      <c r="C450" s="16" t="s">
        <v>372</v>
      </c>
      <c r="D450" s="16" t="str">
        <f>VLOOKUP(C450,[1]master_data!$A$2:$E$495,2,FALSE)</f>
        <v>ZEBRA KUNING</v>
      </c>
      <c r="E450" s="16">
        <v>30</v>
      </c>
      <c r="F450" s="16">
        <f>VLOOKUP(C450,[1]master_data!$A$2:$E$495,3,FALSE)</f>
        <v>800</v>
      </c>
      <c r="G450" s="16">
        <f>VLOOKUP(C450,[1]master_data!$A$2:$E$495,4,FALSE)</f>
        <v>2000</v>
      </c>
      <c r="H450" s="16">
        <f>E450*F450</f>
        <v>24000</v>
      </c>
      <c r="I450" s="16">
        <f>E450*G450</f>
        <v>60000</v>
      </c>
      <c r="J450" s="16">
        <f>I450-H450</f>
        <v>36000</v>
      </c>
      <c r="K450" s="16" t="str">
        <f>VLOOKUP(C450,[1]master_data!$A$2:$E$495,5,FALSE)</f>
        <v>Ikan</v>
      </c>
      <c r="L450" s="1"/>
    </row>
    <row r="451" spans="1:12" ht="12" customHeight="1" x14ac:dyDescent="0.25">
      <c r="A451" s="15">
        <v>44484</v>
      </c>
      <c r="B451" s="16" t="s">
        <v>1755</v>
      </c>
      <c r="C451" s="16" t="s">
        <v>345</v>
      </c>
      <c r="D451" s="16" t="str">
        <f>VLOOKUP(C451,[1]master_data!$A$2:$E$495,2,FALSE)</f>
        <v>MARU B</v>
      </c>
      <c r="E451" s="16">
        <v>2</v>
      </c>
      <c r="F451" s="16">
        <f>VLOOKUP(C451,[1]master_data!$A$2:$E$495,3,FALSE)</f>
        <v>90000</v>
      </c>
      <c r="G451" s="16">
        <f>VLOOKUP(C451,[1]master_data!$A$2:$E$495,4,FALSE)</f>
        <v>150000</v>
      </c>
      <c r="H451" s="16">
        <f>E451*F451</f>
        <v>180000</v>
      </c>
      <c r="I451" s="16">
        <f>E451*G451</f>
        <v>300000</v>
      </c>
      <c r="J451" s="16">
        <f>I451-H451</f>
        <v>120000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44484</v>
      </c>
      <c r="B452" s="16" t="s">
        <v>1756</v>
      </c>
      <c r="C452" s="16" t="s">
        <v>310</v>
      </c>
      <c r="D452" s="16" t="str">
        <f>VLOOKUP(C452,[1]master_data!$A$2:$E$495,2,FALSE)</f>
        <v>ALIGATOR</v>
      </c>
      <c r="E452" s="16">
        <v>1</v>
      </c>
      <c r="F452" s="16">
        <f>VLOOKUP(C452,[1]master_data!$A$2:$E$495,3,FALSE)</f>
        <v>17000</v>
      </c>
      <c r="G452" s="16">
        <f>VLOOKUP(C452,[1]master_data!$A$2:$E$495,4,FALSE)</f>
        <v>35000</v>
      </c>
      <c r="H452" s="16">
        <f>E452*F452</f>
        <v>17000</v>
      </c>
      <c r="I452" s="16">
        <f>E452*G452</f>
        <v>35000</v>
      </c>
      <c r="J452" s="16">
        <f>I452-H452</f>
        <v>18000</v>
      </c>
      <c r="K452" s="16" t="str">
        <f>VLOOKUP(C452,[1]master_data!$A$2:$E$495,5,FALSE)</f>
        <v>Ikan</v>
      </c>
      <c r="L452" s="1"/>
    </row>
    <row r="453" spans="1:12" ht="12" customHeight="1" x14ac:dyDescent="0.25">
      <c r="A453" s="15">
        <v>44484</v>
      </c>
      <c r="B453" s="16" t="s">
        <v>1757</v>
      </c>
      <c r="C453" s="16" t="s">
        <v>327</v>
      </c>
      <c r="D453" s="16" t="str">
        <f>VLOOKUP(C453,[1]master_data!$A$2:$E$495,2,FALSE)</f>
        <v>KOKI T</v>
      </c>
      <c r="E453" s="16">
        <v>5</v>
      </c>
      <c r="F453" s="16">
        <f>VLOOKUP(C453,[1]master_data!$A$2:$E$495,3,FALSE)</f>
        <v>8000</v>
      </c>
      <c r="G453" s="16">
        <f>VLOOKUP(C453,[1]master_data!$A$2:$E$495,4,FALSE)</f>
        <v>15000</v>
      </c>
      <c r="H453" s="16">
        <f>E453*F453</f>
        <v>40000</v>
      </c>
      <c r="I453" s="16">
        <f>E453*G453</f>
        <v>75000</v>
      </c>
      <c r="J453" s="16">
        <f>I453-H453</f>
        <v>35000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44484</v>
      </c>
      <c r="B454" s="16" t="s">
        <v>1758</v>
      </c>
      <c r="C454" s="16" t="s">
        <v>351</v>
      </c>
      <c r="D454" s="16" t="str">
        <f>VLOOKUP(C454,[1]master_data!$A$2:$E$495,2,FALSE)</f>
        <v>NEON</v>
      </c>
      <c r="E454" s="16">
        <v>15</v>
      </c>
      <c r="F454" s="16">
        <f>VLOOKUP(C454,[1]master_data!$A$2:$E$495,3,FALSE)</f>
        <v>1250</v>
      </c>
      <c r="G454" s="16">
        <f>VLOOKUP(C454,[1]master_data!$A$2:$E$495,4,FALSE)</f>
        <v>5000</v>
      </c>
      <c r="H454" s="16">
        <f>E454*F454</f>
        <v>18750</v>
      </c>
      <c r="I454" s="16">
        <f>E454*G454</f>
        <v>75000</v>
      </c>
      <c r="J454" s="16">
        <f>I454-H454</f>
        <v>56250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44484</v>
      </c>
      <c r="B455" s="16" t="s">
        <v>1759</v>
      </c>
      <c r="C455" s="16" t="s">
        <v>330</v>
      </c>
      <c r="D455" s="16" t="str">
        <f>VLOOKUP(C455,[1]master_data!$A$2:$E$495,2,FALSE)</f>
        <v>KOI T</v>
      </c>
      <c r="E455" s="16">
        <v>5</v>
      </c>
      <c r="F455" s="16">
        <f>VLOOKUP(C455,[1]master_data!$A$2:$E$495,3,FALSE)</f>
        <v>7000</v>
      </c>
      <c r="G455" s="16">
        <f>VLOOKUP(C455,[1]master_data!$A$2:$E$495,4,FALSE)</f>
        <v>20000</v>
      </c>
      <c r="H455" s="16">
        <f>E455*F455</f>
        <v>35000</v>
      </c>
      <c r="I455" s="16">
        <f>E455*G455</f>
        <v>100000</v>
      </c>
      <c r="J455" s="16">
        <f>I455-H455</f>
        <v>65000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44484</v>
      </c>
      <c r="B456" s="16" t="s">
        <v>1760</v>
      </c>
      <c r="C456" s="16" t="s">
        <v>240</v>
      </c>
      <c r="D456" s="16" t="str">
        <f>VLOOKUP(C456,[1]master_data!$A$2:$E$495,2,FALSE)</f>
        <v>PIPA LONJOR 2 M</v>
      </c>
      <c r="E456" s="16">
        <v>15</v>
      </c>
      <c r="F456" s="16">
        <f>VLOOKUP(C456,[1]master_data!$A$2:$E$495,3,FALSE)</f>
        <v>5000</v>
      </c>
      <c r="G456" s="16">
        <f>VLOOKUP(C456,[1]master_data!$A$2:$E$495,4,FALSE)</f>
        <v>10000</v>
      </c>
      <c r="H456" s="16">
        <f>E456*F456</f>
        <v>75000</v>
      </c>
      <c r="I456" s="16">
        <f>E456*G456</f>
        <v>150000</v>
      </c>
      <c r="J456" s="16">
        <f>I456-H456</f>
        <v>75000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44483</v>
      </c>
      <c r="B457" s="16" t="s">
        <v>1750</v>
      </c>
      <c r="C457" s="16" t="s">
        <v>180</v>
      </c>
      <c r="D457" s="16" t="str">
        <f>VLOOKUP(C457,[1]master_data!$A$2:$E$495,2,FALSE)</f>
        <v>HOKKY KOI COLOUR</v>
      </c>
      <c r="E457" s="16">
        <v>7</v>
      </c>
      <c r="F457" s="16">
        <f>VLOOKUP(C457,[1]master_data!$A$2:$E$495,3,FALSE)</f>
        <v>55000</v>
      </c>
      <c r="G457" s="16">
        <f>VLOOKUP(C457,[1]master_data!$A$2:$E$495,4,FALSE)</f>
        <v>60000</v>
      </c>
      <c r="H457" s="16">
        <f>E457*F457</f>
        <v>385000</v>
      </c>
      <c r="I457" s="16">
        <f>E457*G457</f>
        <v>420000</v>
      </c>
      <c r="J457" s="16">
        <f>I457-H457</f>
        <v>35000</v>
      </c>
      <c r="K457" s="16" t="str">
        <f>VLOOKUP(C457,[1]master_data!$A$2:$E$495,5,FALSE)</f>
        <v>Aksesoris</v>
      </c>
      <c r="L457" s="1"/>
    </row>
    <row r="458" spans="1:12" ht="12" customHeight="1" x14ac:dyDescent="0.25">
      <c r="A458" s="15">
        <v>44483</v>
      </c>
      <c r="B458" s="16" t="s">
        <v>1751</v>
      </c>
      <c r="C458" s="16" t="s">
        <v>355</v>
      </c>
      <c r="D458" s="16" t="str">
        <f>VLOOKUP(C458,[1]master_data!$A$2:$E$495,2,FALSE)</f>
        <v>PALMAS</v>
      </c>
      <c r="E458" s="16">
        <v>5</v>
      </c>
      <c r="F458" s="16">
        <f>VLOOKUP(C458,[1]master_data!$A$2:$E$495,3,FALSE)</f>
        <v>10000</v>
      </c>
      <c r="G458" s="16">
        <f>VLOOKUP(C458,[1]master_data!$A$2:$E$495,4,FALSE)</f>
        <v>25000</v>
      </c>
      <c r="H458" s="16">
        <f>E458*F458</f>
        <v>50000</v>
      </c>
      <c r="I458" s="16">
        <f>E458*G458</f>
        <v>125000</v>
      </c>
      <c r="J458" s="16">
        <f>I458-H458</f>
        <v>75000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44483</v>
      </c>
      <c r="B459" s="16" t="s">
        <v>1752</v>
      </c>
      <c r="C459" s="16" t="s">
        <v>13</v>
      </c>
      <c r="D459" s="16" t="str">
        <f>VLOOKUP(C459,[1]master_data!$A$2:$E$495,2,FALSE)</f>
        <v>MESIN YANG 105</v>
      </c>
      <c r="E459" s="16">
        <v>1</v>
      </c>
      <c r="F459" s="16">
        <f>VLOOKUP(C459,[1]master_data!$A$2:$E$495,3,FALSE)</f>
        <v>140000</v>
      </c>
      <c r="G459" s="16">
        <f>VLOOKUP(C459,[1]master_data!$A$2:$E$495,4,FALSE)</f>
        <v>190000</v>
      </c>
      <c r="H459" s="16">
        <f>E459*F459</f>
        <v>140000</v>
      </c>
      <c r="I459" s="16">
        <f>E459*G459</f>
        <v>190000</v>
      </c>
      <c r="J459" s="16">
        <f>I459-H459</f>
        <v>50000</v>
      </c>
      <c r="K459" s="16" t="str">
        <f>VLOOKUP(C459,[1]master_data!$A$2:$E$495,5,FALSE)</f>
        <v>Aksesoris</v>
      </c>
      <c r="L459" s="1"/>
    </row>
    <row r="460" spans="1:12" ht="12" customHeight="1" x14ac:dyDescent="0.25">
      <c r="A460" s="15">
        <v>44483</v>
      </c>
      <c r="B460" s="16" t="s">
        <v>1753</v>
      </c>
      <c r="C460" s="16" t="s">
        <v>318</v>
      </c>
      <c r="D460" s="16" t="str">
        <f>VLOOKUP(C460,[1]master_data!$A$2:$E$495,2,FALSE)</f>
        <v>KOMET BOKIM</v>
      </c>
      <c r="E460" s="16">
        <v>30</v>
      </c>
      <c r="F460" s="16">
        <f>VLOOKUP(C460,[1]master_data!$A$2:$E$495,3,FALSE)</f>
        <v>1500</v>
      </c>
      <c r="G460" s="16">
        <f>VLOOKUP(C460,[1]master_data!$A$2:$E$495,4,FALSE)</f>
        <v>5000</v>
      </c>
      <c r="H460" s="16">
        <f>E460*F460</f>
        <v>45000</v>
      </c>
      <c r="I460" s="16">
        <f>E460*G460</f>
        <v>150000</v>
      </c>
      <c r="J460" s="16">
        <f>I460-H460</f>
        <v>105000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44482</v>
      </c>
      <c r="B461" s="16" t="s">
        <v>1742</v>
      </c>
      <c r="C461" s="16" t="s">
        <v>334</v>
      </c>
      <c r="D461" s="16" t="str">
        <f>VLOOKUP(C461,[1]master_data!$A$2:$E$495,2,FALSE)</f>
        <v>KOMET PAKAN</v>
      </c>
      <c r="E461" s="16">
        <v>60</v>
      </c>
      <c r="F461" s="16">
        <f>VLOOKUP(C461,[1]master_data!$A$2:$E$495,3,FALSE)</f>
        <v>300</v>
      </c>
      <c r="G461" s="16">
        <f>VLOOKUP(C461,[1]master_data!$A$2:$E$495,4,FALSE)</f>
        <v>1000</v>
      </c>
      <c r="H461" s="16">
        <f>E461*F461</f>
        <v>18000</v>
      </c>
      <c r="I461" s="16">
        <f>E461*G461</f>
        <v>60000</v>
      </c>
      <c r="J461" s="16">
        <f>I461-H461</f>
        <v>42000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44482</v>
      </c>
      <c r="B462" s="16" t="s">
        <v>1743</v>
      </c>
      <c r="C462" s="16" t="s">
        <v>211</v>
      </c>
      <c r="D462" s="16" t="str">
        <f>VLOOKUP(C462,[1]master_data!$A$2:$E$495,2,FALSE)</f>
        <v>COP SEKAT KACA</v>
      </c>
      <c r="E462" s="16">
        <v>25</v>
      </c>
      <c r="F462" s="16">
        <f>VLOOKUP(C462,[1]master_data!$A$2:$E$495,3,FALSE)</f>
        <v>800</v>
      </c>
      <c r="G462" s="16">
        <f>VLOOKUP(C462,[1]master_data!$A$2:$E$495,4,FALSE)</f>
        <v>2000</v>
      </c>
      <c r="H462" s="16">
        <f>E462*F462</f>
        <v>20000</v>
      </c>
      <c r="I462" s="16">
        <f>E462*G462</f>
        <v>50000</v>
      </c>
      <c r="J462" s="16">
        <f>I462-H462</f>
        <v>30000</v>
      </c>
      <c r="K462" s="16" t="str">
        <f>VLOOKUP(C462,[1]master_data!$A$2:$E$495,5,FALSE)</f>
        <v>Aksesoris</v>
      </c>
      <c r="L462" s="1"/>
    </row>
    <row r="463" spans="1:12" ht="12" customHeight="1" x14ac:dyDescent="0.25">
      <c r="A463" s="15">
        <v>44482</v>
      </c>
      <c r="B463" s="16" t="s">
        <v>1744</v>
      </c>
      <c r="C463" s="16" t="s">
        <v>326</v>
      </c>
      <c r="D463" s="16" t="str">
        <f>VLOOKUP(C463,[1]master_data!$A$2:$E$495,2,FALSE)</f>
        <v>KOKI K</v>
      </c>
      <c r="E463" s="16">
        <v>25</v>
      </c>
      <c r="F463" s="16">
        <f>VLOOKUP(C463,[1]master_data!$A$2:$E$495,3,FALSE)</f>
        <v>3500</v>
      </c>
      <c r="G463" s="16">
        <f>VLOOKUP(C463,[1]master_data!$A$2:$E$495,4,FALSE)</f>
        <v>10000</v>
      </c>
      <c r="H463" s="16">
        <f>E463*F463</f>
        <v>87500</v>
      </c>
      <c r="I463" s="16">
        <f>E463*G463</f>
        <v>250000</v>
      </c>
      <c r="J463" s="16">
        <f>I463-H463</f>
        <v>162500</v>
      </c>
      <c r="K463" s="16" t="str">
        <f>VLOOKUP(C463,[1]master_data!$A$2:$E$495,5,FALSE)</f>
        <v>Ikan</v>
      </c>
      <c r="L463" s="1"/>
    </row>
    <row r="464" spans="1:12" ht="12" customHeight="1" x14ac:dyDescent="0.25">
      <c r="A464" s="15">
        <v>44482</v>
      </c>
      <c r="B464" s="16" t="s">
        <v>1745</v>
      </c>
      <c r="C464" s="16" t="s">
        <v>310</v>
      </c>
      <c r="D464" s="16" t="str">
        <f>VLOOKUP(C464,[1]master_data!$A$2:$E$495,2,FALSE)</f>
        <v>ALIGATOR</v>
      </c>
      <c r="E464" s="16">
        <v>5</v>
      </c>
      <c r="F464" s="16">
        <f>VLOOKUP(C464,[1]master_data!$A$2:$E$495,3,FALSE)</f>
        <v>17000</v>
      </c>
      <c r="G464" s="16">
        <f>VLOOKUP(C464,[1]master_data!$A$2:$E$495,4,FALSE)</f>
        <v>35000</v>
      </c>
      <c r="H464" s="16">
        <f>E464*F464</f>
        <v>85000</v>
      </c>
      <c r="I464" s="16">
        <f>E464*G464</f>
        <v>175000</v>
      </c>
      <c r="J464" s="16">
        <f>I464-H464</f>
        <v>90000</v>
      </c>
      <c r="K464" s="16" t="str">
        <f>VLOOKUP(C464,[1]master_data!$A$2:$E$495,5,FALSE)</f>
        <v>Ikan</v>
      </c>
      <c r="L464" s="1"/>
    </row>
    <row r="465" spans="1:12" ht="12" customHeight="1" x14ac:dyDescent="0.25">
      <c r="A465" s="15">
        <v>44482</v>
      </c>
      <c r="B465" s="16" t="s">
        <v>1746</v>
      </c>
      <c r="C465" s="16" t="s">
        <v>327</v>
      </c>
      <c r="D465" s="16" t="str">
        <f>VLOOKUP(C465,[1]master_data!$A$2:$E$495,2,FALSE)</f>
        <v>KOKI T</v>
      </c>
      <c r="E465" s="16">
        <v>2</v>
      </c>
      <c r="F465" s="16">
        <f>VLOOKUP(C465,[1]master_data!$A$2:$E$495,3,FALSE)</f>
        <v>8000</v>
      </c>
      <c r="G465" s="16">
        <f>VLOOKUP(C465,[1]master_data!$A$2:$E$495,4,FALSE)</f>
        <v>15000</v>
      </c>
      <c r="H465" s="16">
        <f>E465*F465</f>
        <v>16000</v>
      </c>
      <c r="I465" s="16">
        <f>E465*G465</f>
        <v>30000</v>
      </c>
      <c r="J465" s="16">
        <f>I465-H465</f>
        <v>14000</v>
      </c>
      <c r="K465" s="16" t="str">
        <f>VLOOKUP(C465,[1]master_data!$A$2:$E$495,5,FALSE)</f>
        <v>Ikan</v>
      </c>
      <c r="L465" s="1"/>
    </row>
    <row r="466" spans="1:12" ht="12" customHeight="1" x14ac:dyDescent="0.25">
      <c r="A466" s="15">
        <v>44482</v>
      </c>
      <c r="B466" s="16" t="s">
        <v>1747</v>
      </c>
      <c r="C466" s="16" t="s">
        <v>319</v>
      </c>
      <c r="D466" s="16" t="str">
        <f>VLOOKUP(C466,[1]master_data!$A$2:$E$495,2,FALSE)</f>
        <v>BARBIR</v>
      </c>
      <c r="E466" s="16">
        <v>10</v>
      </c>
      <c r="F466" s="16">
        <f>VLOOKUP(C466,[1]master_data!$A$2:$E$495,3,FALSE)</f>
        <v>800</v>
      </c>
      <c r="G466" s="16">
        <f>VLOOKUP(C466,[1]master_data!$A$2:$E$495,4,FALSE)</f>
        <v>2000</v>
      </c>
      <c r="H466" s="16">
        <f>E466*F466</f>
        <v>8000</v>
      </c>
      <c r="I466" s="16">
        <f>E466*G466</f>
        <v>20000</v>
      </c>
      <c r="J466" s="16">
        <f>I466-H466</f>
        <v>12000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44482</v>
      </c>
      <c r="B467" s="16" t="s">
        <v>1748</v>
      </c>
      <c r="C467" s="16" t="s">
        <v>334</v>
      </c>
      <c r="D467" s="16" t="str">
        <f>VLOOKUP(C467,[1]master_data!$A$2:$E$495,2,FALSE)</f>
        <v>KOMET PAKAN</v>
      </c>
      <c r="E467" s="16">
        <v>45</v>
      </c>
      <c r="F467" s="16">
        <f>VLOOKUP(C467,[1]master_data!$A$2:$E$495,3,FALSE)</f>
        <v>300</v>
      </c>
      <c r="G467" s="16">
        <f>VLOOKUP(C467,[1]master_data!$A$2:$E$495,4,FALSE)</f>
        <v>1000</v>
      </c>
      <c r="H467" s="16">
        <f>E467*F467</f>
        <v>13500</v>
      </c>
      <c r="I467" s="16">
        <f>E467*G467</f>
        <v>45000</v>
      </c>
      <c r="J467" s="16">
        <f>I467-H467</f>
        <v>31500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44482</v>
      </c>
      <c r="B468" s="16" t="s">
        <v>1749</v>
      </c>
      <c r="C468" s="16" t="s">
        <v>344</v>
      </c>
      <c r="D468" s="16" t="str">
        <f>VLOOKUP(C468,[1]master_data!$A$2:$E$495,2,FALSE)</f>
        <v>MANFISH B</v>
      </c>
      <c r="E468" s="16">
        <v>11</v>
      </c>
      <c r="F468" s="16">
        <f>VLOOKUP(C468,[1]master_data!$A$2:$E$495,3,FALSE)</f>
        <v>4000</v>
      </c>
      <c r="G468" s="16">
        <f>VLOOKUP(C468,[1]master_data!$A$2:$E$495,4,FALSE)</f>
        <v>10000</v>
      </c>
      <c r="H468" s="16">
        <f>E468*F468</f>
        <v>44000</v>
      </c>
      <c r="I468" s="16">
        <f>E468*G468</f>
        <v>110000</v>
      </c>
      <c r="J468" s="16">
        <f>I468-H468</f>
        <v>66000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44481</v>
      </c>
      <c r="B469" s="16" t="s">
        <v>1737</v>
      </c>
      <c r="C469" s="16" t="s">
        <v>309</v>
      </c>
      <c r="D469" s="16" t="str">
        <f>VLOOKUP(C469,[1]master_data!$A$2:$E$495,2,FALSE)</f>
        <v>ALGA EATER</v>
      </c>
      <c r="E469" s="16">
        <v>25</v>
      </c>
      <c r="F469" s="16">
        <f>VLOOKUP(C469,[1]master_data!$A$2:$E$495,3,FALSE)</f>
        <v>1750</v>
      </c>
      <c r="G469" s="16">
        <f>VLOOKUP(C469,[1]master_data!$A$2:$E$495,4,FALSE)</f>
        <v>5000</v>
      </c>
      <c r="H469" s="16">
        <f>E469*F469</f>
        <v>43750</v>
      </c>
      <c r="I469" s="16">
        <f>E469*G469</f>
        <v>125000</v>
      </c>
      <c r="J469" s="16">
        <f>I469-H469</f>
        <v>81250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44481</v>
      </c>
      <c r="B470" s="16" t="s">
        <v>1738</v>
      </c>
      <c r="C470" s="16" t="s">
        <v>331</v>
      </c>
      <c r="D470" s="16" t="str">
        <f>VLOOKUP(C470,[1]master_data!$A$2:$E$495,2,FALSE)</f>
        <v>KOI B</v>
      </c>
      <c r="E470" s="16">
        <v>5</v>
      </c>
      <c r="F470" s="16">
        <f>VLOOKUP(C470,[1]master_data!$A$2:$E$495,3,FALSE)</f>
        <v>9000</v>
      </c>
      <c r="G470" s="16">
        <f>VLOOKUP(C470,[1]master_data!$A$2:$E$495,4,FALSE)</f>
        <v>30000</v>
      </c>
      <c r="H470" s="16">
        <f>E470*F470</f>
        <v>45000</v>
      </c>
      <c r="I470" s="16">
        <f>E470*G470</f>
        <v>150000</v>
      </c>
      <c r="J470" s="16">
        <f>I470-H470</f>
        <v>105000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44481</v>
      </c>
      <c r="B471" s="16" t="s">
        <v>1739</v>
      </c>
      <c r="C471" s="16" t="s">
        <v>309</v>
      </c>
      <c r="D471" s="16" t="str">
        <f>VLOOKUP(C471,[1]master_data!$A$2:$E$495,2,FALSE)</f>
        <v>ALGA EATER</v>
      </c>
      <c r="E471" s="16">
        <v>30</v>
      </c>
      <c r="F471" s="16">
        <f>VLOOKUP(C471,[1]master_data!$A$2:$E$495,3,FALSE)</f>
        <v>1750</v>
      </c>
      <c r="G471" s="16">
        <f>VLOOKUP(C471,[1]master_data!$A$2:$E$495,4,FALSE)</f>
        <v>5000</v>
      </c>
      <c r="H471" s="16">
        <f>E471*F471</f>
        <v>52500</v>
      </c>
      <c r="I471" s="16">
        <f>E471*G471</f>
        <v>150000</v>
      </c>
      <c r="J471" s="16">
        <f>I471-H471</f>
        <v>97500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44481</v>
      </c>
      <c r="B472" s="16" t="s">
        <v>1740</v>
      </c>
      <c r="C472" s="16" t="s">
        <v>7</v>
      </c>
      <c r="D472" s="16" t="str">
        <f>VLOOKUP(C472,[1]master_data!$A$2:$E$495,2,FALSE)</f>
        <v>MESIN YANG 1600</v>
      </c>
      <c r="E472" s="16">
        <v>1</v>
      </c>
      <c r="F472" s="16">
        <f>VLOOKUP(C472,[1]master_data!$A$2:$E$495,3,FALSE)</f>
        <v>64000</v>
      </c>
      <c r="G472" s="16">
        <f>VLOOKUP(C472,[1]master_data!$A$2:$E$495,4,FALSE)</f>
        <v>90000</v>
      </c>
      <c r="H472" s="16">
        <f>E472*F472</f>
        <v>64000</v>
      </c>
      <c r="I472" s="16">
        <f>E472*G472</f>
        <v>90000</v>
      </c>
      <c r="J472" s="16">
        <f>I472-H472</f>
        <v>26000</v>
      </c>
      <c r="K472" s="16" t="str">
        <f>VLOOKUP(C472,[1]master_data!$A$2:$E$495,5,FALSE)</f>
        <v>Aksesoris</v>
      </c>
      <c r="L472" s="1"/>
    </row>
    <row r="473" spans="1:12" ht="12" customHeight="1" x14ac:dyDescent="0.25">
      <c r="A473" s="15">
        <v>44481</v>
      </c>
      <c r="B473" s="16" t="s">
        <v>1741</v>
      </c>
      <c r="C473" s="16" t="s">
        <v>351</v>
      </c>
      <c r="D473" s="16" t="str">
        <f>VLOOKUP(C473,[1]master_data!$A$2:$E$495,2,FALSE)</f>
        <v>NEON</v>
      </c>
      <c r="E473" s="16">
        <v>50</v>
      </c>
      <c r="F473" s="16">
        <f>VLOOKUP(C473,[1]master_data!$A$2:$E$495,3,FALSE)</f>
        <v>1250</v>
      </c>
      <c r="G473" s="16">
        <f>VLOOKUP(C473,[1]master_data!$A$2:$E$495,4,FALSE)</f>
        <v>5000</v>
      </c>
      <c r="H473" s="16">
        <f>E473*F473</f>
        <v>62500</v>
      </c>
      <c r="I473" s="16">
        <f>E473*G473</f>
        <v>250000</v>
      </c>
      <c r="J473" s="16">
        <f>I473-H473</f>
        <v>187500</v>
      </c>
      <c r="K473" s="16" t="str">
        <f>VLOOKUP(C473,[1]master_data!$A$2:$E$495,5,FALSE)</f>
        <v>Ikan</v>
      </c>
      <c r="L473" s="1"/>
    </row>
    <row r="474" spans="1:12" ht="12" customHeight="1" x14ac:dyDescent="0.25">
      <c r="A474" s="15">
        <v>44480</v>
      </c>
      <c r="B474" s="16" t="s">
        <v>1730</v>
      </c>
      <c r="C474" s="16" t="s">
        <v>331</v>
      </c>
      <c r="D474" s="16" t="str">
        <f>VLOOKUP(C474,[1]master_data!$A$2:$E$495,2,FALSE)</f>
        <v>KOI B</v>
      </c>
      <c r="E474" s="16">
        <v>1</v>
      </c>
      <c r="F474" s="16">
        <f>VLOOKUP(C474,[1]master_data!$A$2:$E$495,3,FALSE)</f>
        <v>9000</v>
      </c>
      <c r="G474" s="16">
        <f>VLOOKUP(C474,[1]master_data!$A$2:$E$495,4,FALSE)</f>
        <v>30000</v>
      </c>
      <c r="H474" s="16">
        <f>E474*F474</f>
        <v>9000</v>
      </c>
      <c r="I474" s="16">
        <f>E474*G474</f>
        <v>30000</v>
      </c>
      <c r="J474" s="16">
        <f>I474-H474</f>
        <v>21000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44480</v>
      </c>
      <c r="B475" s="16" t="s">
        <v>1731</v>
      </c>
      <c r="C475" s="16" t="s">
        <v>124</v>
      </c>
      <c r="D475" s="16" t="str">
        <f>VLOOKUP(C475,[1]master_data!$A$2:$E$495,2,FALSE)</f>
        <v>LED KANDILA 3 BRS 30 CM</v>
      </c>
      <c r="E475" s="16">
        <v>2</v>
      </c>
      <c r="F475" s="16">
        <f>VLOOKUP(C475,[1]master_data!$A$2:$E$495,3,FALSE)</f>
        <v>22000</v>
      </c>
      <c r="G475" s="16">
        <f>VLOOKUP(C475,[1]master_data!$A$2:$E$495,4,FALSE)</f>
        <v>40000</v>
      </c>
      <c r="H475" s="16">
        <f>E475*F475</f>
        <v>44000</v>
      </c>
      <c r="I475" s="16">
        <f>E475*G475</f>
        <v>80000</v>
      </c>
      <c r="J475" s="16">
        <f>I475-H475</f>
        <v>36000</v>
      </c>
      <c r="K475" s="16" t="str">
        <f>VLOOKUP(C475,[1]master_data!$A$2:$E$495,5,FALSE)</f>
        <v>Aksesoris</v>
      </c>
      <c r="L475" s="1"/>
    </row>
    <row r="476" spans="1:12" ht="12" customHeight="1" x14ac:dyDescent="0.25">
      <c r="A476" s="15">
        <v>44480</v>
      </c>
      <c r="B476" s="16" t="s">
        <v>1732</v>
      </c>
      <c r="C476" s="16" t="s">
        <v>365</v>
      </c>
      <c r="D476" s="16" t="str">
        <f>VLOOKUP(C476,[1]master_data!$A$2:$E$495,2,FALSE)</f>
        <v>SYNODONTIS K</v>
      </c>
      <c r="E476" s="16">
        <v>15</v>
      </c>
      <c r="F476" s="16">
        <f>VLOOKUP(C476,[1]master_data!$A$2:$E$495,3,FALSE)</f>
        <v>1500</v>
      </c>
      <c r="G476" s="16">
        <f>VLOOKUP(C476,[1]master_data!$A$2:$E$495,4,FALSE)</f>
        <v>5000</v>
      </c>
      <c r="H476" s="16">
        <f>E476*F476</f>
        <v>22500</v>
      </c>
      <c r="I476" s="16">
        <f>E476*G476</f>
        <v>75000</v>
      </c>
      <c r="J476" s="16">
        <f>I476-H476</f>
        <v>52500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44480</v>
      </c>
      <c r="B477" s="16" t="s">
        <v>1733</v>
      </c>
      <c r="C477" s="16" t="s">
        <v>351</v>
      </c>
      <c r="D477" s="16" t="str">
        <f>VLOOKUP(C477,[1]master_data!$A$2:$E$495,2,FALSE)</f>
        <v>NEON</v>
      </c>
      <c r="E477" s="16">
        <v>30</v>
      </c>
      <c r="F477" s="16">
        <f>VLOOKUP(C477,[1]master_data!$A$2:$E$495,3,FALSE)</f>
        <v>1250</v>
      </c>
      <c r="G477" s="16">
        <f>VLOOKUP(C477,[1]master_data!$A$2:$E$495,4,FALSE)</f>
        <v>5000</v>
      </c>
      <c r="H477" s="16">
        <f>E477*F477</f>
        <v>37500</v>
      </c>
      <c r="I477" s="16">
        <f>E477*G477</f>
        <v>150000</v>
      </c>
      <c r="J477" s="16">
        <f>I477-H477</f>
        <v>112500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44480</v>
      </c>
      <c r="B478" s="16" t="s">
        <v>1734</v>
      </c>
      <c r="C478" s="16" t="s">
        <v>331</v>
      </c>
      <c r="D478" s="16" t="str">
        <f>VLOOKUP(C478,[1]master_data!$A$2:$E$495,2,FALSE)</f>
        <v>KOI B</v>
      </c>
      <c r="E478" s="16">
        <v>1</v>
      </c>
      <c r="F478" s="16">
        <f>VLOOKUP(C478,[1]master_data!$A$2:$E$495,3,FALSE)</f>
        <v>9000</v>
      </c>
      <c r="G478" s="16">
        <f>VLOOKUP(C478,[1]master_data!$A$2:$E$495,4,FALSE)</f>
        <v>30000</v>
      </c>
      <c r="H478" s="16">
        <f>E478*F478</f>
        <v>9000</v>
      </c>
      <c r="I478" s="16">
        <f>E478*G478</f>
        <v>30000</v>
      </c>
      <c r="J478" s="16">
        <f>I478-H478</f>
        <v>21000</v>
      </c>
      <c r="K478" s="16" t="str">
        <f>VLOOKUP(C478,[1]master_data!$A$2:$E$495,5,FALSE)</f>
        <v>Ikan</v>
      </c>
      <c r="L478" s="1"/>
    </row>
    <row r="479" spans="1:12" ht="12" customHeight="1" x14ac:dyDescent="0.25">
      <c r="A479" s="15">
        <v>44480</v>
      </c>
      <c r="B479" s="16" t="s">
        <v>1735</v>
      </c>
      <c r="C479" s="16" t="s">
        <v>73</v>
      </c>
      <c r="D479" s="16" t="str">
        <f>VLOOKUP(C479,[1]master_data!$A$2:$E$495,2,FALSE)</f>
        <v>MESIN KIYOSAKI 1600</v>
      </c>
      <c r="E479" s="16">
        <v>2</v>
      </c>
      <c r="F479" s="16">
        <f>VLOOKUP(C479,[1]master_data!$A$2:$E$495,3,FALSE)</f>
        <v>35000</v>
      </c>
      <c r="G479" s="16">
        <f>VLOOKUP(C479,[1]master_data!$A$2:$E$495,4,FALSE)</f>
        <v>65000</v>
      </c>
      <c r="H479" s="16">
        <f>E479*F479</f>
        <v>70000</v>
      </c>
      <c r="I479" s="16">
        <f>E479*G479</f>
        <v>130000</v>
      </c>
      <c r="J479" s="16">
        <f>I479-H479</f>
        <v>60000</v>
      </c>
      <c r="K479" s="16" t="str">
        <f>VLOOKUP(C479,[1]master_data!$A$2:$E$495,5,FALSE)</f>
        <v>Aksesoris</v>
      </c>
      <c r="L479" s="1"/>
    </row>
    <row r="480" spans="1:12" ht="12" customHeight="1" x14ac:dyDescent="0.25">
      <c r="A480" s="15">
        <v>44480</v>
      </c>
      <c r="B480" s="16" t="s">
        <v>1736</v>
      </c>
      <c r="C480" s="16" t="s">
        <v>334</v>
      </c>
      <c r="D480" s="16" t="str">
        <f>VLOOKUP(C480,[1]master_data!$A$2:$E$495,2,FALSE)</f>
        <v>KOMET PAKAN</v>
      </c>
      <c r="E480" s="16">
        <v>60</v>
      </c>
      <c r="F480" s="16">
        <f>VLOOKUP(C480,[1]master_data!$A$2:$E$495,3,FALSE)</f>
        <v>300</v>
      </c>
      <c r="G480" s="16">
        <f>VLOOKUP(C480,[1]master_data!$A$2:$E$495,4,FALSE)</f>
        <v>1000</v>
      </c>
      <c r="H480" s="16">
        <f>E480*F480</f>
        <v>18000</v>
      </c>
      <c r="I480" s="16">
        <f>E480*G480</f>
        <v>60000</v>
      </c>
      <c r="J480" s="16">
        <f>I480-H480</f>
        <v>42000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44479</v>
      </c>
      <c r="B481" s="16" t="s">
        <v>1724</v>
      </c>
      <c r="C481" s="16" t="s">
        <v>1725</v>
      </c>
      <c r="D481" s="16" t="str">
        <f>VLOOKUP(C481,[1]master_data!$A$2:$E$495,2,FALSE)</f>
        <v>LED ROSTON 30 CM</v>
      </c>
      <c r="E481" s="16">
        <v>2</v>
      </c>
      <c r="F481" s="16">
        <f>VLOOKUP(C481,[1]master_data!$A$2:$E$495,3,FALSE)</f>
        <v>21000</v>
      </c>
      <c r="G481" s="16">
        <f>VLOOKUP(C481,[1]master_data!$A$2:$E$495,4,FALSE)</f>
        <v>35000</v>
      </c>
      <c r="H481" s="16">
        <f>E481*F481</f>
        <v>42000</v>
      </c>
      <c r="I481" s="16">
        <f>E481*G481</f>
        <v>70000</v>
      </c>
      <c r="J481" s="16">
        <f>I481-H481</f>
        <v>28000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44479</v>
      </c>
      <c r="B482" s="16" t="s">
        <v>1726</v>
      </c>
      <c r="C482" s="16" t="s">
        <v>316</v>
      </c>
      <c r="D482" s="16" t="str">
        <f>VLOOKUP(C482,[1]master_data!$A$2:$E$495,2,FALSE)</f>
        <v>CHANNA BLUE PULCHRA K</v>
      </c>
      <c r="E482" s="16">
        <v>2</v>
      </c>
      <c r="F482" s="16">
        <f>VLOOKUP(C482,[1]master_data!$A$2:$E$495,3,FALSE)</f>
        <v>25000</v>
      </c>
      <c r="G482" s="16">
        <f>VLOOKUP(C482,[1]master_data!$A$2:$E$495,4,FALSE)</f>
        <v>50000</v>
      </c>
      <c r="H482" s="16">
        <f>E482*F482</f>
        <v>50000</v>
      </c>
      <c r="I482" s="16">
        <f>E482*G482</f>
        <v>100000</v>
      </c>
      <c r="J482" s="16">
        <f>I482-H482</f>
        <v>50000</v>
      </c>
      <c r="K482" s="16" t="str">
        <f>VLOOKUP(C482,[1]master_data!$A$2:$E$495,5,FALSE)</f>
        <v>Ikan</v>
      </c>
      <c r="L482" s="1"/>
    </row>
    <row r="483" spans="1:12" ht="12" customHeight="1" x14ac:dyDescent="0.25">
      <c r="A483" s="15">
        <v>44479</v>
      </c>
      <c r="B483" s="16" t="s">
        <v>1727</v>
      </c>
      <c r="C483" s="16" t="s">
        <v>288</v>
      </c>
      <c r="D483" s="16" t="str">
        <f>VLOOKUP(C483,[1]master_data!$A$2:$E$495,2,FALSE)</f>
        <v>SOLITER B1</v>
      </c>
      <c r="E483" s="16">
        <v>5</v>
      </c>
      <c r="F483" s="16">
        <f>VLOOKUP(C483,[1]master_data!$A$2:$E$495,3,FALSE)</f>
        <v>45000</v>
      </c>
      <c r="G483" s="16">
        <f>VLOOKUP(C483,[1]master_data!$A$2:$E$495,4,FALSE)</f>
        <v>60000</v>
      </c>
      <c r="H483" s="16">
        <f>E483*F483</f>
        <v>225000</v>
      </c>
      <c r="I483" s="16">
        <f>E483*G483</f>
        <v>300000</v>
      </c>
      <c r="J483" s="16">
        <f>I483-H483</f>
        <v>75000</v>
      </c>
      <c r="K483" s="16" t="str">
        <f>VLOOKUP(C483,[1]master_data!$A$2:$E$495,5,FALSE)</f>
        <v>Aksesoris</v>
      </c>
      <c r="L483" s="1"/>
    </row>
    <row r="484" spans="1:12" ht="12" customHeight="1" x14ac:dyDescent="0.25">
      <c r="A484" s="15">
        <v>44479</v>
      </c>
      <c r="B484" s="16" t="s">
        <v>1728</v>
      </c>
      <c r="C484" s="16" t="s">
        <v>204</v>
      </c>
      <c r="D484" s="16" t="str">
        <f>VLOOKUP(C484,[1]master_data!$A$2:$E$495,2,FALSE)</f>
        <v>STOP KUTU</v>
      </c>
      <c r="E484" s="16">
        <v>1</v>
      </c>
      <c r="F484" s="16">
        <f>VLOOKUP(C484,[1]master_data!$A$2:$E$495,3,FALSE)</f>
        <v>10000</v>
      </c>
      <c r="G484" s="16">
        <f>VLOOKUP(C484,[1]master_data!$A$2:$E$495,4,FALSE)</f>
        <v>15000</v>
      </c>
      <c r="H484" s="16">
        <f>E484*F484</f>
        <v>10000</v>
      </c>
      <c r="I484" s="16">
        <f>E484*G484</f>
        <v>15000</v>
      </c>
      <c r="J484" s="16">
        <f>I484-H484</f>
        <v>5000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44479</v>
      </c>
      <c r="B485" s="16" t="s">
        <v>1729</v>
      </c>
      <c r="C485" s="16" t="s">
        <v>351</v>
      </c>
      <c r="D485" s="16" t="str">
        <f>VLOOKUP(C485,[1]master_data!$A$2:$E$495,2,FALSE)</f>
        <v>NEON</v>
      </c>
      <c r="E485" s="16">
        <v>30</v>
      </c>
      <c r="F485" s="16">
        <f>VLOOKUP(C485,[1]master_data!$A$2:$E$495,3,FALSE)</f>
        <v>1250</v>
      </c>
      <c r="G485" s="16">
        <f>VLOOKUP(C485,[1]master_data!$A$2:$E$495,4,FALSE)</f>
        <v>5000</v>
      </c>
      <c r="H485" s="16">
        <f>E485*F485</f>
        <v>37500</v>
      </c>
      <c r="I485" s="16">
        <f>E485*G485</f>
        <v>150000</v>
      </c>
      <c r="J485" s="16">
        <f>I485-H485</f>
        <v>112500</v>
      </c>
      <c r="K485" s="16" t="str">
        <f>VLOOKUP(C485,[1]master_data!$A$2:$E$495,5,FALSE)</f>
        <v>Ikan</v>
      </c>
      <c r="L485" s="1"/>
    </row>
    <row r="486" spans="1:12" ht="12" customHeight="1" x14ac:dyDescent="0.25">
      <c r="A486" s="15">
        <v>44478</v>
      </c>
      <c r="B486" s="16" t="s">
        <v>1713</v>
      </c>
      <c r="C486" s="16" t="s">
        <v>318</v>
      </c>
      <c r="D486" s="16" t="str">
        <f>VLOOKUP(C486,[1]master_data!$A$2:$E$495,2,FALSE)</f>
        <v>KOMET BOKIM</v>
      </c>
      <c r="E486" s="16">
        <v>15</v>
      </c>
      <c r="F486" s="16">
        <f>VLOOKUP(C486,[1]master_data!$A$2:$E$495,3,FALSE)</f>
        <v>1500</v>
      </c>
      <c r="G486" s="16">
        <f>VLOOKUP(C486,[1]master_data!$A$2:$E$495,4,FALSE)</f>
        <v>5000</v>
      </c>
      <c r="H486" s="16">
        <f>E486*F486</f>
        <v>22500</v>
      </c>
      <c r="I486" s="16">
        <f>E486*G486</f>
        <v>75000</v>
      </c>
      <c r="J486" s="16">
        <f>I486-H486</f>
        <v>52500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44478</v>
      </c>
      <c r="B487" s="16" t="s">
        <v>1714</v>
      </c>
      <c r="C487" s="16" t="s">
        <v>132</v>
      </c>
      <c r="D487" s="16" t="str">
        <f>VLOOKUP(C487,[1]master_data!$A$2:$E$495,2,FALSE)</f>
        <v>LED KANDILA 3 MODE 60 CM</v>
      </c>
      <c r="E487" s="16">
        <v>1</v>
      </c>
      <c r="F487" s="16">
        <f>VLOOKUP(C487,[1]master_data!$A$2:$E$495,3,FALSE)</f>
        <v>33000</v>
      </c>
      <c r="G487" s="16">
        <f>VLOOKUP(C487,[1]master_data!$A$2:$E$495,4,FALSE)</f>
        <v>70000</v>
      </c>
      <c r="H487" s="16">
        <f>E487*F487</f>
        <v>33000</v>
      </c>
      <c r="I487" s="16">
        <f>E487*G487</f>
        <v>70000</v>
      </c>
      <c r="J487" s="16">
        <f>I487-H487</f>
        <v>37000</v>
      </c>
      <c r="K487" s="16" t="str">
        <f>VLOOKUP(C487,[1]master_data!$A$2:$E$495,5,FALSE)</f>
        <v>Aksesoris</v>
      </c>
      <c r="L487" s="1"/>
    </row>
    <row r="488" spans="1:12" ht="12" customHeight="1" x14ac:dyDescent="0.25">
      <c r="A488" s="15">
        <v>44478</v>
      </c>
      <c r="B488" s="16" t="s">
        <v>1715</v>
      </c>
      <c r="C488" s="16" t="s">
        <v>361</v>
      </c>
      <c r="D488" s="16" t="str">
        <f>VLOOKUP(C488,[1]master_data!$A$2:$E$495,2,FALSE)</f>
        <v>CHANNA RED BARITO B</v>
      </c>
      <c r="E488" s="16">
        <v>1</v>
      </c>
      <c r="F488" s="16">
        <f>VLOOKUP(C488,[1]master_data!$A$2:$E$495,3,FALSE)</f>
        <v>120000</v>
      </c>
      <c r="G488" s="16">
        <f>VLOOKUP(C488,[1]master_data!$A$2:$E$495,4,FALSE)</f>
        <v>200000</v>
      </c>
      <c r="H488" s="16">
        <f>E488*F488</f>
        <v>120000</v>
      </c>
      <c r="I488" s="16">
        <f>E488*G488</f>
        <v>200000</v>
      </c>
      <c r="J488" s="16">
        <f>I488-H488</f>
        <v>80000</v>
      </c>
      <c r="K488" s="16" t="str">
        <f>VLOOKUP(C488,[1]master_data!$A$2:$E$495,5,FALSE)</f>
        <v>Ikan</v>
      </c>
      <c r="L488" s="1"/>
    </row>
    <row r="489" spans="1:12" ht="12" customHeight="1" x14ac:dyDescent="0.25">
      <c r="A489" s="15">
        <v>44478</v>
      </c>
      <c r="B489" s="16" t="s">
        <v>1716</v>
      </c>
      <c r="C489" s="16" t="s">
        <v>108</v>
      </c>
      <c r="D489" s="16" t="str">
        <f>VLOOKUP(C489,[1]master_data!$A$2:$E$495,2,FALSE)</f>
        <v>LED YAMANO S400</v>
      </c>
      <c r="E489" s="16">
        <v>3</v>
      </c>
      <c r="F489" s="16">
        <f>VLOOKUP(C489,[1]master_data!$A$2:$E$495,3,FALSE)</f>
        <v>50000</v>
      </c>
      <c r="G489" s="16">
        <f>VLOOKUP(C489,[1]master_data!$A$2:$E$495,4,FALSE)</f>
        <v>75000</v>
      </c>
      <c r="H489" s="16">
        <f>E489*F489</f>
        <v>150000</v>
      </c>
      <c r="I489" s="16">
        <f>E489*G489</f>
        <v>225000</v>
      </c>
      <c r="J489" s="16">
        <f>I489-H489</f>
        <v>75000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44478</v>
      </c>
      <c r="B490" s="16" t="s">
        <v>1717</v>
      </c>
      <c r="C490" s="16" t="s">
        <v>309</v>
      </c>
      <c r="D490" s="16" t="str">
        <f>VLOOKUP(C490,[1]master_data!$A$2:$E$495,2,FALSE)</f>
        <v>ALGA EATER</v>
      </c>
      <c r="E490" s="16">
        <v>15</v>
      </c>
      <c r="F490" s="16">
        <f>VLOOKUP(C490,[1]master_data!$A$2:$E$495,3,FALSE)</f>
        <v>1750</v>
      </c>
      <c r="G490" s="16">
        <f>VLOOKUP(C490,[1]master_data!$A$2:$E$495,4,FALSE)</f>
        <v>5000</v>
      </c>
      <c r="H490" s="16">
        <f>E490*F490</f>
        <v>26250</v>
      </c>
      <c r="I490" s="16">
        <f>E490*G490</f>
        <v>75000</v>
      </c>
      <c r="J490" s="16">
        <f>I490-H490</f>
        <v>48750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44478</v>
      </c>
      <c r="B491" s="16" t="s">
        <v>1718</v>
      </c>
      <c r="C491" s="16" t="s">
        <v>327</v>
      </c>
      <c r="D491" s="16" t="str">
        <f>VLOOKUP(C491,[1]master_data!$A$2:$E$495,2,FALSE)</f>
        <v>KOKI T</v>
      </c>
      <c r="E491" s="16">
        <v>2</v>
      </c>
      <c r="F491" s="16">
        <f>VLOOKUP(C491,[1]master_data!$A$2:$E$495,3,FALSE)</f>
        <v>8000</v>
      </c>
      <c r="G491" s="16">
        <f>VLOOKUP(C491,[1]master_data!$A$2:$E$495,4,FALSE)</f>
        <v>15000</v>
      </c>
      <c r="H491" s="16">
        <f>E491*F491</f>
        <v>16000</v>
      </c>
      <c r="I491" s="16">
        <f>E491*G491</f>
        <v>30000</v>
      </c>
      <c r="J491" s="16">
        <f>I491-H491</f>
        <v>14000</v>
      </c>
      <c r="K491" s="16" t="str">
        <f>VLOOKUP(C491,[1]master_data!$A$2:$E$495,5,FALSE)</f>
        <v>Ikan</v>
      </c>
      <c r="L491" s="1"/>
    </row>
    <row r="492" spans="1:12" ht="12" customHeight="1" x14ac:dyDescent="0.25">
      <c r="A492" s="15">
        <v>44478</v>
      </c>
      <c r="B492" s="16" t="s">
        <v>1719</v>
      </c>
      <c r="C492" s="16" t="s">
        <v>327</v>
      </c>
      <c r="D492" s="16" t="str">
        <f>VLOOKUP(C492,[1]master_data!$A$2:$E$495,2,FALSE)</f>
        <v>KOKI T</v>
      </c>
      <c r="E492" s="16">
        <v>2</v>
      </c>
      <c r="F492" s="16">
        <f>VLOOKUP(C492,[1]master_data!$A$2:$E$495,3,FALSE)</f>
        <v>8000</v>
      </c>
      <c r="G492" s="16">
        <f>VLOOKUP(C492,[1]master_data!$A$2:$E$495,4,FALSE)</f>
        <v>15000</v>
      </c>
      <c r="H492" s="16">
        <f>E492*F492</f>
        <v>16000</v>
      </c>
      <c r="I492" s="16">
        <f>E492*G492</f>
        <v>30000</v>
      </c>
      <c r="J492" s="16">
        <f>I492-H492</f>
        <v>14000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44478</v>
      </c>
      <c r="B493" s="16" t="s">
        <v>1720</v>
      </c>
      <c r="C493" s="16" t="s">
        <v>215</v>
      </c>
      <c r="D493" s="16" t="str">
        <f>VLOOKUP(C493,[1]master_data!$A$2:$E$495,2,FALSE)</f>
        <v>HEATER STENLEES 25 W</v>
      </c>
      <c r="E493" s="16">
        <v>1</v>
      </c>
      <c r="F493" s="16">
        <f>VLOOKUP(C493,[1]master_data!$A$2:$E$495,3,FALSE)</f>
        <v>56500</v>
      </c>
      <c r="G493" s="16">
        <f>VLOOKUP(C493,[1]master_data!$A$2:$E$495,4,FALSE)</f>
        <v>85000</v>
      </c>
      <c r="H493" s="16">
        <f>E493*F493</f>
        <v>56500</v>
      </c>
      <c r="I493" s="16">
        <f>E493*G493</f>
        <v>85000</v>
      </c>
      <c r="J493" s="16">
        <f>I493-H493</f>
        <v>28500</v>
      </c>
      <c r="K493" s="16" t="str">
        <f>VLOOKUP(C493,[1]master_data!$A$2:$E$495,5,FALSE)</f>
        <v>Aksesoris</v>
      </c>
      <c r="L493" s="1"/>
    </row>
    <row r="494" spans="1:12" ht="12" customHeight="1" x14ac:dyDescent="0.25">
      <c r="A494" s="15">
        <v>44478</v>
      </c>
      <c r="B494" s="16" t="s">
        <v>1721</v>
      </c>
      <c r="C494" s="16" t="s">
        <v>221</v>
      </c>
      <c r="D494" s="16" t="str">
        <f>VLOOKUP(C494,[1]master_data!$A$2:$E$495,2,FALSE)</f>
        <v>JARING 12</v>
      </c>
      <c r="E494" s="16">
        <v>10</v>
      </c>
      <c r="F494" s="16">
        <f>VLOOKUP(C494,[1]master_data!$A$2:$E$495,3,FALSE)</f>
        <v>4000</v>
      </c>
      <c r="G494" s="16">
        <f>VLOOKUP(C494,[1]master_data!$A$2:$E$495,4,FALSE)</f>
        <v>7000</v>
      </c>
      <c r="H494" s="16">
        <f>E494*F494</f>
        <v>40000</v>
      </c>
      <c r="I494" s="16">
        <f>E494*G494</f>
        <v>70000</v>
      </c>
      <c r="J494" s="16">
        <f>I494-H494</f>
        <v>30000</v>
      </c>
      <c r="K494" s="16" t="str">
        <f>VLOOKUP(C494,[1]master_data!$A$2:$E$495,5,FALSE)</f>
        <v>Aksesoris</v>
      </c>
      <c r="L494" s="1"/>
    </row>
    <row r="495" spans="1:12" ht="12" customHeight="1" x14ac:dyDescent="0.25">
      <c r="A495" s="15">
        <v>44478</v>
      </c>
      <c r="B495" s="16" t="s">
        <v>1722</v>
      </c>
      <c r="C495" s="16" t="s">
        <v>373</v>
      </c>
      <c r="D495" s="16" t="str">
        <f>VLOOKUP(C495,[1]master_data!$A$2:$E$495,2,FALSE)</f>
        <v>SEPAT</v>
      </c>
      <c r="E495" s="16">
        <v>5</v>
      </c>
      <c r="F495" s="16">
        <f>VLOOKUP(C495,[1]master_data!$A$2:$E$495,3,FALSE)</f>
        <v>600</v>
      </c>
      <c r="G495" s="16">
        <f>VLOOKUP(C495,[1]master_data!$A$2:$E$495,4,FALSE)</f>
        <v>2000</v>
      </c>
      <c r="H495" s="16">
        <f>E495*F495</f>
        <v>3000</v>
      </c>
      <c r="I495" s="16">
        <f>E495*G495</f>
        <v>10000</v>
      </c>
      <c r="J495" s="16">
        <f>I495-H495</f>
        <v>7000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44478</v>
      </c>
      <c r="B496" s="16" t="s">
        <v>1723</v>
      </c>
      <c r="C496" s="16" t="s">
        <v>330</v>
      </c>
      <c r="D496" s="16" t="str">
        <f>VLOOKUP(C496,[1]master_data!$A$2:$E$495,2,FALSE)</f>
        <v>KOI T</v>
      </c>
      <c r="E496" s="16">
        <v>10</v>
      </c>
      <c r="F496" s="16">
        <f>VLOOKUP(C496,[1]master_data!$A$2:$E$495,3,FALSE)</f>
        <v>7000</v>
      </c>
      <c r="G496" s="16">
        <f>VLOOKUP(C496,[1]master_data!$A$2:$E$495,4,FALSE)</f>
        <v>20000</v>
      </c>
      <c r="H496" s="16">
        <f>E496*F496</f>
        <v>70000</v>
      </c>
      <c r="I496" s="16">
        <f>E496*G496</f>
        <v>200000</v>
      </c>
      <c r="J496" s="16">
        <f>I496-H496</f>
        <v>130000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44477</v>
      </c>
      <c r="B497" s="16" t="s">
        <v>1709</v>
      </c>
      <c r="C497" s="16" t="s">
        <v>353</v>
      </c>
      <c r="D497" s="16" t="str">
        <f>VLOOKUP(C497,[1]master_data!$A$2:$E$495,2,FALSE)</f>
        <v>PEMBERSIH KACA BIASA</v>
      </c>
      <c r="E497" s="16">
        <v>10</v>
      </c>
      <c r="F497" s="16">
        <f>VLOOKUP(C497,[1]master_data!$A$2:$E$495,3,FALSE)</f>
        <v>2000</v>
      </c>
      <c r="G497" s="16">
        <f>VLOOKUP(C497,[1]master_data!$A$2:$E$495,4,FALSE)</f>
        <v>5000</v>
      </c>
      <c r="H497" s="16">
        <f>E497*F497</f>
        <v>20000</v>
      </c>
      <c r="I497" s="16">
        <f>E497*G497</f>
        <v>50000</v>
      </c>
      <c r="J497" s="16">
        <f>I497-H497</f>
        <v>30000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44477</v>
      </c>
      <c r="B498" s="16" t="s">
        <v>1710</v>
      </c>
      <c r="C498" s="16" t="s">
        <v>369</v>
      </c>
      <c r="D498" s="16" t="str">
        <f>VLOOKUP(C498,[1]master_data!$A$2:$E$495,2,FALSE)</f>
        <v>ZEBRA PINK</v>
      </c>
      <c r="E498" s="16">
        <v>60</v>
      </c>
      <c r="F498" s="16">
        <f>VLOOKUP(C498,[1]master_data!$A$2:$E$495,3,FALSE)</f>
        <v>800</v>
      </c>
      <c r="G498" s="16">
        <f>VLOOKUP(C498,[1]master_data!$A$2:$E$495,4,FALSE)</f>
        <v>2000</v>
      </c>
      <c r="H498" s="16">
        <f>E498*F498</f>
        <v>48000</v>
      </c>
      <c r="I498" s="16">
        <f>E498*G498</f>
        <v>120000</v>
      </c>
      <c r="J498" s="16">
        <f>I498-H498</f>
        <v>72000</v>
      </c>
      <c r="K498" s="16" t="str">
        <f>VLOOKUP(C498,[1]master_data!$A$2:$E$495,5,FALSE)</f>
        <v>Ikan</v>
      </c>
      <c r="L498" s="1"/>
    </row>
    <row r="499" spans="1:12" ht="12" customHeight="1" x14ac:dyDescent="0.25">
      <c r="A499" s="15">
        <v>44477</v>
      </c>
      <c r="B499" s="16" t="s">
        <v>1711</v>
      </c>
      <c r="C499" s="16" t="s">
        <v>368</v>
      </c>
      <c r="D499" s="16" t="str">
        <f>VLOOKUP(C499,[1]master_data!$A$2:$E$495,2,FALSE)</f>
        <v>TOMAN</v>
      </c>
      <c r="E499" s="16">
        <v>10</v>
      </c>
      <c r="F499" s="16">
        <f>VLOOKUP(C499,[1]master_data!$A$2:$E$495,3,FALSE)</f>
        <v>10000</v>
      </c>
      <c r="G499" s="16">
        <f>VLOOKUP(C499,[1]master_data!$A$2:$E$495,4,FALSE)</f>
        <v>25000</v>
      </c>
      <c r="H499" s="16">
        <f>E499*F499</f>
        <v>100000</v>
      </c>
      <c r="I499" s="16">
        <f>E499*G499</f>
        <v>250000</v>
      </c>
      <c r="J499" s="16">
        <f>I499-H499</f>
        <v>150000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44477</v>
      </c>
      <c r="B500" s="16" t="s">
        <v>1712</v>
      </c>
      <c r="C500" s="16" t="s">
        <v>14</v>
      </c>
      <c r="D500" s="16" t="str">
        <f>VLOOKUP(C500,[1]master_data!$A$2:$E$495,2,FALSE)</f>
        <v>MESIN YANG 106</v>
      </c>
      <c r="E500" s="16">
        <v>2</v>
      </c>
      <c r="F500" s="16">
        <f>VLOOKUP(C500,[1]master_data!$A$2:$E$495,3,FALSE)</f>
        <v>220000</v>
      </c>
      <c r="G500" s="16">
        <f>VLOOKUP(C500,[1]master_data!$A$2:$E$495,4,FALSE)</f>
        <v>300000</v>
      </c>
      <c r="H500" s="16">
        <f>E500*F500</f>
        <v>440000</v>
      </c>
      <c r="I500" s="16">
        <f>E500*G500</f>
        <v>600000</v>
      </c>
      <c r="J500" s="16">
        <f>I500-H500</f>
        <v>160000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44476</v>
      </c>
      <c r="B501" s="16" t="s">
        <v>1704</v>
      </c>
      <c r="C501" s="16" t="s">
        <v>50</v>
      </c>
      <c r="D501" s="16" t="str">
        <f>VLOOKUP(C501,[1]master_data!$A$2:$E$495,2,FALSE)</f>
        <v>TOP FILTER LENGKAP B</v>
      </c>
      <c r="E501" s="16">
        <v>10</v>
      </c>
      <c r="F501" s="16">
        <f>VLOOKUP(C501,[1]master_data!$A$2:$E$495,3,FALSE)</f>
        <v>37500</v>
      </c>
      <c r="G501" s="16">
        <f>VLOOKUP(C501,[1]master_data!$A$2:$E$495,4,FALSE)</f>
        <v>65000</v>
      </c>
      <c r="H501" s="16">
        <f>E501*F501</f>
        <v>375000</v>
      </c>
      <c r="I501" s="16">
        <f>E501*G501</f>
        <v>650000</v>
      </c>
      <c r="J501" s="16">
        <f>I501-H501</f>
        <v>275000</v>
      </c>
      <c r="K501" s="16" t="str">
        <f>VLOOKUP(C501,[1]master_data!$A$2:$E$495,5,FALSE)</f>
        <v>Aksesoris</v>
      </c>
      <c r="L501" s="1"/>
    </row>
    <row r="502" spans="1:12" ht="12" customHeight="1" x14ac:dyDescent="0.25">
      <c r="A502" s="15">
        <v>44476</v>
      </c>
      <c r="B502" s="16" t="s">
        <v>1705</v>
      </c>
      <c r="C502" s="16" t="s">
        <v>368</v>
      </c>
      <c r="D502" s="16" t="str">
        <f>VLOOKUP(C502,[1]master_data!$A$2:$E$495,2,FALSE)</f>
        <v>TOMAN</v>
      </c>
      <c r="E502" s="16">
        <v>5</v>
      </c>
      <c r="F502" s="16">
        <f>VLOOKUP(C502,[1]master_data!$A$2:$E$495,3,FALSE)</f>
        <v>10000</v>
      </c>
      <c r="G502" s="16">
        <f>VLOOKUP(C502,[1]master_data!$A$2:$E$495,4,FALSE)</f>
        <v>25000</v>
      </c>
      <c r="H502" s="16">
        <f>E502*F502</f>
        <v>50000</v>
      </c>
      <c r="I502" s="16">
        <f>E502*G502</f>
        <v>125000</v>
      </c>
      <c r="J502" s="16">
        <f>I502-H502</f>
        <v>75000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44476</v>
      </c>
      <c r="B503" s="16" t="s">
        <v>1706</v>
      </c>
      <c r="C503" s="16" t="s">
        <v>131</v>
      </c>
      <c r="D503" s="16" t="str">
        <f>VLOOKUP(C503,[1]master_data!$A$2:$E$495,2,FALSE)</f>
        <v>LED KANDILA 2 BRS 60 CM</v>
      </c>
      <c r="E503" s="16">
        <v>1</v>
      </c>
      <c r="F503" s="16">
        <f>VLOOKUP(C503,[1]master_data!$A$2:$E$495,3,FALSE)</f>
        <v>30000</v>
      </c>
      <c r="G503" s="16">
        <f>VLOOKUP(C503,[1]master_data!$A$2:$E$495,4,FALSE)</f>
        <v>65000</v>
      </c>
      <c r="H503" s="16">
        <f>E503*F503</f>
        <v>30000</v>
      </c>
      <c r="I503" s="16">
        <f>E503*G503</f>
        <v>65000</v>
      </c>
      <c r="J503" s="16">
        <f>I503-H503</f>
        <v>35000</v>
      </c>
      <c r="K503" s="16" t="str">
        <f>VLOOKUP(C503,[1]master_data!$A$2:$E$495,5,FALSE)</f>
        <v>Aksesoris</v>
      </c>
      <c r="L503" s="1"/>
    </row>
    <row r="504" spans="1:12" ht="12" customHeight="1" x14ac:dyDescent="0.25">
      <c r="A504" s="15">
        <v>44476</v>
      </c>
      <c r="B504" s="16" t="s">
        <v>1707</v>
      </c>
      <c r="C504" s="16" t="s">
        <v>347</v>
      </c>
      <c r="D504" s="16" t="str">
        <f>VLOOKUP(C504,[1]master_data!$A$2:$E$495,2,FALSE)</f>
        <v>MOLI BALON</v>
      </c>
      <c r="E504" s="16">
        <v>24</v>
      </c>
      <c r="F504" s="16">
        <f>VLOOKUP(C504,[1]master_data!$A$2:$E$495,3,FALSE)</f>
        <v>800</v>
      </c>
      <c r="G504" s="16">
        <f>VLOOKUP(C504,[1]master_data!$A$2:$E$495,4,FALSE)</f>
        <v>2000</v>
      </c>
      <c r="H504" s="16">
        <f>E504*F504</f>
        <v>19200</v>
      </c>
      <c r="I504" s="16">
        <f>E504*G504</f>
        <v>48000</v>
      </c>
      <c r="J504" s="16">
        <f>I504-H504</f>
        <v>28800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44476</v>
      </c>
      <c r="B505" s="16" t="s">
        <v>1708</v>
      </c>
      <c r="C505" s="16" t="s">
        <v>175</v>
      </c>
      <c r="D505" s="16" t="str">
        <f>VLOOKUP(C505,[1]master_data!$A$2:$E$495,2,FALSE)</f>
        <v>HIRO GROWTH</v>
      </c>
      <c r="E505" s="16">
        <v>1</v>
      </c>
      <c r="F505" s="16">
        <f>VLOOKUP(C505,[1]master_data!$A$2:$E$495,3,FALSE)</f>
        <v>72000</v>
      </c>
      <c r="G505" s="16">
        <f>VLOOKUP(C505,[1]master_data!$A$2:$E$495,4,FALSE)</f>
        <v>80000</v>
      </c>
      <c r="H505" s="16">
        <f>E505*F505</f>
        <v>72000</v>
      </c>
      <c r="I505" s="16">
        <f>E505*G505</f>
        <v>80000</v>
      </c>
      <c r="J505" s="16">
        <f>I505-H505</f>
        <v>8000</v>
      </c>
      <c r="K505" s="16" t="str">
        <f>VLOOKUP(C505,[1]master_data!$A$2:$E$495,5,FALSE)</f>
        <v>Aksesoris</v>
      </c>
      <c r="L505" s="1"/>
    </row>
    <row r="506" spans="1:12" ht="12" customHeight="1" x14ac:dyDescent="0.25">
      <c r="A506" s="15">
        <v>44475</v>
      </c>
      <c r="B506" s="16" t="s">
        <v>1695</v>
      </c>
      <c r="C506" s="16" t="s">
        <v>312</v>
      </c>
      <c r="D506" s="16" t="str">
        <f>VLOOKUP(C506,[1]master_data!$A$2:$E$495,2,FALSE)</f>
        <v>BUENOS AIRES TETRA</v>
      </c>
      <c r="E506" s="16">
        <v>30</v>
      </c>
      <c r="F506" s="16">
        <f>VLOOKUP(C506,[1]master_data!$A$2:$E$495,3,FALSE)</f>
        <v>800</v>
      </c>
      <c r="G506" s="16">
        <f>VLOOKUP(C506,[1]master_data!$A$2:$E$495,4,FALSE)</f>
        <v>2000</v>
      </c>
      <c r="H506" s="16">
        <f>E506*F506</f>
        <v>24000</v>
      </c>
      <c r="I506" s="16">
        <f>E506*G506</f>
        <v>60000</v>
      </c>
      <c r="J506" s="16">
        <f>I506-H506</f>
        <v>36000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44475</v>
      </c>
      <c r="B507" s="16" t="s">
        <v>1696</v>
      </c>
      <c r="C507" s="16" t="s">
        <v>301</v>
      </c>
      <c r="D507" s="16" t="str">
        <f>VLOOKUP(C507,[1]master_data!$A$2:$E$495,2,FALSE)</f>
        <v>OISTER</v>
      </c>
      <c r="E507" s="16">
        <v>1</v>
      </c>
      <c r="F507" s="16">
        <f>VLOOKUP(C507,[1]master_data!$A$2:$E$495,3,FALSE)</f>
        <v>15000</v>
      </c>
      <c r="G507" s="16">
        <f>VLOOKUP(C507,[1]master_data!$A$2:$E$495,4,FALSE)</f>
        <v>25000</v>
      </c>
      <c r="H507" s="16">
        <f>E507*F507</f>
        <v>15000</v>
      </c>
      <c r="I507" s="16">
        <f>E507*G507</f>
        <v>25000</v>
      </c>
      <c r="J507" s="16">
        <f>I507-H507</f>
        <v>10000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44475</v>
      </c>
      <c r="B508" s="16" t="s">
        <v>1697</v>
      </c>
      <c r="C508" s="16" t="s">
        <v>312</v>
      </c>
      <c r="D508" s="16" t="str">
        <f>VLOOKUP(C508,[1]master_data!$A$2:$E$495,2,FALSE)</f>
        <v>BUENOS AIRES TETRA</v>
      </c>
      <c r="E508" s="16">
        <v>1</v>
      </c>
      <c r="F508" s="16">
        <f>VLOOKUP(C508,[1]master_data!$A$2:$E$495,3,FALSE)</f>
        <v>800</v>
      </c>
      <c r="G508" s="16">
        <f>VLOOKUP(C508,[1]master_data!$A$2:$E$495,4,FALSE)</f>
        <v>2000</v>
      </c>
      <c r="H508" s="16">
        <f>E508*F508</f>
        <v>800</v>
      </c>
      <c r="I508" s="16">
        <f>E508*G508</f>
        <v>2000</v>
      </c>
      <c r="J508" s="16">
        <f>I508-H508</f>
        <v>1200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44475</v>
      </c>
      <c r="B509" s="16" t="s">
        <v>1698</v>
      </c>
      <c r="C509" s="16" t="s">
        <v>334</v>
      </c>
      <c r="D509" s="16" t="str">
        <f>VLOOKUP(C509,[1]master_data!$A$2:$E$495,2,FALSE)</f>
        <v>KOMET PAKAN</v>
      </c>
      <c r="E509" s="16">
        <v>90</v>
      </c>
      <c r="F509" s="16">
        <f>VLOOKUP(C509,[1]master_data!$A$2:$E$495,3,FALSE)</f>
        <v>300</v>
      </c>
      <c r="G509" s="16">
        <f>VLOOKUP(C509,[1]master_data!$A$2:$E$495,4,FALSE)</f>
        <v>1000</v>
      </c>
      <c r="H509" s="16">
        <f>E509*F509</f>
        <v>27000</v>
      </c>
      <c r="I509" s="16">
        <f>E509*G509</f>
        <v>90000</v>
      </c>
      <c r="J509" s="16">
        <f>I509-H509</f>
        <v>63000</v>
      </c>
      <c r="K509" s="16" t="str">
        <f>VLOOKUP(C509,[1]master_data!$A$2:$E$495,5,FALSE)</f>
        <v>Ikan</v>
      </c>
      <c r="L509" s="1"/>
    </row>
    <row r="510" spans="1:12" ht="12" customHeight="1" x14ac:dyDescent="0.25">
      <c r="A510" s="15">
        <v>44475</v>
      </c>
      <c r="B510" s="16" t="s">
        <v>1699</v>
      </c>
      <c r="C510" s="16" t="s">
        <v>319</v>
      </c>
      <c r="D510" s="16" t="str">
        <f>VLOOKUP(C510,[1]master_data!$A$2:$E$495,2,FALSE)</f>
        <v>BARBIR</v>
      </c>
      <c r="E510" s="16">
        <v>20</v>
      </c>
      <c r="F510" s="16">
        <f>VLOOKUP(C510,[1]master_data!$A$2:$E$495,3,FALSE)</f>
        <v>800</v>
      </c>
      <c r="G510" s="16">
        <f>VLOOKUP(C510,[1]master_data!$A$2:$E$495,4,FALSE)</f>
        <v>2000</v>
      </c>
      <c r="H510" s="16">
        <f>E510*F510</f>
        <v>16000</v>
      </c>
      <c r="I510" s="16">
        <f>E510*G510</f>
        <v>40000</v>
      </c>
      <c r="J510" s="16">
        <f>I510-H510</f>
        <v>24000</v>
      </c>
      <c r="K510" s="16" t="str">
        <f>VLOOKUP(C510,[1]master_data!$A$2:$E$495,5,FALSE)</f>
        <v>Ikan</v>
      </c>
      <c r="L510" s="1"/>
    </row>
    <row r="511" spans="1:12" ht="12" customHeight="1" x14ac:dyDescent="0.25">
      <c r="A511" s="15">
        <v>44475</v>
      </c>
      <c r="B511" s="16" t="s">
        <v>1700</v>
      </c>
      <c r="C511" s="16" t="s">
        <v>362</v>
      </c>
      <c r="D511" s="16" t="str">
        <f>VLOOKUP(C511,[1]master_data!$A$2:$E$495,2,FALSE)</f>
        <v>SUMATRA BIASA</v>
      </c>
      <c r="E511" s="16">
        <v>10</v>
      </c>
      <c r="F511" s="16">
        <f>VLOOKUP(C511,[1]master_data!$A$2:$E$495,3,FALSE)</f>
        <v>800</v>
      </c>
      <c r="G511" s="16">
        <f>VLOOKUP(C511,[1]master_data!$A$2:$E$495,4,FALSE)</f>
        <v>2000</v>
      </c>
      <c r="H511" s="16">
        <f>E511*F511</f>
        <v>8000</v>
      </c>
      <c r="I511" s="16">
        <f>E511*G511</f>
        <v>20000</v>
      </c>
      <c r="J511" s="16">
        <f>I511-H511</f>
        <v>12000</v>
      </c>
      <c r="K511" s="16" t="str">
        <f>VLOOKUP(C511,[1]master_data!$A$2:$E$495,5,FALSE)</f>
        <v>Ikan</v>
      </c>
      <c r="L511" s="1"/>
    </row>
    <row r="512" spans="1:12" ht="12" customHeight="1" x14ac:dyDescent="0.25">
      <c r="A512" s="15">
        <v>44475</v>
      </c>
      <c r="B512" s="16" t="s">
        <v>1701</v>
      </c>
      <c r="C512" s="16" t="s">
        <v>347</v>
      </c>
      <c r="D512" s="16" t="str">
        <f>VLOOKUP(C512,[1]master_data!$A$2:$E$495,2,FALSE)</f>
        <v>MOLI BALON</v>
      </c>
      <c r="E512" s="16">
        <v>10</v>
      </c>
      <c r="F512" s="16">
        <f>VLOOKUP(C512,[1]master_data!$A$2:$E$495,3,FALSE)</f>
        <v>800</v>
      </c>
      <c r="G512" s="16">
        <f>VLOOKUP(C512,[1]master_data!$A$2:$E$495,4,FALSE)</f>
        <v>2000</v>
      </c>
      <c r="H512" s="16">
        <f>E512*F512</f>
        <v>8000</v>
      </c>
      <c r="I512" s="16">
        <f>E512*G512</f>
        <v>20000</v>
      </c>
      <c r="J512" s="16">
        <f>I512-H512</f>
        <v>12000</v>
      </c>
      <c r="K512" s="16" t="str">
        <f>VLOOKUP(C512,[1]master_data!$A$2:$E$495,5,FALSE)</f>
        <v>Ikan</v>
      </c>
      <c r="L512" s="1"/>
    </row>
    <row r="513" spans="1:12" ht="12" customHeight="1" x14ac:dyDescent="0.25">
      <c r="A513" s="15">
        <v>44475</v>
      </c>
      <c r="B513" s="16" t="s">
        <v>1702</v>
      </c>
      <c r="C513" s="16" t="s">
        <v>129</v>
      </c>
      <c r="D513" s="16" t="str">
        <f>VLOOKUP(C513,[1]master_data!$A$2:$E$495,2,FALSE)</f>
        <v>LED ROSTON 3 MODE 40 CM</v>
      </c>
      <c r="E513" s="16">
        <v>10</v>
      </c>
      <c r="F513" s="16">
        <f>VLOOKUP(C513,[1]master_data!$A$2:$E$495,3,FALSE)</f>
        <v>27000</v>
      </c>
      <c r="G513" s="16">
        <f>VLOOKUP(C513,[1]master_data!$A$2:$E$495,4,FALSE)</f>
        <v>50000</v>
      </c>
      <c r="H513" s="16">
        <f>E513*F513</f>
        <v>270000</v>
      </c>
      <c r="I513" s="16">
        <f>E513*G513</f>
        <v>500000</v>
      </c>
      <c r="J513" s="16">
        <f>I513-H513</f>
        <v>230000</v>
      </c>
      <c r="K513" s="16" t="str">
        <f>VLOOKUP(C513,[1]master_data!$A$2:$E$495,5,FALSE)</f>
        <v>Aksesoris</v>
      </c>
      <c r="L513" s="1"/>
    </row>
    <row r="514" spans="1:12" ht="12" customHeight="1" x14ac:dyDescent="0.25">
      <c r="A514" s="15">
        <v>44475</v>
      </c>
      <c r="B514" s="16" t="s">
        <v>1703</v>
      </c>
      <c r="C514" s="16" t="s">
        <v>91</v>
      </c>
      <c r="D514" s="16" t="str">
        <f>VLOOKUP(C514,[1]master_data!$A$2:$E$495,2,FALSE)</f>
        <v>AIRATOR ARMADA BATERAI 001</v>
      </c>
      <c r="E514" s="16">
        <v>1</v>
      </c>
      <c r="F514" s="16">
        <f>VLOOKUP(C514,[1]master_data!$A$2:$E$495,3,FALSE)</f>
        <v>27000</v>
      </c>
      <c r="G514" s="16">
        <f>VLOOKUP(C514,[1]master_data!$A$2:$E$495,4,FALSE)</f>
        <v>45000</v>
      </c>
      <c r="H514" s="16">
        <f>E514*F514</f>
        <v>27000</v>
      </c>
      <c r="I514" s="16">
        <f>E514*G514</f>
        <v>45000</v>
      </c>
      <c r="J514" s="16">
        <f>I514-H514</f>
        <v>18000</v>
      </c>
      <c r="K514" s="16" t="str">
        <f>VLOOKUP(C514,[1]master_data!$A$2:$E$495,5,FALSE)</f>
        <v>Aksesoris</v>
      </c>
      <c r="L514" s="1"/>
    </row>
    <row r="515" spans="1:12" ht="12" customHeight="1" x14ac:dyDescent="0.25">
      <c r="A515" s="15">
        <v>44474</v>
      </c>
      <c r="B515" s="16" t="s">
        <v>1686</v>
      </c>
      <c r="C515" s="16" t="s">
        <v>314</v>
      </c>
      <c r="D515" s="16" t="str">
        <f>VLOOKUP(C515,[1]master_data!$A$2:$E$495,2,FALSE)</f>
        <v>BALA BALA B</v>
      </c>
      <c r="E515" s="16">
        <v>2</v>
      </c>
      <c r="F515" s="16">
        <f>VLOOKUP(C515,[1]master_data!$A$2:$E$495,3,FALSE)</f>
        <v>7000</v>
      </c>
      <c r="G515" s="16">
        <f>VLOOKUP(C515,[1]master_data!$A$2:$E$495,4,FALSE)</f>
        <v>15000</v>
      </c>
      <c r="H515" s="16">
        <f>E515*F515</f>
        <v>14000</v>
      </c>
      <c r="I515" s="16">
        <f>E515*G515</f>
        <v>30000</v>
      </c>
      <c r="J515" s="16">
        <f>I515-H515</f>
        <v>16000</v>
      </c>
      <c r="K515" s="16" t="str">
        <f>VLOOKUP(C515,[1]master_data!$A$2:$E$495,5,FALSE)</f>
        <v>Ikan</v>
      </c>
      <c r="L515" s="1"/>
    </row>
    <row r="516" spans="1:12" ht="12" customHeight="1" x14ac:dyDescent="0.25">
      <c r="A516" s="15">
        <v>44474</v>
      </c>
      <c r="B516" s="16" t="s">
        <v>1687</v>
      </c>
      <c r="C516" s="16" t="s">
        <v>292</v>
      </c>
      <c r="D516" s="16" t="str">
        <f>VLOOKUP(C516,[1]master_data!$A$2:$E$495,2,FALSE)</f>
        <v>PASIR HITAM B</v>
      </c>
      <c r="E516" s="16">
        <v>20</v>
      </c>
      <c r="F516" s="16">
        <f>VLOOKUP(C516,[1]master_data!$A$2:$E$495,3,FALSE)</f>
        <v>8000</v>
      </c>
      <c r="G516" s="16">
        <f>VLOOKUP(C516,[1]master_data!$A$2:$E$495,4,FALSE)</f>
        <v>15000</v>
      </c>
      <c r="H516" s="16">
        <f>E516*F516</f>
        <v>160000</v>
      </c>
      <c r="I516" s="16">
        <f>E516*G516</f>
        <v>300000</v>
      </c>
      <c r="J516" s="16">
        <f>I516-H516</f>
        <v>140000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44474</v>
      </c>
      <c r="B517" s="16" t="s">
        <v>1688</v>
      </c>
      <c r="C517" s="16" t="s">
        <v>91</v>
      </c>
      <c r="D517" s="16" t="str">
        <f>VLOOKUP(C517,[1]master_data!$A$2:$E$495,2,FALSE)</f>
        <v>AIRATOR ARMADA BATERAI 001</v>
      </c>
      <c r="E517" s="16">
        <v>4</v>
      </c>
      <c r="F517" s="16">
        <f>VLOOKUP(C517,[1]master_data!$A$2:$E$495,3,FALSE)</f>
        <v>27000</v>
      </c>
      <c r="G517" s="16">
        <f>VLOOKUP(C517,[1]master_data!$A$2:$E$495,4,FALSE)</f>
        <v>45000</v>
      </c>
      <c r="H517" s="16">
        <f>E517*F517</f>
        <v>108000</v>
      </c>
      <c r="I517" s="16">
        <f>E517*G517</f>
        <v>180000</v>
      </c>
      <c r="J517" s="16">
        <f>I517-H517</f>
        <v>72000</v>
      </c>
      <c r="K517" s="16" t="str">
        <f>VLOOKUP(C517,[1]master_data!$A$2:$E$495,5,FALSE)</f>
        <v>Aksesoris</v>
      </c>
      <c r="L517" s="1"/>
    </row>
    <row r="518" spans="1:12" ht="12" customHeight="1" x14ac:dyDescent="0.25">
      <c r="A518" s="15">
        <v>44474</v>
      </c>
      <c r="B518" s="16" t="s">
        <v>1689</v>
      </c>
      <c r="C518" s="16" t="s">
        <v>96</v>
      </c>
      <c r="D518" s="16" t="str">
        <f>VLOOKUP(C518,[1]master_data!$A$2:$E$495,2,FALSE)</f>
        <v>LED VOSSO 20 CM</v>
      </c>
      <c r="E518" s="16">
        <v>5</v>
      </c>
      <c r="F518" s="16">
        <f>VLOOKUP(C518,[1]master_data!$A$2:$E$495,3,FALSE)</f>
        <v>20000</v>
      </c>
      <c r="G518" s="16">
        <f>VLOOKUP(C518,[1]master_data!$A$2:$E$495,4,FALSE)</f>
        <v>30000</v>
      </c>
      <c r="H518" s="16">
        <f>E518*F518</f>
        <v>100000</v>
      </c>
      <c r="I518" s="16">
        <f>E518*G518</f>
        <v>150000</v>
      </c>
      <c r="J518" s="16">
        <f>I518-H518</f>
        <v>50000</v>
      </c>
      <c r="K518" s="16" t="str">
        <f>VLOOKUP(C518,[1]master_data!$A$2:$E$495,5,FALSE)</f>
        <v>Aksesoris</v>
      </c>
      <c r="L518" s="1"/>
    </row>
    <row r="519" spans="1:12" ht="12" customHeight="1" x14ac:dyDescent="0.25">
      <c r="A519" s="15">
        <v>44474</v>
      </c>
      <c r="B519" s="16" t="s">
        <v>1690</v>
      </c>
      <c r="C519" s="16" t="s">
        <v>19</v>
      </c>
      <c r="D519" s="16" t="str">
        <f>VLOOKUP(C519,[1]master_data!$A$2:$E$495,2,FALSE)</f>
        <v>MESIN YANG WAVE MAKER 200</v>
      </c>
      <c r="E519" s="16">
        <v>1</v>
      </c>
      <c r="F519" s="16">
        <f>VLOOKUP(C519,[1]master_data!$A$2:$E$495,3,FALSE)</f>
        <v>118000</v>
      </c>
      <c r="G519" s="16">
        <f>VLOOKUP(C519,[1]master_data!$A$2:$E$495,4,FALSE)</f>
        <v>150000</v>
      </c>
      <c r="H519" s="16">
        <f>E519*F519</f>
        <v>118000</v>
      </c>
      <c r="I519" s="16">
        <f>E519*G519</f>
        <v>150000</v>
      </c>
      <c r="J519" s="16">
        <f>I519-H519</f>
        <v>32000</v>
      </c>
      <c r="K519" s="16" t="str">
        <f>VLOOKUP(C519,[1]master_data!$A$2:$E$495,5,FALSE)</f>
        <v>Aksesoris</v>
      </c>
      <c r="L519" s="1"/>
    </row>
    <row r="520" spans="1:12" ht="12" customHeight="1" x14ac:dyDescent="0.25">
      <c r="A520" s="15">
        <v>44474</v>
      </c>
      <c r="B520" s="16" t="s">
        <v>1691</v>
      </c>
      <c r="C520" s="16" t="s">
        <v>332</v>
      </c>
      <c r="D520" s="16" t="str">
        <f>VLOOKUP(C520,[1]master_data!$A$2:$E$495,2,FALSE)</f>
        <v>KURA - KURA</v>
      </c>
      <c r="E520" s="16">
        <v>5</v>
      </c>
      <c r="F520" s="16">
        <f>VLOOKUP(C520,[1]master_data!$A$2:$E$495,3,FALSE)</f>
        <v>25000</v>
      </c>
      <c r="G520" s="16">
        <f>VLOOKUP(C520,[1]master_data!$A$2:$E$495,4,FALSE)</f>
        <v>35000</v>
      </c>
      <c r="H520" s="16">
        <f>E520*F520</f>
        <v>125000</v>
      </c>
      <c r="I520" s="16">
        <f>E520*G520</f>
        <v>175000</v>
      </c>
      <c r="J520" s="16">
        <f>I520-H520</f>
        <v>50000</v>
      </c>
      <c r="K520" s="16" t="str">
        <f>VLOOKUP(C520,[1]master_data!$A$2:$E$495,5,FALSE)</f>
        <v>Ikan</v>
      </c>
      <c r="L520" s="1"/>
    </row>
    <row r="521" spans="1:12" ht="12" customHeight="1" x14ac:dyDescent="0.25">
      <c r="A521" s="15">
        <v>44474</v>
      </c>
      <c r="B521" s="16" t="s">
        <v>1692</v>
      </c>
      <c r="C521" s="16" t="s">
        <v>352</v>
      </c>
      <c r="D521" s="16" t="str">
        <f>VLOOKUP(C521,[1]master_data!$A$2:$E$495,2,FALSE)</f>
        <v>OSCAR</v>
      </c>
      <c r="E521" s="16">
        <v>4</v>
      </c>
      <c r="F521" s="16">
        <f>VLOOKUP(C521,[1]master_data!$A$2:$E$495,3,FALSE)</f>
        <v>25000</v>
      </c>
      <c r="G521" s="16">
        <f>VLOOKUP(C521,[1]master_data!$A$2:$E$495,4,FALSE)</f>
        <v>50000</v>
      </c>
      <c r="H521" s="16">
        <f>E521*F521</f>
        <v>100000</v>
      </c>
      <c r="I521" s="16">
        <f>E521*G521</f>
        <v>200000</v>
      </c>
      <c r="J521" s="16">
        <f>I521-H521</f>
        <v>100000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44474</v>
      </c>
      <c r="B522" s="16" t="s">
        <v>1693</v>
      </c>
      <c r="C522" s="16" t="s">
        <v>247</v>
      </c>
      <c r="D522" s="16" t="str">
        <f>VLOOKUP(C522,[1]master_data!$A$2:$E$495,2,FALSE)</f>
        <v>L PIPA</v>
      </c>
      <c r="E522" s="16">
        <v>20</v>
      </c>
      <c r="F522" s="16">
        <f>VLOOKUP(C522,[1]master_data!$A$2:$E$495,3,FALSE)</f>
        <v>800</v>
      </c>
      <c r="G522" s="16">
        <f>VLOOKUP(C522,[1]master_data!$A$2:$E$495,4,FALSE)</f>
        <v>2000</v>
      </c>
      <c r="H522" s="16">
        <f>E522*F522</f>
        <v>16000</v>
      </c>
      <c r="I522" s="16">
        <f>E522*G522</f>
        <v>40000</v>
      </c>
      <c r="J522" s="16">
        <f>I522-H522</f>
        <v>24000</v>
      </c>
      <c r="K522" s="16" t="str">
        <f>VLOOKUP(C522,[1]master_data!$A$2:$E$495,5,FALSE)</f>
        <v>Aksesoris</v>
      </c>
      <c r="L522" s="1"/>
    </row>
    <row r="523" spans="1:12" ht="12" customHeight="1" x14ac:dyDescent="0.25">
      <c r="A523" s="15">
        <v>44474</v>
      </c>
      <c r="B523" s="16" t="s">
        <v>1694</v>
      </c>
      <c r="C523" s="16" t="s">
        <v>351</v>
      </c>
      <c r="D523" s="16" t="str">
        <f>VLOOKUP(C523,[1]master_data!$A$2:$E$495,2,FALSE)</f>
        <v>NEON</v>
      </c>
      <c r="E523" s="16">
        <v>50</v>
      </c>
      <c r="F523" s="16">
        <f>VLOOKUP(C523,[1]master_data!$A$2:$E$495,3,FALSE)</f>
        <v>1250</v>
      </c>
      <c r="G523" s="16">
        <f>VLOOKUP(C523,[1]master_data!$A$2:$E$495,4,FALSE)</f>
        <v>5000</v>
      </c>
      <c r="H523" s="16">
        <f>E523*F523</f>
        <v>62500</v>
      </c>
      <c r="I523" s="16">
        <f>E523*G523</f>
        <v>250000</v>
      </c>
      <c r="J523" s="16">
        <f>I523-H523</f>
        <v>187500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44473</v>
      </c>
      <c r="B524" s="16" t="s">
        <v>1680</v>
      </c>
      <c r="C524" s="16" t="s">
        <v>325</v>
      </c>
      <c r="D524" s="16" t="str">
        <f>VLOOKUP(C524,[1]master_data!$A$2:$E$495,2,FALSE)</f>
        <v>HIU TAWAR</v>
      </c>
      <c r="E524" s="16">
        <v>15</v>
      </c>
      <c r="F524" s="16">
        <f>VLOOKUP(C524,[1]master_data!$A$2:$E$495,3,FALSE)</f>
        <v>600</v>
      </c>
      <c r="G524" s="16">
        <f>VLOOKUP(C524,[1]master_data!$A$2:$E$495,4,FALSE)</f>
        <v>2000</v>
      </c>
      <c r="H524" s="16">
        <f>E524*F524</f>
        <v>9000</v>
      </c>
      <c r="I524" s="16">
        <f>E524*G524</f>
        <v>30000</v>
      </c>
      <c r="J524" s="16">
        <f>I524-H524</f>
        <v>21000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44473</v>
      </c>
      <c r="B525" s="16" t="s">
        <v>1681</v>
      </c>
      <c r="C525" s="16" t="s">
        <v>374</v>
      </c>
      <c r="D525" s="16" t="str">
        <f>VLOOKUP(C525,[1]master_data!$A$2:$E$495,2,FALSE)</f>
        <v>SEPAT ALBINO</v>
      </c>
      <c r="E525" s="16">
        <v>30</v>
      </c>
      <c r="F525" s="16">
        <f>VLOOKUP(C525,[1]master_data!$A$2:$E$495,3,FALSE)</f>
        <v>2000</v>
      </c>
      <c r="G525" s="16">
        <f>VLOOKUP(C525,[1]master_data!$A$2:$E$495,4,FALSE)</f>
        <v>5000</v>
      </c>
      <c r="H525" s="16">
        <f>E525*F525</f>
        <v>60000</v>
      </c>
      <c r="I525" s="16">
        <f>E525*G525</f>
        <v>150000</v>
      </c>
      <c r="J525" s="16">
        <f>I525-H525</f>
        <v>90000</v>
      </c>
      <c r="K525" s="16" t="str">
        <f>VLOOKUP(C525,[1]master_data!$A$2:$E$495,5,FALSE)</f>
        <v>Ikan</v>
      </c>
      <c r="L525" s="1"/>
    </row>
    <row r="526" spans="1:12" ht="12" customHeight="1" x14ac:dyDescent="0.25">
      <c r="A526" s="15">
        <v>44473</v>
      </c>
      <c r="B526" s="16" t="s">
        <v>1682</v>
      </c>
      <c r="C526" s="16" t="s">
        <v>374</v>
      </c>
      <c r="D526" s="16" t="str">
        <f>VLOOKUP(C526,[1]master_data!$A$2:$E$495,2,FALSE)</f>
        <v>SEPAT ALBINO</v>
      </c>
      <c r="E526" s="16">
        <v>15</v>
      </c>
      <c r="F526" s="16">
        <f>VLOOKUP(C526,[1]master_data!$A$2:$E$495,3,FALSE)</f>
        <v>2000</v>
      </c>
      <c r="G526" s="16">
        <f>VLOOKUP(C526,[1]master_data!$A$2:$E$495,4,FALSE)</f>
        <v>5000</v>
      </c>
      <c r="H526" s="16">
        <f>E526*F526</f>
        <v>30000</v>
      </c>
      <c r="I526" s="16">
        <f>E526*G526</f>
        <v>75000</v>
      </c>
      <c r="J526" s="16">
        <f>I526-H526</f>
        <v>45000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44473</v>
      </c>
      <c r="B527" s="16" t="s">
        <v>1683</v>
      </c>
      <c r="C527" s="16" t="s">
        <v>83</v>
      </c>
      <c r="D527" s="16" t="str">
        <f>VLOOKUP(C527,[1]master_data!$A$2:$E$495,2,FALSE)</f>
        <v>MESIN AMARA 105</v>
      </c>
      <c r="E527" s="16">
        <v>1</v>
      </c>
      <c r="F527" s="16">
        <f>VLOOKUP(C527,[1]master_data!$A$2:$E$495,3,FALSE)</f>
        <v>155000</v>
      </c>
      <c r="G527" s="16">
        <f>VLOOKUP(C527,[1]master_data!$A$2:$E$495,4,FALSE)</f>
        <v>200000</v>
      </c>
      <c r="H527" s="16">
        <f>E527*F527</f>
        <v>155000</v>
      </c>
      <c r="I527" s="16">
        <f>E527*G527</f>
        <v>200000</v>
      </c>
      <c r="J527" s="16">
        <f>I527-H527</f>
        <v>45000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44473</v>
      </c>
      <c r="B528" s="16" t="s">
        <v>1684</v>
      </c>
      <c r="C528" s="16" t="s">
        <v>346</v>
      </c>
      <c r="D528" s="16" t="str">
        <f>VLOOKUP(C528,[1]master_data!$A$2:$E$495,2,FALSE)</f>
        <v>MOLI PAKAN</v>
      </c>
      <c r="E528" s="16">
        <v>20</v>
      </c>
      <c r="F528" s="16">
        <f>VLOOKUP(C528,[1]master_data!$A$2:$E$495,3,FALSE)</f>
        <v>100</v>
      </c>
      <c r="G528" s="16">
        <f>VLOOKUP(C528,[1]master_data!$A$2:$E$495,4,FALSE)</f>
        <v>200</v>
      </c>
      <c r="H528" s="16">
        <f>E528*F528</f>
        <v>2000</v>
      </c>
      <c r="I528" s="16">
        <f>E528*G528</f>
        <v>4000</v>
      </c>
      <c r="J528" s="16">
        <f>I528-H528</f>
        <v>2000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44473</v>
      </c>
      <c r="B529" s="16" t="s">
        <v>1685</v>
      </c>
      <c r="C529" s="16" t="s">
        <v>330</v>
      </c>
      <c r="D529" s="16" t="str">
        <f>VLOOKUP(C529,[1]master_data!$A$2:$E$495,2,FALSE)</f>
        <v>KOI T</v>
      </c>
      <c r="E529" s="16">
        <v>10</v>
      </c>
      <c r="F529" s="16">
        <f>VLOOKUP(C529,[1]master_data!$A$2:$E$495,3,FALSE)</f>
        <v>7000</v>
      </c>
      <c r="G529" s="16">
        <f>VLOOKUP(C529,[1]master_data!$A$2:$E$495,4,FALSE)</f>
        <v>20000</v>
      </c>
      <c r="H529" s="16">
        <f>E529*F529</f>
        <v>70000</v>
      </c>
      <c r="I529" s="16">
        <f>E529*G529</f>
        <v>200000</v>
      </c>
      <c r="J529" s="16">
        <f>I529-H529</f>
        <v>130000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44472</v>
      </c>
      <c r="B530" s="16" t="s">
        <v>1672</v>
      </c>
      <c r="C530" s="16" t="s">
        <v>303</v>
      </c>
      <c r="D530" s="16" t="str">
        <f>VLOOKUP(C530,[1]master_data!$A$2:$E$495,2,FALSE)</f>
        <v>CHANNA ASIATICA K</v>
      </c>
      <c r="E530" s="16">
        <v>1</v>
      </c>
      <c r="F530" s="16">
        <f>VLOOKUP(C530,[1]master_data!$A$2:$E$495,3,FALSE)</f>
        <v>10000</v>
      </c>
      <c r="G530" s="16">
        <f>VLOOKUP(C530,[1]master_data!$A$2:$E$495,4,FALSE)</f>
        <v>40000</v>
      </c>
      <c r="H530" s="16">
        <f>E530*F530</f>
        <v>10000</v>
      </c>
      <c r="I530" s="16">
        <f>E530*G530</f>
        <v>40000</v>
      </c>
      <c r="J530" s="16">
        <f>I530-H530</f>
        <v>30000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44472</v>
      </c>
      <c r="B531" s="16" t="s">
        <v>1673</v>
      </c>
      <c r="C531" s="16" t="s">
        <v>310</v>
      </c>
      <c r="D531" s="16" t="str">
        <f>VLOOKUP(C531,[1]master_data!$A$2:$E$495,2,FALSE)</f>
        <v>ALIGATOR</v>
      </c>
      <c r="E531" s="16">
        <v>2</v>
      </c>
      <c r="F531" s="16">
        <f>VLOOKUP(C531,[1]master_data!$A$2:$E$495,3,FALSE)</f>
        <v>17000</v>
      </c>
      <c r="G531" s="16">
        <f>VLOOKUP(C531,[1]master_data!$A$2:$E$495,4,FALSE)</f>
        <v>35000</v>
      </c>
      <c r="H531" s="16">
        <f>E531*F531</f>
        <v>34000</v>
      </c>
      <c r="I531" s="16">
        <f>E531*G531</f>
        <v>70000</v>
      </c>
      <c r="J531" s="16">
        <f>I531-H531</f>
        <v>36000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44472</v>
      </c>
      <c r="B532" s="16" t="s">
        <v>1674</v>
      </c>
      <c r="C532" s="16" t="s">
        <v>320</v>
      </c>
      <c r="D532" s="16" t="str">
        <f>VLOOKUP(C532,[1]master_data!$A$2:$E$495,2,FALSE)</f>
        <v>CUPANG</v>
      </c>
      <c r="E532" s="16">
        <v>20</v>
      </c>
      <c r="F532" s="16">
        <f>VLOOKUP(C532,[1]master_data!$A$2:$E$495,3,FALSE)</f>
        <v>2000</v>
      </c>
      <c r="G532" s="16">
        <f>VLOOKUP(C532,[1]master_data!$A$2:$E$495,4,FALSE)</f>
        <v>5000</v>
      </c>
      <c r="H532" s="16">
        <f>E532*F532</f>
        <v>40000</v>
      </c>
      <c r="I532" s="16">
        <f>E532*G532</f>
        <v>100000</v>
      </c>
      <c r="J532" s="16">
        <f>I532-H532</f>
        <v>60000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44472</v>
      </c>
      <c r="B533" s="16" t="s">
        <v>1675</v>
      </c>
      <c r="C533" s="16" t="s">
        <v>370</v>
      </c>
      <c r="D533" s="16" t="str">
        <f>VLOOKUP(C533,[1]master_data!$A$2:$E$495,2,FALSE)</f>
        <v>ZEBRA HIJAU</v>
      </c>
      <c r="E533" s="16">
        <v>25</v>
      </c>
      <c r="F533" s="16">
        <f>VLOOKUP(C533,[1]master_data!$A$2:$E$495,3,FALSE)</f>
        <v>800</v>
      </c>
      <c r="G533" s="16">
        <f>VLOOKUP(C533,[1]master_data!$A$2:$E$495,4,FALSE)</f>
        <v>2000</v>
      </c>
      <c r="H533" s="16">
        <f>E533*F533</f>
        <v>20000</v>
      </c>
      <c r="I533" s="16">
        <f>E533*G533</f>
        <v>50000</v>
      </c>
      <c r="J533" s="16">
        <f>I533-H533</f>
        <v>30000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44472</v>
      </c>
      <c r="B534" s="16" t="s">
        <v>1676</v>
      </c>
      <c r="C534" s="16" t="s">
        <v>328</v>
      </c>
      <c r="D534" s="16" t="str">
        <f>VLOOKUP(C534,[1]master_data!$A$2:$E$495,2,FALSE)</f>
        <v>KOKI B</v>
      </c>
      <c r="E534" s="16">
        <v>5</v>
      </c>
      <c r="F534" s="16">
        <f>VLOOKUP(C534,[1]master_data!$A$2:$E$495,3,FALSE)</f>
        <v>20000</v>
      </c>
      <c r="G534" s="16">
        <f>VLOOKUP(C534,[1]master_data!$A$2:$E$495,4,FALSE)</f>
        <v>50000</v>
      </c>
      <c r="H534" s="16">
        <f>E534*F534</f>
        <v>100000</v>
      </c>
      <c r="I534" s="16">
        <f>E534*G534</f>
        <v>250000</v>
      </c>
      <c r="J534" s="16">
        <f>I534-H534</f>
        <v>150000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44472</v>
      </c>
      <c r="B535" s="16" t="s">
        <v>1677</v>
      </c>
      <c r="C535" s="16" t="s">
        <v>365</v>
      </c>
      <c r="D535" s="16" t="str">
        <f>VLOOKUP(C535,[1]master_data!$A$2:$E$495,2,FALSE)</f>
        <v>SYNODONTIS K</v>
      </c>
      <c r="E535" s="16">
        <v>16</v>
      </c>
      <c r="F535" s="16">
        <f>VLOOKUP(C535,[1]master_data!$A$2:$E$495,3,FALSE)</f>
        <v>1500</v>
      </c>
      <c r="G535" s="16">
        <f>VLOOKUP(C535,[1]master_data!$A$2:$E$495,4,FALSE)</f>
        <v>5000</v>
      </c>
      <c r="H535" s="16">
        <f>E535*F535</f>
        <v>24000</v>
      </c>
      <c r="I535" s="16">
        <f>E535*G535</f>
        <v>80000</v>
      </c>
      <c r="J535" s="16">
        <f>I535-H535</f>
        <v>56000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44472</v>
      </c>
      <c r="B536" s="16" t="s">
        <v>1678</v>
      </c>
      <c r="C536" s="16" t="s">
        <v>346</v>
      </c>
      <c r="D536" s="16" t="str">
        <f>VLOOKUP(C536,[1]master_data!$A$2:$E$495,2,FALSE)</f>
        <v>MOLI PAKAN</v>
      </c>
      <c r="E536" s="16">
        <v>16</v>
      </c>
      <c r="F536" s="16">
        <f>VLOOKUP(C536,[1]master_data!$A$2:$E$495,3,FALSE)</f>
        <v>100</v>
      </c>
      <c r="G536" s="16">
        <f>VLOOKUP(C536,[1]master_data!$A$2:$E$495,4,FALSE)</f>
        <v>200</v>
      </c>
      <c r="H536" s="16">
        <f>E536*F536</f>
        <v>1600</v>
      </c>
      <c r="I536" s="16">
        <f>E536*G536</f>
        <v>3200</v>
      </c>
      <c r="J536" s="16">
        <f>I536-H536</f>
        <v>1600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44472</v>
      </c>
      <c r="B537" s="16" t="s">
        <v>1679</v>
      </c>
      <c r="C537" s="16" t="s">
        <v>321</v>
      </c>
      <c r="D537" s="16" t="str">
        <f>VLOOKUP(C537,[1]master_data!$A$2:$E$495,2,FALSE)</f>
        <v>CATFISH</v>
      </c>
      <c r="E537" s="16">
        <v>1</v>
      </c>
      <c r="F537" s="16">
        <f>VLOOKUP(C537,[1]master_data!$A$2:$E$495,3,FALSE)</f>
        <v>20000</v>
      </c>
      <c r="G537" s="16">
        <f>VLOOKUP(C537,[1]master_data!$A$2:$E$495,4,FALSE)</f>
        <v>50000</v>
      </c>
      <c r="H537" s="16">
        <f>E537*F537</f>
        <v>20000</v>
      </c>
      <c r="I537" s="16">
        <f>E537*G537</f>
        <v>50000</v>
      </c>
      <c r="J537" s="16">
        <f>I537-H537</f>
        <v>30000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44471</v>
      </c>
      <c r="B538" s="16" t="s">
        <v>1666</v>
      </c>
      <c r="C538" s="16" t="s">
        <v>193</v>
      </c>
      <c r="D538" s="16" t="str">
        <f>VLOOKUP(C538,[1]master_data!$A$2:$E$495,2,FALSE)</f>
        <v>TAKARI SINKING</v>
      </c>
      <c r="E538" s="16">
        <v>25</v>
      </c>
      <c r="F538" s="16">
        <f>VLOOKUP(C538,[1]master_data!$A$2:$E$495,3,FALSE)</f>
        <v>7100</v>
      </c>
      <c r="G538" s="16">
        <f>VLOOKUP(C538,[1]master_data!$A$2:$E$495,4,FALSE)</f>
        <v>10000</v>
      </c>
      <c r="H538" s="16">
        <f>E538*F538</f>
        <v>177500</v>
      </c>
      <c r="I538" s="16">
        <f>E538*G538</f>
        <v>250000</v>
      </c>
      <c r="J538" s="16">
        <f>I538-H538</f>
        <v>72500</v>
      </c>
      <c r="K538" s="16" t="str">
        <f>VLOOKUP(C538,[1]master_data!$A$2:$E$495,5,FALSE)</f>
        <v>Aksesoris</v>
      </c>
      <c r="L538" s="1"/>
    </row>
    <row r="539" spans="1:12" ht="12" customHeight="1" x14ac:dyDescent="0.25">
      <c r="A539" s="15">
        <v>44471</v>
      </c>
      <c r="B539" s="16" t="s">
        <v>1667</v>
      </c>
      <c r="C539" s="16" t="s">
        <v>35</v>
      </c>
      <c r="D539" s="16" t="str">
        <f>VLOOKUP(C539,[1]master_data!$A$2:$E$495,2,FALSE)</f>
        <v>MESIN YAMANO 104</v>
      </c>
      <c r="E539" s="16">
        <v>2</v>
      </c>
      <c r="F539" s="16">
        <f>VLOOKUP(C539,[1]master_data!$A$2:$E$495,3,FALSE)</f>
        <v>98000</v>
      </c>
      <c r="G539" s="16">
        <f>VLOOKUP(C539,[1]master_data!$A$2:$E$495,4,FALSE)</f>
        <v>135000</v>
      </c>
      <c r="H539" s="16">
        <f>E539*F539</f>
        <v>196000</v>
      </c>
      <c r="I539" s="16">
        <f>E539*G539</f>
        <v>270000</v>
      </c>
      <c r="J539" s="16">
        <f>I539-H539</f>
        <v>74000</v>
      </c>
      <c r="K539" s="16" t="str">
        <f>VLOOKUP(C539,[1]master_data!$A$2:$E$495,5,FALSE)</f>
        <v>Aksesoris</v>
      </c>
      <c r="L539" s="1"/>
    </row>
    <row r="540" spans="1:12" ht="12" customHeight="1" x14ac:dyDescent="0.25">
      <c r="A540" s="15">
        <v>44471</v>
      </c>
      <c r="B540" s="16" t="s">
        <v>1668</v>
      </c>
      <c r="C540" s="16" t="s">
        <v>10</v>
      </c>
      <c r="D540" s="16" t="str">
        <f>VLOOKUP(C540,[1]master_data!$A$2:$E$495,2,FALSE)</f>
        <v>MESIN YANG 2600</v>
      </c>
      <c r="E540" s="16">
        <v>1</v>
      </c>
      <c r="F540" s="16">
        <f>VLOOKUP(C540,[1]master_data!$A$2:$E$495,3,FALSE)</f>
        <v>82000</v>
      </c>
      <c r="G540" s="16">
        <f>VLOOKUP(C540,[1]master_data!$A$2:$E$495,4,FALSE)</f>
        <v>115000</v>
      </c>
      <c r="H540" s="16">
        <f>E540*F540</f>
        <v>82000</v>
      </c>
      <c r="I540" s="16">
        <f>E540*G540</f>
        <v>115000</v>
      </c>
      <c r="J540" s="16">
        <f>I540-H540</f>
        <v>33000</v>
      </c>
      <c r="K540" s="16" t="str">
        <f>VLOOKUP(C540,[1]master_data!$A$2:$E$495,5,FALSE)</f>
        <v>Aksesoris</v>
      </c>
      <c r="L540" s="1"/>
    </row>
    <row r="541" spans="1:12" ht="12" customHeight="1" x14ac:dyDescent="0.25">
      <c r="A541" s="15">
        <v>44471</v>
      </c>
      <c r="B541" s="16" t="s">
        <v>1669</v>
      </c>
      <c r="C541" s="16" t="s">
        <v>59</v>
      </c>
      <c r="D541" s="16" t="str">
        <f>VLOOKUP(C541,[1]master_data!$A$2:$E$495,2,FALSE)</f>
        <v>MESIN SUSUN 4800</v>
      </c>
      <c r="E541" s="16">
        <v>1</v>
      </c>
      <c r="F541" s="16">
        <f>VLOOKUP(C541,[1]master_data!$A$2:$E$495,3,FALSE)</f>
        <v>542000</v>
      </c>
      <c r="G541" s="16">
        <f>VLOOKUP(C541,[1]master_data!$A$2:$E$495,4,FALSE)</f>
        <v>630000</v>
      </c>
      <c r="H541" s="16">
        <f>E541*F541</f>
        <v>542000</v>
      </c>
      <c r="I541" s="16">
        <f>E541*G541</f>
        <v>630000</v>
      </c>
      <c r="J541" s="16">
        <f>I541-H541</f>
        <v>88000</v>
      </c>
      <c r="K541" s="16" t="str">
        <f>VLOOKUP(C541,[1]master_data!$A$2:$E$495,5,FALSE)</f>
        <v>Aksesoris</v>
      </c>
      <c r="L541" s="1"/>
    </row>
    <row r="542" spans="1:12" ht="12" customHeight="1" x14ac:dyDescent="0.25">
      <c r="A542" s="15">
        <v>44471</v>
      </c>
      <c r="B542" s="16" t="s">
        <v>1670</v>
      </c>
      <c r="C542" s="16" t="s">
        <v>316</v>
      </c>
      <c r="D542" s="16" t="str">
        <f>VLOOKUP(C542,[1]master_data!$A$2:$E$495,2,FALSE)</f>
        <v>CHANNA BLUE PULCHRA K</v>
      </c>
      <c r="E542" s="16">
        <v>1</v>
      </c>
      <c r="F542" s="16">
        <f>VLOOKUP(C542,[1]master_data!$A$2:$E$495,3,FALSE)</f>
        <v>25000</v>
      </c>
      <c r="G542" s="16">
        <f>VLOOKUP(C542,[1]master_data!$A$2:$E$495,4,FALSE)</f>
        <v>50000</v>
      </c>
      <c r="H542" s="16">
        <f>E542*F542</f>
        <v>25000</v>
      </c>
      <c r="I542" s="16">
        <f>E542*G542</f>
        <v>50000</v>
      </c>
      <c r="J542" s="16">
        <f>I542-H542</f>
        <v>25000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44471</v>
      </c>
      <c r="B543" s="16" t="s">
        <v>1671</v>
      </c>
      <c r="C543" s="16" t="s">
        <v>42</v>
      </c>
      <c r="D543" s="16" t="str">
        <f>VLOOKUP(C543,[1]master_data!$A$2:$E$495,2,FALSE)</f>
        <v>MESIN YAMANO MP 44</v>
      </c>
      <c r="E543" s="16">
        <v>1</v>
      </c>
      <c r="F543" s="16">
        <f>VLOOKUP(C543,[1]master_data!$A$2:$E$495,3,FALSE)</f>
        <v>40000</v>
      </c>
      <c r="G543" s="16">
        <f>VLOOKUP(C543,[1]master_data!$A$2:$E$495,4,FALSE)</f>
        <v>60000</v>
      </c>
      <c r="H543" s="16">
        <f>E543*F543</f>
        <v>40000</v>
      </c>
      <c r="I543" s="16">
        <f>E543*G543</f>
        <v>60000</v>
      </c>
      <c r="J543" s="16">
        <f>I543-H543</f>
        <v>20000</v>
      </c>
      <c r="K543" s="16" t="str">
        <f>VLOOKUP(C543,[1]master_data!$A$2:$E$495,5,FALSE)</f>
        <v>Aksesoris</v>
      </c>
      <c r="L543" s="1"/>
    </row>
    <row r="544" spans="1:12" ht="12" customHeight="1" x14ac:dyDescent="0.25">
      <c r="A544" s="15">
        <v>44470</v>
      </c>
      <c r="B544" s="16" t="s">
        <v>1659</v>
      </c>
      <c r="C544" s="16" t="s">
        <v>72</v>
      </c>
      <c r="D544" s="16" t="str">
        <f>VLOOKUP(C544,[1]master_data!$A$2:$E$495,2,FALSE)</f>
        <v>MESIN KIYOSAKI 1200</v>
      </c>
      <c r="E544" s="16">
        <v>5</v>
      </c>
      <c r="F544" s="16">
        <f>VLOOKUP(C544,[1]master_data!$A$2:$E$495,3,FALSE)</f>
        <v>21500</v>
      </c>
      <c r="G544" s="16">
        <f>VLOOKUP(C544,[1]master_data!$A$2:$E$495,4,FALSE)</f>
        <v>35000</v>
      </c>
      <c r="H544" s="16">
        <f>E544*F544</f>
        <v>107500</v>
      </c>
      <c r="I544" s="16">
        <f>E544*G544</f>
        <v>175000</v>
      </c>
      <c r="J544" s="16">
        <f>I544-H544</f>
        <v>67500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44470</v>
      </c>
      <c r="B545" s="16" t="s">
        <v>1660</v>
      </c>
      <c r="C545" s="16" t="s">
        <v>209</v>
      </c>
      <c r="D545" s="16" t="str">
        <f>VLOOKUP(C545,[1]master_data!$A$2:$E$495,2,FALSE)</f>
        <v>BIORING</v>
      </c>
      <c r="E545" s="16">
        <v>10</v>
      </c>
      <c r="F545" s="16">
        <f>VLOOKUP(C545,[1]master_data!$A$2:$E$495,3,FALSE)</f>
        <v>8000</v>
      </c>
      <c r="G545" s="16">
        <f>VLOOKUP(C545,[1]master_data!$A$2:$E$495,4,FALSE)</f>
        <v>15000</v>
      </c>
      <c r="H545" s="16">
        <f>E545*F545</f>
        <v>80000</v>
      </c>
      <c r="I545" s="16">
        <f>E545*G545</f>
        <v>150000</v>
      </c>
      <c r="J545" s="16">
        <f>I545-H545</f>
        <v>70000</v>
      </c>
      <c r="K545" s="16" t="str">
        <f>VLOOKUP(C545,[1]master_data!$A$2:$E$495,5,FALSE)</f>
        <v>Aksesoris</v>
      </c>
      <c r="L545" s="1"/>
    </row>
    <row r="546" spans="1:12" ht="12" customHeight="1" x14ac:dyDescent="0.25">
      <c r="A546" s="15">
        <v>44470</v>
      </c>
      <c r="B546" s="16" t="s">
        <v>1661</v>
      </c>
      <c r="C546" s="16" t="s">
        <v>202</v>
      </c>
      <c r="D546" s="16" t="str">
        <f>VLOOKUP(C546,[1]master_data!$A$2:$E$495,2,FALSE)</f>
        <v>GOSOKAN BIASA</v>
      </c>
      <c r="E546" s="16">
        <v>1</v>
      </c>
      <c r="F546" s="16">
        <f>VLOOKUP(C546,[1]master_data!$A$2:$E$495,3,FALSE)</f>
        <v>10000</v>
      </c>
      <c r="G546" s="16">
        <f>VLOOKUP(C546,[1]master_data!$A$2:$E$495,4,FALSE)</f>
        <v>20000</v>
      </c>
      <c r="H546" s="16">
        <f>E546*F546</f>
        <v>10000</v>
      </c>
      <c r="I546" s="16">
        <f>E546*G546</f>
        <v>20000</v>
      </c>
      <c r="J546" s="16">
        <f>I546-H546</f>
        <v>10000</v>
      </c>
      <c r="K546" s="16" t="str">
        <f>VLOOKUP(C546,[1]master_data!$A$2:$E$495,5,FALSE)</f>
        <v>Aksesoris</v>
      </c>
      <c r="L546" s="1"/>
    </row>
    <row r="547" spans="1:12" ht="12" customHeight="1" x14ac:dyDescent="0.25">
      <c r="A547" s="15">
        <v>44470</v>
      </c>
      <c r="B547" s="16" t="s">
        <v>1662</v>
      </c>
      <c r="C547" s="16" t="s">
        <v>318</v>
      </c>
      <c r="D547" s="16" t="str">
        <f>VLOOKUP(C547,[1]master_data!$A$2:$E$495,2,FALSE)</f>
        <v>KOMET BOKIM</v>
      </c>
      <c r="E547" s="16">
        <v>35</v>
      </c>
      <c r="F547" s="16">
        <f>VLOOKUP(C547,[1]master_data!$A$2:$E$495,3,FALSE)</f>
        <v>1500</v>
      </c>
      <c r="G547" s="16">
        <f>VLOOKUP(C547,[1]master_data!$A$2:$E$495,4,FALSE)</f>
        <v>5000</v>
      </c>
      <c r="H547" s="16">
        <f>E547*F547</f>
        <v>52500</v>
      </c>
      <c r="I547" s="16">
        <f>E547*G547</f>
        <v>175000</v>
      </c>
      <c r="J547" s="16">
        <f>I547-H547</f>
        <v>122500</v>
      </c>
      <c r="K547" s="16" t="str">
        <f>VLOOKUP(C547,[1]master_data!$A$2:$E$495,5,FALSE)</f>
        <v>Ikan</v>
      </c>
      <c r="L547" s="1"/>
    </row>
    <row r="548" spans="1:12" ht="12" customHeight="1" x14ac:dyDescent="0.25">
      <c r="A548" s="15">
        <v>44470</v>
      </c>
      <c r="B548" s="16" t="s">
        <v>1663</v>
      </c>
      <c r="C548" s="16" t="s">
        <v>361</v>
      </c>
      <c r="D548" s="16" t="str">
        <f>VLOOKUP(C548,[1]master_data!$A$2:$E$495,2,FALSE)</f>
        <v>CHANNA RED BARITO B</v>
      </c>
      <c r="E548" s="16">
        <v>1</v>
      </c>
      <c r="F548" s="16">
        <f>VLOOKUP(C548,[1]master_data!$A$2:$E$495,3,FALSE)</f>
        <v>120000</v>
      </c>
      <c r="G548" s="16">
        <f>VLOOKUP(C548,[1]master_data!$A$2:$E$495,4,FALSE)</f>
        <v>200000</v>
      </c>
      <c r="H548" s="16">
        <f>E548*F548</f>
        <v>120000</v>
      </c>
      <c r="I548" s="16">
        <f>E548*G548</f>
        <v>200000</v>
      </c>
      <c r="J548" s="16">
        <f>I548-H548</f>
        <v>80000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44470</v>
      </c>
      <c r="B549" s="16" t="s">
        <v>1664</v>
      </c>
      <c r="C549" s="16" t="s">
        <v>372</v>
      </c>
      <c r="D549" s="16" t="str">
        <f>VLOOKUP(C549,[1]master_data!$A$2:$E$495,2,FALSE)</f>
        <v>ZEBRA KUNING</v>
      </c>
      <c r="E549" s="16">
        <v>25</v>
      </c>
      <c r="F549" s="16">
        <f>VLOOKUP(C549,[1]master_data!$A$2:$E$495,3,FALSE)</f>
        <v>800</v>
      </c>
      <c r="G549" s="16">
        <f>VLOOKUP(C549,[1]master_data!$A$2:$E$495,4,FALSE)</f>
        <v>2000</v>
      </c>
      <c r="H549" s="16">
        <f>E549*F549</f>
        <v>20000</v>
      </c>
      <c r="I549" s="16">
        <f>E549*G549</f>
        <v>50000</v>
      </c>
      <c r="J549" s="16">
        <f>I549-H549</f>
        <v>30000</v>
      </c>
      <c r="K549" s="16" t="str">
        <f>VLOOKUP(C549,[1]master_data!$A$2:$E$495,5,FALSE)</f>
        <v>Ikan</v>
      </c>
      <c r="L549" s="1"/>
    </row>
    <row r="550" spans="1:12" ht="12" customHeight="1" x14ac:dyDescent="0.25">
      <c r="A550" s="15">
        <v>44470</v>
      </c>
      <c r="B550" s="16" t="s">
        <v>1665</v>
      </c>
      <c r="C550" s="16" t="s">
        <v>66</v>
      </c>
      <c r="D550" s="16" t="str">
        <f>VLOOKUP(C550,[1]master_data!$A$2:$E$495,2,FALSE)</f>
        <v>MESIN LUKINES K</v>
      </c>
      <c r="E550" s="16">
        <v>1</v>
      </c>
      <c r="F550" s="16">
        <f>VLOOKUP(C550,[1]master_data!$A$2:$E$495,3,FALSE)</f>
        <v>35000</v>
      </c>
      <c r="G550" s="16">
        <f>VLOOKUP(C550,[1]master_data!$A$2:$E$495,4,FALSE)</f>
        <v>55000</v>
      </c>
      <c r="H550" s="16">
        <f>E550*F550</f>
        <v>35000</v>
      </c>
      <c r="I550" s="16">
        <f>E550*G550</f>
        <v>55000</v>
      </c>
      <c r="J550" s="16">
        <f>I550-H550</f>
        <v>20000</v>
      </c>
      <c r="K550" s="16" t="str">
        <f>VLOOKUP(C550,[1]master_data!$A$2:$E$495,5,FALSE)</f>
        <v>Aksesoris</v>
      </c>
      <c r="L550" s="1"/>
    </row>
    <row r="551" spans="1:12" ht="12" customHeight="1" x14ac:dyDescent="0.25">
      <c r="A551" s="15">
        <v>44469</v>
      </c>
      <c r="B551" s="16" t="s">
        <v>1655</v>
      </c>
      <c r="C551" s="16" t="s">
        <v>317</v>
      </c>
      <c r="D551" s="16" t="str">
        <f>VLOOKUP(C551,[1]master_data!$A$2:$E$495,2,FALSE)</f>
        <v>CHANNA BLUE PULCHRA B</v>
      </c>
      <c r="E551" s="16">
        <v>2</v>
      </c>
      <c r="F551" s="16">
        <f>VLOOKUP(C551,[1]master_data!$A$2:$E$495,3,FALSE)</f>
        <v>125000</v>
      </c>
      <c r="G551" s="16">
        <f>VLOOKUP(C551,[1]master_data!$A$2:$E$495,4,FALSE)</f>
        <v>200000</v>
      </c>
      <c r="H551" s="16">
        <f>E551*F551</f>
        <v>250000</v>
      </c>
      <c r="I551" s="16">
        <f>E551*G551</f>
        <v>400000</v>
      </c>
      <c r="J551" s="16">
        <f>I551-H551</f>
        <v>150000</v>
      </c>
      <c r="K551" s="16" t="str">
        <f>VLOOKUP(C551,[1]master_data!$A$2:$E$495,5,FALSE)</f>
        <v>Ikan</v>
      </c>
      <c r="L551" s="1"/>
    </row>
    <row r="552" spans="1:12" ht="12" customHeight="1" x14ac:dyDescent="0.25">
      <c r="A552" s="15">
        <v>44469</v>
      </c>
      <c r="B552" s="16" t="s">
        <v>1656</v>
      </c>
      <c r="C552" s="16" t="s">
        <v>353</v>
      </c>
      <c r="D552" s="16" t="str">
        <f>VLOOKUP(C552,[1]master_data!$A$2:$E$495,2,FALSE)</f>
        <v>PEMBERSIH KACA BIASA</v>
      </c>
      <c r="E552" s="16">
        <v>25</v>
      </c>
      <c r="F552" s="16">
        <f>VLOOKUP(C552,[1]master_data!$A$2:$E$495,3,FALSE)</f>
        <v>2000</v>
      </c>
      <c r="G552" s="16">
        <f>VLOOKUP(C552,[1]master_data!$A$2:$E$495,4,FALSE)</f>
        <v>5000</v>
      </c>
      <c r="H552" s="16">
        <f>E552*F552</f>
        <v>50000</v>
      </c>
      <c r="I552" s="16">
        <f>E552*G552</f>
        <v>125000</v>
      </c>
      <c r="J552" s="16">
        <f>I552-H552</f>
        <v>75000</v>
      </c>
      <c r="K552" s="16" t="str">
        <f>VLOOKUP(C552,[1]master_data!$A$2:$E$495,5,FALSE)</f>
        <v>Ikan</v>
      </c>
      <c r="L552" s="1"/>
    </row>
    <row r="553" spans="1:12" ht="12" customHeight="1" x14ac:dyDescent="0.25">
      <c r="A553" s="15">
        <v>44469</v>
      </c>
      <c r="B553" s="16" t="s">
        <v>1657</v>
      </c>
      <c r="C553" s="16" t="s">
        <v>137</v>
      </c>
      <c r="D553" s="16" t="str">
        <f>VLOOKUP(C553,[1]master_data!$A$2:$E$495,2,FALSE)</f>
        <v>LED KANDILA VIBRANT 60 CM</v>
      </c>
      <c r="E553" s="16">
        <v>1</v>
      </c>
      <c r="F553" s="16">
        <f>VLOOKUP(C553,[1]master_data!$A$2:$E$495,3,FALSE)</f>
        <v>109000</v>
      </c>
      <c r="G553" s="16">
        <f>VLOOKUP(C553,[1]master_data!$A$2:$E$495,4,FALSE)</f>
        <v>150000</v>
      </c>
      <c r="H553" s="16">
        <f>E553*F553</f>
        <v>109000</v>
      </c>
      <c r="I553" s="16">
        <f>E553*G553</f>
        <v>150000</v>
      </c>
      <c r="J553" s="16">
        <f>I553-H553</f>
        <v>41000</v>
      </c>
      <c r="K553" s="16" t="str">
        <f>VLOOKUP(C553,[1]master_data!$A$2:$E$495,5,FALSE)</f>
        <v>Aksesoris</v>
      </c>
      <c r="L553" s="1"/>
    </row>
    <row r="554" spans="1:12" ht="12" customHeight="1" x14ac:dyDescent="0.25">
      <c r="A554" s="15">
        <v>44469</v>
      </c>
      <c r="B554" s="16" t="s">
        <v>1658</v>
      </c>
      <c r="C554" s="16" t="s">
        <v>375</v>
      </c>
      <c r="D554" s="16" t="str">
        <f>VLOOKUP(C554,[1]master_data!$A$2:$E$495,2,FALSE)</f>
        <v>CHANNA STEWARTI</v>
      </c>
      <c r="E554" s="16">
        <v>1</v>
      </c>
      <c r="F554" s="16">
        <f>VLOOKUP(C554,[1]master_data!$A$2:$E$495,3,FALSE)</f>
        <v>15000</v>
      </c>
      <c r="G554" s="16">
        <f>VLOOKUP(C554,[1]master_data!$A$2:$E$495,4,FALSE)</f>
        <v>40000</v>
      </c>
      <c r="H554" s="16">
        <f>E554*F554</f>
        <v>15000</v>
      </c>
      <c r="I554" s="16">
        <f>E554*G554</f>
        <v>40000</v>
      </c>
      <c r="J554" s="16">
        <f>I554-H554</f>
        <v>25000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44468</v>
      </c>
      <c r="B555" s="16" t="s">
        <v>1651</v>
      </c>
      <c r="C555" s="16" t="s">
        <v>328</v>
      </c>
      <c r="D555" s="16" t="str">
        <f>VLOOKUP(C555,[1]master_data!$A$2:$E$495,2,FALSE)</f>
        <v>KOKI B</v>
      </c>
      <c r="E555" s="16">
        <v>8</v>
      </c>
      <c r="F555" s="16">
        <f>VLOOKUP(C555,[1]master_data!$A$2:$E$495,3,FALSE)</f>
        <v>20000</v>
      </c>
      <c r="G555" s="16">
        <f>VLOOKUP(C555,[1]master_data!$A$2:$E$495,4,FALSE)</f>
        <v>50000</v>
      </c>
      <c r="H555" s="16">
        <f>E555*F555</f>
        <v>160000</v>
      </c>
      <c r="I555" s="16">
        <f>E555*G555</f>
        <v>400000</v>
      </c>
      <c r="J555" s="16">
        <f>I555-H555</f>
        <v>240000</v>
      </c>
      <c r="K555" s="16" t="str">
        <f>VLOOKUP(C555,[1]master_data!$A$2:$E$495,5,FALSE)</f>
        <v>Ikan</v>
      </c>
      <c r="L555" s="1"/>
    </row>
    <row r="556" spans="1:12" ht="12" customHeight="1" x14ac:dyDescent="0.25">
      <c r="A556" s="15">
        <v>44468</v>
      </c>
      <c r="B556" s="16" t="s">
        <v>1652</v>
      </c>
      <c r="C556" s="16" t="s">
        <v>333</v>
      </c>
      <c r="D556" s="16" t="str">
        <f>VLOOKUP(C556,[1]master_data!$A$2:$E$495,2,FALSE)</f>
        <v>KAVIAT</v>
      </c>
      <c r="E556" s="16">
        <v>4</v>
      </c>
      <c r="F556" s="16">
        <f>VLOOKUP(C556,[1]master_data!$A$2:$E$495,3,FALSE)</f>
        <v>3500</v>
      </c>
      <c r="G556" s="16">
        <f>VLOOKUP(C556,[1]master_data!$A$2:$E$495,4,FALSE)</f>
        <v>8000</v>
      </c>
      <c r="H556" s="16">
        <f>E556*F556</f>
        <v>14000</v>
      </c>
      <c r="I556" s="16">
        <f>E556*G556</f>
        <v>32000</v>
      </c>
      <c r="J556" s="16">
        <f>I556-H556</f>
        <v>18000</v>
      </c>
      <c r="K556" s="16" t="str">
        <f>VLOOKUP(C556,[1]master_data!$A$2:$E$495,5,FALSE)</f>
        <v>Ikan</v>
      </c>
      <c r="L556" s="1"/>
    </row>
    <row r="557" spans="1:12" ht="12" customHeight="1" x14ac:dyDescent="0.25">
      <c r="A557" s="15">
        <v>44468</v>
      </c>
      <c r="B557" s="16" t="s">
        <v>1653</v>
      </c>
      <c r="C557" s="16" t="s">
        <v>334</v>
      </c>
      <c r="D557" s="16" t="str">
        <f>VLOOKUP(C557,[1]master_data!$A$2:$E$495,2,FALSE)</f>
        <v>KOMET PAKAN</v>
      </c>
      <c r="E557" s="16">
        <v>6</v>
      </c>
      <c r="F557" s="16">
        <f>VLOOKUP(C557,[1]master_data!$A$2:$E$495,3,FALSE)</f>
        <v>300</v>
      </c>
      <c r="G557" s="16">
        <f>VLOOKUP(C557,[1]master_data!$A$2:$E$495,4,FALSE)</f>
        <v>1000</v>
      </c>
      <c r="H557" s="16">
        <f>E557*F557</f>
        <v>1800</v>
      </c>
      <c r="I557" s="16">
        <f>E557*G557</f>
        <v>6000</v>
      </c>
      <c r="J557" s="16">
        <f>I557-H557</f>
        <v>4200</v>
      </c>
      <c r="K557" s="16" t="str">
        <f>VLOOKUP(C557,[1]master_data!$A$2:$E$495,5,FALSE)</f>
        <v>Ikan</v>
      </c>
      <c r="L557" s="1"/>
    </row>
    <row r="558" spans="1:12" ht="12" customHeight="1" x14ac:dyDescent="0.25">
      <c r="A558" s="15">
        <v>44468</v>
      </c>
      <c r="B558" s="16" t="s">
        <v>1654</v>
      </c>
      <c r="C558" s="16" t="s">
        <v>359</v>
      </c>
      <c r="D558" s="16" t="str">
        <f>VLOOKUP(C558,[1]master_data!$A$2:$E$495,2,FALSE)</f>
        <v>REDFIN ALBINO</v>
      </c>
      <c r="E558" s="16">
        <v>1</v>
      </c>
      <c r="F558" s="16">
        <f>VLOOKUP(C558,[1]master_data!$A$2:$E$495,3,FALSE)</f>
        <v>1500</v>
      </c>
      <c r="G558" s="16">
        <f>VLOOKUP(C558,[1]master_data!$A$2:$E$495,4,FALSE)</f>
        <v>4000</v>
      </c>
      <c r="H558" s="16">
        <f>E558*F558</f>
        <v>1500</v>
      </c>
      <c r="I558" s="16">
        <f>E558*G558</f>
        <v>4000</v>
      </c>
      <c r="J558" s="16">
        <f>I558-H558</f>
        <v>2500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44467</v>
      </c>
      <c r="B559" s="16" t="s">
        <v>1644</v>
      </c>
      <c r="C559" s="16" t="s">
        <v>346</v>
      </c>
      <c r="D559" s="16" t="str">
        <f>VLOOKUP(C559,[1]master_data!$A$2:$E$495,2,FALSE)</f>
        <v>MOLI PAKAN</v>
      </c>
      <c r="E559" s="16">
        <v>20</v>
      </c>
      <c r="F559" s="16">
        <f>VLOOKUP(C559,[1]master_data!$A$2:$E$495,3,FALSE)</f>
        <v>100</v>
      </c>
      <c r="G559" s="16">
        <f>VLOOKUP(C559,[1]master_data!$A$2:$E$495,4,FALSE)</f>
        <v>200</v>
      </c>
      <c r="H559" s="16">
        <f>E559*F559</f>
        <v>2000</v>
      </c>
      <c r="I559" s="16">
        <f>E559*G559</f>
        <v>4000</v>
      </c>
      <c r="J559" s="16">
        <f>I559-H559</f>
        <v>2000</v>
      </c>
      <c r="K559" s="16" t="str">
        <f>VLOOKUP(C559,[1]master_data!$A$2:$E$495,5,FALSE)</f>
        <v>Ikan</v>
      </c>
      <c r="L559" s="1"/>
    </row>
    <row r="560" spans="1:12" ht="12" customHeight="1" x14ac:dyDescent="0.25">
      <c r="A560" s="15">
        <v>44467</v>
      </c>
      <c r="B560" s="16" t="s">
        <v>1645</v>
      </c>
      <c r="C560" s="16" t="s">
        <v>162</v>
      </c>
      <c r="D560" s="16" t="str">
        <f>VLOOKUP(C560,[1]master_data!$A$2:$E$495,2,FALSE)</f>
        <v>AKARI LOUHAN BOTOL</v>
      </c>
      <c r="E560" s="16">
        <v>5</v>
      </c>
      <c r="F560" s="16">
        <f>VLOOKUP(C560,[1]master_data!$A$2:$E$495,3,FALSE)</f>
        <v>12000</v>
      </c>
      <c r="G560" s="16">
        <f>VLOOKUP(C560,[1]master_data!$A$2:$E$495,4,FALSE)</f>
        <v>20000</v>
      </c>
      <c r="H560" s="16">
        <f>E560*F560</f>
        <v>60000</v>
      </c>
      <c r="I560" s="16">
        <f>E560*G560</f>
        <v>100000</v>
      </c>
      <c r="J560" s="16">
        <f>I560-H560</f>
        <v>40000</v>
      </c>
      <c r="K560" s="16" t="str">
        <f>VLOOKUP(C560,[1]master_data!$A$2:$E$495,5,FALSE)</f>
        <v>Aksesoris</v>
      </c>
      <c r="L560" s="1"/>
    </row>
    <row r="561" spans="1:12" ht="12" customHeight="1" x14ac:dyDescent="0.25">
      <c r="A561" s="15">
        <v>44467</v>
      </c>
      <c r="B561" s="16" t="s">
        <v>1646</v>
      </c>
      <c r="C561" s="16" t="s">
        <v>35</v>
      </c>
      <c r="D561" s="16" t="str">
        <f>VLOOKUP(C561,[1]master_data!$A$2:$E$495,2,FALSE)</f>
        <v>MESIN YAMANO 104</v>
      </c>
      <c r="E561" s="16">
        <v>1</v>
      </c>
      <c r="F561" s="16">
        <f>VLOOKUP(C561,[1]master_data!$A$2:$E$495,3,FALSE)</f>
        <v>98000</v>
      </c>
      <c r="G561" s="16">
        <f>VLOOKUP(C561,[1]master_data!$A$2:$E$495,4,FALSE)</f>
        <v>135000</v>
      </c>
      <c r="H561" s="16">
        <f>E561*F561</f>
        <v>98000</v>
      </c>
      <c r="I561" s="16">
        <f>E561*G561</f>
        <v>135000</v>
      </c>
      <c r="J561" s="16">
        <f>I561-H561</f>
        <v>37000</v>
      </c>
      <c r="K561" s="16" t="str">
        <f>VLOOKUP(C561,[1]master_data!$A$2:$E$495,5,FALSE)</f>
        <v>Aksesoris</v>
      </c>
      <c r="L561" s="1"/>
    </row>
    <row r="562" spans="1:12" ht="12" customHeight="1" x14ac:dyDescent="0.25">
      <c r="A562" s="15">
        <v>44467</v>
      </c>
      <c r="B562" s="16" t="s">
        <v>1647</v>
      </c>
      <c r="C562" s="16" t="s">
        <v>348</v>
      </c>
      <c r="D562" s="16" t="str">
        <f>VLOOKUP(C562,[1]master_data!$A$2:$E$495,2,FALSE)</f>
        <v>NIASA</v>
      </c>
      <c r="E562" s="16">
        <v>10</v>
      </c>
      <c r="F562" s="16">
        <f>VLOOKUP(C562,[1]master_data!$A$2:$E$495,3,FALSE)</f>
        <v>900</v>
      </c>
      <c r="G562" s="16">
        <f>VLOOKUP(C562,[1]master_data!$A$2:$E$495,4,FALSE)</f>
        <v>2000</v>
      </c>
      <c r="H562" s="16">
        <f>E562*F562</f>
        <v>9000</v>
      </c>
      <c r="I562" s="16">
        <f>E562*G562</f>
        <v>20000</v>
      </c>
      <c r="J562" s="16">
        <f>I562-H562</f>
        <v>11000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44467</v>
      </c>
      <c r="B563" s="16" t="s">
        <v>1648</v>
      </c>
      <c r="C563" s="16" t="s">
        <v>319</v>
      </c>
      <c r="D563" s="16" t="str">
        <f>VLOOKUP(C563,[1]master_data!$A$2:$E$495,2,FALSE)</f>
        <v>BARBIR</v>
      </c>
      <c r="E563" s="16">
        <v>10</v>
      </c>
      <c r="F563" s="16">
        <f>VLOOKUP(C563,[1]master_data!$A$2:$E$495,3,FALSE)</f>
        <v>800</v>
      </c>
      <c r="G563" s="16">
        <f>VLOOKUP(C563,[1]master_data!$A$2:$E$495,4,FALSE)</f>
        <v>2000</v>
      </c>
      <c r="H563" s="16">
        <f>E563*F563</f>
        <v>8000</v>
      </c>
      <c r="I563" s="16">
        <f>E563*G563</f>
        <v>20000</v>
      </c>
      <c r="J563" s="16">
        <f>I563-H563</f>
        <v>12000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44467</v>
      </c>
      <c r="B564" s="16" t="s">
        <v>1649</v>
      </c>
      <c r="C564" s="16" t="s">
        <v>323</v>
      </c>
      <c r="D564" s="16" t="str">
        <f>VLOOKUP(C564,[1]master_data!$A$2:$E$495,2,FALSE)</f>
        <v>GUPY</v>
      </c>
      <c r="E564" s="16">
        <v>30</v>
      </c>
      <c r="F564" s="16">
        <f>VLOOKUP(C564,[1]master_data!$A$2:$E$495,3,FALSE)</f>
        <v>1200</v>
      </c>
      <c r="G564" s="16">
        <f>VLOOKUP(C564,[1]master_data!$A$2:$E$495,4,FALSE)</f>
        <v>2500</v>
      </c>
      <c r="H564" s="16">
        <f>E564*F564</f>
        <v>36000</v>
      </c>
      <c r="I564" s="16">
        <f>E564*G564</f>
        <v>75000</v>
      </c>
      <c r="J564" s="16">
        <f>I564-H564</f>
        <v>39000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44467</v>
      </c>
      <c r="B565" s="16" t="s">
        <v>1650</v>
      </c>
      <c r="C565" s="16" t="s">
        <v>361</v>
      </c>
      <c r="D565" s="16" t="str">
        <f>VLOOKUP(C565,[1]master_data!$A$2:$E$495,2,FALSE)</f>
        <v>CHANNA RED BARITO B</v>
      </c>
      <c r="E565" s="16">
        <v>1</v>
      </c>
      <c r="F565" s="16">
        <f>VLOOKUP(C565,[1]master_data!$A$2:$E$495,3,FALSE)</f>
        <v>120000</v>
      </c>
      <c r="G565" s="16">
        <f>VLOOKUP(C565,[1]master_data!$A$2:$E$495,4,FALSE)</f>
        <v>200000</v>
      </c>
      <c r="H565" s="16">
        <f>E565*F565</f>
        <v>120000</v>
      </c>
      <c r="I565" s="16">
        <f>E565*G565</f>
        <v>200000</v>
      </c>
      <c r="J565" s="16">
        <f>I565-H565</f>
        <v>80000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44466</v>
      </c>
      <c r="B566" s="16" t="s">
        <v>1638</v>
      </c>
      <c r="C566" s="16" t="s">
        <v>223</v>
      </c>
      <c r="D566" s="16" t="str">
        <f>VLOOKUP(C566,[1]master_data!$A$2:$E$495,2,FALSE)</f>
        <v>JARING 30</v>
      </c>
      <c r="E566" s="16">
        <v>5</v>
      </c>
      <c r="F566" s="16">
        <f>VLOOKUP(C566,[1]master_data!$A$2:$E$495,3,FALSE)</f>
        <v>7100</v>
      </c>
      <c r="G566" s="16">
        <f>VLOOKUP(C566,[1]master_data!$A$2:$E$495,4,FALSE)</f>
        <v>12000</v>
      </c>
      <c r="H566" s="16">
        <f>E566*F566</f>
        <v>35500</v>
      </c>
      <c r="I566" s="16">
        <f>E566*G566</f>
        <v>60000</v>
      </c>
      <c r="J566" s="16">
        <f>I566-H566</f>
        <v>24500</v>
      </c>
      <c r="K566" s="16" t="str">
        <f>VLOOKUP(C566,[1]master_data!$A$2:$E$495,5,FALSE)</f>
        <v>Aksesoris</v>
      </c>
      <c r="L566" s="1"/>
    </row>
    <row r="567" spans="1:12" ht="12" customHeight="1" x14ac:dyDescent="0.25">
      <c r="A567" s="15">
        <v>44466</v>
      </c>
      <c r="B567" s="16" t="s">
        <v>1639</v>
      </c>
      <c r="C567" s="16" t="s">
        <v>358</v>
      </c>
      <c r="D567" s="16" t="str">
        <f>VLOOKUP(C567,[1]master_data!$A$2:$E$495,2,FALSE)</f>
        <v>REDFIN HITAM</v>
      </c>
      <c r="E567" s="16">
        <v>10</v>
      </c>
      <c r="F567" s="16">
        <f>VLOOKUP(C567,[1]master_data!$A$2:$E$495,3,FALSE)</f>
        <v>1500</v>
      </c>
      <c r="G567" s="16">
        <f>VLOOKUP(C567,[1]master_data!$A$2:$E$495,4,FALSE)</f>
        <v>4000</v>
      </c>
      <c r="H567" s="16">
        <f>E567*F567</f>
        <v>15000</v>
      </c>
      <c r="I567" s="16">
        <f>E567*G567</f>
        <v>40000</v>
      </c>
      <c r="J567" s="16">
        <f>I567-H567</f>
        <v>25000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44466</v>
      </c>
      <c r="B568" s="16" t="s">
        <v>1640</v>
      </c>
      <c r="C568" s="16" t="s">
        <v>265</v>
      </c>
      <c r="D568" s="16" t="str">
        <f>VLOOKUP(C568,[1]master_data!$A$2:$E$495,2,FALSE)</f>
        <v>KARPET RUMPUT</v>
      </c>
      <c r="E568" s="16">
        <v>2</v>
      </c>
      <c r="F568" s="16">
        <f>VLOOKUP(C568,[1]master_data!$A$2:$E$495,3,FALSE)</f>
        <v>15000</v>
      </c>
      <c r="G568" s="16">
        <f>VLOOKUP(C568,[1]master_data!$A$2:$E$495,4,FALSE)</f>
        <v>25000</v>
      </c>
      <c r="H568" s="16">
        <f>E568*F568</f>
        <v>30000</v>
      </c>
      <c r="I568" s="16">
        <f>E568*G568</f>
        <v>50000</v>
      </c>
      <c r="J568" s="16">
        <f>I568-H568</f>
        <v>20000</v>
      </c>
      <c r="K568" s="16" t="str">
        <f>VLOOKUP(C568,[1]master_data!$A$2:$E$495,5,FALSE)</f>
        <v>Aksesoris</v>
      </c>
      <c r="L568" s="1"/>
    </row>
    <row r="569" spans="1:12" ht="12" customHeight="1" x14ac:dyDescent="0.25">
      <c r="A569" s="15">
        <v>44466</v>
      </c>
      <c r="B569" s="16" t="s">
        <v>1641</v>
      </c>
      <c r="C569" s="16" t="s">
        <v>340</v>
      </c>
      <c r="D569" s="16" t="str">
        <f>VLOOKUP(C569,[1]master_data!$A$2:$E$495,2,FALSE)</f>
        <v>LEMON</v>
      </c>
      <c r="E569" s="16">
        <v>10</v>
      </c>
      <c r="F569" s="16">
        <f>VLOOKUP(C569,[1]master_data!$A$2:$E$495,3,FALSE)</f>
        <v>1000</v>
      </c>
      <c r="G569" s="16">
        <f>VLOOKUP(C569,[1]master_data!$A$2:$E$495,4,FALSE)</f>
        <v>2000</v>
      </c>
      <c r="H569" s="16">
        <f>E569*F569</f>
        <v>10000</v>
      </c>
      <c r="I569" s="16">
        <f>E569*G569</f>
        <v>20000</v>
      </c>
      <c r="J569" s="16">
        <f>I569-H569</f>
        <v>10000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44466</v>
      </c>
      <c r="B570" s="16" t="s">
        <v>1642</v>
      </c>
      <c r="C570" s="16" t="s">
        <v>107</v>
      </c>
      <c r="D570" s="16" t="str">
        <f>VLOOKUP(C570,[1]master_data!$A$2:$E$495,2,FALSE)</f>
        <v>LED YAMANO 3W</v>
      </c>
      <c r="E570" s="16">
        <v>7</v>
      </c>
      <c r="F570" s="16">
        <f>VLOOKUP(C570,[1]master_data!$A$2:$E$495,3,FALSE)</f>
        <v>37000</v>
      </c>
      <c r="G570" s="16">
        <f>VLOOKUP(C570,[1]master_data!$A$2:$E$495,4,FALSE)</f>
        <v>60000</v>
      </c>
      <c r="H570" s="16">
        <f>E570*F570</f>
        <v>259000</v>
      </c>
      <c r="I570" s="16">
        <f>E570*G570</f>
        <v>420000</v>
      </c>
      <c r="J570" s="16">
        <f>I570-H570</f>
        <v>161000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44466</v>
      </c>
      <c r="B571" s="16" t="s">
        <v>1643</v>
      </c>
      <c r="C571" s="16" t="s">
        <v>5</v>
      </c>
      <c r="D571" s="16" t="str">
        <f>VLOOKUP(C571,[1]master_data!$A$2:$E$495,2,FALSE)</f>
        <v>MESIN YANG 1000 L</v>
      </c>
      <c r="E571" s="16">
        <v>1</v>
      </c>
      <c r="F571" s="16">
        <f>VLOOKUP(C571,[1]master_data!$A$2:$E$495,3,FALSE)</f>
        <v>31000</v>
      </c>
      <c r="G571" s="16">
        <f>VLOOKUP(C571,[1]master_data!$A$2:$E$495,4,FALSE)</f>
        <v>50000</v>
      </c>
      <c r="H571" s="16">
        <f>E571*F571</f>
        <v>31000</v>
      </c>
      <c r="I571" s="16">
        <f>E571*G571</f>
        <v>50000</v>
      </c>
      <c r="J571" s="16">
        <f>I571-H571</f>
        <v>19000</v>
      </c>
      <c r="K571" s="16" t="str">
        <f>VLOOKUP(C571,[1]master_data!$A$2:$E$495,5,FALSE)</f>
        <v>Aksesoris</v>
      </c>
      <c r="L571" s="1"/>
    </row>
    <row r="572" spans="1:12" ht="12" customHeight="1" x14ac:dyDescent="0.25">
      <c r="A572" s="15">
        <v>44465</v>
      </c>
      <c r="B572" s="16" t="s">
        <v>1635</v>
      </c>
      <c r="C572" s="16" t="s">
        <v>185</v>
      </c>
      <c r="D572" s="16" t="str">
        <f>VLOOKUP(C572,[1]master_data!$A$2:$E$495,2,FALSE)</f>
        <v>CACING KERING</v>
      </c>
      <c r="E572" s="16">
        <v>15</v>
      </c>
      <c r="F572" s="16">
        <f>VLOOKUP(C572,[1]master_data!$A$2:$E$495,3,FALSE)</f>
        <v>5000</v>
      </c>
      <c r="G572" s="16">
        <f>VLOOKUP(C572,[1]master_data!$A$2:$E$495,4,FALSE)</f>
        <v>8000</v>
      </c>
      <c r="H572" s="16">
        <f>E572*F572</f>
        <v>75000</v>
      </c>
      <c r="I572" s="16">
        <f>E572*G572</f>
        <v>120000</v>
      </c>
      <c r="J572" s="16">
        <f>I572-H572</f>
        <v>45000</v>
      </c>
      <c r="K572" s="16" t="str">
        <f>VLOOKUP(C572,[1]master_data!$A$2:$E$495,5,FALSE)</f>
        <v>Aksesoris</v>
      </c>
      <c r="L572" s="1"/>
    </row>
    <row r="573" spans="1:12" ht="12" customHeight="1" x14ac:dyDescent="0.25">
      <c r="A573" s="15">
        <v>44465</v>
      </c>
      <c r="B573" s="16" t="s">
        <v>1636</v>
      </c>
      <c r="C573" s="16" t="s">
        <v>44</v>
      </c>
      <c r="D573" s="16" t="str">
        <f>VLOOKUP(C573,[1]master_data!$A$2:$E$495,2,FALSE)</f>
        <v>TOP FILTER NIKITA K</v>
      </c>
      <c r="E573" s="16">
        <v>10</v>
      </c>
      <c r="F573" s="16">
        <f>VLOOKUP(C573,[1]master_data!$A$2:$E$495,3,FALSE)</f>
        <v>36000</v>
      </c>
      <c r="G573" s="16">
        <f>VLOOKUP(C573,[1]master_data!$A$2:$E$495,4,FALSE)</f>
        <v>55000</v>
      </c>
      <c r="H573" s="16">
        <f>E573*F573</f>
        <v>360000</v>
      </c>
      <c r="I573" s="16">
        <f>E573*G573</f>
        <v>550000</v>
      </c>
      <c r="J573" s="16">
        <f>I573-H573</f>
        <v>190000</v>
      </c>
      <c r="K573" s="16" t="str">
        <f>VLOOKUP(C573,[1]master_data!$A$2:$E$495,5,FALSE)</f>
        <v>Aksesoris</v>
      </c>
      <c r="L573" s="1"/>
    </row>
    <row r="574" spans="1:12" ht="12" customHeight="1" x14ac:dyDescent="0.25">
      <c r="A574" s="15">
        <v>44465</v>
      </c>
      <c r="B574" s="16" t="s">
        <v>1637</v>
      </c>
      <c r="C574" s="16" t="s">
        <v>19</v>
      </c>
      <c r="D574" s="16" t="str">
        <f>VLOOKUP(C574,[1]master_data!$A$2:$E$495,2,FALSE)</f>
        <v>MESIN YANG WAVE MAKER 200</v>
      </c>
      <c r="E574" s="16">
        <v>1</v>
      </c>
      <c r="F574" s="16">
        <f>VLOOKUP(C574,[1]master_data!$A$2:$E$495,3,FALSE)</f>
        <v>118000</v>
      </c>
      <c r="G574" s="16">
        <f>VLOOKUP(C574,[1]master_data!$A$2:$E$495,4,FALSE)</f>
        <v>150000</v>
      </c>
      <c r="H574" s="16">
        <f>E574*F574</f>
        <v>118000</v>
      </c>
      <c r="I574" s="16">
        <f>E574*G574</f>
        <v>150000</v>
      </c>
      <c r="J574" s="16">
        <f>I574-H574</f>
        <v>32000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44464</v>
      </c>
      <c r="B575" s="16" t="s">
        <v>1630</v>
      </c>
      <c r="C575" s="16" t="s">
        <v>357</v>
      </c>
      <c r="D575" s="16" t="str">
        <f>VLOOKUP(C575,[1]master_data!$A$2:$E$495,2,FALSE)</f>
        <v>PESO</v>
      </c>
      <c r="E575" s="16">
        <v>5</v>
      </c>
      <c r="F575" s="16">
        <f>VLOOKUP(C575,[1]master_data!$A$2:$E$495,3,FALSE)</f>
        <v>19000</v>
      </c>
      <c r="G575" s="16">
        <f>VLOOKUP(C575,[1]master_data!$A$2:$E$495,4,FALSE)</f>
        <v>40000</v>
      </c>
      <c r="H575" s="16">
        <f>E575*F575</f>
        <v>95000</v>
      </c>
      <c r="I575" s="16">
        <f>E575*G575</f>
        <v>200000</v>
      </c>
      <c r="J575" s="16">
        <f>I575-H575</f>
        <v>105000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44464</v>
      </c>
      <c r="B576" s="16" t="s">
        <v>1631</v>
      </c>
      <c r="C576" s="16" t="s">
        <v>145</v>
      </c>
      <c r="D576" s="16" t="str">
        <f>VLOOKUP(C576,[1]master_data!$A$2:$E$495,2,FALSE)</f>
        <v>LED KANDILA DnN 40 CM</v>
      </c>
      <c r="E576" s="16">
        <v>1</v>
      </c>
      <c r="F576" s="16">
        <f>VLOOKUP(C576,[1]master_data!$A$2:$E$495,3,FALSE)</f>
        <v>30000</v>
      </c>
      <c r="G576" s="16">
        <f>VLOOKUP(C576,[1]master_data!$A$2:$E$495,4,FALSE)</f>
        <v>50000</v>
      </c>
      <c r="H576" s="16">
        <f>E576*F576</f>
        <v>30000</v>
      </c>
      <c r="I576" s="16">
        <f>E576*G576</f>
        <v>50000</v>
      </c>
      <c r="J576" s="16">
        <f>I576-H576</f>
        <v>20000</v>
      </c>
      <c r="K576" s="16" t="str">
        <f>VLOOKUP(C576,[1]master_data!$A$2:$E$495,5,FALSE)</f>
        <v>Aksesoris</v>
      </c>
      <c r="L576" s="1"/>
    </row>
    <row r="577" spans="1:12" ht="12" customHeight="1" x14ac:dyDescent="0.25">
      <c r="A577" s="15">
        <v>44464</v>
      </c>
      <c r="B577" s="16" t="s">
        <v>1632</v>
      </c>
      <c r="C577" s="16" t="s">
        <v>310</v>
      </c>
      <c r="D577" s="16" t="str">
        <f>VLOOKUP(C577,[1]master_data!$A$2:$E$495,2,FALSE)</f>
        <v>ALIGATOR</v>
      </c>
      <c r="E577" s="16">
        <v>1</v>
      </c>
      <c r="F577" s="16">
        <f>VLOOKUP(C577,[1]master_data!$A$2:$E$495,3,FALSE)</f>
        <v>17000</v>
      </c>
      <c r="G577" s="16">
        <f>VLOOKUP(C577,[1]master_data!$A$2:$E$495,4,FALSE)</f>
        <v>35000</v>
      </c>
      <c r="H577" s="16">
        <f>E577*F577</f>
        <v>17000</v>
      </c>
      <c r="I577" s="16">
        <f>E577*G577</f>
        <v>35000</v>
      </c>
      <c r="J577" s="16">
        <f>I577-H577</f>
        <v>18000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44464</v>
      </c>
      <c r="B578" s="16" t="s">
        <v>1633</v>
      </c>
      <c r="C578" s="16" t="s">
        <v>205</v>
      </c>
      <c r="D578" s="16" t="str">
        <f>VLOOKUP(C578,[1]master_data!$A$2:$E$495,2,FALSE)</f>
        <v>ACRIPLAVIN</v>
      </c>
      <c r="E578" s="16">
        <v>15</v>
      </c>
      <c r="F578" s="16">
        <f>VLOOKUP(C578,[1]master_data!$A$2:$E$495,3,FALSE)</f>
        <v>3000</v>
      </c>
      <c r="G578" s="16">
        <f>VLOOKUP(C578,[1]master_data!$A$2:$E$495,4,FALSE)</f>
        <v>8000</v>
      </c>
      <c r="H578" s="16">
        <f>E578*F578</f>
        <v>45000</v>
      </c>
      <c r="I578" s="16">
        <f>E578*G578</f>
        <v>120000</v>
      </c>
      <c r="J578" s="16">
        <f>I578-H578</f>
        <v>75000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44464</v>
      </c>
      <c r="B579" s="16" t="s">
        <v>1634</v>
      </c>
      <c r="C579" s="16" t="s">
        <v>361</v>
      </c>
      <c r="D579" s="16" t="str">
        <f>VLOOKUP(C579,[1]master_data!$A$2:$E$495,2,FALSE)</f>
        <v>CHANNA RED BARITO B</v>
      </c>
      <c r="E579" s="16">
        <v>1</v>
      </c>
      <c r="F579" s="16">
        <f>VLOOKUP(C579,[1]master_data!$A$2:$E$495,3,FALSE)</f>
        <v>120000</v>
      </c>
      <c r="G579" s="16">
        <f>VLOOKUP(C579,[1]master_data!$A$2:$E$495,4,FALSE)</f>
        <v>200000</v>
      </c>
      <c r="H579" s="16">
        <f>E579*F579</f>
        <v>120000</v>
      </c>
      <c r="I579" s="16">
        <f>E579*G579</f>
        <v>200000</v>
      </c>
      <c r="J579" s="16">
        <f>I579-H579</f>
        <v>80000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44463</v>
      </c>
      <c r="B580" s="16" t="s">
        <v>1623</v>
      </c>
      <c r="C580" s="16" t="s">
        <v>225</v>
      </c>
      <c r="D580" s="16" t="str">
        <f>VLOOKUP(C580,[1]master_data!$A$2:$E$495,2,FALSE)</f>
        <v>KRAN 1 W</v>
      </c>
      <c r="E580" s="16">
        <v>30</v>
      </c>
      <c r="F580" s="16">
        <f>VLOOKUP(C580,[1]master_data!$A$2:$E$495,3,FALSE)</f>
        <v>1200</v>
      </c>
      <c r="G580" s="16">
        <f>VLOOKUP(C580,[1]master_data!$A$2:$E$495,4,FALSE)</f>
        <v>3000</v>
      </c>
      <c r="H580" s="16">
        <f>E580*F580</f>
        <v>36000</v>
      </c>
      <c r="I580" s="16">
        <f>E580*G580</f>
        <v>90000</v>
      </c>
      <c r="J580" s="16">
        <f>I580-H580</f>
        <v>54000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44463</v>
      </c>
      <c r="B581" s="16" t="s">
        <v>1624</v>
      </c>
      <c r="C581" s="16" t="s">
        <v>350</v>
      </c>
      <c r="D581" s="16" t="str">
        <f>VLOOKUP(C581,[1]master_data!$A$2:$E$495,2,FALSE)</f>
        <v>NENTINEN</v>
      </c>
      <c r="E581" s="16">
        <v>10</v>
      </c>
      <c r="F581" s="16">
        <f>VLOOKUP(C581,[1]master_data!$A$2:$E$495,3,FALSE)</f>
        <v>1000</v>
      </c>
      <c r="G581" s="16">
        <f>VLOOKUP(C581,[1]master_data!$A$2:$E$495,4,FALSE)</f>
        <v>2500</v>
      </c>
      <c r="H581" s="16">
        <f>E581*F581</f>
        <v>10000</v>
      </c>
      <c r="I581" s="16">
        <f>E581*G581</f>
        <v>25000</v>
      </c>
      <c r="J581" s="16">
        <f>I581-H581</f>
        <v>15000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44463</v>
      </c>
      <c r="B582" s="16" t="s">
        <v>1625</v>
      </c>
      <c r="C582" s="16" t="s">
        <v>38</v>
      </c>
      <c r="D582" s="16" t="str">
        <f>VLOOKUP(C582,[1]master_data!$A$2:$E$495,2,FALSE)</f>
        <v>MESIN YAMANO ACO 001</v>
      </c>
      <c r="E582" s="16">
        <v>2</v>
      </c>
      <c r="F582" s="16">
        <f>VLOOKUP(C582,[1]master_data!$A$2:$E$495,3,FALSE)</f>
        <v>275000</v>
      </c>
      <c r="G582" s="16">
        <f>VLOOKUP(C582,[1]master_data!$A$2:$E$495,4,FALSE)</f>
        <v>350000</v>
      </c>
      <c r="H582" s="16">
        <f>E582*F582</f>
        <v>550000</v>
      </c>
      <c r="I582" s="16">
        <f>E582*G582</f>
        <v>700000</v>
      </c>
      <c r="J582" s="16">
        <f>I582-H582</f>
        <v>150000</v>
      </c>
      <c r="K582" s="16" t="str">
        <f>VLOOKUP(C582,[1]master_data!$A$2:$E$495,5,FALSE)</f>
        <v>Aksesoris</v>
      </c>
      <c r="L582" s="1"/>
    </row>
    <row r="583" spans="1:12" ht="12" customHeight="1" x14ac:dyDescent="0.25">
      <c r="A583" s="15">
        <v>44463</v>
      </c>
      <c r="B583" s="16" t="s">
        <v>1626</v>
      </c>
      <c r="C583" s="16" t="s">
        <v>362</v>
      </c>
      <c r="D583" s="16" t="str">
        <f>VLOOKUP(C583,[1]master_data!$A$2:$E$495,2,FALSE)</f>
        <v>SUMATRA BIASA</v>
      </c>
      <c r="E583" s="16">
        <v>20</v>
      </c>
      <c r="F583" s="16">
        <f>VLOOKUP(C583,[1]master_data!$A$2:$E$495,3,FALSE)</f>
        <v>800</v>
      </c>
      <c r="G583" s="16">
        <f>VLOOKUP(C583,[1]master_data!$A$2:$E$495,4,FALSE)</f>
        <v>2000</v>
      </c>
      <c r="H583" s="16">
        <f>E583*F583</f>
        <v>16000</v>
      </c>
      <c r="I583" s="16">
        <f>E583*G583</f>
        <v>40000</v>
      </c>
      <c r="J583" s="16">
        <f>I583-H583</f>
        <v>24000</v>
      </c>
      <c r="K583" s="16" t="str">
        <f>VLOOKUP(C583,[1]master_data!$A$2:$E$495,5,FALSE)</f>
        <v>Ikan</v>
      </c>
      <c r="L583" s="1"/>
    </row>
    <row r="584" spans="1:12" ht="12" customHeight="1" x14ac:dyDescent="0.25">
      <c r="A584" s="15">
        <v>44463</v>
      </c>
      <c r="B584" s="16" t="s">
        <v>1627</v>
      </c>
      <c r="C584" s="16" t="s">
        <v>347</v>
      </c>
      <c r="D584" s="16" t="str">
        <f>VLOOKUP(C584,[1]master_data!$A$2:$E$495,2,FALSE)</f>
        <v>MOLI BALON</v>
      </c>
      <c r="E584" s="16">
        <v>5</v>
      </c>
      <c r="F584" s="16">
        <f>VLOOKUP(C584,[1]master_data!$A$2:$E$495,3,FALSE)</f>
        <v>800</v>
      </c>
      <c r="G584" s="16">
        <f>VLOOKUP(C584,[1]master_data!$A$2:$E$495,4,FALSE)</f>
        <v>2000</v>
      </c>
      <c r="H584" s="16">
        <f>E584*F584</f>
        <v>4000</v>
      </c>
      <c r="I584" s="16">
        <f>E584*G584</f>
        <v>10000</v>
      </c>
      <c r="J584" s="16">
        <f>I584-H584</f>
        <v>6000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44463</v>
      </c>
      <c r="B585" s="16" t="s">
        <v>1628</v>
      </c>
      <c r="C585" s="16" t="s">
        <v>355</v>
      </c>
      <c r="D585" s="16" t="str">
        <f>VLOOKUP(C585,[1]master_data!$A$2:$E$495,2,FALSE)</f>
        <v>PALMAS</v>
      </c>
      <c r="E585" s="16">
        <v>1</v>
      </c>
      <c r="F585" s="16">
        <f>VLOOKUP(C585,[1]master_data!$A$2:$E$495,3,FALSE)</f>
        <v>10000</v>
      </c>
      <c r="G585" s="16">
        <f>VLOOKUP(C585,[1]master_data!$A$2:$E$495,4,FALSE)</f>
        <v>25000</v>
      </c>
      <c r="H585" s="16">
        <f>E585*F585</f>
        <v>10000</v>
      </c>
      <c r="I585" s="16">
        <f>E585*G585</f>
        <v>25000</v>
      </c>
      <c r="J585" s="16">
        <f>I585-H585</f>
        <v>15000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44463</v>
      </c>
      <c r="B586" s="16" t="s">
        <v>1629</v>
      </c>
      <c r="C586" s="16" t="s">
        <v>369</v>
      </c>
      <c r="D586" s="16" t="str">
        <f>VLOOKUP(C586,[1]master_data!$A$2:$E$495,2,FALSE)</f>
        <v>ZEBRA PINK</v>
      </c>
      <c r="E586" s="16">
        <v>200</v>
      </c>
      <c r="F586" s="16">
        <f>VLOOKUP(C586,[1]master_data!$A$2:$E$495,3,FALSE)</f>
        <v>800</v>
      </c>
      <c r="G586" s="16">
        <f>VLOOKUP(C586,[1]master_data!$A$2:$E$495,4,FALSE)</f>
        <v>2000</v>
      </c>
      <c r="H586" s="16">
        <f>E586*F586</f>
        <v>160000</v>
      </c>
      <c r="I586" s="16">
        <f>E586*G586</f>
        <v>400000</v>
      </c>
      <c r="J586" s="16">
        <f>I586-H586</f>
        <v>240000</v>
      </c>
      <c r="K586" s="16" t="str">
        <f>VLOOKUP(C586,[1]master_data!$A$2:$E$495,5,FALSE)</f>
        <v>Ikan</v>
      </c>
      <c r="L586" s="1"/>
    </row>
    <row r="587" spans="1:12" ht="12" customHeight="1" x14ac:dyDescent="0.25">
      <c r="A587" s="15">
        <v>44462</v>
      </c>
      <c r="B587" s="16" t="s">
        <v>1620</v>
      </c>
      <c r="C587" s="16" t="s">
        <v>310</v>
      </c>
      <c r="D587" s="16" t="str">
        <f>VLOOKUP(C587,[1]master_data!$A$2:$E$495,2,FALSE)</f>
        <v>ALIGATOR</v>
      </c>
      <c r="E587" s="16">
        <v>10</v>
      </c>
      <c r="F587" s="16">
        <f>VLOOKUP(C587,[1]master_data!$A$2:$E$495,3,FALSE)</f>
        <v>17000</v>
      </c>
      <c r="G587" s="16">
        <f>VLOOKUP(C587,[1]master_data!$A$2:$E$495,4,FALSE)</f>
        <v>35000</v>
      </c>
      <c r="H587" s="16">
        <f>E587*F587</f>
        <v>170000</v>
      </c>
      <c r="I587" s="16">
        <f>E587*G587</f>
        <v>350000</v>
      </c>
      <c r="J587" s="16">
        <f>I587-H587</f>
        <v>180000</v>
      </c>
      <c r="K587" s="16" t="str">
        <f>VLOOKUP(C587,[1]master_data!$A$2:$E$495,5,FALSE)</f>
        <v>Ikan</v>
      </c>
      <c r="L587" s="1"/>
    </row>
    <row r="588" spans="1:12" ht="12" customHeight="1" x14ac:dyDescent="0.25">
      <c r="A588" s="15">
        <v>44462</v>
      </c>
      <c r="B588" s="16" t="s">
        <v>1621</v>
      </c>
      <c r="C588" s="16" t="s">
        <v>41</v>
      </c>
      <c r="D588" s="16" t="str">
        <f>VLOOKUP(C588,[1]master_data!$A$2:$E$495,2,FALSE)</f>
        <v>MESIN YAMANO 2600</v>
      </c>
      <c r="E588" s="16">
        <v>1</v>
      </c>
      <c r="F588" s="16">
        <f>VLOOKUP(C588,[1]master_data!$A$2:$E$495,3,FALSE)</f>
        <v>82500</v>
      </c>
      <c r="G588" s="16">
        <f>VLOOKUP(C588,[1]master_data!$A$2:$E$495,4,FALSE)</f>
        <v>115000</v>
      </c>
      <c r="H588" s="16">
        <f>E588*F588</f>
        <v>82500</v>
      </c>
      <c r="I588" s="16">
        <f>E588*G588</f>
        <v>115000</v>
      </c>
      <c r="J588" s="16">
        <f>I588-H588</f>
        <v>32500</v>
      </c>
      <c r="K588" s="16" t="str">
        <f>VLOOKUP(C588,[1]master_data!$A$2:$E$495,5,FALSE)</f>
        <v>Aksesoris</v>
      </c>
      <c r="L588" s="1"/>
    </row>
    <row r="589" spans="1:12" ht="12" customHeight="1" x14ac:dyDescent="0.25">
      <c r="A589" s="15">
        <v>44462</v>
      </c>
      <c r="B589" s="16" t="s">
        <v>1622</v>
      </c>
      <c r="C589" s="16" t="s">
        <v>285</v>
      </c>
      <c r="D589" s="16" t="str">
        <f>VLOOKUP(C589,[1]master_data!$A$2:$E$495,2,FALSE)</f>
        <v>AKUARIUM 50 ROBOT</v>
      </c>
      <c r="E589" s="16">
        <v>1</v>
      </c>
      <c r="F589" s="16">
        <f>VLOOKUP(C589,[1]master_data!$A$2:$E$495,3,FALSE)</f>
        <v>115000</v>
      </c>
      <c r="G589" s="16">
        <f>VLOOKUP(C589,[1]master_data!$A$2:$E$495,4,FALSE)</f>
        <v>165000</v>
      </c>
      <c r="H589" s="16">
        <f>E589*F589</f>
        <v>115000</v>
      </c>
      <c r="I589" s="16">
        <f>E589*G589</f>
        <v>165000</v>
      </c>
      <c r="J589" s="16">
        <f>I589-H589</f>
        <v>50000</v>
      </c>
      <c r="K589" s="16" t="str">
        <f>VLOOKUP(C589,[1]master_data!$A$2:$E$495,5,FALSE)</f>
        <v>Aksesoris</v>
      </c>
      <c r="L589" s="1"/>
    </row>
    <row r="590" spans="1:12" ht="12" customHeight="1" x14ac:dyDescent="0.25">
      <c r="A590" s="15">
        <v>44461</v>
      </c>
      <c r="B590" s="16" t="s">
        <v>1612</v>
      </c>
      <c r="C590" s="16" t="s">
        <v>365</v>
      </c>
      <c r="D590" s="16" t="str">
        <f>VLOOKUP(C590,[1]master_data!$A$2:$E$495,2,FALSE)</f>
        <v>SYNODONTIS K</v>
      </c>
      <c r="E590" s="16">
        <v>15</v>
      </c>
      <c r="F590" s="16">
        <f>VLOOKUP(C590,[1]master_data!$A$2:$E$495,3,FALSE)</f>
        <v>1500</v>
      </c>
      <c r="G590" s="16">
        <f>VLOOKUP(C590,[1]master_data!$A$2:$E$495,4,FALSE)</f>
        <v>5000</v>
      </c>
      <c r="H590" s="16">
        <f>E590*F590</f>
        <v>22500</v>
      </c>
      <c r="I590" s="16">
        <f>E590*G590</f>
        <v>75000</v>
      </c>
      <c r="J590" s="16">
        <f>I590-H590</f>
        <v>52500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44461</v>
      </c>
      <c r="B591" s="16" t="s">
        <v>1613</v>
      </c>
      <c r="C591" s="16" t="s">
        <v>264</v>
      </c>
      <c r="D591" s="16" t="str">
        <f>VLOOKUP(C591,[1]master_data!$A$2:$E$495,2,FALSE)</f>
        <v>TERMOMETER</v>
      </c>
      <c r="E591" s="16">
        <v>20</v>
      </c>
      <c r="F591" s="16">
        <f>VLOOKUP(C591,[1]master_data!$A$2:$E$495,3,FALSE)</f>
        <v>5250</v>
      </c>
      <c r="G591" s="16">
        <f>VLOOKUP(C591,[1]master_data!$A$2:$E$495,4,FALSE)</f>
        <v>10000</v>
      </c>
      <c r="H591" s="16">
        <f>E591*F591</f>
        <v>105000</v>
      </c>
      <c r="I591" s="16">
        <f>E591*G591</f>
        <v>200000</v>
      </c>
      <c r="J591" s="16">
        <f>I591-H591</f>
        <v>95000</v>
      </c>
      <c r="K591" s="16" t="str">
        <f>VLOOKUP(C591,[1]master_data!$A$2:$E$495,5,FALSE)</f>
        <v>Aksesoris</v>
      </c>
      <c r="L591" s="1"/>
    </row>
    <row r="592" spans="1:12" ht="12" customHeight="1" x14ac:dyDescent="0.25">
      <c r="A592" s="15">
        <v>44461</v>
      </c>
      <c r="B592" s="16" t="s">
        <v>1614</v>
      </c>
      <c r="C592" s="16" t="s">
        <v>330</v>
      </c>
      <c r="D592" s="16" t="str">
        <f>VLOOKUP(C592,[1]master_data!$A$2:$E$495,2,FALSE)</f>
        <v>KOI T</v>
      </c>
      <c r="E592" s="16">
        <v>1</v>
      </c>
      <c r="F592" s="16">
        <f>VLOOKUP(C592,[1]master_data!$A$2:$E$495,3,FALSE)</f>
        <v>7000</v>
      </c>
      <c r="G592" s="16">
        <f>VLOOKUP(C592,[1]master_data!$A$2:$E$495,4,FALSE)</f>
        <v>20000</v>
      </c>
      <c r="H592" s="16">
        <f>E592*F592</f>
        <v>7000</v>
      </c>
      <c r="I592" s="16">
        <f>E592*G592</f>
        <v>20000</v>
      </c>
      <c r="J592" s="16">
        <f>I592-H592</f>
        <v>13000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44461</v>
      </c>
      <c r="B593" s="16" t="s">
        <v>1615</v>
      </c>
      <c r="C593" s="16" t="s">
        <v>214</v>
      </c>
      <c r="D593" s="16" t="str">
        <f>VLOOKUP(C593,[1]master_data!$A$2:$E$495,2,FALSE)</f>
        <v>COP SELANG</v>
      </c>
      <c r="E593" s="16">
        <v>15</v>
      </c>
      <c r="F593" s="16">
        <f>VLOOKUP(C593,[1]master_data!$A$2:$E$495,3,FALSE)</f>
        <v>750</v>
      </c>
      <c r="G593" s="16">
        <f>VLOOKUP(C593,[1]master_data!$A$2:$E$495,4,FALSE)</f>
        <v>1500</v>
      </c>
      <c r="H593" s="16">
        <f>E593*F593</f>
        <v>11250</v>
      </c>
      <c r="I593" s="16">
        <f>E593*G593</f>
        <v>22500</v>
      </c>
      <c r="J593" s="16">
        <f>I593-H593</f>
        <v>11250</v>
      </c>
      <c r="K593" s="16" t="str">
        <f>VLOOKUP(C593,[1]master_data!$A$2:$E$495,5,FALSE)</f>
        <v>Aksesoris</v>
      </c>
      <c r="L593" s="1"/>
    </row>
    <row r="594" spans="1:12" ht="12" customHeight="1" x14ac:dyDescent="0.25">
      <c r="A594" s="15">
        <v>44461</v>
      </c>
      <c r="B594" s="16" t="s">
        <v>1616</v>
      </c>
      <c r="C594" s="16" t="s">
        <v>363</v>
      </c>
      <c r="D594" s="16" t="str">
        <f>VLOOKUP(C594,[1]master_data!$A$2:$E$495,2,FALSE)</f>
        <v>SUMATRA GOLD FISH</v>
      </c>
      <c r="E594" s="16">
        <v>20</v>
      </c>
      <c r="F594" s="16">
        <f>VLOOKUP(C594,[1]master_data!$A$2:$E$495,3,FALSE)</f>
        <v>2500</v>
      </c>
      <c r="G594" s="16">
        <f>VLOOKUP(C594,[1]master_data!$A$2:$E$495,4,FALSE)</f>
        <v>4000</v>
      </c>
      <c r="H594" s="16">
        <f>E594*F594</f>
        <v>50000</v>
      </c>
      <c r="I594" s="16">
        <f>E594*G594</f>
        <v>80000</v>
      </c>
      <c r="J594" s="16">
        <f>I594-H594</f>
        <v>30000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44461</v>
      </c>
      <c r="B595" s="16" t="s">
        <v>1617</v>
      </c>
      <c r="C595" s="16" t="s">
        <v>348</v>
      </c>
      <c r="D595" s="16" t="str">
        <f>VLOOKUP(C595,[1]master_data!$A$2:$E$495,2,FALSE)</f>
        <v>NIASA</v>
      </c>
      <c r="E595" s="16">
        <v>15</v>
      </c>
      <c r="F595" s="16">
        <f>VLOOKUP(C595,[1]master_data!$A$2:$E$495,3,FALSE)</f>
        <v>900</v>
      </c>
      <c r="G595" s="16">
        <f>VLOOKUP(C595,[1]master_data!$A$2:$E$495,4,FALSE)</f>
        <v>2000</v>
      </c>
      <c r="H595" s="16">
        <f>E595*F595</f>
        <v>13500</v>
      </c>
      <c r="I595" s="16">
        <f>E595*G595</f>
        <v>30000</v>
      </c>
      <c r="J595" s="16">
        <f>I595-H595</f>
        <v>16500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44461</v>
      </c>
      <c r="B596" s="16" t="s">
        <v>1618</v>
      </c>
      <c r="C596" s="16" t="s">
        <v>344</v>
      </c>
      <c r="D596" s="16" t="str">
        <f>VLOOKUP(C596,[1]master_data!$A$2:$E$495,2,FALSE)</f>
        <v>MANFISH B</v>
      </c>
      <c r="E596" s="16">
        <v>5</v>
      </c>
      <c r="F596" s="16">
        <f>VLOOKUP(C596,[1]master_data!$A$2:$E$495,3,FALSE)</f>
        <v>4000</v>
      </c>
      <c r="G596" s="16">
        <f>VLOOKUP(C596,[1]master_data!$A$2:$E$495,4,FALSE)</f>
        <v>10000</v>
      </c>
      <c r="H596" s="16">
        <f>E596*F596</f>
        <v>20000</v>
      </c>
      <c r="I596" s="16">
        <f>E596*G596</f>
        <v>50000</v>
      </c>
      <c r="J596" s="16">
        <f>I596-H596</f>
        <v>30000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44461</v>
      </c>
      <c r="B597" s="16" t="s">
        <v>1619</v>
      </c>
      <c r="C597" s="16" t="s">
        <v>277</v>
      </c>
      <c r="D597" s="16" t="str">
        <f>VLOOKUP(C597,[1]master_data!$A$2:$E$495,2,FALSE)</f>
        <v>AKUARIUM BAHARI M</v>
      </c>
      <c r="E597" s="16">
        <v>1</v>
      </c>
      <c r="F597" s="16">
        <f>VLOOKUP(C597,[1]master_data!$A$2:$E$495,3,FALSE)</f>
        <v>82000</v>
      </c>
      <c r="G597" s="16">
        <f>VLOOKUP(C597,[1]master_data!$A$2:$E$495,4,FALSE)</f>
        <v>130000</v>
      </c>
      <c r="H597" s="16">
        <f>E597*F597</f>
        <v>82000</v>
      </c>
      <c r="I597" s="16">
        <f>E597*G597</f>
        <v>130000</v>
      </c>
      <c r="J597" s="16">
        <f>I597-H597</f>
        <v>48000</v>
      </c>
      <c r="K597" s="16" t="str">
        <f>VLOOKUP(C597,[1]master_data!$A$2:$E$495,5,FALSE)</f>
        <v>Aksesoris</v>
      </c>
      <c r="L597" s="1"/>
    </row>
    <row r="598" spans="1:12" ht="12" customHeight="1" x14ac:dyDescent="0.25">
      <c r="A598" s="15">
        <v>44460</v>
      </c>
      <c r="B598" s="16" t="s">
        <v>1609</v>
      </c>
      <c r="C598" s="16" t="s">
        <v>131</v>
      </c>
      <c r="D598" s="16" t="str">
        <f>VLOOKUP(C598,[1]master_data!$A$2:$E$495,2,FALSE)</f>
        <v>LED KANDILA 2 BRS 60 CM</v>
      </c>
      <c r="E598" s="16">
        <v>5</v>
      </c>
      <c r="F598" s="16">
        <f>VLOOKUP(C598,[1]master_data!$A$2:$E$495,3,FALSE)</f>
        <v>30000</v>
      </c>
      <c r="G598" s="16">
        <f>VLOOKUP(C598,[1]master_data!$A$2:$E$495,4,FALSE)</f>
        <v>65000</v>
      </c>
      <c r="H598" s="16">
        <f>E598*F598</f>
        <v>150000</v>
      </c>
      <c r="I598" s="16">
        <f>E598*G598</f>
        <v>325000</v>
      </c>
      <c r="J598" s="16">
        <f>I598-H598</f>
        <v>175000</v>
      </c>
      <c r="K598" s="16" t="str">
        <f>VLOOKUP(C598,[1]master_data!$A$2:$E$495,5,FALSE)</f>
        <v>Aksesoris</v>
      </c>
      <c r="L598" s="1"/>
    </row>
    <row r="599" spans="1:12" ht="12" customHeight="1" x14ac:dyDescent="0.25">
      <c r="A599" s="15">
        <v>44460</v>
      </c>
      <c r="B599" s="16" t="s">
        <v>1610</v>
      </c>
      <c r="C599" s="16" t="s">
        <v>17</v>
      </c>
      <c r="D599" s="16" t="str">
        <f>VLOOKUP(C599,[1]master_data!$A$2:$E$495,2,FALSE)</f>
        <v>HANG ON YANG 502</v>
      </c>
      <c r="E599" s="16">
        <v>3</v>
      </c>
      <c r="F599" s="16">
        <f>VLOOKUP(C599,[1]master_data!$A$2:$E$495,3,FALSE)</f>
        <v>71000</v>
      </c>
      <c r="G599" s="16">
        <f>VLOOKUP(C599,[1]master_data!$A$2:$E$495,4,FALSE)</f>
        <v>95000</v>
      </c>
      <c r="H599" s="16">
        <f>E599*F599</f>
        <v>213000</v>
      </c>
      <c r="I599" s="16">
        <f>E599*G599</f>
        <v>285000</v>
      </c>
      <c r="J599" s="16">
        <f>I599-H599</f>
        <v>72000</v>
      </c>
      <c r="K599" s="16" t="str">
        <f>VLOOKUP(C599,[1]master_data!$A$2:$E$495,5,FALSE)</f>
        <v>Aksesoris</v>
      </c>
      <c r="L599" s="1"/>
    </row>
    <row r="600" spans="1:12" ht="12" customHeight="1" x14ac:dyDescent="0.25">
      <c r="A600" s="15">
        <v>44460</v>
      </c>
      <c r="B600" s="16" t="s">
        <v>1611</v>
      </c>
      <c r="C600" s="16" t="s">
        <v>303</v>
      </c>
      <c r="D600" s="16" t="str">
        <f>VLOOKUP(C600,[1]master_data!$A$2:$E$495,2,FALSE)</f>
        <v>CHANNA ASIATICA K</v>
      </c>
      <c r="E600" s="16">
        <v>1</v>
      </c>
      <c r="F600" s="16">
        <f>VLOOKUP(C600,[1]master_data!$A$2:$E$495,3,FALSE)</f>
        <v>10000</v>
      </c>
      <c r="G600" s="16">
        <f>VLOOKUP(C600,[1]master_data!$A$2:$E$495,4,FALSE)</f>
        <v>40000</v>
      </c>
      <c r="H600" s="16">
        <f>E600*F600</f>
        <v>10000</v>
      </c>
      <c r="I600" s="16">
        <f>E600*G600</f>
        <v>40000</v>
      </c>
      <c r="J600" s="16">
        <f>I600-H600</f>
        <v>30000</v>
      </c>
      <c r="K600" s="16" t="str">
        <f>VLOOKUP(C600,[1]master_data!$A$2:$E$495,5,FALSE)</f>
        <v>Ikan</v>
      </c>
      <c r="L600" s="1"/>
    </row>
    <row r="601" spans="1:12" ht="12" customHeight="1" x14ac:dyDescent="0.25">
      <c r="A601" s="15">
        <v>44459</v>
      </c>
      <c r="B601" s="16" t="s">
        <v>1605</v>
      </c>
      <c r="C601" s="16" t="s">
        <v>354</v>
      </c>
      <c r="D601" s="16" t="str">
        <f>VLOOKUP(C601,[1]master_data!$A$2:$E$495,2,FALSE)</f>
        <v>PEMBERSIH KACA ALBINO</v>
      </c>
      <c r="E601" s="16">
        <v>10</v>
      </c>
      <c r="F601" s="16">
        <f>VLOOKUP(C601,[1]master_data!$A$2:$E$495,3,FALSE)</f>
        <v>2500</v>
      </c>
      <c r="G601" s="16">
        <f>VLOOKUP(C601,[1]master_data!$A$2:$E$495,4,FALSE)</f>
        <v>5000</v>
      </c>
      <c r="H601" s="16">
        <f>E601*F601</f>
        <v>25000</v>
      </c>
      <c r="I601" s="16">
        <f>E601*G601</f>
        <v>50000</v>
      </c>
      <c r="J601" s="16">
        <f>I601-H601</f>
        <v>25000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44459</v>
      </c>
      <c r="B602" s="16" t="s">
        <v>1606</v>
      </c>
      <c r="C602" s="16" t="s">
        <v>336</v>
      </c>
      <c r="D602" s="16" t="str">
        <f>VLOOKUP(C602,[1]master_data!$A$2:$E$495,2,FALSE)</f>
        <v>KOI SLAYER K</v>
      </c>
      <c r="E602" s="16">
        <v>15</v>
      </c>
      <c r="F602" s="16">
        <f>VLOOKUP(C602,[1]master_data!$A$2:$E$495,3,FALSE)</f>
        <v>3500</v>
      </c>
      <c r="G602" s="16">
        <f>VLOOKUP(C602,[1]master_data!$A$2:$E$495,4,FALSE)</f>
        <v>10000</v>
      </c>
      <c r="H602" s="16">
        <f>E602*F602</f>
        <v>52500</v>
      </c>
      <c r="I602" s="16">
        <f>E602*G602</f>
        <v>150000</v>
      </c>
      <c r="J602" s="16">
        <f>I602-H602</f>
        <v>97500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44459</v>
      </c>
      <c r="B603" s="16" t="s">
        <v>1607</v>
      </c>
      <c r="C603" s="16" t="s">
        <v>333</v>
      </c>
      <c r="D603" s="16" t="str">
        <f>VLOOKUP(C603,[1]master_data!$A$2:$E$495,2,FALSE)</f>
        <v>KAVIAT</v>
      </c>
      <c r="E603" s="16">
        <v>28</v>
      </c>
      <c r="F603" s="16">
        <f>VLOOKUP(C603,[1]master_data!$A$2:$E$495,3,FALSE)</f>
        <v>3500</v>
      </c>
      <c r="G603" s="16">
        <f>VLOOKUP(C603,[1]master_data!$A$2:$E$495,4,FALSE)</f>
        <v>8000</v>
      </c>
      <c r="H603" s="16">
        <f>E603*F603</f>
        <v>98000</v>
      </c>
      <c r="I603" s="16">
        <f>E603*G603</f>
        <v>224000</v>
      </c>
      <c r="J603" s="16">
        <f>I603-H603</f>
        <v>126000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44459</v>
      </c>
      <c r="B604" s="16" t="s">
        <v>1608</v>
      </c>
      <c r="C604" s="16" t="s">
        <v>326</v>
      </c>
      <c r="D604" s="16" t="str">
        <f>VLOOKUP(C604,[1]master_data!$A$2:$E$495,2,FALSE)</f>
        <v>KOKI K</v>
      </c>
      <c r="E604" s="16">
        <v>1</v>
      </c>
      <c r="F604" s="16">
        <f>VLOOKUP(C604,[1]master_data!$A$2:$E$495,3,FALSE)</f>
        <v>3500</v>
      </c>
      <c r="G604" s="16">
        <f>VLOOKUP(C604,[1]master_data!$A$2:$E$495,4,FALSE)</f>
        <v>10000</v>
      </c>
      <c r="H604" s="16">
        <f>E604*F604</f>
        <v>3500</v>
      </c>
      <c r="I604" s="16">
        <f>E604*G604</f>
        <v>10000</v>
      </c>
      <c r="J604" s="16">
        <f>I604-H604</f>
        <v>6500</v>
      </c>
      <c r="K604" s="16" t="str">
        <f>VLOOKUP(C604,[1]master_data!$A$2:$E$495,5,FALSE)</f>
        <v>Ikan</v>
      </c>
      <c r="L604" s="1"/>
    </row>
    <row r="605" spans="1:12" ht="12" customHeight="1" x14ac:dyDescent="0.25">
      <c r="A605" s="15">
        <v>44458</v>
      </c>
      <c r="B605" s="16" t="s">
        <v>1597</v>
      </c>
      <c r="C605" s="16" t="s">
        <v>305</v>
      </c>
      <c r="D605" s="16" t="str">
        <f>VLOOKUP(C605,[1]master_data!$A$2:$E$495,2,FALSE)</f>
        <v>CHANNA ASIATICA B</v>
      </c>
      <c r="E605" s="16">
        <v>2</v>
      </c>
      <c r="F605" s="16">
        <f>VLOOKUP(C605,[1]master_data!$A$2:$E$495,3,FALSE)</f>
        <v>40000</v>
      </c>
      <c r="G605" s="16">
        <f>VLOOKUP(C605,[1]master_data!$A$2:$E$495,4,FALSE)</f>
        <v>100000</v>
      </c>
      <c r="H605" s="16">
        <f>E605*F605</f>
        <v>80000</v>
      </c>
      <c r="I605" s="16">
        <f>E605*G605</f>
        <v>200000</v>
      </c>
      <c r="J605" s="16">
        <f>I605-H605</f>
        <v>120000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44458</v>
      </c>
      <c r="B606" s="16" t="s">
        <v>1598</v>
      </c>
      <c r="C606" s="16" t="s">
        <v>329</v>
      </c>
      <c r="D606" s="16" t="str">
        <f>VLOOKUP(C606,[1]master_data!$A$2:$E$495,2,FALSE)</f>
        <v>KOI K</v>
      </c>
      <c r="E606" s="16">
        <v>10</v>
      </c>
      <c r="F606" s="16">
        <f>VLOOKUP(C606,[1]master_data!$A$2:$E$495,3,FALSE)</f>
        <v>2500</v>
      </c>
      <c r="G606" s="16">
        <f>VLOOKUP(C606,[1]master_data!$A$2:$E$495,4,FALSE)</f>
        <v>10000</v>
      </c>
      <c r="H606" s="16">
        <f>E606*F606</f>
        <v>25000</v>
      </c>
      <c r="I606" s="16">
        <f>E606*G606</f>
        <v>100000</v>
      </c>
      <c r="J606" s="16">
        <f>I606-H606</f>
        <v>75000</v>
      </c>
      <c r="K606" s="16" t="str">
        <f>VLOOKUP(C606,[1]master_data!$A$2:$E$495,5,FALSE)</f>
        <v>Ikan</v>
      </c>
      <c r="L606" s="1"/>
    </row>
    <row r="607" spans="1:12" ht="12" customHeight="1" x14ac:dyDescent="0.25">
      <c r="A607" s="15">
        <v>44458</v>
      </c>
      <c r="B607" s="16" t="s">
        <v>1599</v>
      </c>
      <c r="C607" s="16" t="s">
        <v>125</v>
      </c>
      <c r="D607" s="16" t="str">
        <f>VLOOKUP(C607,[1]master_data!$A$2:$E$495,2,FALSE)</f>
        <v>LED VOSSO 50-60 CM</v>
      </c>
      <c r="E607" s="16">
        <v>1</v>
      </c>
      <c r="F607" s="16">
        <f>VLOOKUP(C607,[1]master_data!$A$2:$E$495,3,FALSE)</f>
        <v>50000</v>
      </c>
      <c r="G607" s="16">
        <f>VLOOKUP(C607,[1]master_data!$A$2:$E$495,4,FALSE)</f>
        <v>75000</v>
      </c>
      <c r="H607" s="16">
        <f>E607*F607</f>
        <v>50000</v>
      </c>
      <c r="I607" s="16">
        <f>E607*G607</f>
        <v>75000</v>
      </c>
      <c r="J607" s="16">
        <f>I607-H607</f>
        <v>25000</v>
      </c>
      <c r="K607" s="16" t="str">
        <f>VLOOKUP(C607,[1]master_data!$A$2:$E$495,5,FALSE)</f>
        <v>Aksesoris</v>
      </c>
      <c r="L607" s="1"/>
    </row>
    <row r="608" spans="1:12" ht="12" customHeight="1" x14ac:dyDescent="0.25">
      <c r="A608" s="15">
        <v>44458</v>
      </c>
      <c r="B608" s="16" t="s">
        <v>1600</v>
      </c>
      <c r="C608" s="16" t="s">
        <v>372</v>
      </c>
      <c r="D608" s="16" t="str">
        <f>VLOOKUP(C608,[1]master_data!$A$2:$E$495,2,FALSE)</f>
        <v>ZEBRA KUNING</v>
      </c>
      <c r="E608" s="16">
        <v>10</v>
      </c>
      <c r="F608" s="16">
        <f>VLOOKUP(C608,[1]master_data!$A$2:$E$495,3,FALSE)</f>
        <v>800</v>
      </c>
      <c r="G608" s="16">
        <f>VLOOKUP(C608,[1]master_data!$A$2:$E$495,4,FALSE)</f>
        <v>2000</v>
      </c>
      <c r="H608" s="16">
        <f>E608*F608</f>
        <v>8000</v>
      </c>
      <c r="I608" s="16">
        <f>E608*G608</f>
        <v>20000</v>
      </c>
      <c r="J608" s="16">
        <f>I608-H608</f>
        <v>12000</v>
      </c>
      <c r="K608" s="16" t="str">
        <f>VLOOKUP(C608,[1]master_data!$A$2:$E$495,5,FALSE)</f>
        <v>Ikan</v>
      </c>
      <c r="L608" s="1"/>
    </row>
    <row r="609" spans="1:12" ht="12" customHeight="1" x14ac:dyDescent="0.25">
      <c r="A609" s="15">
        <v>44458</v>
      </c>
      <c r="B609" s="16" t="s">
        <v>1601</v>
      </c>
      <c r="C609" s="16" t="s">
        <v>194</v>
      </c>
      <c r="D609" s="16" t="str">
        <f>VLOOKUP(C609,[1]master_data!$A$2:$E$495,2,FALSE)</f>
        <v>HOKKY PAKAN KURA</v>
      </c>
      <c r="E609" s="16">
        <v>20</v>
      </c>
      <c r="F609" s="16">
        <f>VLOOKUP(C609,[1]master_data!$A$2:$E$495,3,FALSE)</f>
        <v>7500</v>
      </c>
      <c r="G609" s="16">
        <f>VLOOKUP(C609,[1]master_data!$A$2:$E$495,4,FALSE)</f>
        <v>10000</v>
      </c>
      <c r="H609" s="16">
        <f>E609*F609</f>
        <v>150000</v>
      </c>
      <c r="I609" s="16">
        <f>E609*G609</f>
        <v>200000</v>
      </c>
      <c r="J609" s="16">
        <f>I609-H609</f>
        <v>50000</v>
      </c>
      <c r="K609" s="16" t="str">
        <f>VLOOKUP(C609,[1]master_data!$A$2:$E$495,5,FALSE)</f>
        <v>Aksesoris</v>
      </c>
      <c r="L609" s="1"/>
    </row>
    <row r="610" spans="1:12" ht="12" customHeight="1" x14ac:dyDescent="0.25">
      <c r="A610" s="15">
        <v>44458</v>
      </c>
      <c r="B610" s="16" t="s">
        <v>1602</v>
      </c>
      <c r="C610" s="16" t="s">
        <v>178</v>
      </c>
      <c r="D610" s="16" t="str">
        <f>VLOOKUP(C610,[1]master_data!$A$2:$E$495,2,FALSE)</f>
        <v>CP KOI COLOUR</v>
      </c>
      <c r="E610" s="16">
        <v>1</v>
      </c>
      <c r="F610" s="16">
        <f>VLOOKUP(C610,[1]master_data!$A$2:$E$495,3,FALSE)</f>
        <v>38000</v>
      </c>
      <c r="G610" s="16">
        <f>VLOOKUP(C610,[1]master_data!$A$2:$E$495,4,FALSE)</f>
        <v>50000</v>
      </c>
      <c r="H610" s="16">
        <f>E610*F610</f>
        <v>38000</v>
      </c>
      <c r="I610" s="16">
        <f>E610*G610</f>
        <v>50000</v>
      </c>
      <c r="J610" s="16">
        <f>I610-H610</f>
        <v>12000</v>
      </c>
      <c r="K610" s="16" t="str">
        <f>VLOOKUP(C610,[1]master_data!$A$2:$E$495,5,FALSE)</f>
        <v>Aksesoris</v>
      </c>
      <c r="L610" s="1"/>
    </row>
    <row r="611" spans="1:12" ht="12" customHeight="1" x14ac:dyDescent="0.25">
      <c r="A611" s="15">
        <v>44458</v>
      </c>
      <c r="B611" s="16" t="s">
        <v>1603</v>
      </c>
      <c r="C611" s="16" t="s">
        <v>351</v>
      </c>
      <c r="D611" s="16" t="str">
        <f>VLOOKUP(C611,[1]master_data!$A$2:$E$495,2,FALSE)</f>
        <v>NEON</v>
      </c>
      <c r="E611" s="16">
        <v>6</v>
      </c>
      <c r="F611" s="16">
        <f>VLOOKUP(C611,[1]master_data!$A$2:$E$495,3,FALSE)</f>
        <v>1250</v>
      </c>
      <c r="G611" s="16">
        <f>VLOOKUP(C611,[1]master_data!$A$2:$E$495,4,FALSE)</f>
        <v>5000</v>
      </c>
      <c r="H611" s="16">
        <f>E611*F611</f>
        <v>7500</v>
      </c>
      <c r="I611" s="16">
        <f>E611*G611</f>
        <v>30000</v>
      </c>
      <c r="J611" s="16">
        <f>I611-H611</f>
        <v>22500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44458</v>
      </c>
      <c r="B612" s="16" t="s">
        <v>1604</v>
      </c>
      <c r="C612" s="16" t="s">
        <v>332</v>
      </c>
      <c r="D612" s="16" t="str">
        <f>VLOOKUP(C612,[1]master_data!$A$2:$E$495,2,FALSE)</f>
        <v>KURA - KURA</v>
      </c>
      <c r="E612" s="16">
        <v>1</v>
      </c>
      <c r="F612" s="16">
        <f>VLOOKUP(C612,[1]master_data!$A$2:$E$495,3,FALSE)</f>
        <v>25000</v>
      </c>
      <c r="G612" s="16">
        <f>VLOOKUP(C612,[1]master_data!$A$2:$E$495,4,FALSE)</f>
        <v>35000</v>
      </c>
      <c r="H612" s="16">
        <f>E612*F612</f>
        <v>25000</v>
      </c>
      <c r="I612" s="16">
        <f>E612*G612</f>
        <v>35000</v>
      </c>
      <c r="J612" s="16">
        <f>I612-H612</f>
        <v>10000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44457</v>
      </c>
      <c r="B613" s="16" t="s">
        <v>1594</v>
      </c>
      <c r="C613" s="16" t="s">
        <v>147</v>
      </c>
      <c r="D613" s="16" t="str">
        <f>VLOOKUP(C613,[1]master_data!$A$2:$E$495,2,FALSE)</f>
        <v>LED KANDILA DnN 100 CM</v>
      </c>
      <c r="E613" s="16">
        <v>5</v>
      </c>
      <c r="F613" s="16">
        <f>VLOOKUP(C613,[1]master_data!$A$2:$E$495,3,FALSE)</f>
        <v>55000</v>
      </c>
      <c r="G613" s="16">
        <f>VLOOKUP(C613,[1]master_data!$A$2:$E$495,4,FALSE)</f>
        <v>100000</v>
      </c>
      <c r="H613" s="16">
        <f>E613*F613</f>
        <v>275000</v>
      </c>
      <c r="I613" s="16">
        <f>E613*G613</f>
        <v>500000</v>
      </c>
      <c r="J613" s="16">
        <f>I613-H613</f>
        <v>225000</v>
      </c>
      <c r="K613" s="16" t="str">
        <f>VLOOKUP(C613,[1]master_data!$A$2:$E$495,5,FALSE)</f>
        <v>Aksesoris</v>
      </c>
      <c r="L613" s="1"/>
    </row>
    <row r="614" spans="1:12" ht="12" customHeight="1" x14ac:dyDescent="0.25">
      <c r="A614" s="15">
        <v>44457</v>
      </c>
      <c r="B614" s="16" t="s">
        <v>1595</v>
      </c>
      <c r="C614" s="16" t="s">
        <v>330</v>
      </c>
      <c r="D614" s="16" t="str">
        <f>VLOOKUP(C614,[1]master_data!$A$2:$E$495,2,FALSE)</f>
        <v>KOI T</v>
      </c>
      <c r="E614" s="16">
        <v>1</v>
      </c>
      <c r="F614" s="16">
        <f>VLOOKUP(C614,[1]master_data!$A$2:$E$495,3,FALSE)</f>
        <v>7000</v>
      </c>
      <c r="G614" s="16">
        <f>VLOOKUP(C614,[1]master_data!$A$2:$E$495,4,FALSE)</f>
        <v>20000</v>
      </c>
      <c r="H614" s="16">
        <f>E614*F614</f>
        <v>7000</v>
      </c>
      <c r="I614" s="16">
        <f>E614*G614</f>
        <v>20000</v>
      </c>
      <c r="J614" s="16">
        <f>I614-H614</f>
        <v>13000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44457</v>
      </c>
      <c r="B615" s="16" t="s">
        <v>1596</v>
      </c>
      <c r="C615" s="16" t="s">
        <v>227</v>
      </c>
      <c r="D615" s="16" t="str">
        <f>VLOOKUP(C615,[1]master_data!$A$2:$E$495,2,FALSE)</f>
        <v>KAPAS HITAM OXY</v>
      </c>
      <c r="E615" s="16">
        <v>4</v>
      </c>
      <c r="F615" s="16">
        <f>VLOOKUP(C615,[1]master_data!$A$2:$E$495,3,FALSE)</f>
        <v>7000</v>
      </c>
      <c r="G615" s="16">
        <f>VLOOKUP(C615,[1]master_data!$A$2:$E$495,4,FALSE)</f>
        <v>10000</v>
      </c>
      <c r="H615" s="16">
        <f>E615*F615</f>
        <v>28000</v>
      </c>
      <c r="I615" s="16">
        <f>E615*G615</f>
        <v>40000</v>
      </c>
      <c r="J615" s="16">
        <f>I615-H615</f>
        <v>12000</v>
      </c>
      <c r="K615" s="16" t="str">
        <f>VLOOKUP(C615,[1]master_data!$A$2:$E$495,5,FALSE)</f>
        <v>Aksesoris</v>
      </c>
      <c r="L615" s="1"/>
    </row>
    <row r="616" spans="1:12" ht="12" customHeight="1" x14ac:dyDescent="0.25">
      <c r="A616" s="15">
        <v>44456</v>
      </c>
      <c r="B616" s="16" t="s">
        <v>1590</v>
      </c>
      <c r="C616" s="16" t="s">
        <v>223</v>
      </c>
      <c r="D616" s="16" t="str">
        <f>VLOOKUP(C616,[1]master_data!$A$2:$E$495,2,FALSE)</f>
        <v>JARING 30</v>
      </c>
      <c r="E616" s="16">
        <v>10</v>
      </c>
      <c r="F616" s="16">
        <f>VLOOKUP(C616,[1]master_data!$A$2:$E$495,3,FALSE)</f>
        <v>7100</v>
      </c>
      <c r="G616" s="16">
        <f>VLOOKUP(C616,[1]master_data!$A$2:$E$495,4,FALSE)</f>
        <v>12000</v>
      </c>
      <c r="H616" s="16">
        <f>E616*F616</f>
        <v>71000</v>
      </c>
      <c r="I616" s="16">
        <f>E616*G616</f>
        <v>120000</v>
      </c>
      <c r="J616" s="16">
        <f>I616-H616</f>
        <v>49000</v>
      </c>
      <c r="K616" s="16" t="str">
        <f>VLOOKUP(C616,[1]master_data!$A$2:$E$495,5,FALSE)</f>
        <v>Aksesoris</v>
      </c>
      <c r="L616" s="1"/>
    </row>
    <row r="617" spans="1:12" ht="12" customHeight="1" x14ac:dyDescent="0.25">
      <c r="A617" s="15">
        <v>44456</v>
      </c>
      <c r="B617" s="16" t="s">
        <v>1591</v>
      </c>
      <c r="C617" s="16" t="s">
        <v>339</v>
      </c>
      <c r="D617" s="16" t="str">
        <f>VLOOKUP(C617,[1]master_data!$A$2:$E$495,2,FALSE)</f>
        <v>DISCUS</v>
      </c>
      <c r="E617" s="16">
        <v>2</v>
      </c>
      <c r="F617" s="16">
        <f>VLOOKUP(C617,[1]master_data!$A$2:$E$495,3,FALSE)</f>
        <v>50000</v>
      </c>
      <c r="G617" s="16">
        <f>VLOOKUP(C617,[1]master_data!$A$2:$E$495,4,FALSE)</f>
        <v>150000</v>
      </c>
      <c r="H617" s="16">
        <f>E617*F617</f>
        <v>100000</v>
      </c>
      <c r="I617" s="16">
        <f>E617*G617</f>
        <v>300000</v>
      </c>
      <c r="J617" s="16">
        <f>I617-H617</f>
        <v>200000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44456</v>
      </c>
      <c r="B618" s="16" t="s">
        <v>1592</v>
      </c>
      <c r="C618" s="16" t="s">
        <v>166</v>
      </c>
      <c r="D618" s="16" t="str">
        <f>VLOOKUP(C618,[1]master_data!$A$2:$E$495,2,FALSE)</f>
        <v>OK IKO LOUHAN MERAH</v>
      </c>
      <c r="E618" s="16">
        <v>6</v>
      </c>
      <c r="F618" s="16">
        <f>VLOOKUP(C618,[1]master_data!$A$2:$E$495,3,FALSE)</f>
        <v>33500</v>
      </c>
      <c r="G618" s="16">
        <f>VLOOKUP(C618,[1]master_data!$A$2:$E$495,4,FALSE)</f>
        <v>50000</v>
      </c>
      <c r="H618" s="16">
        <f>E618*F618</f>
        <v>201000</v>
      </c>
      <c r="I618" s="16">
        <f>E618*G618</f>
        <v>300000</v>
      </c>
      <c r="J618" s="16">
        <f>I618-H618</f>
        <v>99000</v>
      </c>
      <c r="K618" s="16" t="str">
        <f>VLOOKUP(C618,[1]master_data!$A$2:$E$495,5,FALSE)</f>
        <v>Aksesoris</v>
      </c>
      <c r="L618" s="1"/>
    </row>
    <row r="619" spans="1:12" ht="12" customHeight="1" x14ac:dyDescent="0.25">
      <c r="A619" s="15">
        <v>44456</v>
      </c>
      <c r="B619" s="16" t="s">
        <v>1593</v>
      </c>
      <c r="C619" s="16" t="s">
        <v>223</v>
      </c>
      <c r="D619" s="16" t="str">
        <f>VLOOKUP(C619,[1]master_data!$A$2:$E$495,2,FALSE)</f>
        <v>JARING 30</v>
      </c>
      <c r="E619" s="16">
        <v>10</v>
      </c>
      <c r="F619" s="16">
        <f>VLOOKUP(C619,[1]master_data!$A$2:$E$495,3,FALSE)</f>
        <v>7100</v>
      </c>
      <c r="G619" s="16">
        <f>VLOOKUP(C619,[1]master_data!$A$2:$E$495,4,FALSE)</f>
        <v>12000</v>
      </c>
      <c r="H619" s="16">
        <f>E619*F619</f>
        <v>71000</v>
      </c>
      <c r="I619" s="16">
        <f>E619*G619</f>
        <v>120000</v>
      </c>
      <c r="J619" s="16">
        <f>I619-H619</f>
        <v>49000</v>
      </c>
      <c r="K619" s="16" t="str">
        <f>VLOOKUP(C619,[1]master_data!$A$2:$E$495,5,FALSE)</f>
        <v>Aksesoris</v>
      </c>
      <c r="L619" s="1"/>
    </row>
    <row r="620" spans="1:12" ht="12" customHeight="1" x14ac:dyDescent="0.25">
      <c r="A620" s="15">
        <v>44455</v>
      </c>
      <c r="B620" s="16" t="s">
        <v>1584</v>
      </c>
      <c r="C620" s="16" t="s">
        <v>346</v>
      </c>
      <c r="D620" s="16" t="str">
        <f>VLOOKUP(C620,[1]master_data!$A$2:$E$495,2,FALSE)</f>
        <v>MOLI PAKAN</v>
      </c>
      <c r="E620" s="16">
        <v>30</v>
      </c>
      <c r="F620" s="16">
        <f>VLOOKUP(C620,[1]master_data!$A$2:$E$495,3,FALSE)</f>
        <v>100</v>
      </c>
      <c r="G620" s="16">
        <f>VLOOKUP(C620,[1]master_data!$A$2:$E$495,4,FALSE)</f>
        <v>200</v>
      </c>
      <c r="H620" s="16">
        <f>E620*F620</f>
        <v>3000</v>
      </c>
      <c r="I620" s="16">
        <f>E620*G620</f>
        <v>6000</v>
      </c>
      <c r="J620" s="16">
        <f>I620-H620</f>
        <v>3000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44455</v>
      </c>
      <c r="B621" s="16" t="s">
        <v>1585</v>
      </c>
      <c r="C621" s="16" t="s">
        <v>337</v>
      </c>
      <c r="D621" s="16" t="str">
        <f>VLOOKUP(C621,[1]master_data!$A$2:$E$495,2,FALSE)</f>
        <v>KOI SLAYER B</v>
      </c>
      <c r="E621" s="16">
        <v>10</v>
      </c>
      <c r="F621" s="16">
        <f>VLOOKUP(C621,[1]master_data!$A$2:$E$495,3,FALSE)</f>
        <v>8000</v>
      </c>
      <c r="G621" s="16">
        <f>VLOOKUP(C621,[1]master_data!$A$2:$E$495,4,FALSE)</f>
        <v>20000</v>
      </c>
      <c r="H621" s="16">
        <f>E621*F621</f>
        <v>80000</v>
      </c>
      <c r="I621" s="16">
        <f>E621*G621</f>
        <v>200000</v>
      </c>
      <c r="J621" s="16">
        <f>I621-H621</f>
        <v>120000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44455</v>
      </c>
      <c r="B622" s="16" t="s">
        <v>1586</v>
      </c>
      <c r="C622" s="16" t="s">
        <v>334</v>
      </c>
      <c r="D622" s="16" t="str">
        <f>VLOOKUP(C622,[1]master_data!$A$2:$E$495,2,FALSE)</f>
        <v>KOMET PAKAN</v>
      </c>
      <c r="E622" s="16">
        <v>75</v>
      </c>
      <c r="F622" s="16">
        <f>VLOOKUP(C622,[1]master_data!$A$2:$E$495,3,FALSE)</f>
        <v>300</v>
      </c>
      <c r="G622" s="16">
        <f>VLOOKUP(C622,[1]master_data!$A$2:$E$495,4,FALSE)</f>
        <v>1000</v>
      </c>
      <c r="H622" s="16">
        <f>E622*F622</f>
        <v>22500</v>
      </c>
      <c r="I622" s="16">
        <f>E622*G622</f>
        <v>75000</v>
      </c>
      <c r="J622" s="16">
        <f>I622-H622</f>
        <v>52500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44455</v>
      </c>
      <c r="B623" s="16" t="s">
        <v>1587</v>
      </c>
      <c r="C623" s="16" t="s">
        <v>92</v>
      </c>
      <c r="D623" s="16" t="str">
        <f>VLOOKUP(C623,[1]master_data!$A$2:$E$495,2,FALSE)</f>
        <v>AIRATOR KANDILA LUB 2</v>
      </c>
      <c r="E623" s="16">
        <v>3</v>
      </c>
      <c r="F623" s="16">
        <f>VLOOKUP(C623,[1]master_data!$A$2:$E$495,3,FALSE)</f>
        <v>26000</v>
      </c>
      <c r="G623" s="16">
        <f>VLOOKUP(C623,[1]master_data!$A$2:$E$495,4,FALSE)</f>
        <v>50000</v>
      </c>
      <c r="H623" s="16">
        <f>E623*F623</f>
        <v>78000</v>
      </c>
      <c r="I623" s="16">
        <f>E623*G623</f>
        <v>150000</v>
      </c>
      <c r="J623" s="16">
        <f>I623-H623</f>
        <v>72000</v>
      </c>
      <c r="K623" s="16" t="str">
        <f>VLOOKUP(C623,[1]master_data!$A$2:$E$495,5,FALSE)</f>
        <v>Aksesoris</v>
      </c>
      <c r="L623" s="1"/>
    </row>
    <row r="624" spans="1:12" ht="12" customHeight="1" x14ac:dyDescent="0.25">
      <c r="A624" s="15">
        <v>44455</v>
      </c>
      <c r="B624" s="16" t="s">
        <v>1588</v>
      </c>
      <c r="C624" s="16" t="s">
        <v>356</v>
      </c>
      <c r="D624" s="16" t="str">
        <f>VLOOKUP(C624,[1]master_data!$A$2:$E$495,2,FALSE)</f>
        <v>PARROT</v>
      </c>
      <c r="E624" s="16">
        <v>1</v>
      </c>
      <c r="F624" s="16">
        <f>VLOOKUP(C624,[1]master_data!$A$2:$E$495,3,FALSE)</f>
        <v>27000</v>
      </c>
      <c r="G624" s="16">
        <f>VLOOKUP(C624,[1]master_data!$A$2:$E$495,4,FALSE)</f>
        <v>60000</v>
      </c>
      <c r="H624" s="16">
        <f>E624*F624</f>
        <v>27000</v>
      </c>
      <c r="I624" s="16">
        <f>E624*G624</f>
        <v>60000</v>
      </c>
      <c r="J624" s="16">
        <f>I624-H624</f>
        <v>33000</v>
      </c>
      <c r="K624" s="16" t="str">
        <f>VLOOKUP(C624,[1]master_data!$A$2:$E$495,5,FALSE)</f>
        <v>Ikan</v>
      </c>
      <c r="L624" s="1"/>
    </row>
    <row r="625" spans="1:12" ht="12" customHeight="1" x14ac:dyDescent="0.25">
      <c r="A625" s="15">
        <v>44455</v>
      </c>
      <c r="B625" s="16" t="s">
        <v>1589</v>
      </c>
      <c r="C625" s="16" t="s">
        <v>157</v>
      </c>
      <c r="D625" s="16" t="str">
        <f>VLOOKUP(C625,[1]master_data!$A$2:$E$495,2,FALSE)</f>
        <v>LED KANDILA DnN ECO 50 CM</v>
      </c>
      <c r="E625" s="16">
        <v>1</v>
      </c>
      <c r="F625" s="16">
        <f>VLOOKUP(C625,[1]master_data!$A$2:$E$495,3,FALSE)</f>
        <v>56000</v>
      </c>
      <c r="G625" s="16">
        <f>VLOOKUP(C625,[1]master_data!$A$2:$E$495,4,FALSE)</f>
        <v>85000</v>
      </c>
      <c r="H625" s="16">
        <f>E625*F625</f>
        <v>56000</v>
      </c>
      <c r="I625" s="16">
        <f>E625*G625</f>
        <v>85000</v>
      </c>
      <c r="J625" s="16">
        <f>I625-H625</f>
        <v>29000</v>
      </c>
      <c r="K625" s="16" t="str">
        <f>VLOOKUP(C625,[1]master_data!$A$2:$E$495,5,FALSE)</f>
        <v>Aksesoris</v>
      </c>
      <c r="L625" s="1"/>
    </row>
    <row r="626" spans="1:12" ht="12" customHeight="1" x14ac:dyDescent="0.25">
      <c r="A626" s="15">
        <v>44454</v>
      </c>
      <c r="B626" s="16" t="s">
        <v>1578</v>
      </c>
      <c r="C626" s="16" t="s">
        <v>177</v>
      </c>
      <c r="D626" s="16" t="str">
        <f>VLOOKUP(C626,[1]master_data!$A$2:$E$495,2,FALSE)</f>
        <v>CP KOI GROWTH</v>
      </c>
      <c r="E626" s="16">
        <v>1</v>
      </c>
      <c r="F626" s="16">
        <f>VLOOKUP(C626,[1]master_data!$A$2:$E$495,3,FALSE)</f>
        <v>38000</v>
      </c>
      <c r="G626" s="16">
        <f>VLOOKUP(C626,[1]master_data!$A$2:$E$495,4,FALSE)</f>
        <v>50000</v>
      </c>
      <c r="H626" s="16">
        <f>E626*F626</f>
        <v>38000</v>
      </c>
      <c r="I626" s="16">
        <f>E626*G626</f>
        <v>50000</v>
      </c>
      <c r="J626" s="16">
        <f>I626-H626</f>
        <v>12000</v>
      </c>
      <c r="K626" s="16" t="str">
        <f>VLOOKUP(C626,[1]master_data!$A$2:$E$495,5,FALSE)</f>
        <v>Aksesoris</v>
      </c>
      <c r="L626" s="1"/>
    </row>
    <row r="627" spans="1:12" ht="12" customHeight="1" x14ac:dyDescent="0.25">
      <c r="A627" s="15">
        <v>44454</v>
      </c>
      <c r="B627" s="16" t="s">
        <v>1579</v>
      </c>
      <c r="C627" s="16" t="s">
        <v>220</v>
      </c>
      <c r="D627" s="16" t="str">
        <f>VLOOKUP(C627,[1]master_data!$A$2:$E$495,2,FALSE)</f>
        <v>JARING 10</v>
      </c>
      <c r="E627" s="16">
        <v>20</v>
      </c>
      <c r="F627" s="16">
        <f>VLOOKUP(C627,[1]master_data!$A$2:$E$495,3,FALSE)</f>
        <v>2900</v>
      </c>
      <c r="G627" s="16">
        <f>VLOOKUP(C627,[1]master_data!$A$2:$E$495,4,FALSE)</f>
        <v>6000</v>
      </c>
      <c r="H627" s="16">
        <f>E627*F627</f>
        <v>58000</v>
      </c>
      <c r="I627" s="16">
        <f>E627*G627</f>
        <v>120000</v>
      </c>
      <c r="J627" s="16">
        <f>I627-H627</f>
        <v>62000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44454</v>
      </c>
      <c r="B628" s="16" t="s">
        <v>1580</v>
      </c>
      <c r="C628" s="16" t="s">
        <v>258</v>
      </c>
      <c r="D628" s="16" t="str">
        <f>VLOOKUP(C628,[1]master_data!$A$2:$E$495,2,FALSE)</f>
        <v>BLITS B</v>
      </c>
      <c r="E628" s="16">
        <v>10</v>
      </c>
      <c r="F628" s="16">
        <f>VLOOKUP(C628,[1]master_data!$A$2:$E$495,3,FALSE)</f>
        <v>6500</v>
      </c>
      <c r="G628" s="16">
        <f>VLOOKUP(C628,[1]master_data!$A$2:$E$495,4,FALSE)</f>
        <v>10000</v>
      </c>
      <c r="H628" s="16">
        <f>E628*F628</f>
        <v>65000</v>
      </c>
      <c r="I628" s="16">
        <f>E628*G628</f>
        <v>100000</v>
      </c>
      <c r="J628" s="16">
        <f>I628-H628</f>
        <v>35000</v>
      </c>
      <c r="K628" s="16" t="str">
        <f>VLOOKUP(C628,[1]master_data!$A$2:$E$495,5,FALSE)</f>
        <v>Aksesoris</v>
      </c>
      <c r="L628" s="1"/>
    </row>
    <row r="629" spans="1:12" ht="12" customHeight="1" x14ac:dyDescent="0.25">
      <c r="A629" s="15">
        <v>44454</v>
      </c>
      <c r="B629" s="16" t="s">
        <v>1581</v>
      </c>
      <c r="C629" s="16" t="s">
        <v>359</v>
      </c>
      <c r="D629" s="16" t="str">
        <f>VLOOKUP(C629,[1]master_data!$A$2:$E$495,2,FALSE)</f>
        <v>REDFIN ALBINO</v>
      </c>
      <c r="E629" s="16">
        <v>10</v>
      </c>
      <c r="F629" s="16">
        <f>VLOOKUP(C629,[1]master_data!$A$2:$E$495,3,FALSE)</f>
        <v>1500</v>
      </c>
      <c r="G629" s="16">
        <f>VLOOKUP(C629,[1]master_data!$A$2:$E$495,4,FALSE)</f>
        <v>4000</v>
      </c>
      <c r="H629" s="16">
        <f>E629*F629</f>
        <v>15000</v>
      </c>
      <c r="I629" s="16">
        <f>E629*G629</f>
        <v>40000</v>
      </c>
      <c r="J629" s="16">
        <f>I629-H629</f>
        <v>25000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44454</v>
      </c>
      <c r="B630" s="16" t="s">
        <v>1582</v>
      </c>
      <c r="C630" s="16" t="s">
        <v>343</v>
      </c>
      <c r="D630" s="16" t="str">
        <f>VLOOKUP(C630,[1]master_data!$A$2:$E$495,2,FALSE)</f>
        <v>MANFISH K</v>
      </c>
      <c r="E630" s="16">
        <v>25</v>
      </c>
      <c r="F630" s="16">
        <f>VLOOKUP(C630,[1]master_data!$A$2:$E$495,3,FALSE)</f>
        <v>2000</v>
      </c>
      <c r="G630" s="16">
        <f>VLOOKUP(C630,[1]master_data!$A$2:$E$495,4,FALSE)</f>
        <v>5000</v>
      </c>
      <c r="H630" s="16">
        <f>E630*F630</f>
        <v>50000</v>
      </c>
      <c r="I630" s="16">
        <f>E630*G630</f>
        <v>125000</v>
      </c>
      <c r="J630" s="16">
        <f>I630-H630</f>
        <v>75000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44454</v>
      </c>
      <c r="B631" s="16" t="s">
        <v>1583</v>
      </c>
      <c r="C631" s="16" t="s">
        <v>355</v>
      </c>
      <c r="D631" s="16" t="str">
        <f>VLOOKUP(C631,[1]master_data!$A$2:$E$495,2,FALSE)</f>
        <v>PALMAS</v>
      </c>
      <c r="E631" s="16">
        <v>1</v>
      </c>
      <c r="F631" s="16">
        <f>VLOOKUP(C631,[1]master_data!$A$2:$E$495,3,FALSE)</f>
        <v>10000</v>
      </c>
      <c r="G631" s="16">
        <f>VLOOKUP(C631,[1]master_data!$A$2:$E$495,4,FALSE)</f>
        <v>25000</v>
      </c>
      <c r="H631" s="16">
        <f>E631*F631</f>
        <v>10000</v>
      </c>
      <c r="I631" s="16">
        <f>E631*G631</f>
        <v>25000</v>
      </c>
      <c r="J631" s="16">
        <f>I631-H631</f>
        <v>15000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44453</v>
      </c>
      <c r="B632" s="16" t="s">
        <v>1575</v>
      </c>
      <c r="C632" s="16" t="s">
        <v>369</v>
      </c>
      <c r="D632" s="16" t="str">
        <f>VLOOKUP(C632,[1]master_data!$A$2:$E$495,2,FALSE)</f>
        <v>ZEBRA PINK</v>
      </c>
      <c r="E632" s="16">
        <v>50</v>
      </c>
      <c r="F632" s="16">
        <f>VLOOKUP(C632,[1]master_data!$A$2:$E$495,3,FALSE)</f>
        <v>800</v>
      </c>
      <c r="G632" s="16">
        <f>VLOOKUP(C632,[1]master_data!$A$2:$E$495,4,FALSE)</f>
        <v>2000</v>
      </c>
      <c r="H632" s="16">
        <f>E632*F632</f>
        <v>40000</v>
      </c>
      <c r="I632" s="16">
        <f>E632*G632</f>
        <v>100000</v>
      </c>
      <c r="J632" s="16">
        <f>I632-H632</f>
        <v>60000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44453</v>
      </c>
      <c r="B633" s="16" t="s">
        <v>1576</v>
      </c>
      <c r="C633" s="16" t="s">
        <v>43</v>
      </c>
      <c r="D633" s="16" t="str">
        <f>VLOOKUP(C633,[1]master_data!$A$2:$E$495,2,FALSE)</f>
        <v>MESIN YAMANO 650</v>
      </c>
      <c r="E633" s="16">
        <v>7</v>
      </c>
      <c r="F633" s="16">
        <f>VLOOKUP(C633,[1]master_data!$A$2:$E$495,3,FALSE)</f>
        <v>40000</v>
      </c>
      <c r="G633" s="16">
        <f>VLOOKUP(C633,[1]master_data!$A$2:$E$495,4,FALSE)</f>
        <v>70000</v>
      </c>
      <c r="H633" s="16">
        <f>E633*F633</f>
        <v>280000</v>
      </c>
      <c r="I633" s="16">
        <f>E633*G633</f>
        <v>490000</v>
      </c>
      <c r="J633" s="16">
        <f>I633-H633</f>
        <v>210000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44453</v>
      </c>
      <c r="B634" s="16" t="s">
        <v>1577</v>
      </c>
      <c r="C634" s="16" t="s">
        <v>180</v>
      </c>
      <c r="D634" s="16" t="str">
        <f>VLOOKUP(C634,[1]master_data!$A$2:$E$495,2,FALSE)</f>
        <v>HOKKY KOI COLOUR</v>
      </c>
      <c r="E634" s="16">
        <v>1</v>
      </c>
      <c r="F634" s="16">
        <f>VLOOKUP(C634,[1]master_data!$A$2:$E$495,3,FALSE)</f>
        <v>55000</v>
      </c>
      <c r="G634" s="16">
        <f>VLOOKUP(C634,[1]master_data!$A$2:$E$495,4,FALSE)</f>
        <v>60000</v>
      </c>
      <c r="H634" s="16">
        <f>E634*F634</f>
        <v>55000</v>
      </c>
      <c r="I634" s="16">
        <f>E634*G634</f>
        <v>60000</v>
      </c>
      <c r="J634" s="16">
        <f>I634-H634</f>
        <v>5000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44452</v>
      </c>
      <c r="B635" s="16" t="s">
        <v>1572</v>
      </c>
      <c r="C635" s="16" t="s">
        <v>257</v>
      </c>
      <c r="D635" s="16" t="str">
        <f>VLOOKUP(C635,[1]master_data!$A$2:$E$495,2,FALSE)</f>
        <v>JARING PENDEK BULAT</v>
      </c>
      <c r="E635" s="16">
        <v>10</v>
      </c>
      <c r="F635" s="16">
        <f>VLOOKUP(C635,[1]master_data!$A$2:$E$495,3,FALSE)</f>
        <v>15000</v>
      </c>
      <c r="G635" s="16">
        <f>VLOOKUP(C635,[1]master_data!$A$2:$E$495,4,FALSE)</f>
        <v>30000</v>
      </c>
      <c r="H635" s="16">
        <f>E635*F635</f>
        <v>150000</v>
      </c>
      <c r="I635" s="16">
        <f>E635*G635</f>
        <v>300000</v>
      </c>
      <c r="J635" s="16">
        <f>I635-H635</f>
        <v>150000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44452</v>
      </c>
      <c r="B636" s="16" t="s">
        <v>1573</v>
      </c>
      <c r="C636" s="16" t="s">
        <v>333</v>
      </c>
      <c r="D636" s="16" t="str">
        <f>VLOOKUP(C636,[1]master_data!$A$2:$E$495,2,FALSE)</f>
        <v>KAVIAT</v>
      </c>
      <c r="E636" s="16">
        <v>20</v>
      </c>
      <c r="F636" s="16">
        <f>VLOOKUP(C636,[1]master_data!$A$2:$E$495,3,FALSE)</f>
        <v>3500</v>
      </c>
      <c r="G636" s="16">
        <f>VLOOKUP(C636,[1]master_data!$A$2:$E$495,4,FALSE)</f>
        <v>8000</v>
      </c>
      <c r="H636" s="16">
        <f>E636*F636</f>
        <v>70000</v>
      </c>
      <c r="I636" s="16">
        <f>E636*G636</f>
        <v>160000</v>
      </c>
      <c r="J636" s="16">
        <f>I636-H636</f>
        <v>90000</v>
      </c>
      <c r="K636" s="16" t="str">
        <f>VLOOKUP(C636,[1]master_data!$A$2:$E$495,5,FALSE)</f>
        <v>Ikan</v>
      </c>
      <c r="L636" s="1"/>
    </row>
    <row r="637" spans="1:12" ht="12" customHeight="1" x14ac:dyDescent="0.25">
      <c r="A637" s="15">
        <v>44452</v>
      </c>
      <c r="B637" s="16" t="s">
        <v>1574</v>
      </c>
      <c r="C637" s="16" t="s">
        <v>331</v>
      </c>
      <c r="D637" s="16" t="str">
        <f>VLOOKUP(C637,[1]master_data!$A$2:$E$495,2,FALSE)</f>
        <v>KOI B</v>
      </c>
      <c r="E637" s="16">
        <v>1</v>
      </c>
      <c r="F637" s="16">
        <f>VLOOKUP(C637,[1]master_data!$A$2:$E$495,3,FALSE)</f>
        <v>9000</v>
      </c>
      <c r="G637" s="16">
        <f>VLOOKUP(C637,[1]master_data!$A$2:$E$495,4,FALSE)</f>
        <v>30000</v>
      </c>
      <c r="H637" s="16">
        <f>E637*F637</f>
        <v>9000</v>
      </c>
      <c r="I637" s="16">
        <f>E637*G637</f>
        <v>30000</v>
      </c>
      <c r="J637" s="16">
        <f>I637-H637</f>
        <v>21000</v>
      </c>
      <c r="K637" s="16" t="str">
        <f>VLOOKUP(C637,[1]master_data!$A$2:$E$495,5,FALSE)</f>
        <v>Ikan</v>
      </c>
      <c r="L637" s="1"/>
    </row>
    <row r="638" spans="1:12" ht="12" customHeight="1" x14ac:dyDescent="0.25">
      <c r="A638" s="15">
        <v>44451</v>
      </c>
      <c r="B638" s="16" t="s">
        <v>1569</v>
      </c>
      <c r="C638" s="16" t="s">
        <v>318</v>
      </c>
      <c r="D638" s="16" t="str">
        <f>VLOOKUP(C638,[1]master_data!$A$2:$E$495,2,FALSE)</f>
        <v>KOMET BOKIM</v>
      </c>
      <c r="E638" s="16">
        <v>15</v>
      </c>
      <c r="F638" s="16">
        <f>VLOOKUP(C638,[1]master_data!$A$2:$E$495,3,FALSE)</f>
        <v>1500</v>
      </c>
      <c r="G638" s="16">
        <f>VLOOKUP(C638,[1]master_data!$A$2:$E$495,4,FALSE)</f>
        <v>5000</v>
      </c>
      <c r="H638" s="16">
        <f>E638*F638</f>
        <v>22500</v>
      </c>
      <c r="I638" s="16">
        <f>E638*G638</f>
        <v>75000</v>
      </c>
      <c r="J638" s="16">
        <f>I638-H638</f>
        <v>52500</v>
      </c>
      <c r="K638" s="16" t="str">
        <f>VLOOKUP(C638,[1]master_data!$A$2:$E$495,5,FALSE)</f>
        <v>Ikan</v>
      </c>
      <c r="L638" s="1"/>
    </row>
    <row r="639" spans="1:12" ht="12" customHeight="1" x14ac:dyDescent="0.25">
      <c r="A639" s="15">
        <v>44451</v>
      </c>
      <c r="B639" s="16" t="s">
        <v>1570</v>
      </c>
      <c r="C639" s="16" t="s">
        <v>308</v>
      </c>
      <c r="D639" s="16" t="str">
        <f>VLOOKUP(C639,[1]master_data!$A$2:$E$495,2,FALSE)</f>
        <v>ARWANA SILVER B</v>
      </c>
      <c r="E639" s="16">
        <v>1</v>
      </c>
      <c r="F639" s="16">
        <f>VLOOKUP(C639,[1]master_data!$A$2:$E$495,3,FALSE)</f>
        <v>300000</v>
      </c>
      <c r="G639" s="16">
        <f>VLOOKUP(C639,[1]master_data!$A$2:$E$495,4,FALSE)</f>
        <v>500000</v>
      </c>
      <c r="H639" s="16">
        <f>E639*F639</f>
        <v>300000</v>
      </c>
      <c r="I639" s="16">
        <f>E639*G639</f>
        <v>500000</v>
      </c>
      <c r="J639" s="16">
        <f>I639-H639</f>
        <v>200000</v>
      </c>
      <c r="K639" s="16" t="str">
        <f>VLOOKUP(C639,[1]master_data!$A$2:$E$495,5,FALSE)</f>
        <v>Ikan</v>
      </c>
      <c r="L639" s="1"/>
    </row>
    <row r="640" spans="1:12" ht="12" customHeight="1" x14ac:dyDescent="0.25">
      <c r="A640" s="15">
        <v>44451</v>
      </c>
      <c r="B640" s="16" t="s">
        <v>1571</v>
      </c>
      <c r="C640" s="16" t="s">
        <v>328</v>
      </c>
      <c r="D640" s="16" t="str">
        <f>VLOOKUP(C640,[1]master_data!$A$2:$E$495,2,FALSE)</f>
        <v>KOKI B</v>
      </c>
      <c r="E640" s="16">
        <v>1</v>
      </c>
      <c r="F640" s="16">
        <f>VLOOKUP(C640,[1]master_data!$A$2:$E$495,3,FALSE)</f>
        <v>20000</v>
      </c>
      <c r="G640" s="16">
        <f>VLOOKUP(C640,[1]master_data!$A$2:$E$495,4,FALSE)</f>
        <v>50000</v>
      </c>
      <c r="H640" s="16">
        <f>E640*F640</f>
        <v>20000</v>
      </c>
      <c r="I640" s="16">
        <f>E640*G640</f>
        <v>50000</v>
      </c>
      <c r="J640" s="16">
        <f>I640-H640</f>
        <v>30000</v>
      </c>
      <c r="K640" s="16" t="str">
        <f>VLOOKUP(C640,[1]master_data!$A$2:$E$495,5,FALSE)</f>
        <v>Ikan</v>
      </c>
      <c r="L640" s="1"/>
    </row>
    <row r="641" spans="1:12" ht="12" customHeight="1" x14ac:dyDescent="0.25">
      <c r="A641" s="15">
        <v>44450</v>
      </c>
      <c r="B641" s="16" t="s">
        <v>1565</v>
      </c>
      <c r="C641" s="16" t="s">
        <v>317</v>
      </c>
      <c r="D641" s="16" t="str">
        <f>VLOOKUP(C641,[1]master_data!$A$2:$E$495,2,FALSE)</f>
        <v>CHANNA BLUE PULCHRA B</v>
      </c>
      <c r="E641" s="16">
        <v>2</v>
      </c>
      <c r="F641" s="16">
        <f>VLOOKUP(C641,[1]master_data!$A$2:$E$495,3,FALSE)</f>
        <v>125000</v>
      </c>
      <c r="G641" s="16">
        <f>VLOOKUP(C641,[1]master_data!$A$2:$E$495,4,FALSE)</f>
        <v>200000</v>
      </c>
      <c r="H641" s="16">
        <f>E641*F641</f>
        <v>250000</v>
      </c>
      <c r="I641" s="16">
        <f>E641*G641</f>
        <v>400000</v>
      </c>
      <c r="J641" s="16">
        <f>I641-H641</f>
        <v>150000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44450</v>
      </c>
      <c r="B642" s="16" t="s">
        <v>1566</v>
      </c>
      <c r="C642" s="16" t="s">
        <v>343</v>
      </c>
      <c r="D642" s="16" t="str">
        <f>VLOOKUP(C642,[1]master_data!$A$2:$E$495,2,FALSE)</f>
        <v>MANFISH K</v>
      </c>
      <c r="E642" s="16">
        <v>1</v>
      </c>
      <c r="F642" s="16">
        <f>VLOOKUP(C642,[1]master_data!$A$2:$E$495,3,FALSE)</f>
        <v>2000</v>
      </c>
      <c r="G642" s="16">
        <f>VLOOKUP(C642,[1]master_data!$A$2:$E$495,4,FALSE)</f>
        <v>5000</v>
      </c>
      <c r="H642" s="16">
        <f>E642*F642</f>
        <v>2000</v>
      </c>
      <c r="I642" s="16">
        <f>E642*G642</f>
        <v>5000</v>
      </c>
      <c r="J642" s="16">
        <f>I642-H642</f>
        <v>3000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44450</v>
      </c>
      <c r="B643" s="16" t="s">
        <v>1567</v>
      </c>
      <c r="C643" s="16" t="s">
        <v>290</v>
      </c>
      <c r="D643" s="16" t="str">
        <f>VLOOKUP(C643,[1]master_data!$A$2:$E$495,2,FALSE)</f>
        <v>SOLITER C2</v>
      </c>
      <c r="E643" s="16">
        <v>1</v>
      </c>
      <c r="F643" s="16">
        <f>VLOOKUP(C643,[1]master_data!$A$2:$E$495,3,FALSE)</f>
        <v>60000</v>
      </c>
      <c r="G643" s="16">
        <f>VLOOKUP(C643,[1]master_data!$A$2:$E$495,4,FALSE)</f>
        <v>85000</v>
      </c>
      <c r="H643" s="16">
        <f>E643*F643</f>
        <v>60000</v>
      </c>
      <c r="I643" s="16">
        <f>E643*G643</f>
        <v>85000</v>
      </c>
      <c r="J643" s="16">
        <f>I643-H643</f>
        <v>25000</v>
      </c>
      <c r="K643" s="16" t="str">
        <f>VLOOKUP(C643,[1]master_data!$A$2:$E$495,5,FALSE)</f>
        <v>Aksesoris</v>
      </c>
      <c r="L643" s="1"/>
    </row>
    <row r="644" spans="1:12" ht="12" customHeight="1" x14ac:dyDescent="0.25">
      <c r="A644" s="15">
        <v>44450</v>
      </c>
      <c r="B644" s="16" t="s">
        <v>1568</v>
      </c>
      <c r="C644" s="16" t="s">
        <v>39</v>
      </c>
      <c r="D644" s="16" t="str">
        <f>VLOOKUP(C644,[1]master_data!$A$2:$E$495,2,FALSE)</f>
        <v>MESIN YAMANO ACO 003</v>
      </c>
      <c r="E644" s="16">
        <v>1</v>
      </c>
      <c r="F644" s="16">
        <f>VLOOKUP(C644,[1]master_data!$A$2:$E$495,3,FALSE)</f>
        <v>375000</v>
      </c>
      <c r="G644" s="16">
        <f>VLOOKUP(C644,[1]master_data!$A$2:$E$495,4,FALSE)</f>
        <v>450000</v>
      </c>
      <c r="H644" s="16">
        <f>E644*F644</f>
        <v>375000</v>
      </c>
      <c r="I644" s="16">
        <f>E644*G644</f>
        <v>450000</v>
      </c>
      <c r="J644" s="16">
        <f>I644-H644</f>
        <v>75000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44449</v>
      </c>
      <c r="B645" s="16" t="s">
        <v>1561</v>
      </c>
      <c r="C645" s="16" t="s">
        <v>54</v>
      </c>
      <c r="D645" s="16" t="str">
        <f>VLOOKUP(C645,[1]master_data!$A$2:$E$495,2,FALSE)</f>
        <v>MESIN ATMAN 104</v>
      </c>
      <c r="E645" s="16">
        <v>1</v>
      </c>
      <c r="F645" s="16">
        <f>VLOOKUP(C645,[1]master_data!$A$2:$E$495,3,FALSE)</f>
        <v>170000</v>
      </c>
      <c r="G645" s="16">
        <f>VLOOKUP(C645,[1]master_data!$A$2:$E$495,4,FALSE)</f>
        <v>225000</v>
      </c>
      <c r="H645" s="16">
        <f>E645*F645</f>
        <v>170000</v>
      </c>
      <c r="I645" s="16">
        <f>E645*G645</f>
        <v>225000</v>
      </c>
      <c r="J645" s="16">
        <f>I645-H645</f>
        <v>55000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44449</v>
      </c>
      <c r="B646" s="16" t="s">
        <v>1562</v>
      </c>
      <c r="C646" s="16" t="s">
        <v>248</v>
      </c>
      <c r="D646" s="16" t="str">
        <f>VLOOKUP(C646,[1]master_data!$A$2:$E$495,2,FALSE)</f>
        <v>T PIPA</v>
      </c>
      <c r="E646" s="16">
        <v>25</v>
      </c>
      <c r="F646" s="16">
        <f>VLOOKUP(C646,[1]master_data!$A$2:$E$495,3,FALSE)</f>
        <v>800</v>
      </c>
      <c r="G646" s="16">
        <f>VLOOKUP(C646,[1]master_data!$A$2:$E$495,4,FALSE)</f>
        <v>2000</v>
      </c>
      <c r="H646" s="16">
        <f>E646*F646</f>
        <v>20000</v>
      </c>
      <c r="I646" s="16">
        <f>E646*G646</f>
        <v>50000</v>
      </c>
      <c r="J646" s="16">
        <f>I646-H646</f>
        <v>30000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44449</v>
      </c>
      <c r="B647" s="16" t="s">
        <v>1563</v>
      </c>
      <c r="C647" s="16" t="s">
        <v>374</v>
      </c>
      <c r="D647" s="16" t="str">
        <f>VLOOKUP(C647,[1]master_data!$A$2:$E$495,2,FALSE)</f>
        <v>SEPAT ALBINO</v>
      </c>
      <c r="E647" s="16">
        <v>30</v>
      </c>
      <c r="F647" s="16">
        <f>VLOOKUP(C647,[1]master_data!$A$2:$E$495,3,FALSE)</f>
        <v>2000</v>
      </c>
      <c r="G647" s="16">
        <f>VLOOKUP(C647,[1]master_data!$A$2:$E$495,4,FALSE)</f>
        <v>5000</v>
      </c>
      <c r="H647" s="16">
        <f>E647*F647</f>
        <v>60000</v>
      </c>
      <c r="I647" s="16">
        <f>E647*G647</f>
        <v>150000</v>
      </c>
      <c r="J647" s="16">
        <f>I647-H647</f>
        <v>90000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44449</v>
      </c>
      <c r="B648" s="16" t="s">
        <v>1564</v>
      </c>
      <c r="C648" s="16" t="s">
        <v>17</v>
      </c>
      <c r="D648" s="16" t="str">
        <f>VLOOKUP(C648,[1]master_data!$A$2:$E$495,2,FALSE)</f>
        <v>HANG ON YANG 502</v>
      </c>
      <c r="E648" s="16">
        <v>1</v>
      </c>
      <c r="F648" s="16">
        <f>VLOOKUP(C648,[1]master_data!$A$2:$E$495,3,FALSE)</f>
        <v>71000</v>
      </c>
      <c r="G648" s="16">
        <f>VLOOKUP(C648,[1]master_data!$A$2:$E$495,4,FALSE)</f>
        <v>95000</v>
      </c>
      <c r="H648" s="16">
        <f>E648*F648</f>
        <v>71000</v>
      </c>
      <c r="I648" s="16">
        <f>E648*G648</f>
        <v>95000</v>
      </c>
      <c r="J648" s="16">
        <f>I648-H648</f>
        <v>24000</v>
      </c>
      <c r="K648" s="16" t="str">
        <f>VLOOKUP(C648,[1]master_data!$A$2:$E$495,5,FALSE)</f>
        <v>Aksesoris</v>
      </c>
      <c r="L648" s="1"/>
    </row>
    <row r="649" spans="1:12" ht="12" customHeight="1" x14ac:dyDescent="0.25">
      <c r="A649" s="15">
        <v>44448</v>
      </c>
      <c r="B649" s="16" t="s">
        <v>1553</v>
      </c>
      <c r="C649" s="16" t="s">
        <v>304</v>
      </c>
      <c r="D649" s="16" t="str">
        <f>VLOOKUP(C649,[1]master_data!$A$2:$E$495,2,FALSE)</f>
        <v>CHANNA ANDRAO K</v>
      </c>
      <c r="E649" s="16">
        <v>2</v>
      </c>
      <c r="F649" s="16">
        <f>VLOOKUP(C649,[1]master_data!$A$2:$E$495,3,FALSE)</f>
        <v>20000</v>
      </c>
      <c r="G649" s="16">
        <f>VLOOKUP(C649,[1]master_data!$A$2:$E$495,4,FALSE)</f>
        <v>50000</v>
      </c>
      <c r="H649" s="16">
        <f>E649*F649</f>
        <v>40000</v>
      </c>
      <c r="I649" s="16">
        <f>E649*G649</f>
        <v>100000</v>
      </c>
      <c r="J649" s="16">
        <f>I649-H649</f>
        <v>60000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44448</v>
      </c>
      <c r="B650" s="16" t="s">
        <v>1554</v>
      </c>
      <c r="C650" s="16" t="s">
        <v>322</v>
      </c>
      <c r="D650" s="16" t="str">
        <f>VLOOKUP(C650,[1]master_data!$A$2:$E$495,2,FALSE)</f>
        <v>GOLD FISH</v>
      </c>
      <c r="E650" s="16">
        <v>15</v>
      </c>
      <c r="F650" s="16">
        <f>VLOOKUP(C650,[1]master_data!$A$2:$E$495,3,FALSE)</f>
        <v>800</v>
      </c>
      <c r="G650" s="16">
        <f>VLOOKUP(C650,[1]master_data!$A$2:$E$495,4,FALSE)</f>
        <v>2000</v>
      </c>
      <c r="H650" s="16">
        <f>E650*F650</f>
        <v>12000</v>
      </c>
      <c r="I650" s="16">
        <f>E650*G650</f>
        <v>30000</v>
      </c>
      <c r="J650" s="16">
        <f>I650-H650</f>
        <v>18000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44448</v>
      </c>
      <c r="B651" s="16" t="s">
        <v>1555</v>
      </c>
      <c r="C651" s="16" t="s">
        <v>311</v>
      </c>
      <c r="D651" s="16" t="str">
        <f>VLOOKUP(C651,[1]master_data!$A$2:$E$495,2,FALSE)</f>
        <v>BIPOLAR</v>
      </c>
      <c r="E651" s="16">
        <v>20</v>
      </c>
      <c r="F651" s="16">
        <f>VLOOKUP(C651,[1]master_data!$A$2:$E$495,3,FALSE)</f>
        <v>1000</v>
      </c>
      <c r="G651" s="16">
        <f>VLOOKUP(C651,[1]master_data!$A$2:$E$495,4,FALSE)</f>
        <v>2500</v>
      </c>
      <c r="H651" s="16">
        <f>E651*F651</f>
        <v>20000</v>
      </c>
      <c r="I651" s="16">
        <f>E651*G651</f>
        <v>50000</v>
      </c>
      <c r="J651" s="16">
        <f>I651-H651</f>
        <v>30000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44448</v>
      </c>
      <c r="B652" s="16" t="s">
        <v>1556</v>
      </c>
      <c r="C652" s="16" t="s">
        <v>32</v>
      </c>
      <c r="D652" s="16" t="str">
        <f>VLOOKUP(C652,[1]master_data!$A$2:$E$495,2,FALSE)</f>
        <v>MESIN YAMANO 1800</v>
      </c>
      <c r="E652" s="16">
        <v>1</v>
      </c>
      <c r="F652" s="16">
        <f>VLOOKUP(C652,[1]master_data!$A$2:$E$495,3,FALSE)</f>
        <v>64000</v>
      </c>
      <c r="G652" s="16">
        <f>VLOOKUP(C652,[1]master_data!$A$2:$E$495,4,FALSE)</f>
        <v>110000</v>
      </c>
      <c r="H652" s="16">
        <f>E652*F652</f>
        <v>64000</v>
      </c>
      <c r="I652" s="16">
        <f>E652*G652</f>
        <v>110000</v>
      </c>
      <c r="J652" s="16">
        <f>I652-H652</f>
        <v>46000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44448</v>
      </c>
      <c r="B653" s="16" t="s">
        <v>1557</v>
      </c>
      <c r="C653" s="16" t="s">
        <v>338</v>
      </c>
      <c r="D653" s="16" t="str">
        <f>VLOOKUP(C653,[1]master_data!$A$2:$E$495,2,FALSE)</f>
        <v>CAROLINE</v>
      </c>
      <c r="E653" s="16">
        <v>15</v>
      </c>
      <c r="F653" s="16">
        <f>VLOOKUP(C653,[1]master_data!$A$2:$E$495,3,FALSE)</f>
        <v>900</v>
      </c>
      <c r="G653" s="16">
        <f>VLOOKUP(C653,[1]master_data!$A$2:$E$495,4,FALSE)</f>
        <v>2000</v>
      </c>
      <c r="H653" s="16">
        <f>E653*F653</f>
        <v>13500</v>
      </c>
      <c r="I653" s="16">
        <f>E653*G653</f>
        <v>30000</v>
      </c>
      <c r="J653" s="16">
        <f>I653-H653</f>
        <v>16500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44448</v>
      </c>
      <c r="B654" s="16" t="s">
        <v>1558</v>
      </c>
      <c r="C654" s="16" t="s">
        <v>160</v>
      </c>
      <c r="D654" s="16" t="str">
        <f>VLOOKUP(C654,[1]master_data!$A$2:$E$495,2,FALSE)</f>
        <v>LED KANDILA GOLD FISH 30 CM</v>
      </c>
      <c r="E654" s="16">
        <v>5</v>
      </c>
      <c r="F654" s="16">
        <f>VLOOKUP(C654,[1]master_data!$A$2:$E$495,3,FALSE)</f>
        <v>28000</v>
      </c>
      <c r="G654" s="16">
        <f>VLOOKUP(C654,[1]master_data!$A$2:$E$495,4,FALSE)</f>
        <v>45000</v>
      </c>
      <c r="H654" s="16">
        <f>E654*F654</f>
        <v>140000</v>
      </c>
      <c r="I654" s="16">
        <f>E654*G654</f>
        <v>225000</v>
      </c>
      <c r="J654" s="16">
        <f>I654-H654</f>
        <v>85000</v>
      </c>
      <c r="K654" s="16" t="str">
        <f>VLOOKUP(C654,[1]master_data!$A$2:$E$495,5,FALSE)</f>
        <v>Aksesoris</v>
      </c>
      <c r="L654" s="1"/>
    </row>
    <row r="655" spans="1:12" ht="12" customHeight="1" x14ac:dyDescent="0.25">
      <c r="A655" s="15">
        <v>44448</v>
      </c>
      <c r="B655" s="16" t="s">
        <v>1559</v>
      </c>
      <c r="C655" s="16" t="s">
        <v>319</v>
      </c>
      <c r="D655" s="16" t="str">
        <f>VLOOKUP(C655,[1]master_data!$A$2:$E$495,2,FALSE)</f>
        <v>BARBIR</v>
      </c>
      <c r="E655" s="16">
        <v>20</v>
      </c>
      <c r="F655" s="16">
        <f>VLOOKUP(C655,[1]master_data!$A$2:$E$495,3,FALSE)</f>
        <v>800</v>
      </c>
      <c r="G655" s="16">
        <f>VLOOKUP(C655,[1]master_data!$A$2:$E$495,4,FALSE)</f>
        <v>2000</v>
      </c>
      <c r="H655" s="16">
        <f>E655*F655</f>
        <v>16000</v>
      </c>
      <c r="I655" s="16">
        <f>E655*G655</f>
        <v>40000</v>
      </c>
      <c r="J655" s="16">
        <f>I655-H655</f>
        <v>24000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44448</v>
      </c>
      <c r="B656" s="16" t="s">
        <v>1560</v>
      </c>
      <c r="C656" s="16" t="s">
        <v>257</v>
      </c>
      <c r="D656" s="16" t="str">
        <f>VLOOKUP(C656,[1]master_data!$A$2:$E$495,2,FALSE)</f>
        <v>JARING PENDEK BULAT</v>
      </c>
      <c r="E656" s="16">
        <v>5</v>
      </c>
      <c r="F656" s="16">
        <f>VLOOKUP(C656,[1]master_data!$A$2:$E$495,3,FALSE)</f>
        <v>15000</v>
      </c>
      <c r="G656" s="16">
        <f>VLOOKUP(C656,[1]master_data!$A$2:$E$495,4,FALSE)</f>
        <v>30000</v>
      </c>
      <c r="H656" s="16">
        <f>E656*F656</f>
        <v>75000</v>
      </c>
      <c r="I656" s="16">
        <f>E656*G656</f>
        <v>150000</v>
      </c>
      <c r="J656" s="16">
        <f>I656-H656</f>
        <v>75000</v>
      </c>
      <c r="K656" s="16" t="str">
        <f>VLOOKUP(C656,[1]master_data!$A$2:$E$495,5,FALSE)</f>
        <v>Aksesoris</v>
      </c>
      <c r="L656" s="1"/>
    </row>
    <row r="657" spans="1:12" ht="12" customHeight="1" x14ac:dyDescent="0.25">
      <c r="A657" s="15">
        <v>44447</v>
      </c>
      <c r="B657" s="16" t="s">
        <v>1550</v>
      </c>
      <c r="C657" s="16" t="s">
        <v>7</v>
      </c>
      <c r="D657" s="16" t="str">
        <f>VLOOKUP(C657,[1]master_data!$A$2:$E$495,2,FALSE)</f>
        <v>MESIN YANG 1600</v>
      </c>
      <c r="E657" s="16">
        <v>5</v>
      </c>
      <c r="F657" s="16">
        <f>VLOOKUP(C657,[1]master_data!$A$2:$E$495,3,FALSE)</f>
        <v>64000</v>
      </c>
      <c r="G657" s="16">
        <f>VLOOKUP(C657,[1]master_data!$A$2:$E$495,4,FALSE)</f>
        <v>90000</v>
      </c>
      <c r="H657" s="16">
        <f>E657*F657</f>
        <v>320000</v>
      </c>
      <c r="I657" s="16">
        <f>E657*G657</f>
        <v>450000</v>
      </c>
      <c r="J657" s="16">
        <f>I657-H657</f>
        <v>130000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44447</v>
      </c>
      <c r="B658" s="16" t="s">
        <v>1551</v>
      </c>
      <c r="C658" s="16" t="s">
        <v>356</v>
      </c>
      <c r="D658" s="16" t="str">
        <f>VLOOKUP(C658,[1]master_data!$A$2:$E$495,2,FALSE)</f>
        <v>PARROT</v>
      </c>
      <c r="E658" s="16">
        <v>3</v>
      </c>
      <c r="F658" s="16">
        <f>VLOOKUP(C658,[1]master_data!$A$2:$E$495,3,FALSE)</f>
        <v>27000</v>
      </c>
      <c r="G658" s="16">
        <f>VLOOKUP(C658,[1]master_data!$A$2:$E$495,4,FALSE)</f>
        <v>60000</v>
      </c>
      <c r="H658" s="16">
        <f>E658*F658</f>
        <v>81000</v>
      </c>
      <c r="I658" s="16">
        <f>E658*G658</f>
        <v>180000</v>
      </c>
      <c r="J658" s="16">
        <f>I658-H658</f>
        <v>99000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44447</v>
      </c>
      <c r="B659" s="16" t="s">
        <v>1552</v>
      </c>
      <c r="C659" s="16" t="s">
        <v>345</v>
      </c>
      <c r="D659" s="16" t="str">
        <f>VLOOKUP(C659,[1]master_data!$A$2:$E$495,2,FALSE)</f>
        <v>MARU B</v>
      </c>
      <c r="E659" s="16">
        <v>2</v>
      </c>
      <c r="F659" s="16">
        <f>VLOOKUP(C659,[1]master_data!$A$2:$E$495,3,FALSE)</f>
        <v>90000</v>
      </c>
      <c r="G659" s="16">
        <f>VLOOKUP(C659,[1]master_data!$A$2:$E$495,4,FALSE)</f>
        <v>150000</v>
      </c>
      <c r="H659" s="16">
        <f>E659*F659</f>
        <v>180000</v>
      </c>
      <c r="I659" s="16">
        <f>E659*G659</f>
        <v>300000</v>
      </c>
      <c r="J659" s="16">
        <f>I659-H659</f>
        <v>120000</v>
      </c>
      <c r="K659" s="16" t="str">
        <f>VLOOKUP(C659,[1]master_data!$A$2:$E$495,5,FALSE)</f>
        <v>Ikan</v>
      </c>
      <c r="L659" s="1"/>
    </row>
    <row r="660" spans="1:12" ht="12" customHeight="1" x14ac:dyDescent="0.25">
      <c r="A660" s="15">
        <v>44446</v>
      </c>
      <c r="B660" s="16" t="s">
        <v>1547</v>
      </c>
      <c r="C660" s="16" t="s">
        <v>305</v>
      </c>
      <c r="D660" s="16" t="str">
        <f>VLOOKUP(C660,[1]master_data!$A$2:$E$495,2,FALSE)</f>
        <v>CHANNA ASIATICA B</v>
      </c>
      <c r="E660" s="16">
        <v>4</v>
      </c>
      <c r="F660" s="16">
        <f>VLOOKUP(C660,[1]master_data!$A$2:$E$495,3,FALSE)</f>
        <v>40000</v>
      </c>
      <c r="G660" s="16">
        <f>VLOOKUP(C660,[1]master_data!$A$2:$E$495,4,FALSE)</f>
        <v>100000</v>
      </c>
      <c r="H660" s="16">
        <f>E660*F660</f>
        <v>160000</v>
      </c>
      <c r="I660" s="16">
        <f>E660*G660</f>
        <v>400000</v>
      </c>
      <c r="J660" s="16">
        <f>I660-H660</f>
        <v>240000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44446</v>
      </c>
      <c r="B661" s="16" t="s">
        <v>1548</v>
      </c>
      <c r="C661" s="16" t="s">
        <v>332</v>
      </c>
      <c r="D661" s="16" t="str">
        <f>VLOOKUP(C661,[1]master_data!$A$2:$E$495,2,FALSE)</f>
        <v>KURA - KURA</v>
      </c>
      <c r="E661" s="16">
        <v>1</v>
      </c>
      <c r="F661" s="16">
        <f>VLOOKUP(C661,[1]master_data!$A$2:$E$495,3,FALSE)</f>
        <v>25000</v>
      </c>
      <c r="G661" s="16">
        <f>VLOOKUP(C661,[1]master_data!$A$2:$E$495,4,FALSE)</f>
        <v>35000</v>
      </c>
      <c r="H661" s="16">
        <f>E661*F661</f>
        <v>25000</v>
      </c>
      <c r="I661" s="16">
        <f>E661*G661</f>
        <v>35000</v>
      </c>
      <c r="J661" s="16">
        <f>I661-H661</f>
        <v>10000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44446</v>
      </c>
      <c r="B662" s="16" t="s">
        <v>1549</v>
      </c>
      <c r="C662" s="16" t="s">
        <v>343</v>
      </c>
      <c r="D662" s="16" t="str">
        <f>VLOOKUP(C662,[1]master_data!$A$2:$E$495,2,FALSE)</f>
        <v>MANFISH K</v>
      </c>
      <c r="E662" s="16">
        <v>1</v>
      </c>
      <c r="F662" s="16">
        <f>VLOOKUP(C662,[1]master_data!$A$2:$E$495,3,FALSE)</f>
        <v>2000</v>
      </c>
      <c r="G662" s="16">
        <f>VLOOKUP(C662,[1]master_data!$A$2:$E$495,4,FALSE)</f>
        <v>5000</v>
      </c>
      <c r="H662" s="16">
        <f>E662*F662</f>
        <v>2000</v>
      </c>
      <c r="I662" s="16">
        <f>E662*G662</f>
        <v>5000</v>
      </c>
      <c r="J662" s="16">
        <f>I662-H662</f>
        <v>3000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44445</v>
      </c>
      <c r="B663" s="16" t="s">
        <v>1544</v>
      </c>
      <c r="C663" s="16" t="s">
        <v>329</v>
      </c>
      <c r="D663" s="16" t="str">
        <f>VLOOKUP(C663,[1]master_data!$A$2:$E$495,2,FALSE)</f>
        <v>KOI K</v>
      </c>
      <c r="E663" s="16">
        <v>30</v>
      </c>
      <c r="F663" s="16">
        <f>VLOOKUP(C663,[1]master_data!$A$2:$E$495,3,FALSE)</f>
        <v>2500</v>
      </c>
      <c r="G663" s="16">
        <f>VLOOKUP(C663,[1]master_data!$A$2:$E$495,4,FALSE)</f>
        <v>10000</v>
      </c>
      <c r="H663" s="16">
        <f>E663*F663</f>
        <v>75000</v>
      </c>
      <c r="I663" s="16">
        <f>E663*G663</f>
        <v>300000</v>
      </c>
      <c r="J663" s="16">
        <f>I663-H663</f>
        <v>225000</v>
      </c>
      <c r="K663" s="16" t="str">
        <f>VLOOKUP(C663,[1]master_data!$A$2:$E$495,5,FALSE)</f>
        <v>Ikan</v>
      </c>
      <c r="L663" s="1"/>
    </row>
    <row r="664" spans="1:12" ht="12" customHeight="1" x14ac:dyDescent="0.25">
      <c r="A664" s="15">
        <v>44445</v>
      </c>
      <c r="B664" s="16" t="s">
        <v>1545</v>
      </c>
      <c r="C664" s="16" t="s">
        <v>304</v>
      </c>
      <c r="D664" s="16" t="str">
        <f>VLOOKUP(C664,[1]master_data!$A$2:$E$495,2,FALSE)</f>
        <v>CHANNA ANDRAO K</v>
      </c>
      <c r="E664" s="16">
        <v>2</v>
      </c>
      <c r="F664" s="16">
        <f>VLOOKUP(C664,[1]master_data!$A$2:$E$495,3,FALSE)</f>
        <v>20000</v>
      </c>
      <c r="G664" s="16">
        <f>VLOOKUP(C664,[1]master_data!$A$2:$E$495,4,FALSE)</f>
        <v>50000</v>
      </c>
      <c r="H664" s="16">
        <f>E664*F664</f>
        <v>40000</v>
      </c>
      <c r="I664" s="16">
        <f>E664*G664</f>
        <v>100000</v>
      </c>
      <c r="J664" s="16">
        <f>I664-H664</f>
        <v>60000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44445</v>
      </c>
      <c r="B665" s="16" t="s">
        <v>1546</v>
      </c>
      <c r="C665" s="16" t="s">
        <v>359</v>
      </c>
      <c r="D665" s="16" t="str">
        <f>VLOOKUP(C665,[1]master_data!$A$2:$E$495,2,FALSE)</f>
        <v>REDFIN ALBINO</v>
      </c>
      <c r="E665" s="16">
        <v>100</v>
      </c>
      <c r="F665" s="16">
        <f>VLOOKUP(C665,[1]master_data!$A$2:$E$495,3,FALSE)</f>
        <v>1500</v>
      </c>
      <c r="G665" s="16">
        <f>VLOOKUP(C665,[1]master_data!$A$2:$E$495,4,FALSE)</f>
        <v>4000</v>
      </c>
      <c r="H665" s="16">
        <f>E665*F665</f>
        <v>150000</v>
      </c>
      <c r="I665" s="16">
        <f>E665*G665</f>
        <v>400000</v>
      </c>
      <c r="J665" s="16">
        <f>I665-H665</f>
        <v>250000</v>
      </c>
      <c r="K665" s="16" t="str">
        <f>VLOOKUP(C665,[1]master_data!$A$2:$E$495,5,FALSE)</f>
        <v>Ikan</v>
      </c>
      <c r="L665" s="1"/>
    </row>
    <row r="666" spans="1:12" ht="12" customHeight="1" x14ac:dyDescent="0.25">
      <c r="A666" s="15">
        <v>44444</v>
      </c>
      <c r="B666" s="16" t="s">
        <v>1539</v>
      </c>
      <c r="C666" s="16" t="s">
        <v>340</v>
      </c>
      <c r="D666" s="16" t="str">
        <f>VLOOKUP(C666,[1]master_data!$A$2:$E$495,2,FALSE)</f>
        <v>LEMON</v>
      </c>
      <c r="E666" s="16">
        <v>5</v>
      </c>
      <c r="F666" s="16">
        <f>VLOOKUP(C666,[1]master_data!$A$2:$E$495,3,FALSE)</f>
        <v>1000</v>
      </c>
      <c r="G666" s="16">
        <f>VLOOKUP(C666,[1]master_data!$A$2:$E$495,4,FALSE)</f>
        <v>2000</v>
      </c>
      <c r="H666" s="16">
        <f>E666*F666</f>
        <v>5000</v>
      </c>
      <c r="I666" s="16">
        <f>E666*G666</f>
        <v>10000</v>
      </c>
      <c r="J666" s="16">
        <f>I666-H666</f>
        <v>5000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44444</v>
      </c>
      <c r="B667" s="16" t="s">
        <v>1540</v>
      </c>
      <c r="C667" s="16" t="s">
        <v>336</v>
      </c>
      <c r="D667" s="16" t="str">
        <f>VLOOKUP(C667,[1]master_data!$A$2:$E$495,2,FALSE)</f>
        <v>KOI SLAYER K</v>
      </c>
      <c r="E667" s="16">
        <v>30</v>
      </c>
      <c r="F667" s="16">
        <f>VLOOKUP(C667,[1]master_data!$A$2:$E$495,3,FALSE)</f>
        <v>3500</v>
      </c>
      <c r="G667" s="16">
        <f>VLOOKUP(C667,[1]master_data!$A$2:$E$495,4,FALSE)</f>
        <v>10000</v>
      </c>
      <c r="H667" s="16">
        <f>E667*F667</f>
        <v>105000</v>
      </c>
      <c r="I667" s="16">
        <f>E667*G667</f>
        <v>300000</v>
      </c>
      <c r="J667" s="16">
        <f>I667-H667</f>
        <v>195000</v>
      </c>
      <c r="K667" s="16" t="str">
        <f>VLOOKUP(C667,[1]master_data!$A$2:$E$495,5,FALSE)</f>
        <v>Ikan</v>
      </c>
      <c r="L667" s="1"/>
    </row>
    <row r="668" spans="1:12" ht="12" customHeight="1" x14ac:dyDescent="0.25">
      <c r="A668" s="15">
        <v>44444</v>
      </c>
      <c r="B668" s="16" t="s">
        <v>1541</v>
      </c>
      <c r="C668" s="16" t="s">
        <v>309</v>
      </c>
      <c r="D668" s="16" t="str">
        <f>VLOOKUP(C668,[1]master_data!$A$2:$E$495,2,FALSE)</f>
        <v>ALGA EATER</v>
      </c>
      <c r="E668" s="16">
        <v>8</v>
      </c>
      <c r="F668" s="16">
        <f>VLOOKUP(C668,[1]master_data!$A$2:$E$495,3,FALSE)</f>
        <v>1750</v>
      </c>
      <c r="G668" s="16">
        <f>VLOOKUP(C668,[1]master_data!$A$2:$E$495,4,FALSE)</f>
        <v>5000</v>
      </c>
      <c r="H668" s="16">
        <f>E668*F668</f>
        <v>14000</v>
      </c>
      <c r="I668" s="16">
        <f>E668*G668</f>
        <v>40000</v>
      </c>
      <c r="J668" s="16">
        <f>I668-H668</f>
        <v>26000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44444</v>
      </c>
      <c r="B669" s="16" t="s">
        <v>1542</v>
      </c>
      <c r="C669" s="16" t="s">
        <v>370</v>
      </c>
      <c r="D669" s="16" t="str">
        <f>VLOOKUP(C669,[1]master_data!$A$2:$E$495,2,FALSE)</f>
        <v>ZEBRA HIJAU</v>
      </c>
      <c r="E669" s="16">
        <v>1</v>
      </c>
      <c r="F669" s="16">
        <f>VLOOKUP(C669,[1]master_data!$A$2:$E$495,3,FALSE)</f>
        <v>800</v>
      </c>
      <c r="G669" s="16">
        <f>VLOOKUP(C669,[1]master_data!$A$2:$E$495,4,FALSE)</f>
        <v>2000</v>
      </c>
      <c r="H669" s="16">
        <f>E669*F669</f>
        <v>800</v>
      </c>
      <c r="I669" s="16">
        <f>E669*G669</f>
        <v>2000</v>
      </c>
      <c r="J669" s="16">
        <f>I669-H669</f>
        <v>1200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44444</v>
      </c>
      <c r="B670" s="16" t="s">
        <v>1543</v>
      </c>
      <c r="C670" s="16" t="s">
        <v>367</v>
      </c>
      <c r="D670" s="16" t="str">
        <f>VLOOKUP(C670,[1]master_data!$A$2:$E$495,2,FALSE)</f>
        <v>TETRA</v>
      </c>
      <c r="E670" s="16">
        <v>1</v>
      </c>
      <c r="F670" s="16">
        <f>VLOOKUP(C670,[1]master_data!$A$2:$E$495,3,FALSE)</f>
        <v>800</v>
      </c>
      <c r="G670" s="16">
        <f>VLOOKUP(C670,[1]master_data!$A$2:$E$495,4,FALSE)</f>
        <v>2000</v>
      </c>
      <c r="H670" s="16">
        <f>E670*F670</f>
        <v>800</v>
      </c>
      <c r="I670" s="16">
        <f>E670*G670</f>
        <v>2000</v>
      </c>
      <c r="J670" s="16">
        <f>I670-H670</f>
        <v>1200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44443</v>
      </c>
      <c r="B671" s="16" t="s">
        <v>1533</v>
      </c>
      <c r="C671" s="16" t="s">
        <v>294</v>
      </c>
      <c r="D671" s="16" t="str">
        <f>VLOOKUP(C671,[1]master_data!$A$2:$E$495,2,FALSE)</f>
        <v>PASIR MEARAH B</v>
      </c>
      <c r="E671" s="16">
        <v>5</v>
      </c>
      <c r="F671" s="16">
        <f>VLOOKUP(C671,[1]master_data!$A$2:$E$495,3,FALSE)</f>
        <v>8000</v>
      </c>
      <c r="G671" s="16">
        <f>VLOOKUP(C671,[1]master_data!$A$2:$E$495,4,FALSE)</f>
        <v>25000</v>
      </c>
      <c r="H671" s="16">
        <f>E671*F671</f>
        <v>40000</v>
      </c>
      <c r="I671" s="16">
        <f>E671*G671</f>
        <v>125000</v>
      </c>
      <c r="J671" s="16">
        <f>I671-H671</f>
        <v>85000</v>
      </c>
      <c r="K671" s="16" t="str">
        <f>VLOOKUP(C671,[1]master_data!$A$2:$E$495,5,FALSE)</f>
        <v>Aksesoris</v>
      </c>
      <c r="L671" s="1"/>
    </row>
    <row r="672" spans="1:12" ht="12" customHeight="1" x14ac:dyDescent="0.25">
      <c r="A672" s="15">
        <v>44443</v>
      </c>
      <c r="B672" s="16" t="s">
        <v>1534</v>
      </c>
      <c r="C672" s="16" t="s">
        <v>252</v>
      </c>
      <c r="D672" s="16" t="str">
        <f>VLOOKUP(C672,[1]master_data!$A$2:$E$495,2,FALSE)</f>
        <v>PEMBERSIH KERAK KACA</v>
      </c>
      <c r="E672" s="16">
        <v>5</v>
      </c>
      <c r="F672" s="16">
        <f>VLOOKUP(C672,[1]master_data!$A$2:$E$495,3,FALSE)</f>
        <v>7000</v>
      </c>
      <c r="G672" s="16">
        <f>VLOOKUP(C672,[1]master_data!$A$2:$E$495,4,FALSE)</f>
        <v>15000</v>
      </c>
      <c r="H672" s="16">
        <f>E672*F672</f>
        <v>35000</v>
      </c>
      <c r="I672" s="16">
        <f>E672*G672</f>
        <v>75000</v>
      </c>
      <c r="J672" s="16">
        <f>I672-H672</f>
        <v>40000</v>
      </c>
      <c r="K672" s="16" t="str">
        <f>VLOOKUP(C672,[1]master_data!$A$2:$E$495,5,FALSE)</f>
        <v>Aksesoris</v>
      </c>
      <c r="L672" s="1"/>
    </row>
    <row r="673" spans="1:12" ht="12" customHeight="1" x14ac:dyDescent="0.25">
      <c r="A673" s="15">
        <v>44443</v>
      </c>
      <c r="B673" s="16" t="s">
        <v>1535</v>
      </c>
      <c r="C673" s="16" t="s">
        <v>317</v>
      </c>
      <c r="D673" s="16" t="str">
        <f>VLOOKUP(C673,[1]master_data!$A$2:$E$495,2,FALSE)</f>
        <v>CHANNA BLUE PULCHRA B</v>
      </c>
      <c r="E673" s="16">
        <v>2</v>
      </c>
      <c r="F673" s="16">
        <f>VLOOKUP(C673,[1]master_data!$A$2:$E$495,3,FALSE)</f>
        <v>125000</v>
      </c>
      <c r="G673" s="16">
        <f>VLOOKUP(C673,[1]master_data!$A$2:$E$495,4,FALSE)</f>
        <v>200000</v>
      </c>
      <c r="H673" s="16">
        <f>E673*F673</f>
        <v>250000</v>
      </c>
      <c r="I673" s="16">
        <f>E673*G673</f>
        <v>400000</v>
      </c>
      <c r="J673" s="16">
        <f>I673-H673</f>
        <v>150000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44443</v>
      </c>
      <c r="B674" s="16" t="s">
        <v>1536</v>
      </c>
      <c r="C674" s="16" t="s">
        <v>324</v>
      </c>
      <c r="D674" s="16" t="str">
        <f>VLOOKUP(C674,[1]master_data!$A$2:$E$495,2,FALSE)</f>
        <v>GOLDEN BLACK</v>
      </c>
      <c r="E674" s="16">
        <v>25</v>
      </c>
      <c r="F674" s="16">
        <f>VLOOKUP(C674,[1]master_data!$A$2:$E$495,3,FALSE)</f>
        <v>800</v>
      </c>
      <c r="G674" s="16">
        <f>VLOOKUP(C674,[1]master_data!$A$2:$E$495,4,FALSE)</f>
        <v>2000</v>
      </c>
      <c r="H674" s="16">
        <f>E674*F674</f>
        <v>20000</v>
      </c>
      <c r="I674" s="16">
        <f>E674*G674</f>
        <v>50000</v>
      </c>
      <c r="J674" s="16">
        <f>I674-H674</f>
        <v>30000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44443</v>
      </c>
      <c r="B675" s="16" t="s">
        <v>1537</v>
      </c>
      <c r="C675" s="16" t="s">
        <v>355</v>
      </c>
      <c r="D675" s="16" t="str">
        <f>VLOOKUP(C675,[1]master_data!$A$2:$E$495,2,FALSE)</f>
        <v>PALMAS</v>
      </c>
      <c r="E675" s="16">
        <v>1</v>
      </c>
      <c r="F675" s="16">
        <f>VLOOKUP(C675,[1]master_data!$A$2:$E$495,3,FALSE)</f>
        <v>10000</v>
      </c>
      <c r="G675" s="16">
        <f>VLOOKUP(C675,[1]master_data!$A$2:$E$495,4,FALSE)</f>
        <v>25000</v>
      </c>
      <c r="H675" s="16">
        <f>E675*F675</f>
        <v>10000</v>
      </c>
      <c r="I675" s="16">
        <f>E675*G675</f>
        <v>25000</v>
      </c>
      <c r="J675" s="16">
        <f>I675-H675</f>
        <v>15000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44443</v>
      </c>
      <c r="B676" s="16" t="s">
        <v>1538</v>
      </c>
      <c r="C676" s="16" t="s">
        <v>340</v>
      </c>
      <c r="D676" s="16" t="str">
        <f>VLOOKUP(C676,[1]master_data!$A$2:$E$495,2,FALSE)</f>
        <v>LEMON</v>
      </c>
      <c r="E676" s="16">
        <v>5</v>
      </c>
      <c r="F676" s="16">
        <f>VLOOKUP(C676,[1]master_data!$A$2:$E$495,3,FALSE)</f>
        <v>1000</v>
      </c>
      <c r="G676" s="16">
        <f>VLOOKUP(C676,[1]master_data!$A$2:$E$495,4,FALSE)</f>
        <v>2000</v>
      </c>
      <c r="H676" s="16">
        <f>E676*F676</f>
        <v>5000</v>
      </c>
      <c r="I676" s="16">
        <f>E676*G676</f>
        <v>10000</v>
      </c>
      <c r="J676" s="16">
        <f>I676-H676</f>
        <v>5000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44442</v>
      </c>
      <c r="B677" s="16" t="s">
        <v>1526</v>
      </c>
      <c r="C677" s="16" t="s">
        <v>362</v>
      </c>
      <c r="D677" s="16" t="str">
        <f>VLOOKUP(C677,[1]master_data!$A$2:$E$495,2,FALSE)</f>
        <v>SUMATRA BIASA</v>
      </c>
      <c r="E677" s="16">
        <v>15</v>
      </c>
      <c r="F677" s="16">
        <f>VLOOKUP(C677,[1]master_data!$A$2:$E$495,3,FALSE)</f>
        <v>800</v>
      </c>
      <c r="G677" s="16">
        <f>VLOOKUP(C677,[1]master_data!$A$2:$E$495,4,FALSE)</f>
        <v>2000</v>
      </c>
      <c r="H677" s="16">
        <f>E677*F677</f>
        <v>12000</v>
      </c>
      <c r="I677" s="16">
        <f>E677*G677</f>
        <v>30000</v>
      </c>
      <c r="J677" s="16">
        <f>I677-H677</f>
        <v>18000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44442</v>
      </c>
      <c r="B678" s="16" t="s">
        <v>1527</v>
      </c>
      <c r="C678" s="16" t="s">
        <v>373</v>
      </c>
      <c r="D678" s="16" t="str">
        <f>VLOOKUP(C678,[1]master_data!$A$2:$E$495,2,FALSE)</f>
        <v>SEPAT</v>
      </c>
      <c r="E678" s="16">
        <v>30</v>
      </c>
      <c r="F678" s="16">
        <f>VLOOKUP(C678,[1]master_data!$A$2:$E$495,3,FALSE)</f>
        <v>600</v>
      </c>
      <c r="G678" s="16">
        <f>VLOOKUP(C678,[1]master_data!$A$2:$E$495,4,FALSE)</f>
        <v>2000</v>
      </c>
      <c r="H678" s="16">
        <f>E678*F678</f>
        <v>18000</v>
      </c>
      <c r="I678" s="16">
        <f>E678*G678</f>
        <v>60000</v>
      </c>
      <c r="J678" s="16">
        <f>I678-H678</f>
        <v>42000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44442</v>
      </c>
      <c r="B679" s="16" t="s">
        <v>1528</v>
      </c>
      <c r="C679" s="16" t="s">
        <v>211</v>
      </c>
      <c r="D679" s="16" t="str">
        <f>VLOOKUP(C679,[1]master_data!$A$2:$E$495,2,FALSE)</f>
        <v>COP SEKAT KACA</v>
      </c>
      <c r="E679" s="16">
        <v>30</v>
      </c>
      <c r="F679" s="16">
        <f>VLOOKUP(C679,[1]master_data!$A$2:$E$495,3,FALSE)</f>
        <v>800</v>
      </c>
      <c r="G679" s="16">
        <f>VLOOKUP(C679,[1]master_data!$A$2:$E$495,4,FALSE)</f>
        <v>2000</v>
      </c>
      <c r="H679" s="16">
        <f>E679*F679</f>
        <v>24000</v>
      </c>
      <c r="I679" s="16">
        <f>E679*G679</f>
        <v>60000</v>
      </c>
      <c r="J679" s="16">
        <f>I679-H679</f>
        <v>36000</v>
      </c>
      <c r="K679" s="16" t="str">
        <f>VLOOKUP(C679,[1]master_data!$A$2:$E$495,5,FALSE)</f>
        <v>Aksesoris</v>
      </c>
      <c r="L679" s="1"/>
    </row>
    <row r="680" spans="1:12" ht="12" customHeight="1" x14ac:dyDescent="0.25">
      <c r="A680" s="15">
        <v>44442</v>
      </c>
      <c r="B680" s="16" t="s">
        <v>1529</v>
      </c>
      <c r="C680" s="16" t="s">
        <v>367</v>
      </c>
      <c r="D680" s="16" t="str">
        <f>VLOOKUP(C680,[1]master_data!$A$2:$E$495,2,FALSE)</f>
        <v>TETRA</v>
      </c>
      <c r="E680" s="16">
        <v>10</v>
      </c>
      <c r="F680" s="16">
        <f>VLOOKUP(C680,[1]master_data!$A$2:$E$495,3,FALSE)</f>
        <v>800</v>
      </c>
      <c r="G680" s="16">
        <f>VLOOKUP(C680,[1]master_data!$A$2:$E$495,4,FALSE)</f>
        <v>2000</v>
      </c>
      <c r="H680" s="16">
        <f>E680*F680</f>
        <v>8000</v>
      </c>
      <c r="I680" s="16">
        <f>E680*G680</f>
        <v>20000</v>
      </c>
      <c r="J680" s="16">
        <f>I680-H680</f>
        <v>12000</v>
      </c>
      <c r="K680" s="16" t="str">
        <f>VLOOKUP(C680,[1]master_data!$A$2:$E$495,5,FALSE)</f>
        <v>Ikan</v>
      </c>
      <c r="L680" s="1"/>
    </row>
    <row r="681" spans="1:12" ht="12" customHeight="1" x14ac:dyDescent="0.25">
      <c r="A681" s="15">
        <v>44442</v>
      </c>
      <c r="B681" s="16" t="s">
        <v>1530</v>
      </c>
      <c r="C681" s="16" t="s">
        <v>329</v>
      </c>
      <c r="D681" s="16" t="str">
        <f>VLOOKUP(C681,[1]master_data!$A$2:$E$495,2,FALSE)</f>
        <v>KOI K</v>
      </c>
      <c r="E681" s="16">
        <v>19</v>
      </c>
      <c r="F681" s="16">
        <f>VLOOKUP(C681,[1]master_data!$A$2:$E$495,3,FALSE)</f>
        <v>2500</v>
      </c>
      <c r="G681" s="16">
        <f>VLOOKUP(C681,[1]master_data!$A$2:$E$495,4,FALSE)</f>
        <v>10000</v>
      </c>
      <c r="H681" s="16">
        <f>E681*F681</f>
        <v>47500</v>
      </c>
      <c r="I681" s="16">
        <f>E681*G681</f>
        <v>190000</v>
      </c>
      <c r="J681" s="16">
        <f>I681-H681</f>
        <v>142500</v>
      </c>
      <c r="K681" s="16" t="str">
        <f>VLOOKUP(C681,[1]master_data!$A$2:$E$495,5,FALSE)</f>
        <v>Ikan</v>
      </c>
      <c r="L681" s="1"/>
    </row>
    <row r="682" spans="1:12" ht="12" customHeight="1" x14ac:dyDescent="0.25">
      <c r="A682" s="15">
        <v>44442</v>
      </c>
      <c r="B682" s="16" t="s">
        <v>1531</v>
      </c>
      <c r="C682" s="16" t="s">
        <v>338</v>
      </c>
      <c r="D682" s="16" t="str">
        <f>VLOOKUP(C682,[1]master_data!$A$2:$E$495,2,FALSE)</f>
        <v>CAROLINE</v>
      </c>
      <c r="E682" s="16">
        <v>3</v>
      </c>
      <c r="F682" s="16">
        <f>VLOOKUP(C682,[1]master_data!$A$2:$E$495,3,FALSE)</f>
        <v>900</v>
      </c>
      <c r="G682" s="16">
        <f>VLOOKUP(C682,[1]master_data!$A$2:$E$495,4,FALSE)</f>
        <v>2000</v>
      </c>
      <c r="H682" s="16">
        <f>E682*F682</f>
        <v>2700</v>
      </c>
      <c r="I682" s="16">
        <f>E682*G682</f>
        <v>6000</v>
      </c>
      <c r="J682" s="16">
        <f>I682-H682</f>
        <v>3300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44442</v>
      </c>
      <c r="B683" s="16" t="s">
        <v>1532</v>
      </c>
      <c r="C683" s="16" t="s">
        <v>343</v>
      </c>
      <c r="D683" s="16" t="str">
        <f>VLOOKUP(C683,[1]master_data!$A$2:$E$495,2,FALSE)</f>
        <v>MANFISH K</v>
      </c>
      <c r="E683" s="16">
        <v>1</v>
      </c>
      <c r="F683" s="16">
        <f>VLOOKUP(C683,[1]master_data!$A$2:$E$495,3,FALSE)</f>
        <v>2000</v>
      </c>
      <c r="G683" s="16">
        <f>VLOOKUP(C683,[1]master_data!$A$2:$E$495,4,FALSE)</f>
        <v>5000</v>
      </c>
      <c r="H683" s="16">
        <f>E683*F683</f>
        <v>2000</v>
      </c>
      <c r="I683" s="16">
        <f>E683*G683</f>
        <v>5000</v>
      </c>
      <c r="J683" s="16">
        <f>I683-H683</f>
        <v>3000</v>
      </c>
      <c r="K683" s="16" t="str">
        <f>VLOOKUP(C683,[1]master_data!$A$2:$E$495,5,FALSE)</f>
        <v>Ikan</v>
      </c>
      <c r="L683" s="1"/>
    </row>
    <row r="684" spans="1:12" ht="12" customHeight="1" x14ac:dyDescent="0.25">
      <c r="A684" s="15">
        <v>44441</v>
      </c>
      <c r="B684" s="16" t="s">
        <v>1520</v>
      </c>
      <c r="C684" s="16" t="s">
        <v>187</v>
      </c>
      <c r="D684" s="16" t="str">
        <f>VLOOKUP(C684,[1]master_data!$A$2:$E$495,2,FALSE)</f>
        <v>FISH LOVE PAKAN BURAYAK</v>
      </c>
      <c r="E684" s="16">
        <v>30</v>
      </c>
      <c r="F684" s="16">
        <f>VLOOKUP(C684,[1]master_data!$A$2:$E$495,3,FALSE)</f>
        <v>2500</v>
      </c>
      <c r="G684" s="16">
        <f>VLOOKUP(C684,[1]master_data!$A$2:$E$495,4,FALSE)</f>
        <v>5000</v>
      </c>
      <c r="H684" s="16">
        <f>E684*F684</f>
        <v>75000</v>
      </c>
      <c r="I684" s="16">
        <f>E684*G684</f>
        <v>150000</v>
      </c>
      <c r="J684" s="16">
        <f>I684-H684</f>
        <v>75000</v>
      </c>
      <c r="K684" s="16" t="str">
        <f>VLOOKUP(C684,[1]master_data!$A$2:$E$495,5,FALSE)</f>
        <v>Aksesoris</v>
      </c>
      <c r="L684" s="1"/>
    </row>
    <row r="685" spans="1:12" ht="12" customHeight="1" x14ac:dyDescent="0.25">
      <c r="A685" s="15">
        <v>44441</v>
      </c>
      <c r="B685" s="16" t="s">
        <v>1521</v>
      </c>
      <c r="C685" s="16" t="s">
        <v>369</v>
      </c>
      <c r="D685" s="16" t="str">
        <f>VLOOKUP(C685,[1]master_data!$A$2:$E$495,2,FALSE)</f>
        <v>ZEBRA PINK</v>
      </c>
      <c r="E685" s="16">
        <v>40</v>
      </c>
      <c r="F685" s="16">
        <f>VLOOKUP(C685,[1]master_data!$A$2:$E$495,3,FALSE)</f>
        <v>800</v>
      </c>
      <c r="G685" s="16">
        <f>VLOOKUP(C685,[1]master_data!$A$2:$E$495,4,FALSE)</f>
        <v>2000</v>
      </c>
      <c r="H685" s="16">
        <f>E685*F685</f>
        <v>32000</v>
      </c>
      <c r="I685" s="16">
        <f>E685*G685</f>
        <v>80000</v>
      </c>
      <c r="J685" s="16">
        <f>I685-H685</f>
        <v>48000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44441</v>
      </c>
      <c r="B686" s="16" t="s">
        <v>1522</v>
      </c>
      <c r="C686" s="16" t="s">
        <v>332</v>
      </c>
      <c r="D686" s="16" t="str">
        <f>VLOOKUP(C686,[1]master_data!$A$2:$E$495,2,FALSE)</f>
        <v>KURA - KURA</v>
      </c>
      <c r="E686" s="16">
        <v>2</v>
      </c>
      <c r="F686" s="16">
        <f>VLOOKUP(C686,[1]master_data!$A$2:$E$495,3,FALSE)</f>
        <v>25000</v>
      </c>
      <c r="G686" s="16">
        <f>VLOOKUP(C686,[1]master_data!$A$2:$E$495,4,FALSE)</f>
        <v>35000</v>
      </c>
      <c r="H686" s="16">
        <f>E686*F686</f>
        <v>50000</v>
      </c>
      <c r="I686" s="16">
        <f>E686*G686</f>
        <v>70000</v>
      </c>
      <c r="J686" s="16">
        <f>I686-H686</f>
        <v>20000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44441</v>
      </c>
      <c r="B687" s="16" t="s">
        <v>1523</v>
      </c>
      <c r="C687" s="16" t="s">
        <v>330</v>
      </c>
      <c r="D687" s="16" t="str">
        <f>VLOOKUP(C687,[1]master_data!$A$2:$E$495,2,FALSE)</f>
        <v>KOI T</v>
      </c>
      <c r="E687" s="16">
        <v>5</v>
      </c>
      <c r="F687" s="16">
        <f>VLOOKUP(C687,[1]master_data!$A$2:$E$495,3,FALSE)</f>
        <v>7000</v>
      </c>
      <c r="G687" s="16">
        <f>VLOOKUP(C687,[1]master_data!$A$2:$E$495,4,FALSE)</f>
        <v>20000</v>
      </c>
      <c r="H687" s="16">
        <f>E687*F687</f>
        <v>35000</v>
      </c>
      <c r="I687" s="16">
        <f>E687*G687</f>
        <v>100000</v>
      </c>
      <c r="J687" s="16">
        <f>I687-H687</f>
        <v>65000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44441</v>
      </c>
      <c r="B688" s="16" t="s">
        <v>1524</v>
      </c>
      <c r="C688" s="16" t="s">
        <v>353</v>
      </c>
      <c r="D688" s="16" t="str">
        <f>VLOOKUP(C688,[1]master_data!$A$2:$E$495,2,FALSE)</f>
        <v>PEMBERSIH KACA BIASA</v>
      </c>
      <c r="E688" s="16">
        <v>20</v>
      </c>
      <c r="F688" s="16">
        <f>VLOOKUP(C688,[1]master_data!$A$2:$E$495,3,FALSE)</f>
        <v>2000</v>
      </c>
      <c r="G688" s="16">
        <f>VLOOKUP(C688,[1]master_data!$A$2:$E$495,4,FALSE)</f>
        <v>5000</v>
      </c>
      <c r="H688" s="16">
        <f>E688*F688</f>
        <v>40000</v>
      </c>
      <c r="I688" s="16">
        <f>E688*G688</f>
        <v>100000</v>
      </c>
      <c r="J688" s="16">
        <f>I688-H688</f>
        <v>60000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44441</v>
      </c>
      <c r="B689" s="16" t="s">
        <v>1525</v>
      </c>
      <c r="C689" s="16" t="s">
        <v>280</v>
      </c>
      <c r="D689" s="16" t="str">
        <f>VLOOKUP(C689,[1]master_data!$A$2:$E$495,2,FALSE)</f>
        <v>TOPLES 3,3 L</v>
      </c>
      <c r="E689" s="16">
        <v>1</v>
      </c>
      <c r="F689" s="16">
        <f>VLOOKUP(C689,[1]master_data!$A$2:$E$495,3,FALSE)</f>
        <v>50000</v>
      </c>
      <c r="G689" s="16">
        <f>VLOOKUP(C689,[1]master_data!$A$2:$E$495,4,FALSE)</f>
        <v>75000</v>
      </c>
      <c r="H689" s="16">
        <f>E689*F689</f>
        <v>50000</v>
      </c>
      <c r="I689" s="16">
        <f>E689*G689</f>
        <v>75000</v>
      </c>
      <c r="J689" s="16">
        <f>I689-H689</f>
        <v>25000</v>
      </c>
      <c r="K689" s="16" t="str">
        <f>VLOOKUP(C689,[1]master_data!$A$2:$E$495,5,FALSE)</f>
        <v>Aksesoris</v>
      </c>
      <c r="L689" s="1"/>
    </row>
    <row r="690" spans="1:12" ht="12" customHeight="1" x14ac:dyDescent="0.25">
      <c r="A690" s="15">
        <v>44440</v>
      </c>
      <c r="B690" s="16" t="s">
        <v>1515</v>
      </c>
      <c r="C690" s="16" t="s">
        <v>171</v>
      </c>
      <c r="D690" s="16" t="str">
        <f>VLOOKUP(C690,[1]master_data!$A$2:$E$495,2,FALSE)</f>
        <v>ARTEMIA SUPREME PLUS</v>
      </c>
      <c r="E690" s="16">
        <v>2</v>
      </c>
      <c r="F690" s="16">
        <f>VLOOKUP(C690,[1]master_data!$A$2:$E$495,3,FALSE)</f>
        <v>14500</v>
      </c>
      <c r="G690" s="16">
        <f>VLOOKUP(C690,[1]master_data!$A$2:$E$495,4,FALSE)</f>
        <v>25000</v>
      </c>
      <c r="H690" s="16">
        <f>E690*F690</f>
        <v>29000</v>
      </c>
      <c r="I690" s="16">
        <f>E690*G690</f>
        <v>50000</v>
      </c>
      <c r="J690" s="16">
        <f>I690-H690</f>
        <v>21000</v>
      </c>
      <c r="K690" s="16" t="str">
        <f>VLOOKUP(C690,[1]master_data!$A$2:$E$495,5,FALSE)</f>
        <v>Aksesoris</v>
      </c>
      <c r="L690" s="1"/>
    </row>
    <row r="691" spans="1:12" ht="12" customHeight="1" x14ac:dyDescent="0.25">
      <c r="A691" s="15">
        <v>44440</v>
      </c>
      <c r="B691" s="16" t="s">
        <v>1516</v>
      </c>
      <c r="C691" s="16" t="s">
        <v>205</v>
      </c>
      <c r="D691" s="16" t="str">
        <f>VLOOKUP(C691,[1]master_data!$A$2:$E$495,2,FALSE)</f>
        <v>ACRIPLAVIN</v>
      </c>
      <c r="E691" s="16">
        <v>30</v>
      </c>
      <c r="F691" s="16">
        <f>VLOOKUP(C691,[1]master_data!$A$2:$E$495,3,FALSE)</f>
        <v>3000</v>
      </c>
      <c r="G691" s="16">
        <f>VLOOKUP(C691,[1]master_data!$A$2:$E$495,4,FALSE)</f>
        <v>8000</v>
      </c>
      <c r="H691" s="16">
        <f>E691*F691</f>
        <v>90000</v>
      </c>
      <c r="I691" s="16">
        <f>E691*G691</f>
        <v>240000</v>
      </c>
      <c r="J691" s="16">
        <f>I691-H691</f>
        <v>150000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44440</v>
      </c>
      <c r="B692" s="16" t="s">
        <v>1517</v>
      </c>
      <c r="C692" s="16" t="s">
        <v>38</v>
      </c>
      <c r="D692" s="16" t="str">
        <f>VLOOKUP(C692,[1]master_data!$A$2:$E$495,2,FALSE)</f>
        <v>MESIN YAMANO ACO 001</v>
      </c>
      <c r="E692" s="16">
        <v>1</v>
      </c>
      <c r="F692" s="16">
        <f>VLOOKUP(C692,[1]master_data!$A$2:$E$495,3,FALSE)</f>
        <v>275000</v>
      </c>
      <c r="G692" s="16">
        <f>VLOOKUP(C692,[1]master_data!$A$2:$E$495,4,FALSE)</f>
        <v>350000</v>
      </c>
      <c r="H692" s="16">
        <f>E692*F692</f>
        <v>275000</v>
      </c>
      <c r="I692" s="16">
        <f>E692*G692</f>
        <v>350000</v>
      </c>
      <c r="J692" s="16">
        <f>I692-H692</f>
        <v>75000</v>
      </c>
      <c r="K692" s="16" t="str">
        <f>VLOOKUP(C692,[1]master_data!$A$2:$E$495,5,FALSE)</f>
        <v>Aksesoris</v>
      </c>
      <c r="L692" s="1"/>
    </row>
    <row r="693" spans="1:12" ht="12" customHeight="1" x14ac:dyDescent="0.25">
      <c r="A693" s="15">
        <v>44440</v>
      </c>
      <c r="B693" s="16" t="s">
        <v>1518</v>
      </c>
      <c r="C693" s="16" t="s">
        <v>325</v>
      </c>
      <c r="D693" s="16" t="str">
        <f>VLOOKUP(C693,[1]master_data!$A$2:$E$495,2,FALSE)</f>
        <v>HIU TAWAR</v>
      </c>
      <c r="E693" s="16">
        <v>10</v>
      </c>
      <c r="F693" s="16">
        <f>VLOOKUP(C693,[1]master_data!$A$2:$E$495,3,FALSE)</f>
        <v>600</v>
      </c>
      <c r="G693" s="16">
        <f>VLOOKUP(C693,[1]master_data!$A$2:$E$495,4,FALSE)</f>
        <v>2000</v>
      </c>
      <c r="H693" s="16">
        <f>E693*F693</f>
        <v>6000</v>
      </c>
      <c r="I693" s="16">
        <f>E693*G693</f>
        <v>20000</v>
      </c>
      <c r="J693" s="16">
        <f>I693-H693</f>
        <v>14000</v>
      </c>
      <c r="K693" s="16" t="str">
        <f>VLOOKUP(C693,[1]master_data!$A$2:$E$495,5,FALSE)</f>
        <v>Ikan</v>
      </c>
      <c r="L693" s="1"/>
    </row>
    <row r="694" spans="1:12" ht="12" customHeight="1" x14ac:dyDescent="0.25">
      <c r="A694" s="15">
        <v>44440</v>
      </c>
      <c r="B694" s="16" t="s">
        <v>1519</v>
      </c>
      <c r="C694" s="16" t="s">
        <v>343</v>
      </c>
      <c r="D694" s="16" t="str">
        <f>VLOOKUP(C694,[1]master_data!$A$2:$E$495,2,FALSE)</f>
        <v>MANFISH K</v>
      </c>
      <c r="E694" s="16">
        <v>100</v>
      </c>
      <c r="F694" s="16">
        <f>VLOOKUP(C694,[1]master_data!$A$2:$E$495,3,FALSE)</f>
        <v>2000</v>
      </c>
      <c r="G694" s="16">
        <f>VLOOKUP(C694,[1]master_data!$A$2:$E$495,4,FALSE)</f>
        <v>5000</v>
      </c>
      <c r="H694" s="16">
        <f>E694*F694</f>
        <v>200000</v>
      </c>
      <c r="I694" s="16">
        <f>E694*G694</f>
        <v>500000</v>
      </c>
      <c r="J694" s="16">
        <f>I694-H694</f>
        <v>300000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44439</v>
      </c>
      <c r="B695" s="16" t="s">
        <v>1508</v>
      </c>
      <c r="C695" s="16" t="s">
        <v>317</v>
      </c>
      <c r="D695" s="16" t="str">
        <f>VLOOKUP(C695,[1]master_data!$A$2:$E$495,2,FALSE)</f>
        <v>CHANNA BLUE PULCHRA B</v>
      </c>
      <c r="E695" s="16">
        <v>2</v>
      </c>
      <c r="F695" s="16">
        <f>VLOOKUP(C695,[1]master_data!$A$2:$E$495,3,FALSE)</f>
        <v>125000</v>
      </c>
      <c r="G695" s="16">
        <f>VLOOKUP(C695,[1]master_data!$A$2:$E$495,4,FALSE)</f>
        <v>200000</v>
      </c>
      <c r="H695" s="16">
        <f>E695*F695</f>
        <v>250000</v>
      </c>
      <c r="I695" s="16">
        <f>E695*G695</f>
        <v>400000</v>
      </c>
      <c r="J695" s="16">
        <f>I695-H695</f>
        <v>150000</v>
      </c>
      <c r="K695" s="16" t="str">
        <f>VLOOKUP(C695,[1]master_data!$A$2:$E$495,5,FALSE)</f>
        <v>Ikan</v>
      </c>
      <c r="L695" s="1"/>
    </row>
    <row r="696" spans="1:12" ht="12" customHeight="1" x14ac:dyDescent="0.25">
      <c r="A696" s="15">
        <v>44439</v>
      </c>
      <c r="B696" s="16" t="s">
        <v>1509</v>
      </c>
      <c r="C696" s="16" t="s">
        <v>358</v>
      </c>
      <c r="D696" s="16" t="str">
        <f>VLOOKUP(C696,[1]master_data!$A$2:$E$495,2,FALSE)</f>
        <v>REDFIN HITAM</v>
      </c>
      <c r="E696" s="16">
        <v>15</v>
      </c>
      <c r="F696" s="16">
        <f>VLOOKUP(C696,[1]master_data!$A$2:$E$495,3,FALSE)</f>
        <v>1500</v>
      </c>
      <c r="G696" s="16">
        <f>VLOOKUP(C696,[1]master_data!$A$2:$E$495,4,FALSE)</f>
        <v>4000</v>
      </c>
      <c r="H696" s="16">
        <f>E696*F696</f>
        <v>22500</v>
      </c>
      <c r="I696" s="16">
        <f>E696*G696</f>
        <v>60000</v>
      </c>
      <c r="J696" s="16">
        <f>I696-H696</f>
        <v>37500</v>
      </c>
      <c r="K696" s="16" t="str">
        <f>VLOOKUP(C696,[1]master_data!$A$2:$E$495,5,FALSE)</f>
        <v>Ikan</v>
      </c>
      <c r="L696" s="1"/>
    </row>
    <row r="697" spans="1:12" ht="12" customHeight="1" x14ac:dyDescent="0.25">
      <c r="A697" s="15">
        <v>44439</v>
      </c>
      <c r="B697" s="16" t="s">
        <v>1510</v>
      </c>
      <c r="C697" s="16" t="s">
        <v>130</v>
      </c>
      <c r="D697" s="16" t="str">
        <f>VLOOKUP(C697,[1]master_data!$A$2:$E$495,2,FALSE)</f>
        <v>LED ROSTON 3 MODE 50 CM</v>
      </c>
      <c r="E697" s="16">
        <v>1</v>
      </c>
      <c r="F697" s="16">
        <f>VLOOKUP(C697,[1]master_data!$A$2:$E$495,3,FALSE)</f>
        <v>30000</v>
      </c>
      <c r="G697" s="16">
        <f>VLOOKUP(C697,[1]master_data!$A$2:$E$495,4,FALSE)</f>
        <v>60000</v>
      </c>
      <c r="H697" s="16">
        <f>E697*F697</f>
        <v>30000</v>
      </c>
      <c r="I697" s="16">
        <f>E697*G697</f>
        <v>60000</v>
      </c>
      <c r="J697" s="16">
        <f>I697-H697</f>
        <v>30000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44439</v>
      </c>
      <c r="B698" s="16" t="s">
        <v>1511</v>
      </c>
      <c r="C698" s="16" t="s">
        <v>353</v>
      </c>
      <c r="D698" s="16" t="str">
        <f>VLOOKUP(C698,[1]master_data!$A$2:$E$495,2,FALSE)</f>
        <v>PEMBERSIH KACA BIASA</v>
      </c>
      <c r="E698" s="16">
        <v>10</v>
      </c>
      <c r="F698" s="16">
        <f>VLOOKUP(C698,[1]master_data!$A$2:$E$495,3,FALSE)</f>
        <v>2000</v>
      </c>
      <c r="G698" s="16">
        <f>VLOOKUP(C698,[1]master_data!$A$2:$E$495,4,FALSE)</f>
        <v>5000</v>
      </c>
      <c r="H698" s="16">
        <f>E698*F698</f>
        <v>20000</v>
      </c>
      <c r="I698" s="16">
        <f>E698*G698</f>
        <v>50000</v>
      </c>
      <c r="J698" s="16">
        <f>I698-H698</f>
        <v>30000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44439</v>
      </c>
      <c r="B699" s="16" t="s">
        <v>1512</v>
      </c>
      <c r="C699" s="16" t="s">
        <v>102</v>
      </c>
      <c r="D699" s="16" t="str">
        <f>VLOOKUP(C699,[1]master_data!$A$2:$E$495,2,FALSE)</f>
        <v>LED ROSTON 60 CM</v>
      </c>
      <c r="E699" s="16">
        <v>1</v>
      </c>
      <c r="F699" s="16">
        <f>VLOOKUP(C699,[1]master_data!$A$2:$E$495,3,FALSE)</f>
        <v>28000</v>
      </c>
      <c r="G699" s="16">
        <f>VLOOKUP(C699,[1]master_data!$A$2:$E$495,4,FALSE)</f>
        <v>60000</v>
      </c>
      <c r="H699" s="16">
        <f>E699*F699</f>
        <v>28000</v>
      </c>
      <c r="I699" s="16">
        <f>E699*G699</f>
        <v>60000</v>
      </c>
      <c r="J699" s="16">
        <f>I699-H699</f>
        <v>32000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44439</v>
      </c>
      <c r="B700" s="16" t="s">
        <v>1513</v>
      </c>
      <c r="C700" s="16" t="s">
        <v>297</v>
      </c>
      <c r="D700" s="16" t="str">
        <f>VLOOKUP(C700,[1]master_data!$A$2:$E$495,2,FALSE)</f>
        <v>BATU WARNA FOSFOR K</v>
      </c>
      <c r="E700" s="16">
        <v>1</v>
      </c>
      <c r="F700" s="16">
        <f>VLOOKUP(C700,[1]master_data!$A$2:$E$495,3,FALSE)</f>
        <v>5500</v>
      </c>
      <c r="G700" s="16">
        <f>VLOOKUP(C700,[1]master_data!$A$2:$E$495,4,FALSE)</f>
        <v>10000</v>
      </c>
      <c r="H700" s="16">
        <f>E700*F700</f>
        <v>5500</v>
      </c>
      <c r="I700" s="16">
        <f>E700*G700</f>
        <v>10000</v>
      </c>
      <c r="J700" s="16">
        <f>I700-H700</f>
        <v>4500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44439</v>
      </c>
      <c r="B701" s="16" t="s">
        <v>1514</v>
      </c>
      <c r="C701" s="16" t="s">
        <v>356</v>
      </c>
      <c r="D701" s="16" t="str">
        <f>VLOOKUP(C701,[1]master_data!$A$2:$E$495,2,FALSE)</f>
        <v>PARROT</v>
      </c>
      <c r="E701" s="16">
        <v>1</v>
      </c>
      <c r="F701" s="16">
        <f>VLOOKUP(C701,[1]master_data!$A$2:$E$495,3,FALSE)</f>
        <v>27000</v>
      </c>
      <c r="G701" s="16">
        <f>VLOOKUP(C701,[1]master_data!$A$2:$E$495,4,FALSE)</f>
        <v>60000</v>
      </c>
      <c r="H701" s="16">
        <f>E701*F701</f>
        <v>27000</v>
      </c>
      <c r="I701" s="16">
        <f>E701*G701</f>
        <v>60000</v>
      </c>
      <c r="J701" s="16">
        <f>I701-H701</f>
        <v>33000</v>
      </c>
      <c r="K701" s="16" t="str">
        <f>VLOOKUP(C701,[1]master_data!$A$2:$E$495,5,FALSE)</f>
        <v>Ikan</v>
      </c>
      <c r="L701" s="1"/>
    </row>
    <row r="702" spans="1:12" ht="12" customHeight="1" x14ac:dyDescent="0.25">
      <c r="A702" s="15">
        <v>44438</v>
      </c>
      <c r="B702" s="16" t="s">
        <v>1506</v>
      </c>
      <c r="C702" s="16" t="s">
        <v>328</v>
      </c>
      <c r="D702" s="16" t="str">
        <f>VLOOKUP(C702,[1]master_data!$A$2:$E$495,2,FALSE)</f>
        <v>KOKI B</v>
      </c>
      <c r="E702" s="16">
        <v>9</v>
      </c>
      <c r="F702" s="16">
        <f>VLOOKUP(C702,[1]master_data!$A$2:$E$495,3,FALSE)</f>
        <v>20000</v>
      </c>
      <c r="G702" s="16">
        <f>VLOOKUP(C702,[1]master_data!$A$2:$E$495,4,FALSE)</f>
        <v>50000</v>
      </c>
      <c r="H702" s="16">
        <f>E702*F702</f>
        <v>180000</v>
      </c>
      <c r="I702" s="16">
        <f>E702*G702</f>
        <v>450000</v>
      </c>
      <c r="J702" s="16">
        <f>I702-H702</f>
        <v>270000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44438</v>
      </c>
      <c r="B703" s="16" t="s">
        <v>1507</v>
      </c>
      <c r="C703" s="16" t="s">
        <v>325</v>
      </c>
      <c r="D703" s="16" t="str">
        <f>VLOOKUP(C703,[1]master_data!$A$2:$E$495,2,FALSE)</f>
        <v>HIU TAWAR</v>
      </c>
      <c r="E703" s="16">
        <v>18</v>
      </c>
      <c r="F703" s="16">
        <f>VLOOKUP(C703,[1]master_data!$A$2:$E$495,3,FALSE)</f>
        <v>600</v>
      </c>
      <c r="G703" s="16">
        <f>VLOOKUP(C703,[1]master_data!$A$2:$E$495,4,FALSE)</f>
        <v>2000</v>
      </c>
      <c r="H703" s="16">
        <f>E703*F703</f>
        <v>10800</v>
      </c>
      <c r="I703" s="16">
        <f>E703*G703</f>
        <v>36000</v>
      </c>
      <c r="J703" s="16">
        <f>I703-H703</f>
        <v>25200</v>
      </c>
      <c r="K703" s="16" t="str">
        <f>VLOOKUP(C703,[1]master_data!$A$2:$E$495,5,FALSE)</f>
        <v>Ikan</v>
      </c>
      <c r="L703" s="1"/>
    </row>
    <row r="704" spans="1:12" ht="12" customHeight="1" x14ac:dyDescent="0.25">
      <c r="A704" s="15">
        <v>44437</v>
      </c>
      <c r="B704" s="16" t="s">
        <v>1498</v>
      </c>
      <c r="C704" s="16" t="s">
        <v>70</v>
      </c>
      <c r="D704" s="16" t="str">
        <f>VLOOKUP(C704,[1]master_data!$A$2:$E$495,2,FALSE)</f>
        <v>MESIN ATMAN 103</v>
      </c>
      <c r="E704" s="16">
        <v>2</v>
      </c>
      <c r="F704" s="16">
        <f>VLOOKUP(C704,[1]master_data!$A$2:$E$495,3,FALSE)</f>
        <v>130000</v>
      </c>
      <c r="G704" s="16">
        <f>VLOOKUP(C704,[1]master_data!$A$2:$E$495,4,FALSE)</f>
        <v>175000</v>
      </c>
      <c r="H704" s="16">
        <f>E704*F704</f>
        <v>260000</v>
      </c>
      <c r="I704" s="16">
        <f>E704*G704</f>
        <v>350000</v>
      </c>
      <c r="J704" s="16">
        <f>I704-H704</f>
        <v>90000</v>
      </c>
      <c r="K704" s="16" t="str">
        <f>VLOOKUP(C704,[1]master_data!$A$2:$E$495,5,FALSE)</f>
        <v>Aksesoris</v>
      </c>
      <c r="L704" s="1"/>
    </row>
    <row r="705" spans="1:12" ht="12" customHeight="1" x14ac:dyDescent="0.25">
      <c r="A705" s="15">
        <v>44437</v>
      </c>
      <c r="B705" s="16" t="s">
        <v>1499</v>
      </c>
      <c r="C705" s="16" t="s">
        <v>254</v>
      </c>
      <c r="D705" s="16" t="str">
        <f>VLOOKUP(C705,[1]master_data!$A$2:$E$495,2,FALSE)</f>
        <v>PIPA LONJOR 1 M</v>
      </c>
      <c r="E705" s="16">
        <v>25</v>
      </c>
      <c r="F705" s="16">
        <f>VLOOKUP(C705,[1]master_data!$A$2:$E$495,3,FALSE)</f>
        <v>2500</v>
      </c>
      <c r="G705" s="16">
        <f>VLOOKUP(C705,[1]master_data!$A$2:$E$495,4,FALSE)</f>
        <v>5000</v>
      </c>
      <c r="H705" s="16">
        <f>E705*F705</f>
        <v>62500</v>
      </c>
      <c r="I705" s="16">
        <f>E705*G705</f>
        <v>125000</v>
      </c>
      <c r="J705" s="16">
        <f>I705-H705</f>
        <v>62500</v>
      </c>
      <c r="K705" s="16" t="str">
        <f>VLOOKUP(C705,[1]master_data!$A$2:$E$495,5,FALSE)</f>
        <v>Aksesoris</v>
      </c>
      <c r="L705" s="1"/>
    </row>
    <row r="706" spans="1:12" ht="12" customHeight="1" x14ac:dyDescent="0.25">
      <c r="A706" s="15">
        <v>44437</v>
      </c>
      <c r="B706" s="16" t="s">
        <v>1500</v>
      </c>
      <c r="C706" s="16" t="s">
        <v>351</v>
      </c>
      <c r="D706" s="16" t="str">
        <f>VLOOKUP(C706,[1]master_data!$A$2:$E$495,2,FALSE)</f>
        <v>NEON</v>
      </c>
      <c r="E706" s="16">
        <v>10</v>
      </c>
      <c r="F706" s="16">
        <f>VLOOKUP(C706,[1]master_data!$A$2:$E$495,3,FALSE)</f>
        <v>1250</v>
      </c>
      <c r="G706" s="16">
        <f>VLOOKUP(C706,[1]master_data!$A$2:$E$495,4,FALSE)</f>
        <v>5000</v>
      </c>
      <c r="H706" s="16">
        <f>E706*F706</f>
        <v>12500</v>
      </c>
      <c r="I706" s="16">
        <f>E706*G706</f>
        <v>50000</v>
      </c>
      <c r="J706" s="16">
        <f>I706-H706</f>
        <v>37500</v>
      </c>
      <c r="K706" s="16" t="str">
        <f>VLOOKUP(C706,[1]master_data!$A$2:$E$495,5,FALSE)</f>
        <v>Ikan</v>
      </c>
      <c r="L706" s="1"/>
    </row>
    <row r="707" spans="1:12" ht="12" customHeight="1" x14ac:dyDescent="0.25">
      <c r="A707" s="15">
        <v>44437</v>
      </c>
      <c r="B707" s="16" t="s">
        <v>1501</v>
      </c>
      <c r="C707" s="16" t="s">
        <v>360</v>
      </c>
      <c r="D707" s="16" t="str">
        <f>VLOOKUP(C707,[1]master_data!$A$2:$E$495,2,FALSE)</f>
        <v xml:space="preserve"> CHANNA RED BARITO K</v>
      </c>
      <c r="E707" s="16">
        <v>1</v>
      </c>
      <c r="F707" s="16">
        <f>VLOOKUP(C707,[1]master_data!$A$2:$E$495,3,FALSE)</f>
        <v>45000</v>
      </c>
      <c r="G707" s="16">
        <f>VLOOKUP(C707,[1]master_data!$A$2:$E$495,4,FALSE)</f>
        <v>100000</v>
      </c>
      <c r="H707" s="16">
        <f>E707*F707</f>
        <v>45000</v>
      </c>
      <c r="I707" s="16">
        <f>E707*G707</f>
        <v>100000</v>
      </c>
      <c r="J707" s="16">
        <f>I707-H707</f>
        <v>55000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44437</v>
      </c>
      <c r="B708" s="16" t="s">
        <v>1502</v>
      </c>
      <c r="C708" s="16" t="s">
        <v>86</v>
      </c>
      <c r="D708" s="16" t="str">
        <f>VLOOKUP(C708,[1]master_data!$A$2:$E$495,2,FALSE)</f>
        <v>AIRATOR ROSTON BATERAI  101</v>
      </c>
      <c r="E708" s="16">
        <v>2</v>
      </c>
      <c r="F708" s="16">
        <f>VLOOKUP(C708,[1]master_data!$A$2:$E$495,3,FALSE)</f>
        <v>35000</v>
      </c>
      <c r="G708" s="16">
        <f>VLOOKUP(C708,[1]master_data!$A$2:$E$495,4,FALSE)</f>
        <v>50000</v>
      </c>
      <c r="H708" s="16">
        <f>E708*F708</f>
        <v>70000</v>
      </c>
      <c r="I708" s="16">
        <f>E708*G708</f>
        <v>100000</v>
      </c>
      <c r="J708" s="16">
        <f>I708-H708</f>
        <v>30000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44437</v>
      </c>
      <c r="B709" s="16" t="s">
        <v>1503</v>
      </c>
      <c r="C709" s="16" t="s">
        <v>256</v>
      </c>
      <c r="D709" s="16" t="str">
        <f>VLOOKUP(C709,[1]master_data!$A$2:$E$495,2,FALSE)</f>
        <v>HEATER STENLEES 75 W</v>
      </c>
      <c r="E709" s="16">
        <v>1</v>
      </c>
      <c r="F709" s="16">
        <f>VLOOKUP(C709,[1]master_data!$A$2:$E$495,3,FALSE)</f>
        <v>70000</v>
      </c>
      <c r="G709" s="16">
        <f>VLOOKUP(C709,[1]master_data!$A$2:$E$495,4,FALSE)</f>
        <v>90000</v>
      </c>
      <c r="H709" s="16">
        <f>E709*F709</f>
        <v>70000</v>
      </c>
      <c r="I709" s="16">
        <f>E709*G709</f>
        <v>90000</v>
      </c>
      <c r="J709" s="16">
        <f>I709-H709</f>
        <v>20000</v>
      </c>
      <c r="K709" s="16" t="str">
        <f>VLOOKUP(C709,[1]master_data!$A$2:$E$495,5,FALSE)</f>
        <v>Aksesoris</v>
      </c>
      <c r="L709" s="1"/>
    </row>
    <row r="710" spans="1:12" ht="12" customHeight="1" x14ac:dyDescent="0.25">
      <c r="A710" s="15">
        <v>44437</v>
      </c>
      <c r="B710" s="16" t="s">
        <v>1504</v>
      </c>
      <c r="C710" s="16" t="s">
        <v>363</v>
      </c>
      <c r="D710" s="16" t="str">
        <f>VLOOKUP(C710,[1]master_data!$A$2:$E$495,2,FALSE)</f>
        <v>SUMATRA GOLD FISH</v>
      </c>
      <c r="E710" s="16">
        <v>11</v>
      </c>
      <c r="F710" s="16">
        <f>VLOOKUP(C710,[1]master_data!$A$2:$E$495,3,FALSE)</f>
        <v>2500</v>
      </c>
      <c r="G710" s="16">
        <f>VLOOKUP(C710,[1]master_data!$A$2:$E$495,4,FALSE)</f>
        <v>4000</v>
      </c>
      <c r="H710" s="16">
        <f>E710*F710</f>
        <v>27500</v>
      </c>
      <c r="I710" s="16">
        <f>E710*G710</f>
        <v>44000</v>
      </c>
      <c r="J710" s="16">
        <f>I710-H710</f>
        <v>16500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44437</v>
      </c>
      <c r="B711" s="16" t="s">
        <v>1505</v>
      </c>
      <c r="C711" s="16" t="s">
        <v>323</v>
      </c>
      <c r="D711" s="16" t="str">
        <f>VLOOKUP(C711,[1]master_data!$A$2:$E$495,2,FALSE)</f>
        <v>GUPY</v>
      </c>
      <c r="E711" s="16">
        <v>1</v>
      </c>
      <c r="F711" s="16">
        <f>VLOOKUP(C711,[1]master_data!$A$2:$E$495,3,FALSE)</f>
        <v>1200</v>
      </c>
      <c r="G711" s="16">
        <f>VLOOKUP(C711,[1]master_data!$A$2:$E$495,4,FALSE)</f>
        <v>2500</v>
      </c>
      <c r="H711" s="16">
        <f>E711*F711</f>
        <v>1200</v>
      </c>
      <c r="I711" s="16">
        <f>E711*G711</f>
        <v>2500</v>
      </c>
      <c r="J711" s="16">
        <f>I711-H711</f>
        <v>1300</v>
      </c>
      <c r="K711" s="16" t="str">
        <f>VLOOKUP(C711,[1]master_data!$A$2:$E$495,5,FALSE)</f>
        <v>Ikan</v>
      </c>
      <c r="L711" s="1"/>
    </row>
    <row r="712" spans="1:12" ht="12" customHeight="1" x14ac:dyDescent="0.25">
      <c r="A712" s="15">
        <v>44436</v>
      </c>
      <c r="B712" s="16" t="s">
        <v>1490</v>
      </c>
      <c r="C712" s="16" t="s">
        <v>225</v>
      </c>
      <c r="D712" s="16" t="str">
        <f>VLOOKUP(C712,[1]master_data!$A$2:$E$495,2,FALSE)</f>
        <v>KRAN 1 W</v>
      </c>
      <c r="E712" s="16">
        <v>25</v>
      </c>
      <c r="F712" s="16">
        <f>VLOOKUP(C712,[1]master_data!$A$2:$E$495,3,FALSE)</f>
        <v>1200</v>
      </c>
      <c r="G712" s="16">
        <f>VLOOKUP(C712,[1]master_data!$A$2:$E$495,4,FALSE)</f>
        <v>3000</v>
      </c>
      <c r="H712" s="16">
        <f>E712*F712</f>
        <v>30000</v>
      </c>
      <c r="I712" s="16">
        <f>E712*G712</f>
        <v>75000</v>
      </c>
      <c r="J712" s="16">
        <f>I712-H712</f>
        <v>45000</v>
      </c>
      <c r="K712" s="16" t="str">
        <f>VLOOKUP(C712,[1]master_data!$A$2:$E$495,5,FALSE)</f>
        <v>Aksesoris</v>
      </c>
      <c r="L712" s="1"/>
    </row>
    <row r="713" spans="1:12" ht="12" customHeight="1" x14ac:dyDescent="0.25">
      <c r="A713" s="15">
        <v>44436</v>
      </c>
      <c r="B713" s="16" t="s">
        <v>1491</v>
      </c>
      <c r="C713" s="16" t="s">
        <v>340</v>
      </c>
      <c r="D713" s="16" t="str">
        <f>VLOOKUP(C713,[1]master_data!$A$2:$E$495,2,FALSE)</f>
        <v>LEMON</v>
      </c>
      <c r="E713" s="16">
        <v>20</v>
      </c>
      <c r="F713" s="16">
        <f>VLOOKUP(C713,[1]master_data!$A$2:$E$495,3,FALSE)</f>
        <v>1000</v>
      </c>
      <c r="G713" s="16">
        <f>VLOOKUP(C713,[1]master_data!$A$2:$E$495,4,FALSE)</f>
        <v>2000</v>
      </c>
      <c r="H713" s="16">
        <f>E713*F713</f>
        <v>20000</v>
      </c>
      <c r="I713" s="16">
        <f>E713*G713</f>
        <v>40000</v>
      </c>
      <c r="J713" s="16">
        <f>I713-H713</f>
        <v>20000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44436</v>
      </c>
      <c r="B714" s="16" t="s">
        <v>1492</v>
      </c>
      <c r="C714" s="16" t="s">
        <v>358</v>
      </c>
      <c r="D714" s="16" t="str">
        <f>VLOOKUP(C714,[1]master_data!$A$2:$E$495,2,FALSE)</f>
        <v>REDFIN HITAM</v>
      </c>
      <c r="E714" s="16">
        <v>10</v>
      </c>
      <c r="F714" s="16">
        <f>VLOOKUP(C714,[1]master_data!$A$2:$E$495,3,FALSE)</f>
        <v>1500</v>
      </c>
      <c r="G714" s="16">
        <f>VLOOKUP(C714,[1]master_data!$A$2:$E$495,4,FALSE)</f>
        <v>4000</v>
      </c>
      <c r="H714" s="16">
        <f>E714*F714</f>
        <v>15000</v>
      </c>
      <c r="I714" s="16">
        <f>E714*G714</f>
        <v>40000</v>
      </c>
      <c r="J714" s="16">
        <f>I714-H714</f>
        <v>25000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44436</v>
      </c>
      <c r="B715" s="16" t="s">
        <v>1493</v>
      </c>
      <c r="C715" s="16" t="s">
        <v>56</v>
      </c>
      <c r="D715" s="16" t="str">
        <f>VLOOKUP(C715,[1]master_data!$A$2:$E$495,2,FALSE)</f>
        <v>MESIN MARVIN 1200</v>
      </c>
      <c r="E715" s="16">
        <v>10</v>
      </c>
      <c r="F715" s="16">
        <f>VLOOKUP(C715,[1]master_data!$A$2:$E$495,3,FALSE)</f>
        <v>23000</v>
      </c>
      <c r="G715" s="16">
        <f>VLOOKUP(C715,[1]master_data!$A$2:$E$495,4,FALSE)</f>
        <v>35000</v>
      </c>
      <c r="H715" s="16">
        <f>E715*F715</f>
        <v>230000</v>
      </c>
      <c r="I715" s="16">
        <f>E715*G715</f>
        <v>350000</v>
      </c>
      <c r="J715" s="16">
        <f>I715-H715</f>
        <v>120000</v>
      </c>
      <c r="K715" s="16" t="str">
        <f>VLOOKUP(C715,[1]master_data!$A$2:$E$495,5,FALSE)</f>
        <v>Aksesoris</v>
      </c>
      <c r="L715" s="1"/>
    </row>
    <row r="716" spans="1:12" ht="12" customHeight="1" x14ac:dyDescent="0.25">
      <c r="A716" s="15">
        <v>44436</v>
      </c>
      <c r="B716" s="16" t="s">
        <v>1494</v>
      </c>
      <c r="C716" s="16" t="s">
        <v>351</v>
      </c>
      <c r="D716" s="16" t="str">
        <f>VLOOKUP(C716,[1]master_data!$A$2:$E$495,2,FALSE)</f>
        <v>NEON</v>
      </c>
      <c r="E716" s="16">
        <v>10</v>
      </c>
      <c r="F716" s="16">
        <f>VLOOKUP(C716,[1]master_data!$A$2:$E$495,3,FALSE)</f>
        <v>1250</v>
      </c>
      <c r="G716" s="16">
        <f>VLOOKUP(C716,[1]master_data!$A$2:$E$495,4,FALSE)</f>
        <v>5000</v>
      </c>
      <c r="H716" s="16">
        <f>E716*F716</f>
        <v>12500</v>
      </c>
      <c r="I716" s="16">
        <f>E716*G716</f>
        <v>50000</v>
      </c>
      <c r="J716" s="16">
        <f>I716-H716</f>
        <v>37500</v>
      </c>
      <c r="K716" s="16" t="str">
        <f>VLOOKUP(C716,[1]master_data!$A$2:$E$495,5,FALSE)</f>
        <v>Ikan</v>
      </c>
      <c r="L716" s="1"/>
    </row>
    <row r="717" spans="1:12" ht="12" customHeight="1" x14ac:dyDescent="0.25">
      <c r="A717" s="15">
        <v>44436</v>
      </c>
      <c r="B717" s="16" t="s">
        <v>1495</v>
      </c>
      <c r="C717" s="16" t="s">
        <v>86</v>
      </c>
      <c r="D717" s="16" t="str">
        <f>VLOOKUP(C717,[1]master_data!$A$2:$E$495,2,FALSE)</f>
        <v>AIRATOR ROSTON BATERAI  101</v>
      </c>
      <c r="E717" s="16">
        <v>4</v>
      </c>
      <c r="F717" s="16">
        <f>VLOOKUP(C717,[1]master_data!$A$2:$E$495,3,FALSE)</f>
        <v>35000</v>
      </c>
      <c r="G717" s="16">
        <f>VLOOKUP(C717,[1]master_data!$A$2:$E$495,4,FALSE)</f>
        <v>50000</v>
      </c>
      <c r="H717" s="16">
        <f>E717*F717</f>
        <v>140000</v>
      </c>
      <c r="I717" s="16">
        <f>E717*G717</f>
        <v>200000</v>
      </c>
      <c r="J717" s="16">
        <f>I717-H717</f>
        <v>60000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44436</v>
      </c>
      <c r="B718" s="16" t="s">
        <v>1496</v>
      </c>
      <c r="C718" s="16" t="s">
        <v>363</v>
      </c>
      <c r="D718" s="16" t="str">
        <f>VLOOKUP(C718,[1]master_data!$A$2:$E$495,2,FALSE)</f>
        <v>SUMATRA GOLD FISH</v>
      </c>
      <c r="E718" s="16">
        <v>5</v>
      </c>
      <c r="F718" s="16">
        <f>VLOOKUP(C718,[1]master_data!$A$2:$E$495,3,FALSE)</f>
        <v>2500</v>
      </c>
      <c r="G718" s="16">
        <f>VLOOKUP(C718,[1]master_data!$A$2:$E$495,4,FALSE)</f>
        <v>4000</v>
      </c>
      <c r="H718" s="16">
        <f>E718*F718</f>
        <v>12500</v>
      </c>
      <c r="I718" s="16">
        <f>E718*G718</f>
        <v>20000</v>
      </c>
      <c r="J718" s="16">
        <f>I718-H718</f>
        <v>7500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44436</v>
      </c>
      <c r="B719" s="16" t="s">
        <v>1497</v>
      </c>
      <c r="C719" s="16" t="s">
        <v>325</v>
      </c>
      <c r="D719" s="16" t="str">
        <f>VLOOKUP(C719,[1]master_data!$A$2:$E$495,2,FALSE)</f>
        <v>HIU TAWAR</v>
      </c>
      <c r="E719" s="16">
        <v>1</v>
      </c>
      <c r="F719" s="16">
        <f>VLOOKUP(C719,[1]master_data!$A$2:$E$495,3,FALSE)</f>
        <v>600</v>
      </c>
      <c r="G719" s="16">
        <f>VLOOKUP(C719,[1]master_data!$A$2:$E$495,4,FALSE)</f>
        <v>2000</v>
      </c>
      <c r="H719" s="16">
        <f>E719*F719</f>
        <v>600</v>
      </c>
      <c r="I719" s="16">
        <f>E719*G719</f>
        <v>2000</v>
      </c>
      <c r="J719" s="16">
        <f>I719-H719</f>
        <v>1400</v>
      </c>
      <c r="K719" s="16" t="str">
        <f>VLOOKUP(C719,[1]master_data!$A$2:$E$495,5,FALSE)</f>
        <v>Ikan</v>
      </c>
      <c r="L719" s="1"/>
    </row>
    <row r="720" spans="1:12" ht="12" customHeight="1" x14ac:dyDescent="0.25">
      <c r="A720" s="15">
        <v>44435</v>
      </c>
      <c r="B720" s="16" t="s">
        <v>1480</v>
      </c>
      <c r="C720" s="16" t="s">
        <v>178</v>
      </c>
      <c r="D720" s="16" t="str">
        <f>VLOOKUP(C720,[1]master_data!$A$2:$E$495,2,FALSE)</f>
        <v>CP KOI COLOUR</v>
      </c>
      <c r="E720" s="16">
        <v>2</v>
      </c>
      <c r="F720" s="16">
        <f>VLOOKUP(C720,[1]master_data!$A$2:$E$495,3,FALSE)</f>
        <v>38000</v>
      </c>
      <c r="G720" s="16">
        <f>VLOOKUP(C720,[1]master_data!$A$2:$E$495,4,FALSE)</f>
        <v>50000</v>
      </c>
      <c r="H720" s="16">
        <f>E720*F720</f>
        <v>76000</v>
      </c>
      <c r="I720" s="16">
        <f>E720*G720</f>
        <v>100000</v>
      </c>
      <c r="J720" s="16">
        <f>I720-H720</f>
        <v>24000</v>
      </c>
      <c r="K720" s="16" t="str">
        <f>VLOOKUP(C720,[1]master_data!$A$2:$E$495,5,FALSE)</f>
        <v>Aksesoris</v>
      </c>
      <c r="L720" s="1"/>
    </row>
    <row r="721" spans="1:12" ht="12" customHeight="1" x14ac:dyDescent="0.25">
      <c r="A721" s="15">
        <v>44435</v>
      </c>
      <c r="B721" s="16" t="s">
        <v>1481</v>
      </c>
      <c r="C721" s="16" t="s">
        <v>332</v>
      </c>
      <c r="D721" s="16" t="str">
        <f>VLOOKUP(C721,[1]master_data!$A$2:$E$495,2,FALSE)</f>
        <v>KURA - KURA</v>
      </c>
      <c r="E721" s="16">
        <v>1</v>
      </c>
      <c r="F721" s="16">
        <f>VLOOKUP(C721,[1]master_data!$A$2:$E$495,3,FALSE)</f>
        <v>25000</v>
      </c>
      <c r="G721" s="16">
        <f>VLOOKUP(C721,[1]master_data!$A$2:$E$495,4,FALSE)</f>
        <v>35000</v>
      </c>
      <c r="H721" s="16">
        <f>E721*F721</f>
        <v>25000</v>
      </c>
      <c r="I721" s="16">
        <f>E721*G721</f>
        <v>35000</v>
      </c>
      <c r="J721" s="16">
        <f>I721-H721</f>
        <v>10000</v>
      </c>
      <c r="K721" s="16" t="str">
        <f>VLOOKUP(C721,[1]master_data!$A$2:$E$495,5,FALSE)</f>
        <v>Ikan</v>
      </c>
      <c r="L721" s="1"/>
    </row>
    <row r="722" spans="1:12" ht="12" customHeight="1" x14ac:dyDescent="0.25">
      <c r="A722" s="15">
        <v>44435</v>
      </c>
      <c r="B722" s="16" t="s">
        <v>1482</v>
      </c>
      <c r="C722" s="16" t="s">
        <v>329</v>
      </c>
      <c r="D722" s="16" t="str">
        <f>VLOOKUP(C722,[1]master_data!$A$2:$E$495,2,FALSE)</f>
        <v>KOI K</v>
      </c>
      <c r="E722" s="16">
        <v>10</v>
      </c>
      <c r="F722" s="16">
        <f>VLOOKUP(C722,[1]master_data!$A$2:$E$495,3,FALSE)</f>
        <v>2500</v>
      </c>
      <c r="G722" s="16">
        <f>VLOOKUP(C722,[1]master_data!$A$2:$E$495,4,FALSE)</f>
        <v>10000</v>
      </c>
      <c r="H722" s="16">
        <f>E722*F722</f>
        <v>25000</v>
      </c>
      <c r="I722" s="16">
        <f>E722*G722</f>
        <v>100000</v>
      </c>
      <c r="J722" s="16">
        <f>I722-H722</f>
        <v>75000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44435</v>
      </c>
      <c r="B723" s="16" t="s">
        <v>1483</v>
      </c>
      <c r="C723" s="16" t="s">
        <v>85</v>
      </c>
      <c r="D723" s="16" t="str">
        <f>VLOOKUP(C723,[1]master_data!$A$2:$E$495,2,FALSE)</f>
        <v>MEIN AMARA 1100</v>
      </c>
      <c r="E723" s="16">
        <v>1</v>
      </c>
      <c r="F723" s="16">
        <f>VLOOKUP(C723,[1]master_data!$A$2:$E$495,3,FALSE)</f>
        <v>47000</v>
      </c>
      <c r="G723" s="16">
        <f>VLOOKUP(C723,[1]master_data!$A$2:$E$495,4,FALSE)</f>
        <v>60000</v>
      </c>
      <c r="H723" s="16">
        <f>E723*F723</f>
        <v>47000</v>
      </c>
      <c r="I723" s="16">
        <f>E723*G723</f>
        <v>60000</v>
      </c>
      <c r="J723" s="16">
        <f>I723-H723</f>
        <v>13000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44435</v>
      </c>
      <c r="B724" s="16" t="s">
        <v>1484</v>
      </c>
      <c r="C724" s="16" t="s">
        <v>191</v>
      </c>
      <c r="D724" s="16" t="str">
        <f>VLOOKUP(C724,[1]master_data!$A$2:$E$495,2,FALSE)</f>
        <v>PAKAN KURA WARNA</v>
      </c>
      <c r="E724" s="16">
        <v>1</v>
      </c>
      <c r="F724" s="16">
        <f>VLOOKUP(C724,[1]master_data!$A$2:$E$495,3,FALSE)</f>
        <v>7000</v>
      </c>
      <c r="G724" s="16">
        <f>VLOOKUP(C724,[1]master_data!$A$2:$E$495,4,FALSE)</f>
        <v>12000</v>
      </c>
      <c r="H724" s="16">
        <f>E724*F724</f>
        <v>7000</v>
      </c>
      <c r="I724" s="16">
        <f>E724*G724</f>
        <v>12000</v>
      </c>
      <c r="J724" s="16">
        <f>I724-H724</f>
        <v>5000</v>
      </c>
      <c r="K724" s="16" t="str">
        <f>VLOOKUP(C724,[1]master_data!$A$2:$E$495,5,FALSE)</f>
        <v>Aksesoris</v>
      </c>
      <c r="L724" s="1"/>
    </row>
    <row r="725" spans="1:12" ht="12" customHeight="1" x14ac:dyDescent="0.25">
      <c r="A725" s="15">
        <v>44435</v>
      </c>
      <c r="B725" s="16" t="s">
        <v>1485</v>
      </c>
      <c r="C725" s="16" t="s">
        <v>137</v>
      </c>
      <c r="D725" s="16" t="str">
        <f>VLOOKUP(C725,[1]master_data!$A$2:$E$495,2,FALSE)</f>
        <v>LED KANDILA VIBRANT 60 CM</v>
      </c>
      <c r="E725" s="16">
        <v>1</v>
      </c>
      <c r="F725" s="16">
        <f>VLOOKUP(C725,[1]master_data!$A$2:$E$495,3,FALSE)</f>
        <v>109000</v>
      </c>
      <c r="G725" s="16">
        <f>VLOOKUP(C725,[1]master_data!$A$2:$E$495,4,FALSE)</f>
        <v>150000</v>
      </c>
      <c r="H725" s="16">
        <f>E725*F725</f>
        <v>109000</v>
      </c>
      <c r="I725" s="16">
        <f>E725*G725</f>
        <v>150000</v>
      </c>
      <c r="J725" s="16">
        <f>I725-H725</f>
        <v>41000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44435</v>
      </c>
      <c r="B726" s="16" t="s">
        <v>1486</v>
      </c>
      <c r="C726" s="16" t="s">
        <v>228</v>
      </c>
      <c r="D726" s="16" t="str">
        <f>VLOOKUP(C726,[1]master_data!$A$2:$E$495,2,FALSE)</f>
        <v>KAPAS 3 LAPIS</v>
      </c>
      <c r="E726" s="16">
        <v>1</v>
      </c>
      <c r="F726" s="16">
        <f>VLOOKUP(C726,[1]master_data!$A$2:$E$495,3,FALSE)</f>
        <v>3200</v>
      </c>
      <c r="G726" s="16">
        <f>VLOOKUP(C726,[1]master_data!$A$2:$E$495,4,FALSE)</f>
        <v>5000</v>
      </c>
      <c r="H726" s="16">
        <f>E726*F726</f>
        <v>3200</v>
      </c>
      <c r="I726" s="16">
        <f>E726*G726</f>
        <v>5000</v>
      </c>
      <c r="J726" s="16">
        <f>I726-H726</f>
        <v>1800</v>
      </c>
      <c r="K726" s="16" t="str">
        <f>VLOOKUP(C726,[1]master_data!$A$2:$E$495,5,FALSE)</f>
        <v>Aksesoris</v>
      </c>
      <c r="L726" s="1"/>
    </row>
    <row r="727" spans="1:12" ht="12" customHeight="1" x14ac:dyDescent="0.25">
      <c r="A727" s="15">
        <v>44435</v>
      </c>
      <c r="B727" s="16" t="s">
        <v>1487</v>
      </c>
      <c r="C727" s="16" t="s">
        <v>110</v>
      </c>
      <c r="D727" s="16" t="str">
        <f>VLOOKUP(C727,[1]master_data!$A$2:$E$495,2,FALSE)</f>
        <v>LED YAMANO S1000</v>
      </c>
      <c r="E727" s="16">
        <v>1</v>
      </c>
      <c r="F727" s="16">
        <f>VLOOKUP(C727,[1]master_data!$A$2:$E$495,3,FALSE)</f>
        <v>100000</v>
      </c>
      <c r="G727" s="16">
        <f>VLOOKUP(C727,[1]master_data!$A$2:$E$495,4,FALSE)</f>
        <v>140000</v>
      </c>
      <c r="H727" s="16">
        <f>E727*F727</f>
        <v>100000</v>
      </c>
      <c r="I727" s="16">
        <f>E727*G727</f>
        <v>140000</v>
      </c>
      <c r="J727" s="16">
        <f>I727-H727</f>
        <v>40000</v>
      </c>
      <c r="K727" s="16" t="str">
        <f>VLOOKUP(C727,[1]master_data!$A$2:$E$495,5,FALSE)</f>
        <v>Aksesoris</v>
      </c>
      <c r="L727" s="1"/>
    </row>
    <row r="728" spans="1:12" ht="12" customHeight="1" x14ac:dyDescent="0.25">
      <c r="A728" s="15">
        <v>44435</v>
      </c>
      <c r="B728" s="16" t="s">
        <v>1488</v>
      </c>
      <c r="C728" s="16" t="s">
        <v>130</v>
      </c>
      <c r="D728" s="16" t="str">
        <f>VLOOKUP(C728,[1]master_data!$A$2:$E$495,2,FALSE)</f>
        <v>LED ROSTON 3 MODE 50 CM</v>
      </c>
      <c r="E728" s="16">
        <v>1</v>
      </c>
      <c r="F728" s="16">
        <f>VLOOKUP(C728,[1]master_data!$A$2:$E$495,3,FALSE)</f>
        <v>30000</v>
      </c>
      <c r="G728" s="16">
        <f>VLOOKUP(C728,[1]master_data!$A$2:$E$495,4,FALSE)</f>
        <v>60000</v>
      </c>
      <c r="H728" s="16">
        <f>E728*F728</f>
        <v>30000</v>
      </c>
      <c r="I728" s="16">
        <f>E728*G728</f>
        <v>60000</v>
      </c>
      <c r="J728" s="16">
        <f>I728-H728</f>
        <v>30000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44435</v>
      </c>
      <c r="B729" s="16" t="s">
        <v>1489</v>
      </c>
      <c r="C729" s="16" t="s">
        <v>278</v>
      </c>
      <c r="D729" s="16" t="str">
        <f>VLOOKUP(C729,[1]master_data!$A$2:$E$495,2,FALSE)</f>
        <v>AKUARIUM BAHARI M60</v>
      </c>
      <c r="E729" s="16">
        <v>1</v>
      </c>
      <c r="F729" s="16">
        <f>VLOOKUP(C729,[1]master_data!$A$2:$E$495,3,FALSE)</f>
        <v>82000</v>
      </c>
      <c r="G729" s="16">
        <f>VLOOKUP(C729,[1]master_data!$A$2:$E$495,4,FALSE)</f>
        <v>260000</v>
      </c>
      <c r="H729" s="16">
        <f>E729*F729</f>
        <v>82000</v>
      </c>
      <c r="I729" s="16">
        <f>E729*G729</f>
        <v>260000</v>
      </c>
      <c r="J729" s="16">
        <f>I729-H729</f>
        <v>178000</v>
      </c>
      <c r="K729" s="16" t="str">
        <f>VLOOKUP(C729,[1]master_data!$A$2:$E$495,5,FALSE)</f>
        <v>Aksesoris</v>
      </c>
      <c r="L729" s="1"/>
    </row>
    <row r="730" spans="1:12" ht="12" customHeight="1" x14ac:dyDescent="0.25">
      <c r="A730" s="15">
        <v>44434</v>
      </c>
      <c r="B730" s="16" t="s">
        <v>1476</v>
      </c>
      <c r="C730" s="16" t="s">
        <v>301</v>
      </c>
      <c r="D730" s="16" t="str">
        <f>VLOOKUP(C730,[1]master_data!$A$2:$E$495,2,FALSE)</f>
        <v>OISTER</v>
      </c>
      <c r="E730" s="16">
        <v>10</v>
      </c>
      <c r="F730" s="16">
        <f>VLOOKUP(C730,[1]master_data!$A$2:$E$495,3,FALSE)</f>
        <v>15000</v>
      </c>
      <c r="G730" s="16">
        <f>VLOOKUP(C730,[1]master_data!$A$2:$E$495,4,FALSE)</f>
        <v>25000</v>
      </c>
      <c r="H730" s="16">
        <f>E730*F730</f>
        <v>150000</v>
      </c>
      <c r="I730" s="16">
        <f>E730*G730</f>
        <v>250000</v>
      </c>
      <c r="J730" s="16">
        <f>I730-H730</f>
        <v>100000</v>
      </c>
      <c r="K730" s="16" t="str">
        <f>VLOOKUP(C730,[1]master_data!$A$2:$E$495,5,FALSE)</f>
        <v>Aksesoris</v>
      </c>
      <c r="L730" s="1"/>
    </row>
    <row r="731" spans="1:12" ht="12" customHeight="1" x14ac:dyDescent="0.25">
      <c r="A731" s="15">
        <v>44434</v>
      </c>
      <c r="B731" s="16" t="s">
        <v>1477</v>
      </c>
      <c r="C731" s="16" t="s">
        <v>27</v>
      </c>
      <c r="D731" s="16" t="str">
        <f>VLOOKUP(C731,[1]master_data!$A$2:$E$495,2,FALSE)</f>
        <v>TOP FILTER ROSTON 650 K</v>
      </c>
      <c r="E731" s="16">
        <v>2</v>
      </c>
      <c r="F731" s="16">
        <f>VLOOKUP(C731,[1]master_data!$A$2:$E$495,3,FALSE)</f>
        <v>35000</v>
      </c>
      <c r="G731" s="16">
        <f>VLOOKUP(C731,[1]master_data!$A$2:$E$495,4,FALSE)</f>
        <v>50000</v>
      </c>
      <c r="H731" s="16">
        <f>E731*F731</f>
        <v>70000</v>
      </c>
      <c r="I731" s="16">
        <f>E731*G731</f>
        <v>100000</v>
      </c>
      <c r="J731" s="16">
        <f>I731-H731</f>
        <v>30000</v>
      </c>
      <c r="K731" s="16" t="str">
        <f>VLOOKUP(C731,[1]master_data!$A$2:$E$495,5,FALSE)</f>
        <v>Aksesoris</v>
      </c>
      <c r="L731" s="1"/>
    </row>
    <row r="732" spans="1:12" ht="12" customHeight="1" x14ac:dyDescent="0.25">
      <c r="A732" s="15">
        <v>44434</v>
      </c>
      <c r="B732" s="16" t="s">
        <v>1478</v>
      </c>
      <c r="C732" s="16" t="s">
        <v>337</v>
      </c>
      <c r="D732" s="16" t="str">
        <f>VLOOKUP(C732,[1]master_data!$A$2:$E$495,2,FALSE)</f>
        <v>KOI SLAYER B</v>
      </c>
      <c r="E732" s="16">
        <v>2</v>
      </c>
      <c r="F732" s="16">
        <f>VLOOKUP(C732,[1]master_data!$A$2:$E$495,3,FALSE)</f>
        <v>8000</v>
      </c>
      <c r="G732" s="16">
        <f>VLOOKUP(C732,[1]master_data!$A$2:$E$495,4,FALSE)</f>
        <v>20000</v>
      </c>
      <c r="H732" s="16">
        <f>E732*F732</f>
        <v>16000</v>
      </c>
      <c r="I732" s="16">
        <f>E732*G732</f>
        <v>40000</v>
      </c>
      <c r="J732" s="16">
        <f>I732-H732</f>
        <v>24000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44434</v>
      </c>
      <c r="B733" s="16" t="s">
        <v>1479</v>
      </c>
      <c r="C733" s="16" t="s">
        <v>268</v>
      </c>
      <c r="D733" s="16" t="str">
        <f>VLOOKUP(C733,[1]master_data!$A$2:$E$495,2,FALSE)</f>
        <v>FOOD TIMER AMARA 8431</v>
      </c>
      <c r="E733" s="16">
        <v>2</v>
      </c>
      <c r="F733" s="16">
        <f>VLOOKUP(C733,[1]master_data!$A$2:$E$495,3,FALSE)</f>
        <v>45000</v>
      </c>
      <c r="G733" s="16">
        <f>VLOOKUP(C733,[1]master_data!$A$2:$E$495,4,FALSE)</f>
        <v>115000</v>
      </c>
      <c r="H733" s="16">
        <f>E733*F733</f>
        <v>90000</v>
      </c>
      <c r="I733" s="16">
        <f>E733*G733</f>
        <v>230000</v>
      </c>
      <c r="J733" s="16">
        <f>I733-H733</f>
        <v>140000</v>
      </c>
      <c r="K733" s="16" t="str">
        <f>VLOOKUP(C733,[1]master_data!$A$2:$E$495,5,FALSE)</f>
        <v>Aksesoris</v>
      </c>
      <c r="L733" s="1"/>
    </row>
    <row r="734" spans="1:12" ht="12" customHeight="1" x14ac:dyDescent="0.25">
      <c r="A734" s="15">
        <v>44433</v>
      </c>
      <c r="B734" s="16" t="s">
        <v>1471</v>
      </c>
      <c r="C734" s="16" t="s">
        <v>31</v>
      </c>
      <c r="D734" s="16" t="str">
        <f>VLOOKUP(C734,[1]master_data!$A$2:$E$495,2,FALSE)</f>
        <v>MESIN YAMANO 1600</v>
      </c>
      <c r="E734" s="16">
        <v>2</v>
      </c>
      <c r="F734" s="16">
        <f>VLOOKUP(C734,[1]master_data!$A$2:$E$495,3,FALSE)</f>
        <v>55000</v>
      </c>
      <c r="G734" s="16">
        <f>VLOOKUP(C734,[1]master_data!$A$2:$E$495,4,FALSE)</f>
        <v>75000</v>
      </c>
      <c r="H734" s="16">
        <f>E734*F734</f>
        <v>110000</v>
      </c>
      <c r="I734" s="16">
        <f>E734*G734</f>
        <v>150000</v>
      </c>
      <c r="J734" s="16">
        <f>I734-H734</f>
        <v>40000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44433</v>
      </c>
      <c r="B735" s="16" t="s">
        <v>1472</v>
      </c>
      <c r="C735" s="16" t="s">
        <v>368</v>
      </c>
      <c r="D735" s="16" t="str">
        <f>VLOOKUP(C735,[1]master_data!$A$2:$E$495,2,FALSE)</f>
        <v>TOMAN</v>
      </c>
      <c r="E735" s="16">
        <v>10</v>
      </c>
      <c r="F735" s="16">
        <f>VLOOKUP(C735,[1]master_data!$A$2:$E$495,3,FALSE)</f>
        <v>10000</v>
      </c>
      <c r="G735" s="16">
        <f>VLOOKUP(C735,[1]master_data!$A$2:$E$495,4,FALSE)</f>
        <v>25000</v>
      </c>
      <c r="H735" s="16">
        <f>E735*F735</f>
        <v>100000</v>
      </c>
      <c r="I735" s="16">
        <f>E735*G735</f>
        <v>250000</v>
      </c>
      <c r="J735" s="16">
        <f>I735-H735</f>
        <v>150000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44433</v>
      </c>
      <c r="B736" s="16" t="s">
        <v>1473</v>
      </c>
      <c r="C736" s="16" t="s">
        <v>99</v>
      </c>
      <c r="D736" s="16" t="str">
        <f>VLOOKUP(C736,[1]master_data!$A$2:$E$495,2,FALSE)</f>
        <v>LED KIYOSAKI 3 MODE 40 CM</v>
      </c>
      <c r="E736" s="16">
        <v>1</v>
      </c>
      <c r="F736" s="16">
        <f>VLOOKUP(C736,[1]master_data!$A$2:$E$495,3,FALSE)</f>
        <v>32000</v>
      </c>
      <c r="G736" s="16">
        <f>VLOOKUP(C736,[1]master_data!$A$2:$E$495,4,FALSE)</f>
        <v>55000</v>
      </c>
      <c r="H736" s="16">
        <f>E736*F736</f>
        <v>32000</v>
      </c>
      <c r="I736" s="16">
        <f>E736*G736</f>
        <v>55000</v>
      </c>
      <c r="J736" s="16">
        <f>I736-H736</f>
        <v>23000</v>
      </c>
      <c r="K736" s="16" t="str">
        <f>VLOOKUP(C736,[1]master_data!$A$2:$E$495,5,FALSE)</f>
        <v>Aksesoris</v>
      </c>
      <c r="L736" s="1"/>
    </row>
    <row r="737" spans="1:12" ht="12" customHeight="1" x14ac:dyDescent="0.25">
      <c r="A737" s="15">
        <v>44433</v>
      </c>
      <c r="B737" s="16" t="s">
        <v>1474</v>
      </c>
      <c r="C737" s="16" t="s">
        <v>32</v>
      </c>
      <c r="D737" s="16" t="str">
        <f>VLOOKUP(C737,[1]master_data!$A$2:$E$495,2,FALSE)</f>
        <v>MESIN YAMANO 1800</v>
      </c>
      <c r="E737" s="16">
        <v>3</v>
      </c>
      <c r="F737" s="16">
        <f>VLOOKUP(C737,[1]master_data!$A$2:$E$495,3,FALSE)</f>
        <v>64000</v>
      </c>
      <c r="G737" s="16">
        <f>VLOOKUP(C737,[1]master_data!$A$2:$E$495,4,FALSE)</f>
        <v>110000</v>
      </c>
      <c r="H737" s="16">
        <f>E737*F737</f>
        <v>192000</v>
      </c>
      <c r="I737" s="16">
        <f>E737*G737</f>
        <v>330000</v>
      </c>
      <c r="J737" s="16">
        <f>I737-H737</f>
        <v>138000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44433</v>
      </c>
      <c r="B738" s="16" t="s">
        <v>1475</v>
      </c>
      <c r="C738" s="16" t="s">
        <v>323</v>
      </c>
      <c r="D738" s="16" t="str">
        <f>VLOOKUP(C738,[1]master_data!$A$2:$E$495,2,FALSE)</f>
        <v>GUPY</v>
      </c>
      <c r="E738" s="16">
        <v>8</v>
      </c>
      <c r="F738" s="16">
        <f>VLOOKUP(C738,[1]master_data!$A$2:$E$495,3,FALSE)</f>
        <v>1200</v>
      </c>
      <c r="G738" s="16">
        <f>VLOOKUP(C738,[1]master_data!$A$2:$E$495,4,FALSE)</f>
        <v>2500</v>
      </c>
      <c r="H738" s="16">
        <f>E738*F738</f>
        <v>9600</v>
      </c>
      <c r="I738" s="16">
        <f>E738*G738</f>
        <v>20000</v>
      </c>
      <c r="J738" s="16">
        <f>I738-H738</f>
        <v>10400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44432</v>
      </c>
      <c r="B739" s="16" t="s">
        <v>1464</v>
      </c>
      <c r="C739" s="16" t="s">
        <v>49</v>
      </c>
      <c r="D739" s="16" t="str">
        <f>VLOOKUP(C739,[1]master_data!$A$2:$E$495,2,FALSE)</f>
        <v>MESIN  SWI 1200</v>
      </c>
      <c r="E739" s="16">
        <v>5</v>
      </c>
      <c r="F739" s="16">
        <f>VLOOKUP(C739,[1]master_data!$A$2:$E$495,3,FALSE)</f>
        <v>22500</v>
      </c>
      <c r="G739" s="16">
        <f>VLOOKUP(C739,[1]master_data!$A$2:$E$495,4,FALSE)</f>
        <v>30000</v>
      </c>
      <c r="H739" s="16">
        <f>E739*F739</f>
        <v>112500</v>
      </c>
      <c r="I739" s="16">
        <f>E739*G739</f>
        <v>150000</v>
      </c>
      <c r="J739" s="16">
        <f>I739-H739</f>
        <v>37500</v>
      </c>
      <c r="K739" s="16" t="str">
        <f>VLOOKUP(C739,[1]master_data!$A$2:$E$495,5,FALSE)</f>
        <v>Aksesoris</v>
      </c>
      <c r="L739" s="1"/>
    </row>
    <row r="740" spans="1:12" ht="12" customHeight="1" x14ac:dyDescent="0.25">
      <c r="A740" s="15">
        <v>44432</v>
      </c>
      <c r="B740" s="16" t="s">
        <v>1465</v>
      </c>
      <c r="C740" s="16" t="s">
        <v>54</v>
      </c>
      <c r="D740" s="16" t="str">
        <f>VLOOKUP(C740,[1]master_data!$A$2:$E$495,2,FALSE)</f>
        <v>MESIN ATMAN 104</v>
      </c>
      <c r="E740" s="16">
        <v>1</v>
      </c>
      <c r="F740" s="16">
        <f>VLOOKUP(C740,[1]master_data!$A$2:$E$495,3,FALSE)</f>
        <v>170000</v>
      </c>
      <c r="G740" s="16">
        <f>VLOOKUP(C740,[1]master_data!$A$2:$E$495,4,FALSE)</f>
        <v>225000</v>
      </c>
      <c r="H740" s="16">
        <f>E740*F740</f>
        <v>170000</v>
      </c>
      <c r="I740" s="16">
        <f>E740*G740</f>
        <v>225000</v>
      </c>
      <c r="J740" s="16">
        <f>I740-H740</f>
        <v>55000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44432</v>
      </c>
      <c r="B741" s="16" t="s">
        <v>1466</v>
      </c>
      <c r="C741" s="16" t="s">
        <v>359</v>
      </c>
      <c r="D741" s="16" t="str">
        <f>VLOOKUP(C741,[1]master_data!$A$2:$E$495,2,FALSE)</f>
        <v>REDFIN ALBINO</v>
      </c>
      <c r="E741" s="16">
        <v>20</v>
      </c>
      <c r="F741" s="16">
        <f>VLOOKUP(C741,[1]master_data!$A$2:$E$495,3,FALSE)</f>
        <v>1500</v>
      </c>
      <c r="G741" s="16">
        <f>VLOOKUP(C741,[1]master_data!$A$2:$E$495,4,FALSE)</f>
        <v>4000</v>
      </c>
      <c r="H741" s="16">
        <f>E741*F741</f>
        <v>30000</v>
      </c>
      <c r="I741" s="16">
        <f>E741*G741</f>
        <v>80000</v>
      </c>
      <c r="J741" s="16">
        <f>I741-H741</f>
        <v>50000</v>
      </c>
      <c r="K741" s="16" t="str">
        <f>VLOOKUP(C741,[1]master_data!$A$2:$E$495,5,FALSE)</f>
        <v>Ikan</v>
      </c>
      <c r="L741" s="1"/>
    </row>
    <row r="742" spans="1:12" ht="12" customHeight="1" x14ac:dyDescent="0.25">
      <c r="A742" s="15">
        <v>44432</v>
      </c>
      <c r="B742" s="16" t="s">
        <v>1467</v>
      </c>
      <c r="C742" s="16" t="s">
        <v>322</v>
      </c>
      <c r="D742" s="16" t="str">
        <f>VLOOKUP(C742,[1]master_data!$A$2:$E$495,2,FALSE)</f>
        <v>GOLD FISH</v>
      </c>
      <c r="E742" s="16">
        <v>30</v>
      </c>
      <c r="F742" s="16">
        <f>VLOOKUP(C742,[1]master_data!$A$2:$E$495,3,FALSE)</f>
        <v>800</v>
      </c>
      <c r="G742" s="16">
        <f>VLOOKUP(C742,[1]master_data!$A$2:$E$495,4,FALSE)</f>
        <v>2000</v>
      </c>
      <c r="H742" s="16">
        <f>E742*F742</f>
        <v>24000</v>
      </c>
      <c r="I742" s="16">
        <f>E742*G742</f>
        <v>60000</v>
      </c>
      <c r="J742" s="16">
        <f>I742-H742</f>
        <v>36000</v>
      </c>
      <c r="K742" s="16" t="str">
        <f>VLOOKUP(C742,[1]master_data!$A$2:$E$495,5,FALSE)</f>
        <v>Ikan</v>
      </c>
      <c r="L742" s="1"/>
    </row>
    <row r="743" spans="1:12" ht="12" customHeight="1" x14ac:dyDescent="0.25">
      <c r="A743" s="15">
        <v>44432</v>
      </c>
      <c r="B743" s="16" t="s">
        <v>1468</v>
      </c>
      <c r="C743" s="16" t="s">
        <v>317</v>
      </c>
      <c r="D743" s="16" t="str">
        <f>VLOOKUP(C743,[1]master_data!$A$2:$E$495,2,FALSE)</f>
        <v>CHANNA BLUE PULCHRA B</v>
      </c>
      <c r="E743" s="16">
        <v>2</v>
      </c>
      <c r="F743" s="16">
        <f>VLOOKUP(C743,[1]master_data!$A$2:$E$495,3,FALSE)</f>
        <v>125000</v>
      </c>
      <c r="G743" s="16">
        <f>VLOOKUP(C743,[1]master_data!$A$2:$E$495,4,FALSE)</f>
        <v>200000</v>
      </c>
      <c r="H743" s="16">
        <f>E743*F743</f>
        <v>250000</v>
      </c>
      <c r="I743" s="16">
        <f>E743*G743</f>
        <v>400000</v>
      </c>
      <c r="J743" s="16">
        <f>I743-H743</f>
        <v>150000</v>
      </c>
      <c r="K743" s="16" t="str">
        <f>VLOOKUP(C743,[1]master_data!$A$2:$E$495,5,FALSE)</f>
        <v>Ikan</v>
      </c>
      <c r="L743" s="1"/>
    </row>
    <row r="744" spans="1:12" ht="12" customHeight="1" x14ac:dyDescent="0.25">
      <c r="A744" s="15">
        <v>44432</v>
      </c>
      <c r="B744" s="16" t="s">
        <v>1469</v>
      </c>
      <c r="C744" s="16" t="s">
        <v>324</v>
      </c>
      <c r="D744" s="16" t="str">
        <f>VLOOKUP(C744,[1]master_data!$A$2:$E$495,2,FALSE)</f>
        <v>GOLDEN BLACK</v>
      </c>
      <c r="E744" s="16">
        <v>15</v>
      </c>
      <c r="F744" s="16">
        <f>VLOOKUP(C744,[1]master_data!$A$2:$E$495,3,FALSE)</f>
        <v>800</v>
      </c>
      <c r="G744" s="16">
        <f>VLOOKUP(C744,[1]master_data!$A$2:$E$495,4,FALSE)</f>
        <v>2000</v>
      </c>
      <c r="H744" s="16">
        <f>E744*F744</f>
        <v>12000</v>
      </c>
      <c r="I744" s="16">
        <f>E744*G744</f>
        <v>30000</v>
      </c>
      <c r="J744" s="16">
        <f>I744-H744</f>
        <v>18000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44432</v>
      </c>
      <c r="B745" s="16" t="s">
        <v>1470</v>
      </c>
      <c r="C745" s="16" t="s">
        <v>320</v>
      </c>
      <c r="D745" s="16" t="str">
        <f>VLOOKUP(C745,[1]master_data!$A$2:$E$495,2,FALSE)</f>
        <v>CUPANG</v>
      </c>
      <c r="E745" s="16">
        <v>16</v>
      </c>
      <c r="F745" s="16">
        <f>VLOOKUP(C745,[1]master_data!$A$2:$E$495,3,FALSE)</f>
        <v>2000</v>
      </c>
      <c r="G745" s="16">
        <f>VLOOKUP(C745,[1]master_data!$A$2:$E$495,4,FALSE)</f>
        <v>5000</v>
      </c>
      <c r="H745" s="16">
        <f>E745*F745</f>
        <v>32000</v>
      </c>
      <c r="I745" s="16">
        <f>E745*G745</f>
        <v>80000</v>
      </c>
      <c r="J745" s="16">
        <f>I745-H745</f>
        <v>48000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44431</v>
      </c>
      <c r="B746" s="16" t="s">
        <v>1461</v>
      </c>
      <c r="C746" s="16" t="s">
        <v>258</v>
      </c>
      <c r="D746" s="16" t="str">
        <f>VLOOKUP(C746,[1]master_data!$A$2:$E$495,2,FALSE)</f>
        <v>BLITS B</v>
      </c>
      <c r="E746" s="16">
        <v>30</v>
      </c>
      <c r="F746" s="16">
        <f>VLOOKUP(C746,[1]master_data!$A$2:$E$495,3,FALSE)</f>
        <v>6500</v>
      </c>
      <c r="G746" s="16">
        <f>VLOOKUP(C746,[1]master_data!$A$2:$E$495,4,FALSE)</f>
        <v>10000</v>
      </c>
      <c r="H746" s="16">
        <f>E746*F746</f>
        <v>195000</v>
      </c>
      <c r="I746" s="16">
        <f>E746*G746</f>
        <v>300000</v>
      </c>
      <c r="J746" s="16">
        <f>I746-H746</f>
        <v>105000</v>
      </c>
      <c r="K746" s="16" t="str">
        <f>VLOOKUP(C746,[1]master_data!$A$2:$E$495,5,FALSE)</f>
        <v>Aksesoris</v>
      </c>
      <c r="L746" s="1"/>
    </row>
    <row r="747" spans="1:12" ht="12" customHeight="1" x14ac:dyDescent="0.25">
      <c r="A747" s="15">
        <v>44431</v>
      </c>
      <c r="B747" s="16" t="s">
        <v>1462</v>
      </c>
      <c r="C747" s="16" t="s">
        <v>99</v>
      </c>
      <c r="D747" s="16" t="str">
        <f>VLOOKUP(C747,[1]master_data!$A$2:$E$495,2,FALSE)</f>
        <v>LED KIYOSAKI 3 MODE 40 CM</v>
      </c>
      <c r="E747" s="16">
        <v>1</v>
      </c>
      <c r="F747" s="16">
        <f>VLOOKUP(C747,[1]master_data!$A$2:$E$495,3,FALSE)</f>
        <v>32000</v>
      </c>
      <c r="G747" s="16">
        <f>VLOOKUP(C747,[1]master_data!$A$2:$E$495,4,FALSE)</f>
        <v>55000</v>
      </c>
      <c r="H747" s="16">
        <f>E747*F747</f>
        <v>32000</v>
      </c>
      <c r="I747" s="16">
        <f>E747*G747</f>
        <v>55000</v>
      </c>
      <c r="J747" s="16">
        <f>I747-H747</f>
        <v>23000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44431</v>
      </c>
      <c r="B748" s="16" t="s">
        <v>1463</v>
      </c>
      <c r="C748" s="16" t="s">
        <v>344</v>
      </c>
      <c r="D748" s="16" t="str">
        <f>VLOOKUP(C748,[1]master_data!$A$2:$E$495,2,FALSE)</f>
        <v>MANFISH B</v>
      </c>
      <c r="E748" s="16">
        <v>30</v>
      </c>
      <c r="F748" s="16">
        <f>VLOOKUP(C748,[1]master_data!$A$2:$E$495,3,FALSE)</f>
        <v>4000</v>
      </c>
      <c r="G748" s="16">
        <f>VLOOKUP(C748,[1]master_data!$A$2:$E$495,4,FALSE)</f>
        <v>10000</v>
      </c>
      <c r="H748" s="16">
        <f>E748*F748</f>
        <v>120000</v>
      </c>
      <c r="I748" s="16">
        <f>E748*G748</f>
        <v>300000</v>
      </c>
      <c r="J748" s="16">
        <f>I748-H748</f>
        <v>180000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44430</v>
      </c>
      <c r="B749" s="16" t="s">
        <v>1457</v>
      </c>
      <c r="C749" s="16" t="s">
        <v>357</v>
      </c>
      <c r="D749" s="16" t="str">
        <f>VLOOKUP(C749,[1]master_data!$A$2:$E$495,2,FALSE)</f>
        <v>PESO</v>
      </c>
      <c r="E749" s="16">
        <v>5</v>
      </c>
      <c r="F749" s="16">
        <f>VLOOKUP(C749,[1]master_data!$A$2:$E$495,3,FALSE)</f>
        <v>19000</v>
      </c>
      <c r="G749" s="16">
        <f>VLOOKUP(C749,[1]master_data!$A$2:$E$495,4,FALSE)</f>
        <v>40000</v>
      </c>
      <c r="H749" s="16">
        <f>E749*F749</f>
        <v>95000</v>
      </c>
      <c r="I749" s="16">
        <f>E749*G749</f>
        <v>200000</v>
      </c>
      <c r="J749" s="16">
        <f>I749-H749</f>
        <v>105000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44430</v>
      </c>
      <c r="B750" s="16" t="s">
        <v>1458</v>
      </c>
      <c r="C750" s="16" t="s">
        <v>326</v>
      </c>
      <c r="D750" s="16" t="str">
        <f>VLOOKUP(C750,[1]master_data!$A$2:$E$495,2,FALSE)</f>
        <v>KOKI K</v>
      </c>
      <c r="E750" s="16">
        <v>20</v>
      </c>
      <c r="F750" s="16">
        <f>VLOOKUP(C750,[1]master_data!$A$2:$E$495,3,FALSE)</f>
        <v>3500</v>
      </c>
      <c r="G750" s="16">
        <f>VLOOKUP(C750,[1]master_data!$A$2:$E$495,4,FALSE)</f>
        <v>10000</v>
      </c>
      <c r="H750" s="16">
        <f>E750*F750</f>
        <v>70000</v>
      </c>
      <c r="I750" s="16">
        <f>E750*G750</f>
        <v>200000</v>
      </c>
      <c r="J750" s="16">
        <f>I750-H750</f>
        <v>130000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44430</v>
      </c>
      <c r="B751" s="16" t="s">
        <v>1459</v>
      </c>
      <c r="C751" s="16" t="s">
        <v>362</v>
      </c>
      <c r="D751" s="16" t="str">
        <f>VLOOKUP(C751,[1]master_data!$A$2:$E$495,2,FALSE)</f>
        <v>SUMATRA BIASA</v>
      </c>
      <c r="E751" s="16">
        <v>25</v>
      </c>
      <c r="F751" s="16">
        <f>VLOOKUP(C751,[1]master_data!$A$2:$E$495,3,FALSE)</f>
        <v>800</v>
      </c>
      <c r="G751" s="16">
        <f>VLOOKUP(C751,[1]master_data!$A$2:$E$495,4,FALSE)</f>
        <v>2000</v>
      </c>
      <c r="H751" s="16">
        <f>E751*F751</f>
        <v>20000</v>
      </c>
      <c r="I751" s="16">
        <f>E751*G751</f>
        <v>50000</v>
      </c>
      <c r="J751" s="16">
        <f>I751-H751</f>
        <v>30000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44430</v>
      </c>
      <c r="B752" s="16" t="s">
        <v>1460</v>
      </c>
      <c r="C752" s="16" t="s">
        <v>349</v>
      </c>
      <c r="D752" s="16" t="str">
        <f>VLOOKUP(C752,[1]master_data!$A$2:$E$495,2,FALSE)</f>
        <v>RED EYE TETRA</v>
      </c>
      <c r="E752" s="16">
        <v>15</v>
      </c>
      <c r="F752" s="16">
        <f>VLOOKUP(C752,[1]master_data!$A$2:$E$495,3,FALSE)</f>
        <v>900</v>
      </c>
      <c r="G752" s="16">
        <f>VLOOKUP(C752,[1]master_data!$A$2:$E$495,4,FALSE)</f>
        <v>2000</v>
      </c>
      <c r="H752" s="16">
        <f>E752*F752</f>
        <v>13500</v>
      </c>
      <c r="I752" s="16">
        <f>E752*G752</f>
        <v>30000</v>
      </c>
      <c r="J752" s="16">
        <f>I752-H752</f>
        <v>16500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44429</v>
      </c>
      <c r="B753" s="16" t="s">
        <v>1455</v>
      </c>
      <c r="C753" s="16" t="s">
        <v>147</v>
      </c>
      <c r="D753" s="16" t="str">
        <f>VLOOKUP(C753,[1]master_data!$A$2:$E$495,2,FALSE)</f>
        <v>LED KANDILA DnN 100 CM</v>
      </c>
      <c r="E753" s="16">
        <v>7</v>
      </c>
      <c r="F753" s="16">
        <f>VLOOKUP(C753,[1]master_data!$A$2:$E$495,3,FALSE)</f>
        <v>55000</v>
      </c>
      <c r="G753" s="16">
        <f>VLOOKUP(C753,[1]master_data!$A$2:$E$495,4,FALSE)</f>
        <v>100000</v>
      </c>
      <c r="H753" s="16">
        <f>E753*F753</f>
        <v>385000</v>
      </c>
      <c r="I753" s="16">
        <f>E753*G753</f>
        <v>700000</v>
      </c>
      <c r="J753" s="16">
        <f>I753-H753</f>
        <v>315000</v>
      </c>
      <c r="K753" s="16" t="str">
        <f>VLOOKUP(C753,[1]master_data!$A$2:$E$495,5,FALSE)</f>
        <v>Aksesoris</v>
      </c>
      <c r="L753" s="1"/>
    </row>
    <row r="754" spans="1:12" ht="12" customHeight="1" x14ac:dyDescent="0.25">
      <c r="A754" s="15">
        <v>44429</v>
      </c>
      <c r="B754" s="16" t="s">
        <v>1456</v>
      </c>
      <c r="C754" s="16" t="s">
        <v>343</v>
      </c>
      <c r="D754" s="16" t="str">
        <f>VLOOKUP(C754,[1]master_data!$A$2:$E$495,2,FALSE)</f>
        <v>MANFISH K</v>
      </c>
      <c r="E754" s="16">
        <v>1</v>
      </c>
      <c r="F754" s="16">
        <f>VLOOKUP(C754,[1]master_data!$A$2:$E$495,3,FALSE)</f>
        <v>2000</v>
      </c>
      <c r="G754" s="16">
        <f>VLOOKUP(C754,[1]master_data!$A$2:$E$495,4,FALSE)</f>
        <v>5000</v>
      </c>
      <c r="H754" s="16">
        <f>E754*F754</f>
        <v>2000</v>
      </c>
      <c r="I754" s="16">
        <f>E754*G754</f>
        <v>5000</v>
      </c>
      <c r="J754" s="16">
        <f>I754-H754</f>
        <v>3000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44428</v>
      </c>
      <c r="B755" s="16" t="s">
        <v>1448</v>
      </c>
      <c r="C755" s="16" t="s">
        <v>212</v>
      </c>
      <c r="D755" s="16" t="str">
        <f>VLOOKUP(C755,[1]master_data!$A$2:$E$495,2,FALSE)</f>
        <v>CORNER FILTER MULTI NAVIGATOR</v>
      </c>
      <c r="E755" s="16">
        <v>5</v>
      </c>
      <c r="F755" s="16">
        <f>VLOOKUP(C755,[1]master_data!$A$2:$E$495,3,FALSE)</f>
        <v>21000</v>
      </c>
      <c r="G755" s="16">
        <f>VLOOKUP(C755,[1]master_data!$A$2:$E$495,4,FALSE)</f>
        <v>30000</v>
      </c>
      <c r="H755" s="16">
        <f>E755*F755</f>
        <v>105000</v>
      </c>
      <c r="I755" s="16">
        <f>E755*G755</f>
        <v>150000</v>
      </c>
      <c r="J755" s="16">
        <f>I755-H755</f>
        <v>45000</v>
      </c>
      <c r="K755" s="16" t="str">
        <f>VLOOKUP(C755,[1]master_data!$A$2:$E$495,5,FALSE)</f>
        <v>Aksesoris</v>
      </c>
      <c r="L755" s="1"/>
    </row>
    <row r="756" spans="1:12" ht="12" customHeight="1" x14ac:dyDescent="0.25">
      <c r="A756" s="15">
        <v>44428</v>
      </c>
      <c r="B756" s="16" t="s">
        <v>1449</v>
      </c>
      <c r="C756" s="16" t="s">
        <v>332</v>
      </c>
      <c r="D756" s="16" t="str">
        <f>VLOOKUP(C756,[1]master_data!$A$2:$E$495,2,FALSE)</f>
        <v>KURA - KURA</v>
      </c>
      <c r="E756" s="16">
        <v>5</v>
      </c>
      <c r="F756" s="16">
        <f>VLOOKUP(C756,[1]master_data!$A$2:$E$495,3,FALSE)</f>
        <v>25000</v>
      </c>
      <c r="G756" s="16">
        <f>VLOOKUP(C756,[1]master_data!$A$2:$E$495,4,FALSE)</f>
        <v>35000</v>
      </c>
      <c r="H756" s="16">
        <f>E756*F756</f>
        <v>125000</v>
      </c>
      <c r="I756" s="16">
        <f>E756*G756</f>
        <v>175000</v>
      </c>
      <c r="J756" s="16">
        <f>I756-H756</f>
        <v>50000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44428</v>
      </c>
      <c r="B757" s="16" t="s">
        <v>1450</v>
      </c>
      <c r="C757" s="16" t="s">
        <v>23</v>
      </c>
      <c r="D757" s="16" t="str">
        <f>VLOOKUP(C757,[1]master_data!$A$2:$E$495,2,FALSE)</f>
        <v>MESIN ROSTON 105+</v>
      </c>
      <c r="E757" s="16">
        <v>1</v>
      </c>
      <c r="F757" s="16">
        <f>VLOOKUP(C757,[1]master_data!$A$2:$E$495,3,FALSE)</f>
        <v>95000</v>
      </c>
      <c r="G757" s="16">
        <f>VLOOKUP(C757,[1]master_data!$A$2:$E$495,4,FALSE)</f>
        <v>145000</v>
      </c>
      <c r="H757" s="16">
        <f>E757*F757</f>
        <v>95000</v>
      </c>
      <c r="I757" s="16">
        <f>E757*G757</f>
        <v>145000</v>
      </c>
      <c r="J757" s="16">
        <f>I757-H757</f>
        <v>50000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44428</v>
      </c>
      <c r="B758" s="16" t="s">
        <v>1451</v>
      </c>
      <c r="C758" s="16" t="s">
        <v>315</v>
      </c>
      <c r="D758" s="16" t="str">
        <f>VLOOKUP(C758,[1]master_data!$A$2:$E$495,2,FALSE)</f>
        <v>BLACK GHOST</v>
      </c>
      <c r="E758" s="16">
        <v>15</v>
      </c>
      <c r="F758" s="16">
        <f>VLOOKUP(C758,[1]master_data!$A$2:$E$495,3,FALSE)</f>
        <v>4000</v>
      </c>
      <c r="G758" s="16">
        <f>VLOOKUP(C758,[1]master_data!$A$2:$E$495,4,FALSE)</f>
        <v>10000</v>
      </c>
      <c r="H758" s="16">
        <f>E758*F758</f>
        <v>60000</v>
      </c>
      <c r="I758" s="16">
        <f>E758*G758</f>
        <v>150000</v>
      </c>
      <c r="J758" s="16">
        <f>I758-H758</f>
        <v>90000</v>
      </c>
      <c r="K758" s="16" t="str">
        <f>VLOOKUP(C758,[1]master_data!$A$2:$E$495,5,FALSE)</f>
        <v>Ikan</v>
      </c>
      <c r="L758" s="1"/>
    </row>
    <row r="759" spans="1:12" ht="12" customHeight="1" x14ac:dyDescent="0.25">
      <c r="A759" s="15">
        <v>44428</v>
      </c>
      <c r="B759" s="16" t="s">
        <v>1452</v>
      </c>
      <c r="C759" s="16" t="s">
        <v>232</v>
      </c>
      <c r="D759" s="16" t="str">
        <f>VLOOKUP(C759,[1]master_data!$A$2:$E$495,2,FALSE)</f>
        <v>MAINAN KODOK</v>
      </c>
      <c r="E759" s="16">
        <v>5</v>
      </c>
      <c r="F759" s="16">
        <f>VLOOKUP(C759,[1]master_data!$A$2:$E$495,3,FALSE)</f>
        <v>11000</v>
      </c>
      <c r="G759" s="16">
        <f>VLOOKUP(C759,[1]master_data!$A$2:$E$495,4,FALSE)</f>
        <v>20000</v>
      </c>
      <c r="H759" s="16">
        <f>E759*F759</f>
        <v>55000</v>
      </c>
      <c r="I759" s="16">
        <f>E759*G759</f>
        <v>100000</v>
      </c>
      <c r="J759" s="16">
        <f>I759-H759</f>
        <v>45000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44428</v>
      </c>
      <c r="B760" s="16" t="s">
        <v>1453</v>
      </c>
      <c r="C760" s="16" t="s">
        <v>363</v>
      </c>
      <c r="D760" s="16" t="str">
        <f>VLOOKUP(C760,[1]master_data!$A$2:$E$495,2,FALSE)</f>
        <v>SUMATRA GOLD FISH</v>
      </c>
      <c r="E760" s="16">
        <v>10</v>
      </c>
      <c r="F760" s="16">
        <f>VLOOKUP(C760,[1]master_data!$A$2:$E$495,3,FALSE)</f>
        <v>2500</v>
      </c>
      <c r="G760" s="16">
        <f>VLOOKUP(C760,[1]master_data!$A$2:$E$495,4,FALSE)</f>
        <v>4000</v>
      </c>
      <c r="H760" s="16">
        <f>E760*F760</f>
        <v>25000</v>
      </c>
      <c r="I760" s="16">
        <f>E760*G760</f>
        <v>40000</v>
      </c>
      <c r="J760" s="16">
        <f>I760-H760</f>
        <v>15000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44428</v>
      </c>
      <c r="B761" s="16" t="s">
        <v>1454</v>
      </c>
      <c r="C761" s="16" t="s">
        <v>322</v>
      </c>
      <c r="D761" s="16" t="str">
        <f>VLOOKUP(C761,[1]master_data!$A$2:$E$495,2,FALSE)</f>
        <v>GOLD FISH</v>
      </c>
      <c r="E761" s="16">
        <v>20</v>
      </c>
      <c r="F761" s="16">
        <f>VLOOKUP(C761,[1]master_data!$A$2:$E$495,3,FALSE)</f>
        <v>800</v>
      </c>
      <c r="G761" s="16">
        <f>VLOOKUP(C761,[1]master_data!$A$2:$E$495,4,FALSE)</f>
        <v>2000</v>
      </c>
      <c r="H761" s="16">
        <f>E761*F761</f>
        <v>16000</v>
      </c>
      <c r="I761" s="16">
        <f>E761*G761</f>
        <v>40000</v>
      </c>
      <c r="J761" s="16">
        <f>I761-H761</f>
        <v>24000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44427</v>
      </c>
      <c r="B762" s="16" t="s">
        <v>1442</v>
      </c>
      <c r="C762" s="16" t="s">
        <v>353</v>
      </c>
      <c r="D762" s="16" t="str">
        <f>VLOOKUP(C762,[1]master_data!$A$2:$E$495,2,FALSE)</f>
        <v>PEMBERSIH KACA BIASA</v>
      </c>
      <c r="E762" s="16">
        <v>30</v>
      </c>
      <c r="F762" s="16">
        <f>VLOOKUP(C762,[1]master_data!$A$2:$E$495,3,FALSE)</f>
        <v>2000</v>
      </c>
      <c r="G762" s="16">
        <f>VLOOKUP(C762,[1]master_data!$A$2:$E$495,4,FALSE)</f>
        <v>5000</v>
      </c>
      <c r="H762" s="16">
        <f>E762*F762</f>
        <v>60000</v>
      </c>
      <c r="I762" s="16">
        <f>E762*G762</f>
        <v>150000</v>
      </c>
      <c r="J762" s="16">
        <f>I762-H762</f>
        <v>90000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44427</v>
      </c>
      <c r="B763" s="16" t="s">
        <v>1443</v>
      </c>
      <c r="C763" s="16" t="s">
        <v>174</v>
      </c>
      <c r="D763" s="16" t="str">
        <f>VLOOKUP(C763,[1]master_data!$A$2:$E$495,2,FALSE)</f>
        <v>AKARI PREMIUM RED PARROT</v>
      </c>
      <c r="E763" s="16">
        <v>1</v>
      </c>
      <c r="F763" s="16">
        <f>VLOOKUP(C763,[1]master_data!$A$2:$E$495,3,FALSE)</f>
        <v>33000</v>
      </c>
      <c r="G763" s="16">
        <f>VLOOKUP(C763,[1]master_data!$A$2:$E$495,4,FALSE)</f>
        <v>50000</v>
      </c>
      <c r="H763" s="16">
        <f>E763*F763</f>
        <v>33000</v>
      </c>
      <c r="I763" s="16">
        <f>E763*G763</f>
        <v>50000</v>
      </c>
      <c r="J763" s="16">
        <f>I763-H763</f>
        <v>17000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44427</v>
      </c>
      <c r="B764" s="16" t="s">
        <v>1444</v>
      </c>
      <c r="C764" s="16" t="s">
        <v>367</v>
      </c>
      <c r="D764" s="16" t="str">
        <f>VLOOKUP(C764,[1]master_data!$A$2:$E$495,2,FALSE)</f>
        <v>TETRA</v>
      </c>
      <c r="E764" s="16">
        <v>30</v>
      </c>
      <c r="F764" s="16">
        <f>VLOOKUP(C764,[1]master_data!$A$2:$E$495,3,FALSE)</f>
        <v>800</v>
      </c>
      <c r="G764" s="16">
        <f>VLOOKUP(C764,[1]master_data!$A$2:$E$495,4,FALSE)</f>
        <v>2000</v>
      </c>
      <c r="H764" s="16">
        <f>E764*F764</f>
        <v>24000</v>
      </c>
      <c r="I764" s="16">
        <f>E764*G764</f>
        <v>60000</v>
      </c>
      <c r="J764" s="16">
        <f>I764-H764</f>
        <v>36000</v>
      </c>
      <c r="K764" s="16" t="str">
        <f>VLOOKUP(C764,[1]master_data!$A$2:$E$495,5,FALSE)</f>
        <v>Ikan</v>
      </c>
      <c r="L764" s="1"/>
    </row>
    <row r="765" spans="1:12" ht="12" customHeight="1" x14ac:dyDescent="0.25">
      <c r="A765" s="15">
        <v>44427</v>
      </c>
      <c r="B765" s="16" t="s">
        <v>1445</v>
      </c>
      <c r="C765" s="16" t="s">
        <v>353</v>
      </c>
      <c r="D765" s="16" t="str">
        <f>VLOOKUP(C765,[1]master_data!$A$2:$E$495,2,FALSE)</f>
        <v>PEMBERSIH KACA BIASA</v>
      </c>
      <c r="E765" s="16">
        <v>20</v>
      </c>
      <c r="F765" s="16">
        <f>VLOOKUP(C765,[1]master_data!$A$2:$E$495,3,FALSE)</f>
        <v>2000</v>
      </c>
      <c r="G765" s="16">
        <f>VLOOKUP(C765,[1]master_data!$A$2:$E$495,4,FALSE)</f>
        <v>5000</v>
      </c>
      <c r="H765" s="16">
        <f>E765*F765</f>
        <v>40000</v>
      </c>
      <c r="I765" s="16">
        <f>E765*G765</f>
        <v>100000</v>
      </c>
      <c r="J765" s="16">
        <f>I765-H765</f>
        <v>60000</v>
      </c>
      <c r="K765" s="16" t="str">
        <f>VLOOKUP(C765,[1]master_data!$A$2:$E$495,5,FALSE)</f>
        <v>Ikan</v>
      </c>
      <c r="L765" s="1"/>
    </row>
    <row r="766" spans="1:12" ht="12" customHeight="1" x14ac:dyDescent="0.25">
      <c r="A766" s="15">
        <v>44427</v>
      </c>
      <c r="B766" s="16" t="s">
        <v>1446</v>
      </c>
      <c r="C766" s="16" t="s">
        <v>326</v>
      </c>
      <c r="D766" s="16" t="str">
        <f>VLOOKUP(C766,[1]master_data!$A$2:$E$495,2,FALSE)</f>
        <v>KOKI K</v>
      </c>
      <c r="E766" s="16">
        <v>15</v>
      </c>
      <c r="F766" s="16">
        <f>VLOOKUP(C766,[1]master_data!$A$2:$E$495,3,FALSE)</f>
        <v>3500</v>
      </c>
      <c r="G766" s="16">
        <f>VLOOKUP(C766,[1]master_data!$A$2:$E$495,4,FALSE)</f>
        <v>10000</v>
      </c>
      <c r="H766" s="16">
        <f>E766*F766</f>
        <v>52500</v>
      </c>
      <c r="I766" s="16">
        <f>E766*G766</f>
        <v>150000</v>
      </c>
      <c r="J766" s="16">
        <f>I766-H766</f>
        <v>97500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44427</v>
      </c>
      <c r="B767" s="16" t="s">
        <v>1447</v>
      </c>
      <c r="C767" s="16" t="s">
        <v>367</v>
      </c>
      <c r="D767" s="16" t="str">
        <f>VLOOKUP(C767,[1]master_data!$A$2:$E$495,2,FALSE)</f>
        <v>TETRA</v>
      </c>
      <c r="E767" s="16">
        <v>15</v>
      </c>
      <c r="F767" s="16">
        <f>VLOOKUP(C767,[1]master_data!$A$2:$E$495,3,FALSE)</f>
        <v>800</v>
      </c>
      <c r="G767" s="16">
        <f>VLOOKUP(C767,[1]master_data!$A$2:$E$495,4,FALSE)</f>
        <v>2000</v>
      </c>
      <c r="H767" s="16">
        <f>E767*F767</f>
        <v>12000</v>
      </c>
      <c r="I767" s="16">
        <f>E767*G767</f>
        <v>30000</v>
      </c>
      <c r="J767" s="16">
        <f>I767-H767</f>
        <v>18000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44426</v>
      </c>
      <c r="B768" s="16" t="s">
        <v>1438</v>
      </c>
      <c r="C768" s="16" t="s">
        <v>173</v>
      </c>
      <c r="D768" s="16" t="str">
        <f>VLOOKUP(C768,[1]master_data!$A$2:$E$495,2,FALSE)</f>
        <v>HOKKY LOUHAN COLOUR</v>
      </c>
      <c r="E768" s="16">
        <v>10</v>
      </c>
      <c r="F768" s="16">
        <f>VLOOKUP(C768,[1]master_data!$A$2:$E$495,3,FALSE)</f>
        <v>18000</v>
      </c>
      <c r="G768" s="16">
        <f>VLOOKUP(C768,[1]master_data!$A$2:$E$495,4,FALSE)</f>
        <v>25000</v>
      </c>
      <c r="H768" s="16">
        <f>E768*F768</f>
        <v>180000</v>
      </c>
      <c r="I768" s="16">
        <f>E768*G768</f>
        <v>250000</v>
      </c>
      <c r="J768" s="16">
        <f>I768-H768</f>
        <v>70000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44426</v>
      </c>
      <c r="B769" s="16" t="s">
        <v>1439</v>
      </c>
      <c r="C769" s="16" t="s">
        <v>142</v>
      </c>
      <c r="D769" s="16" t="str">
        <f>VLOOKUP(C769,[1]master_data!$A$2:$E$495,2,FALSE)</f>
        <v>LED KANDILA DnN 80 CM</v>
      </c>
      <c r="E769" s="16">
        <v>2</v>
      </c>
      <c r="F769" s="16">
        <f>VLOOKUP(C769,[1]master_data!$A$2:$E$495,3,FALSE)</f>
        <v>50000</v>
      </c>
      <c r="G769" s="16">
        <f>VLOOKUP(C769,[1]master_data!$A$2:$E$495,4,FALSE)</f>
        <v>90000</v>
      </c>
      <c r="H769" s="16">
        <f>E769*F769</f>
        <v>100000</v>
      </c>
      <c r="I769" s="16">
        <f>E769*G769</f>
        <v>180000</v>
      </c>
      <c r="J769" s="16">
        <f>I769-H769</f>
        <v>80000</v>
      </c>
      <c r="K769" s="16" t="str">
        <f>VLOOKUP(C769,[1]master_data!$A$2:$E$495,5,FALSE)</f>
        <v>Aksesoris</v>
      </c>
      <c r="L769" s="1"/>
    </row>
    <row r="770" spans="1:12" ht="12" customHeight="1" x14ac:dyDescent="0.25">
      <c r="A770" s="15">
        <v>44426</v>
      </c>
      <c r="B770" s="16" t="s">
        <v>1440</v>
      </c>
      <c r="C770" s="16" t="s">
        <v>316</v>
      </c>
      <c r="D770" s="16" t="str">
        <f>VLOOKUP(C770,[1]master_data!$A$2:$E$495,2,FALSE)</f>
        <v>CHANNA BLUE PULCHRA K</v>
      </c>
      <c r="E770" s="16">
        <v>8</v>
      </c>
      <c r="F770" s="16">
        <f>VLOOKUP(C770,[1]master_data!$A$2:$E$495,3,FALSE)</f>
        <v>25000</v>
      </c>
      <c r="G770" s="16">
        <f>VLOOKUP(C770,[1]master_data!$A$2:$E$495,4,FALSE)</f>
        <v>50000</v>
      </c>
      <c r="H770" s="16">
        <f>E770*F770</f>
        <v>200000</v>
      </c>
      <c r="I770" s="16">
        <f>E770*G770</f>
        <v>400000</v>
      </c>
      <c r="J770" s="16">
        <f>I770-H770</f>
        <v>200000</v>
      </c>
      <c r="K770" s="16" t="str">
        <f>VLOOKUP(C770,[1]master_data!$A$2:$E$495,5,FALSE)</f>
        <v>Ikan</v>
      </c>
      <c r="L770" s="1"/>
    </row>
    <row r="771" spans="1:12" ht="12" customHeight="1" x14ac:dyDescent="0.25">
      <c r="A771" s="15">
        <v>44426</v>
      </c>
      <c r="B771" s="16" t="s">
        <v>1441</v>
      </c>
      <c r="C771" s="16" t="s">
        <v>318</v>
      </c>
      <c r="D771" s="16" t="str">
        <f>VLOOKUP(C771,[1]master_data!$A$2:$E$495,2,FALSE)</f>
        <v>KOMET BOKIM</v>
      </c>
      <c r="E771" s="16">
        <v>2</v>
      </c>
      <c r="F771" s="16">
        <f>VLOOKUP(C771,[1]master_data!$A$2:$E$495,3,FALSE)</f>
        <v>1500</v>
      </c>
      <c r="G771" s="16">
        <f>VLOOKUP(C771,[1]master_data!$A$2:$E$495,4,FALSE)</f>
        <v>5000</v>
      </c>
      <c r="H771" s="16">
        <f>E771*F771</f>
        <v>3000</v>
      </c>
      <c r="I771" s="16">
        <f>E771*G771</f>
        <v>10000</v>
      </c>
      <c r="J771" s="16">
        <f>I771-H771</f>
        <v>7000</v>
      </c>
      <c r="K771" s="16" t="str">
        <f>VLOOKUP(C771,[1]master_data!$A$2:$E$495,5,FALSE)</f>
        <v>Ikan</v>
      </c>
      <c r="L771" s="1"/>
    </row>
    <row r="772" spans="1:12" ht="12" customHeight="1" x14ac:dyDescent="0.25">
      <c r="A772" s="15">
        <v>44425</v>
      </c>
      <c r="B772" s="16" t="s">
        <v>1431</v>
      </c>
      <c r="C772" s="16" t="s">
        <v>348</v>
      </c>
      <c r="D772" s="16" t="str">
        <f>VLOOKUP(C772,[1]master_data!$A$2:$E$495,2,FALSE)</f>
        <v>NIASA</v>
      </c>
      <c r="E772" s="16">
        <v>30</v>
      </c>
      <c r="F772" s="16">
        <f>VLOOKUP(C772,[1]master_data!$A$2:$E$495,3,FALSE)</f>
        <v>900</v>
      </c>
      <c r="G772" s="16">
        <f>VLOOKUP(C772,[1]master_data!$A$2:$E$495,4,FALSE)</f>
        <v>2000</v>
      </c>
      <c r="H772" s="16">
        <f>E772*F772</f>
        <v>27000</v>
      </c>
      <c r="I772" s="16">
        <f>E772*G772</f>
        <v>60000</v>
      </c>
      <c r="J772" s="16">
        <f>I772-H772</f>
        <v>33000</v>
      </c>
      <c r="K772" s="16" t="str">
        <f>VLOOKUP(C772,[1]master_data!$A$2:$E$495,5,FALSE)</f>
        <v>Ikan</v>
      </c>
      <c r="L772" s="1"/>
    </row>
    <row r="773" spans="1:12" ht="12" customHeight="1" x14ac:dyDescent="0.25">
      <c r="A773" s="15">
        <v>44425</v>
      </c>
      <c r="B773" s="16" t="s">
        <v>1432</v>
      </c>
      <c r="C773" s="16" t="s">
        <v>304</v>
      </c>
      <c r="D773" s="16" t="str">
        <f>VLOOKUP(C773,[1]master_data!$A$2:$E$495,2,FALSE)</f>
        <v>CHANNA ANDRAO K</v>
      </c>
      <c r="E773" s="16">
        <v>4</v>
      </c>
      <c r="F773" s="16">
        <f>VLOOKUP(C773,[1]master_data!$A$2:$E$495,3,FALSE)</f>
        <v>20000</v>
      </c>
      <c r="G773" s="16">
        <f>VLOOKUP(C773,[1]master_data!$A$2:$E$495,4,FALSE)</f>
        <v>50000</v>
      </c>
      <c r="H773" s="16">
        <f>E773*F773</f>
        <v>80000</v>
      </c>
      <c r="I773" s="16">
        <f>E773*G773</f>
        <v>200000</v>
      </c>
      <c r="J773" s="16">
        <f>I773-H773</f>
        <v>120000</v>
      </c>
      <c r="K773" s="16" t="str">
        <f>VLOOKUP(C773,[1]master_data!$A$2:$E$495,5,FALSE)</f>
        <v>Ikan</v>
      </c>
      <c r="L773" s="1"/>
    </row>
    <row r="774" spans="1:12" ht="12" customHeight="1" x14ac:dyDescent="0.25">
      <c r="A774" s="15">
        <v>44425</v>
      </c>
      <c r="B774" s="16" t="s">
        <v>1433</v>
      </c>
      <c r="C774" s="16" t="s">
        <v>369</v>
      </c>
      <c r="D774" s="16" t="str">
        <f>VLOOKUP(C774,[1]master_data!$A$2:$E$495,2,FALSE)</f>
        <v>ZEBRA PINK</v>
      </c>
      <c r="E774" s="16">
        <v>60</v>
      </c>
      <c r="F774" s="16">
        <f>VLOOKUP(C774,[1]master_data!$A$2:$E$495,3,FALSE)</f>
        <v>800</v>
      </c>
      <c r="G774" s="16">
        <f>VLOOKUP(C774,[1]master_data!$A$2:$E$495,4,FALSE)</f>
        <v>2000</v>
      </c>
      <c r="H774" s="16">
        <f>E774*F774</f>
        <v>48000</v>
      </c>
      <c r="I774" s="16">
        <f>E774*G774</f>
        <v>120000</v>
      </c>
      <c r="J774" s="16">
        <f>I774-H774</f>
        <v>72000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44425</v>
      </c>
      <c r="B775" s="16" t="s">
        <v>1434</v>
      </c>
      <c r="C775" s="16" t="s">
        <v>16</v>
      </c>
      <c r="D775" s="16" t="str">
        <f>VLOOKUP(C775,[1]master_data!$A$2:$E$495,2,FALSE)</f>
        <v>MESIN YANG 108</v>
      </c>
      <c r="E775" s="16">
        <v>2</v>
      </c>
      <c r="F775" s="16">
        <f>VLOOKUP(C775,[1]master_data!$A$2:$E$495,3,FALSE)</f>
        <v>350000</v>
      </c>
      <c r="G775" s="16">
        <f>VLOOKUP(C775,[1]master_data!$A$2:$E$495,4,FALSE)</f>
        <v>420000</v>
      </c>
      <c r="H775" s="16">
        <f>E775*F775</f>
        <v>700000</v>
      </c>
      <c r="I775" s="16">
        <f>E775*G775</f>
        <v>840000</v>
      </c>
      <c r="J775" s="16">
        <f>I775-H775</f>
        <v>140000</v>
      </c>
      <c r="K775" s="16" t="str">
        <f>VLOOKUP(C775,[1]master_data!$A$2:$E$495,5,FALSE)</f>
        <v>Aksesoris</v>
      </c>
      <c r="L775" s="1"/>
    </row>
    <row r="776" spans="1:12" ht="12" customHeight="1" x14ac:dyDescent="0.25">
      <c r="A776" s="15">
        <v>44425</v>
      </c>
      <c r="B776" s="16" t="s">
        <v>1435</v>
      </c>
      <c r="C776" s="16" t="s">
        <v>367</v>
      </c>
      <c r="D776" s="16" t="str">
        <f>VLOOKUP(C776,[1]master_data!$A$2:$E$495,2,FALSE)</f>
        <v>TETRA</v>
      </c>
      <c r="E776" s="16">
        <v>30</v>
      </c>
      <c r="F776" s="16">
        <f>VLOOKUP(C776,[1]master_data!$A$2:$E$495,3,FALSE)</f>
        <v>800</v>
      </c>
      <c r="G776" s="16">
        <f>VLOOKUP(C776,[1]master_data!$A$2:$E$495,4,FALSE)</f>
        <v>2000</v>
      </c>
      <c r="H776" s="16">
        <f>E776*F776</f>
        <v>24000</v>
      </c>
      <c r="I776" s="16">
        <f>E776*G776</f>
        <v>60000</v>
      </c>
      <c r="J776" s="16">
        <f>I776-H776</f>
        <v>36000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44425</v>
      </c>
      <c r="B777" s="16" t="s">
        <v>1436</v>
      </c>
      <c r="C777" s="16" t="s">
        <v>353</v>
      </c>
      <c r="D777" s="16" t="str">
        <f>VLOOKUP(C777,[1]master_data!$A$2:$E$495,2,FALSE)</f>
        <v>PEMBERSIH KACA BIASA</v>
      </c>
      <c r="E777" s="16">
        <v>15</v>
      </c>
      <c r="F777" s="16">
        <f>VLOOKUP(C777,[1]master_data!$A$2:$E$495,3,FALSE)</f>
        <v>2000</v>
      </c>
      <c r="G777" s="16">
        <f>VLOOKUP(C777,[1]master_data!$A$2:$E$495,4,FALSE)</f>
        <v>5000</v>
      </c>
      <c r="H777" s="16">
        <f>E777*F777</f>
        <v>30000</v>
      </c>
      <c r="I777" s="16">
        <f>E777*G777</f>
        <v>75000</v>
      </c>
      <c r="J777" s="16">
        <f>I777-H777</f>
        <v>45000</v>
      </c>
      <c r="K777" s="16" t="str">
        <f>VLOOKUP(C777,[1]master_data!$A$2:$E$495,5,FALSE)</f>
        <v>Ikan</v>
      </c>
      <c r="L777" s="1"/>
    </row>
    <row r="778" spans="1:12" ht="12" customHeight="1" x14ac:dyDescent="0.25">
      <c r="A778" s="15">
        <v>44425</v>
      </c>
      <c r="B778" s="16" t="s">
        <v>1437</v>
      </c>
      <c r="C778" s="16" t="s">
        <v>337</v>
      </c>
      <c r="D778" s="16" t="str">
        <f>VLOOKUP(C778,[1]master_data!$A$2:$E$495,2,FALSE)</f>
        <v>KOI SLAYER B</v>
      </c>
      <c r="E778" s="16">
        <v>10</v>
      </c>
      <c r="F778" s="16">
        <f>VLOOKUP(C778,[1]master_data!$A$2:$E$495,3,FALSE)</f>
        <v>8000</v>
      </c>
      <c r="G778" s="16">
        <f>VLOOKUP(C778,[1]master_data!$A$2:$E$495,4,FALSE)</f>
        <v>20000</v>
      </c>
      <c r="H778" s="16">
        <f>E778*F778</f>
        <v>80000</v>
      </c>
      <c r="I778" s="16">
        <f>E778*G778</f>
        <v>200000</v>
      </c>
      <c r="J778" s="16">
        <f>I778-H778</f>
        <v>120000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44424</v>
      </c>
      <c r="B779" s="16" t="s">
        <v>1427</v>
      </c>
      <c r="C779" s="16" t="s">
        <v>357</v>
      </c>
      <c r="D779" s="16" t="str">
        <f>VLOOKUP(C779,[1]master_data!$A$2:$E$495,2,FALSE)</f>
        <v>PESO</v>
      </c>
      <c r="E779" s="16">
        <v>1</v>
      </c>
      <c r="F779" s="16">
        <f>VLOOKUP(C779,[1]master_data!$A$2:$E$495,3,FALSE)</f>
        <v>19000</v>
      </c>
      <c r="G779" s="16">
        <f>VLOOKUP(C779,[1]master_data!$A$2:$E$495,4,FALSE)</f>
        <v>40000</v>
      </c>
      <c r="H779" s="16">
        <f>E779*F779</f>
        <v>19000</v>
      </c>
      <c r="I779" s="16">
        <f>E779*G779</f>
        <v>40000</v>
      </c>
      <c r="J779" s="16">
        <f>I779-H779</f>
        <v>21000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44424</v>
      </c>
      <c r="B780" s="16" t="s">
        <v>1428</v>
      </c>
      <c r="C780" s="16" t="s">
        <v>336</v>
      </c>
      <c r="D780" s="16" t="str">
        <f>VLOOKUP(C780,[1]master_data!$A$2:$E$495,2,FALSE)</f>
        <v>KOI SLAYER K</v>
      </c>
      <c r="E780" s="16">
        <v>10</v>
      </c>
      <c r="F780" s="16">
        <f>VLOOKUP(C780,[1]master_data!$A$2:$E$495,3,FALSE)</f>
        <v>3500</v>
      </c>
      <c r="G780" s="16">
        <f>VLOOKUP(C780,[1]master_data!$A$2:$E$495,4,FALSE)</f>
        <v>10000</v>
      </c>
      <c r="H780" s="16">
        <f>E780*F780</f>
        <v>35000</v>
      </c>
      <c r="I780" s="16">
        <f>E780*G780</f>
        <v>100000</v>
      </c>
      <c r="J780" s="16">
        <f>I780-H780</f>
        <v>65000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44424</v>
      </c>
      <c r="B781" s="16" t="s">
        <v>1429</v>
      </c>
      <c r="C781" s="16" t="s">
        <v>329</v>
      </c>
      <c r="D781" s="16" t="str">
        <f>VLOOKUP(C781,[1]master_data!$A$2:$E$495,2,FALSE)</f>
        <v>KOI K</v>
      </c>
      <c r="E781" s="16">
        <v>30</v>
      </c>
      <c r="F781" s="16">
        <f>VLOOKUP(C781,[1]master_data!$A$2:$E$495,3,FALSE)</f>
        <v>2500</v>
      </c>
      <c r="G781" s="16">
        <f>VLOOKUP(C781,[1]master_data!$A$2:$E$495,4,FALSE)</f>
        <v>10000</v>
      </c>
      <c r="H781" s="16">
        <f>E781*F781</f>
        <v>75000</v>
      </c>
      <c r="I781" s="16">
        <f>E781*G781</f>
        <v>300000</v>
      </c>
      <c r="J781" s="16">
        <f>I781-H781</f>
        <v>225000</v>
      </c>
      <c r="K781" s="16" t="str">
        <f>VLOOKUP(C781,[1]master_data!$A$2:$E$495,5,FALSE)</f>
        <v>Ikan</v>
      </c>
      <c r="L781" s="1"/>
    </row>
    <row r="782" spans="1:12" ht="12" customHeight="1" x14ac:dyDescent="0.25">
      <c r="A782" s="15">
        <v>44424</v>
      </c>
      <c r="B782" s="16" t="s">
        <v>1430</v>
      </c>
      <c r="C782" s="16" t="s">
        <v>364</v>
      </c>
      <c r="D782" s="16" t="str">
        <f>VLOOKUP(C782,[1]master_data!$A$2:$E$495,2,FALSE)</f>
        <v>SNOW WHITE</v>
      </c>
      <c r="E782" s="16">
        <v>6</v>
      </c>
      <c r="F782" s="16">
        <f>VLOOKUP(C782,[1]master_data!$A$2:$E$495,3,FALSE)</f>
        <v>1500</v>
      </c>
      <c r="G782" s="16">
        <f>VLOOKUP(C782,[1]master_data!$A$2:$E$495,4,FALSE)</f>
        <v>3000</v>
      </c>
      <c r="H782" s="16">
        <f>E782*F782</f>
        <v>9000</v>
      </c>
      <c r="I782" s="16">
        <f>E782*G782</f>
        <v>18000</v>
      </c>
      <c r="J782" s="16">
        <f>I782-H782</f>
        <v>9000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44423</v>
      </c>
      <c r="B783" s="16" t="s">
        <v>1422</v>
      </c>
      <c r="C783" s="16" t="s">
        <v>370</v>
      </c>
      <c r="D783" s="16" t="str">
        <f>VLOOKUP(C783,[1]master_data!$A$2:$E$495,2,FALSE)</f>
        <v>ZEBRA HIJAU</v>
      </c>
      <c r="E783" s="16">
        <v>15</v>
      </c>
      <c r="F783" s="16">
        <f>VLOOKUP(C783,[1]master_data!$A$2:$E$495,3,FALSE)</f>
        <v>800</v>
      </c>
      <c r="G783" s="16">
        <f>VLOOKUP(C783,[1]master_data!$A$2:$E$495,4,FALSE)</f>
        <v>2000</v>
      </c>
      <c r="H783" s="16">
        <f>E783*F783</f>
        <v>12000</v>
      </c>
      <c r="I783" s="16">
        <f>E783*G783</f>
        <v>30000</v>
      </c>
      <c r="J783" s="16">
        <f>I783-H783</f>
        <v>18000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44423</v>
      </c>
      <c r="B784" s="16" t="s">
        <v>1423</v>
      </c>
      <c r="C784" s="16" t="s">
        <v>313</v>
      </c>
      <c r="D784" s="16" t="str">
        <f>VLOOKUP(C784,[1]master_data!$A$2:$E$495,2,FALSE)</f>
        <v>BALA BALA K</v>
      </c>
      <c r="E784" s="16">
        <v>30</v>
      </c>
      <c r="F784" s="16">
        <f>VLOOKUP(C784,[1]master_data!$A$2:$E$495,3,FALSE)</f>
        <v>4000</v>
      </c>
      <c r="G784" s="16">
        <f>VLOOKUP(C784,[1]master_data!$A$2:$E$495,4,FALSE)</f>
        <v>8000</v>
      </c>
      <c r="H784" s="16">
        <f>E784*F784</f>
        <v>120000</v>
      </c>
      <c r="I784" s="16">
        <f>E784*G784</f>
        <v>240000</v>
      </c>
      <c r="J784" s="16">
        <f>I784-H784</f>
        <v>120000</v>
      </c>
      <c r="K784" s="16" t="str">
        <f>VLOOKUP(C784,[1]master_data!$A$2:$E$495,5,FALSE)</f>
        <v>Ikan</v>
      </c>
      <c r="L784" s="1"/>
    </row>
    <row r="785" spans="1:12" ht="12" customHeight="1" x14ac:dyDescent="0.25">
      <c r="A785" s="15">
        <v>44423</v>
      </c>
      <c r="B785" s="16" t="s">
        <v>1424</v>
      </c>
      <c r="C785" s="16" t="s">
        <v>329</v>
      </c>
      <c r="D785" s="16" t="str">
        <f>VLOOKUP(C785,[1]master_data!$A$2:$E$495,2,FALSE)</f>
        <v>KOI K</v>
      </c>
      <c r="E785" s="16">
        <v>17</v>
      </c>
      <c r="F785" s="16">
        <f>VLOOKUP(C785,[1]master_data!$A$2:$E$495,3,FALSE)</f>
        <v>2500</v>
      </c>
      <c r="G785" s="16">
        <f>VLOOKUP(C785,[1]master_data!$A$2:$E$495,4,FALSE)</f>
        <v>10000</v>
      </c>
      <c r="H785" s="16">
        <f>E785*F785</f>
        <v>42500</v>
      </c>
      <c r="I785" s="16">
        <f>E785*G785</f>
        <v>170000</v>
      </c>
      <c r="J785" s="16">
        <f>I785-H785</f>
        <v>127500</v>
      </c>
      <c r="K785" s="16" t="str">
        <f>VLOOKUP(C785,[1]master_data!$A$2:$E$495,5,FALSE)</f>
        <v>Ikan</v>
      </c>
      <c r="L785" s="1"/>
    </row>
    <row r="786" spans="1:12" ht="12" customHeight="1" x14ac:dyDescent="0.25">
      <c r="A786" s="15">
        <v>44423</v>
      </c>
      <c r="B786" s="16" t="s">
        <v>1425</v>
      </c>
      <c r="C786" s="16" t="s">
        <v>372</v>
      </c>
      <c r="D786" s="16" t="str">
        <f>VLOOKUP(C786,[1]master_data!$A$2:$E$495,2,FALSE)</f>
        <v>ZEBRA KUNING</v>
      </c>
      <c r="E786" s="16">
        <v>1</v>
      </c>
      <c r="F786" s="16">
        <f>VLOOKUP(C786,[1]master_data!$A$2:$E$495,3,FALSE)</f>
        <v>800</v>
      </c>
      <c r="G786" s="16">
        <f>VLOOKUP(C786,[1]master_data!$A$2:$E$495,4,FALSE)</f>
        <v>2000</v>
      </c>
      <c r="H786" s="16">
        <f>E786*F786</f>
        <v>800</v>
      </c>
      <c r="I786" s="16">
        <f>E786*G786</f>
        <v>2000</v>
      </c>
      <c r="J786" s="16">
        <f>I786-H786</f>
        <v>1200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44423</v>
      </c>
      <c r="B787" s="16" t="s">
        <v>1426</v>
      </c>
      <c r="C787" s="16" t="s">
        <v>359</v>
      </c>
      <c r="D787" s="16" t="str">
        <f>VLOOKUP(C787,[1]master_data!$A$2:$E$495,2,FALSE)</f>
        <v>REDFIN ALBINO</v>
      </c>
      <c r="E787" s="16">
        <v>100</v>
      </c>
      <c r="F787" s="16">
        <f>VLOOKUP(C787,[1]master_data!$A$2:$E$495,3,FALSE)</f>
        <v>1500</v>
      </c>
      <c r="G787" s="16">
        <f>VLOOKUP(C787,[1]master_data!$A$2:$E$495,4,FALSE)</f>
        <v>4000</v>
      </c>
      <c r="H787" s="16">
        <f>E787*F787</f>
        <v>150000</v>
      </c>
      <c r="I787" s="16">
        <f>E787*G787</f>
        <v>400000</v>
      </c>
      <c r="J787" s="16">
        <f>I787-H787</f>
        <v>250000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44422</v>
      </c>
      <c r="B788" s="16" t="s">
        <v>1416</v>
      </c>
      <c r="C788" s="16" t="s">
        <v>307</v>
      </c>
      <c r="D788" s="16" t="str">
        <f>VLOOKUP(C788,[1]master_data!$A$2:$E$495,2,FALSE)</f>
        <v>ARWANA SILVER K</v>
      </c>
      <c r="E788" s="16">
        <v>2</v>
      </c>
      <c r="F788" s="16">
        <f>VLOOKUP(C788,[1]master_data!$A$2:$E$495,3,FALSE)</f>
        <v>100000</v>
      </c>
      <c r="G788" s="16">
        <f>VLOOKUP(C788,[1]master_data!$A$2:$E$495,4,FALSE)</f>
        <v>200000</v>
      </c>
      <c r="H788" s="16">
        <f>E788*F788</f>
        <v>200000</v>
      </c>
      <c r="I788" s="16">
        <f>E788*G788</f>
        <v>400000</v>
      </c>
      <c r="J788" s="16">
        <f>I788-H788</f>
        <v>200000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44422</v>
      </c>
      <c r="B789" s="16" t="s">
        <v>1417</v>
      </c>
      <c r="C789" s="16" t="s">
        <v>367</v>
      </c>
      <c r="D789" s="16" t="str">
        <f>VLOOKUP(C789,[1]master_data!$A$2:$E$495,2,FALSE)</f>
        <v>TETRA</v>
      </c>
      <c r="E789" s="16">
        <v>30</v>
      </c>
      <c r="F789" s="16">
        <f>VLOOKUP(C789,[1]master_data!$A$2:$E$495,3,FALSE)</f>
        <v>800</v>
      </c>
      <c r="G789" s="16">
        <f>VLOOKUP(C789,[1]master_data!$A$2:$E$495,4,FALSE)</f>
        <v>2000</v>
      </c>
      <c r="H789" s="16">
        <f>E789*F789</f>
        <v>24000</v>
      </c>
      <c r="I789" s="16">
        <f>E789*G789</f>
        <v>60000</v>
      </c>
      <c r="J789" s="16">
        <f>I789-H789</f>
        <v>36000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44422</v>
      </c>
      <c r="B790" s="16" t="s">
        <v>1418</v>
      </c>
      <c r="C790" s="16" t="s">
        <v>358</v>
      </c>
      <c r="D790" s="16" t="str">
        <f>VLOOKUP(C790,[1]master_data!$A$2:$E$495,2,FALSE)</f>
        <v>REDFIN HITAM</v>
      </c>
      <c r="E790" s="16">
        <v>10</v>
      </c>
      <c r="F790" s="16">
        <f>VLOOKUP(C790,[1]master_data!$A$2:$E$495,3,FALSE)</f>
        <v>1500</v>
      </c>
      <c r="G790" s="16">
        <f>VLOOKUP(C790,[1]master_data!$A$2:$E$495,4,FALSE)</f>
        <v>4000</v>
      </c>
      <c r="H790" s="16">
        <f>E790*F790</f>
        <v>15000</v>
      </c>
      <c r="I790" s="16">
        <f>E790*G790</f>
        <v>40000</v>
      </c>
      <c r="J790" s="16">
        <f>I790-H790</f>
        <v>25000</v>
      </c>
      <c r="K790" s="16" t="str">
        <f>VLOOKUP(C790,[1]master_data!$A$2:$E$495,5,FALSE)</f>
        <v>Ikan</v>
      </c>
      <c r="L790" s="1"/>
    </row>
    <row r="791" spans="1:12" ht="12" customHeight="1" x14ac:dyDescent="0.25">
      <c r="A791" s="15">
        <v>44422</v>
      </c>
      <c r="B791" s="16" t="s">
        <v>1419</v>
      </c>
      <c r="C791" s="16" t="s">
        <v>355</v>
      </c>
      <c r="D791" s="16" t="str">
        <f>VLOOKUP(C791,[1]master_data!$A$2:$E$495,2,FALSE)</f>
        <v>PALMAS</v>
      </c>
      <c r="E791" s="16">
        <v>2</v>
      </c>
      <c r="F791" s="16">
        <f>VLOOKUP(C791,[1]master_data!$A$2:$E$495,3,FALSE)</f>
        <v>10000</v>
      </c>
      <c r="G791" s="16">
        <f>VLOOKUP(C791,[1]master_data!$A$2:$E$495,4,FALSE)</f>
        <v>25000</v>
      </c>
      <c r="H791" s="16">
        <f>E791*F791</f>
        <v>20000</v>
      </c>
      <c r="I791" s="16">
        <f>E791*G791</f>
        <v>50000</v>
      </c>
      <c r="J791" s="16">
        <f>I791-H791</f>
        <v>30000</v>
      </c>
      <c r="K791" s="16" t="str">
        <f>VLOOKUP(C791,[1]master_data!$A$2:$E$495,5,FALSE)</f>
        <v>Ikan</v>
      </c>
      <c r="L791" s="1"/>
    </row>
    <row r="792" spans="1:12" ht="12" customHeight="1" x14ac:dyDescent="0.25">
      <c r="A792" s="15">
        <v>44422</v>
      </c>
      <c r="B792" s="16" t="s">
        <v>1420</v>
      </c>
      <c r="C792" s="16" t="s">
        <v>336</v>
      </c>
      <c r="D792" s="16" t="str">
        <f>VLOOKUP(C792,[1]master_data!$A$2:$E$495,2,FALSE)</f>
        <v>KOI SLAYER K</v>
      </c>
      <c r="E792" s="16">
        <v>10</v>
      </c>
      <c r="F792" s="16">
        <f>VLOOKUP(C792,[1]master_data!$A$2:$E$495,3,FALSE)</f>
        <v>3500</v>
      </c>
      <c r="G792" s="16">
        <f>VLOOKUP(C792,[1]master_data!$A$2:$E$495,4,FALSE)</f>
        <v>10000</v>
      </c>
      <c r="H792" s="16">
        <f>E792*F792</f>
        <v>35000</v>
      </c>
      <c r="I792" s="16">
        <f>E792*G792</f>
        <v>100000</v>
      </c>
      <c r="J792" s="16">
        <f>I792-H792</f>
        <v>65000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44422</v>
      </c>
      <c r="B793" s="16" t="s">
        <v>1421</v>
      </c>
      <c r="C793" s="16" t="s">
        <v>312</v>
      </c>
      <c r="D793" s="16" t="str">
        <f>VLOOKUP(C793,[1]master_data!$A$2:$E$495,2,FALSE)</f>
        <v>BUENOS AIRES TETRA</v>
      </c>
      <c r="E793" s="16">
        <v>11</v>
      </c>
      <c r="F793" s="16">
        <f>VLOOKUP(C793,[1]master_data!$A$2:$E$495,3,FALSE)</f>
        <v>800</v>
      </c>
      <c r="G793" s="16">
        <f>VLOOKUP(C793,[1]master_data!$A$2:$E$495,4,FALSE)</f>
        <v>2000</v>
      </c>
      <c r="H793" s="16">
        <f>E793*F793</f>
        <v>8800</v>
      </c>
      <c r="I793" s="16">
        <f>E793*G793</f>
        <v>22000</v>
      </c>
      <c r="J793" s="16">
        <f>I793-H793</f>
        <v>13200</v>
      </c>
      <c r="K793" s="16" t="str">
        <f>VLOOKUP(C793,[1]master_data!$A$2:$E$495,5,FALSE)</f>
        <v>Ikan</v>
      </c>
      <c r="L793" s="1"/>
    </row>
    <row r="794" spans="1:12" ht="12" customHeight="1" x14ac:dyDescent="0.25">
      <c r="A794" s="15">
        <v>44421</v>
      </c>
      <c r="B794" s="16" t="s">
        <v>1411</v>
      </c>
      <c r="C794" s="16" t="s">
        <v>360</v>
      </c>
      <c r="D794" s="16" t="str">
        <f>VLOOKUP(C794,[1]master_data!$A$2:$E$495,2,FALSE)</f>
        <v xml:space="preserve"> CHANNA RED BARITO K</v>
      </c>
      <c r="E794" s="16">
        <v>1</v>
      </c>
      <c r="F794" s="16">
        <f>VLOOKUP(C794,[1]master_data!$A$2:$E$495,3,FALSE)</f>
        <v>45000</v>
      </c>
      <c r="G794" s="16">
        <f>VLOOKUP(C794,[1]master_data!$A$2:$E$495,4,FALSE)</f>
        <v>100000</v>
      </c>
      <c r="H794" s="16">
        <f>E794*F794</f>
        <v>45000</v>
      </c>
      <c r="I794" s="16">
        <f>E794*G794</f>
        <v>100000</v>
      </c>
      <c r="J794" s="16">
        <f>I794-H794</f>
        <v>55000</v>
      </c>
      <c r="K794" s="16" t="str">
        <f>VLOOKUP(C794,[1]master_data!$A$2:$E$495,5,FALSE)</f>
        <v>Ikan</v>
      </c>
      <c r="L794" s="1"/>
    </row>
    <row r="795" spans="1:12" ht="12" customHeight="1" x14ac:dyDescent="0.25">
      <c r="A795" s="15">
        <v>44421</v>
      </c>
      <c r="B795" s="16" t="s">
        <v>1412</v>
      </c>
      <c r="C795" s="16" t="s">
        <v>327</v>
      </c>
      <c r="D795" s="16" t="str">
        <f>VLOOKUP(C795,[1]master_data!$A$2:$E$495,2,FALSE)</f>
        <v>KOKI T</v>
      </c>
      <c r="E795" s="16">
        <v>10</v>
      </c>
      <c r="F795" s="16">
        <f>VLOOKUP(C795,[1]master_data!$A$2:$E$495,3,FALSE)</f>
        <v>8000</v>
      </c>
      <c r="G795" s="16">
        <f>VLOOKUP(C795,[1]master_data!$A$2:$E$495,4,FALSE)</f>
        <v>15000</v>
      </c>
      <c r="H795" s="16">
        <f>E795*F795</f>
        <v>80000</v>
      </c>
      <c r="I795" s="16">
        <f>E795*G795</f>
        <v>150000</v>
      </c>
      <c r="J795" s="16">
        <f>I795-H795</f>
        <v>70000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44421</v>
      </c>
      <c r="B796" s="16" t="s">
        <v>1413</v>
      </c>
      <c r="C796" s="16" t="s">
        <v>310</v>
      </c>
      <c r="D796" s="16" t="str">
        <f>VLOOKUP(C796,[1]master_data!$A$2:$E$495,2,FALSE)</f>
        <v>ALIGATOR</v>
      </c>
      <c r="E796" s="16">
        <v>1</v>
      </c>
      <c r="F796" s="16">
        <f>VLOOKUP(C796,[1]master_data!$A$2:$E$495,3,FALSE)</f>
        <v>17000</v>
      </c>
      <c r="G796" s="16">
        <f>VLOOKUP(C796,[1]master_data!$A$2:$E$495,4,FALSE)</f>
        <v>35000</v>
      </c>
      <c r="H796" s="16">
        <f>E796*F796</f>
        <v>17000</v>
      </c>
      <c r="I796" s="16">
        <f>E796*G796</f>
        <v>35000</v>
      </c>
      <c r="J796" s="16">
        <f>I796-H796</f>
        <v>18000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44421</v>
      </c>
      <c r="B797" s="16" t="s">
        <v>1414</v>
      </c>
      <c r="C797" s="16" t="s">
        <v>329</v>
      </c>
      <c r="D797" s="16" t="str">
        <f>VLOOKUP(C797,[1]master_data!$A$2:$E$495,2,FALSE)</f>
        <v>KOI K</v>
      </c>
      <c r="E797" s="16">
        <v>15</v>
      </c>
      <c r="F797" s="16">
        <f>VLOOKUP(C797,[1]master_data!$A$2:$E$495,3,FALSE)</f>
        <v>2500</v>
      </c>
      <c r="G797" s="16">
        <f>VLOOKUP(C797,[1]master_data!$A$2:$E$495,4,FALSE)</f>
        <v>10000</v>
      </c>
      <c r="H797" s="16">
        <f>E797*F797</f>
        <v>37500</v>
      </c>
      <c r="I797" s="16">
        <f>E797*G797</f>
        <v>150000</v>
      </c>
      <c r="J797" s="16">
        <f>I797-H797</f>
        <v>112500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44421</v>
      </c>
      <c r="B798" s="16" t="s">
        <v>1415</v>
      </c>
      <c r="C798" s="16" t="s">
        <v>357</v>
      </c>
      <c r="D798" s="16" t="str">
        <f>VLOOKUP(C798,[1]master_data!$A$2:$E$495,2,FALSE)</f>
        <v>PESO</v>
      </c>
      <c r="E798" s="16">
        <v>3</v>
      </c>
      <c r="F798" s="16">
        <f>VLOOKUP(C798,[1]master_data!$A$2:$E$495,3,FALSE)</f>
        <v>19000</v>
      </c>
      <c r="G798" s="16">
        <f>VLOOKUP(C798,[1]master_data!$A$2:$E$495,4,FALSE)</f>
        <v>40000</v>
      </c>
      <c r="H798" s="16">
        <f>E798*F798</f>
        <v>57000</v>
      </c>
      <c r="I798" s="16">
        <f>E798*G798</f>
        <v>120000</v>
      </c>
      <c r="J798" s="16">
        <f>I798-H798</f>
        <v>63000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44420</v>
      </c>
      <c r="B799" s="16" t="s">
        <v>1404</v>
      </c>
      <c r="C799" s="16" t="s">
        <v>168</v>
      </c>
      <c r="D799" s="16" t="str">
        <f>VLOOKUP(C799,[1]master_data!$A$2:$E$495,2,FALSE)</f>
        <v>HIKARI VIBRA BITES 35 GR</v>
      </c>
      <c r="E799" s="16">
        <v>10</v>
      </c>
      <c r="F799" s="16">
        <f>VLOOKUP(C799,[1]master_data!$A$2:$E$495,3,FALSE)</f>
        <v>28500</v>
      </c>
      <c r="G799" s="16">
        <f>VLOOKUP(C799,[1]master_data!$A$2:$E$495,4,FALSE)</f>
        <v>40000</v>
      </c>
      <c r="H799" s="16">
        <f>E799*F799</f>
        <v>285000</v>
      </c>
      <c r="I799" s="16">
        <f>E799*G799</f>
        <v>400000</v>
      </c>
      <c r="J799" s="16">
        <f>I799-H799</f>
        <v>115000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44420</v>
      </c>
      <c r="B800" s="16" t="s">
        <v>1405</v>
      </c>
      <c r="C800" s="16" t="s">
        <v>116</v>
      </c>
      <c r="D800" s="16" t="str">
        <f>VLOOKUP(C800,[1]master_data!$A$2:$E$495,2,FALSE)</f>
        <v>LAMPU ARMADA UV 20W</v>
      </c>
      <c r="E800" s="16">
        <v>1</v>
      </c>
      <c r="F800" s="16">
        <f>VLOOKUP(C800,[1]master_data!$A$2:$E$495,3,FALSE)</f>
        <v>99000</v>
      </c>
      <c r="G800" s="16">
        <f>VLOOKUP(C800,[1]master_data!$A$2:$E$495,4,FALSE)</f>
        <v>125000</v>
      </c>
      <c r="H800" s="16">
        <f>E800*F800</f>
        <v>99000</v>
      </c>
      <c r="I800" s="16">
        <f>E800*G800</f>
        <v>125000</v>
      </c>
      <c r="J800" s="16">
        <f>I800-H800</f>
        <v>26000</v>
      </c>
      <c r="K800" s="16" t="str">
        <f>VLOOKUP(C800,[1]master_data!$A$2:$E$495,5,FALSE)</f>
        <v>Aksesoris</v>
      </c>
      <c r="L800" s="1"/>
    </row>
    <row r="801" spans="1:12" ht="12" customHeight="1" x14ac:dyDescent="0.25">
      <c r="A801" s="15">
        <v>44420</v>
      </c>
      <c r="B801" s="16" t="s">
        <v>1406</v>
      </c>
      <c r="C801" s="16" t="s">
        <v>365</v>
      </c>
      <c r="D801" s="16" t="str">
        <f>VLOOKUP(C801,[1]master_data!$A$2:$E$495,2,FALSE)</f>
        <v>SYNODONTIS K</v>
      </c>
      <c r="E801" s="16">
        <v>25</v>
      </c>
      <c r="F801" s="16">
        <f>VLOOKUP(C801,[1]master_data!$A$2:$E$495,3,FALSE)</f>
        <v>1500</v>
      </c>
      <c r="G801" s="16">
        <f>VLOOKUP(C801,[1]master_data!$A$2:$E$495,4,FALSE)</f>
        <v>5000</v>
      </c>
      <c r="H801" s="16">
        <f>E801*F801</f>
        <v>37500</v>
      </c>
      <c r="I801" s="16">
        <f>E801*G801</f>
        <v>125000</v>
      </c>
      <c r="J801" s="16">
        <f>I801-H801</f>
        <v>87500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44420</v>
      </c>
      <c r="B802" s="16" t="s">
        <v>1407</v>
      </c>
      <c r="C802" s="16" t="s">
        <v>367</v>
      </c>
      <c r="D802" s="16" t="str">
        <f>VLOOKUP(C802,[1]master_data!$A$2:$E$495,2,FALSE)</f>
        <v>TETRA</v>
      </c>
      <c r="E802" s="16">
        <v>15</v>
      </c>
      <c r="F802" s="16">
        <f>VLOOKUP(C802,[1]master_data!$A$2:$E$495,3,FALSE)</f>
        <v>800</v>
      </c>
      <c r="G802" s="16">
        <f>VLOOKUP(C802,[1]master_data!$A$2:$E$495,4,FALSE)</f>
        <v>2000</v>
      </c>
      <c r="H802" s="16">
        <f>E802*F802</f>
        <v>12000</v>
      </c>
      <c r="I802" s="16">
        <f>E802*G802</f>
        <v>30000</v>
      </c>
      <c r="J802" s="16">
        <f>I802-H802</f>
        <v>18000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44420</v>
      </c>
      <c r="B803" s="16" t="s">
        <v>1408</v>
      </c>
      <c r="C803" s="16" t="s">
        <v>312</v>
      </c>
      <c r="D803" s="16" t="str">
        <f>VLOOKUP(C803,[1]master_data!$A$2:$E$495,2,FALSE)</f>
        <v>BUENOS AIRES TETRA</v>
      </c>
      <c r="E803" s="16">
        <v>15</v>
      </c>
      <c r="F803" s="16">
        <f>VLOOKUP(C803,[1]master_data!$A$2:$E$495,3,FALSE)</f>
        <v>800</v>
      </c>
      <c r="G803" s="16">
        <f>VLOOKUP(C803,[1]master_data!$A$2:$E$495,4,FALSE)</f>
        <v>2000</v>
      </c>
      <c r="H803" s="16">
        <f>E803*F803</f>
        <v>12000</v>
      </c>
      <c r="I803" s="16">
        <f>E803*G803</f>
        <v>30000</v>
      </c>
      <c r="J803" s="16">
        <f>I803-H803</f>
        <v>18000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44420</v>
      </c>
      <c r="B804" s="16" t="s">
        <v>1409</v>
      </c>
      <c r="C804" s="16" t="s">
        <v>330</v>
      </c>
      <c r="D804" s="16" t="str">
        <f>VLOOKUP(C804,[1]master_data!$A$2:$E$495,2,FALSE)</f>
        <v>KOI T</v>
      </c>
      <c r="E804" s="16">
        <v>5</v>
      </c>
      <c r="F804" s="16">
        <f>VLOOKUP(C804,[1]master_data!$A$2:$E$495,3,FALSE)</f>
        <v>7000</v>
      </c>
      <c r="G804" s="16">
        <f>VLOOKUP(C804,[1]master_data!$A$2:$E$495,4,FALSE)</f>
        <v>20000</v>
      </c>
      <c r="H804" s="16">
        <f>E804*F804</f>
        <v>35000</v>
      </c>
      <c r="I804" s="16">
        <f>E804*G804</f>
        <v>100000</v>
      </c>
      <c r="J804" s="16">
        <f>I804-H804</f>
        <v>65000</v>
      </c>
      <c r="K804" s="16" t="str">
        <f>VLOOKUP(C804,[1]master_data!$A$2:$E$495,5,FALSE)</f>
        <v>Ikan</v>
      </c>
      <c r="L804" s="1"/>
    </row>
    <row r="805" spans="1:12" ht="12" customHeight="1" x14ac:dyDescent="0.25">
      <c r="A805" s="15">
        <v>44420</v>
      </c>
      <c r="B805" s="16" t="s">
        <v>1410</v>
      </c>
      <c r="C805" s="16" t="s">
        <v>66</v>
      </c>
      <c r="D805" s="16" t="str">
        <f>VLOOKUP(C805,[1]master_data!$A$2:$E$495,2,FALSE)</f>
        <v>MESIN LUKINES K</v>
      </c>
      <c r="E805" s="16">
        <v>1</v>
      </c>
      <c r="F805" s="16">
        <f>VLOOKUP(C805,[1]master_data!$A$2:$E$495,3,FALSE)</f>
        <v>35000</v>
      </c>
      <c r="G805" s="16">
        <f>VLOOKUP(C805,[1]master_data!$A$2:$E$495,4,FALSE)</f>
        <v>55000</v>
      </c>
      <c r="H805" s="16">
        <f>E805*F805</f>
        <v>35000</v>
      </c>
      <c r="I805" s="16">
        <f>E805*G805</f>
        <v>55000</v>
      </c>
      <c r="J805" s="16">
        <f>I805-H805</f>
        <v>20000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44419</v>
      </c>
      <c r="B806" s="16" t="s">
        <v>1398</v>
      </c>
      <c r="C806" s="16" t="s">
        <v>365</v>
      </c>
      <c r="D806" s="16" t="str">
        <f>VLOOKUP(C806,[1]master_data!$A$2:$E$495,2,FALSE)</f>
        <v>SYNODONTIS K</v>
      </c>
      <c r="E806" s="16">
        <v>30</v>
      </c>
      <c r="F806" s="16">
        <f>VLOOKUP(C806,[1]master_data!$A$2:$E$495,3,FALSE)</f>
        <v>1500</v>
      </c>
      <c r="G806" s="16">
        <f>VLOOKUP(C806,[1]master_data!$A$2:$E$495,4,FALSE)</f>
        <v>5000</v>
      </c>
      <c r="H806" s="16">
        <f>E806*F806</f>
        <v>45000</v>
      </c>
      <c r="I806" s="16">
        <f>E806*G806</f>
        <v>150000</v>
      </c>
      <c r="J806" s="16">
        <f>I806-H806</f>
        <v>105000</v>
      </c>
      <c r="K806" s="16" t="str">
        <f>VLOOKUP(C806,[1]master_data!$A$2:$E$495,5,FALSE)</f>
        <v>Ikan</v>
      </c>
      <c r="L806" s="1"/>
    </row>
    <row r="807" spans="1:12" ht="12" customHeight="1" x14ac:dyDescent="0.25">
      <c r="A807" s="15">
        <v>44419</v>
      </c>
      <c r="B807" s="16" t="s">
        <v>1399</v>
      </c>
      <c r="C807" s="16" t="s">
        <v>255</v>
      </c>
      <c r="D807" s="16" t="str">
        <f>VLOOKUP(C807,[1]master_data!$A$2:$E$495,2,FALSE)</f>
        <v>AIRSTONE PANJANG 6</v>
      </c>
      <c r="E807" s="16">
        <v>5</v>
      </c>
      <c r="F807" s="16">
        <f>VLOOKUP(C807,[1]master_data!$A$2:$E$495,3,FALSE)</f>
        <v>8000</v>
      </c>
      <c r="G807" s="16">
        <f>VLOOKUP(C807,[1]master_data!$A$2:$E$495,4,FALSE)</f>
        <v>12000</v>
      </c>
      <c r="H807" s="16">
        <f>E807*F807</f>
        <v>40000</v>
      </c>
      <c r="I807" s="16">
        <f>E807*G807</f>
        <v>60000</v>
      </c>
      <c r="J807" s="16">
        <f>I807-H807</f>
        <v>20000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44419</v>
      </c>
      <c r="B808" s="16" t="s">
        <v>1400</v>
      </c>
      <c r="C808" s="16" t="s">
        <v>318</v>
      </c>
      <c r="D808" s="16" t="str">
        <f>VLOOKUP(C808,[1]master_data!$A$2:$E$495,2,FALSE)</f>
        <v>KOMET BOKIM</v>
      </c>
      <c r="E808" s="16">
        <v>20</v>
      </c>
      <c r="F808" s="16">
        <f>VLOOKUP(C808,[1]master_data!$A$2:$E$495,3,FALSE)</f>
        <v>1500</v>
      </c>
      <c r="G808" s="16">
        <f>VLOOKUP(C808,[1]master_data!$A$2:$E$495,4,FALSE)</f>
        <v>5000</v>
      </c>
      <c r="H808" s="16">
        <f>E808*F808</f>
        <v>30000</v>
      </c>
      <c r="I808" s="16">
        <f>E808*G808</f>
        <v>100000</v>
      </c>
      <c r="J808" s="16">
        <f>I808-H808</f>
        <v>70000</v>
      </c>
      <c r="K808" s="16" t="str">
        <f>VLOOKUP(C808,[1]master_data!$A$2:$E$495,5,FALSE)</f>
        <v>Ikan</v>
      </c>
      <c r="L808" s="1"/>
    </row>
    <row r="809" spans="1:12" ht="12" customHeight="1" x14ac:dyDescent="0.25">
      <c r="A809" s="15">
        <v>44419</v>
      </c>
      <c r="B809" s="16" t="s">
        <v>1401</v>
      </c>
      <c r="C809" s="16" t="s">
        <v>374</v>
      </c>
      <c r="D809" s="16" t="str">
        <f>VLOOKUP(C809,[1]master_data!$A$2:$E$495,2,FALSE)</f>
        <v>SEPAT ALBINO</v>
      </c>
      <c r="E809" s="16">
        <v>25</v>
      </c>
      <c r="F809" s="16">
        <f>VLOOKUP(C809,[1]master_data!$A$2:$E$495,3,FALSE)</f>
        <v>2000</v>
      </c>
      <c r="G809" s="16">
        <f>VLOOKUP(C809,[1]master_data!$A$2:$E$495,4,FALSE)</f>
        <v>5000</v>
      </c>
      <c r="H809" s="16">
        <f>E809*F809</f>
        <v>50000</v>
      </c>
      <c r="I809" s="16">
        <f>E809*G809</f>
        <v>125000</v>
      </c>
      <c r="J809" s="16">
        <f>I809-H809</f>
        <v>75000</v>
      </c>
      <c r="K809" s="16" t="str">
        <f>VLOOKUP(C809,[1]master_data!$A$2:$E$495,5,FALSE)</f>
        <v>Ikan</v>
      </c>
      <c r="L809" s="1"/>
    </row>
    <row r="810" spans="1:12" ht="12" customHeight="1" x14ac:dyDescent="0.25">
      <c r="A810" s="15">
        <v>44419</v>
      </c>
      <c r="B810" s="16" t="s">
        <v>1402</v>
      </c>
      <c r="C810" s="16" t="s">
        <v>354</v>
      </c>
      <c r="D810" s="16" t="str">
        <f>VLOOKUP(C810,[1]master_data!$A$2:$E$495,2,FALSE)</f>
        <v>PEMBERSIH KACA ALBINO</v>
      </c>
      <c r="E810" s="16">
        <v>10</v>
      </c>
      <c r="F810" s="16">
        <f>VLOOKUP(C810,[1]master_data!$A$2:$E$495,3,FALSE)</f>
        <v>2500</v>
      </c>
      <c r="G810" s="16">
        <f>VLOOKUP(C810,[1]master_data!$A$2:$E$495,4,FALSE)</f>
        <v>5000</v>
      </c>
      <c r="H810" s="16">
        <f>E810*F810</f>
        <v>25000</v>
      </c>
      <c r="I810" s="16">
        <f>E810*G810</f>
        <v>50000</v>
      </c>
      <c r="J810" s="16">
        <f>I810-H810</f>
        <v>25000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44419</v>
      </c>
      <c r="B811" s="16" t="s">
        <v>1403</v>
      </c>
      <c r="C811" s="16" t="s">
        <v>355</v>
      </c>
      <c r="D811" s="16" t="str">
        <f>VLOOKUP(C811,[1]master_data!$A$2:$E$495,2,FALSE)</f>
        <v>PALMAS</v>
      </c>
      <c r="E811" s="16">
        <v>1</v>
      </c>
      <c r="F811" s="16">
        <f>VLOOKUP(C811,[1]master_data!$A$2:$E$495,3,FALSE)</f>
        <v>10000</v>
      </c>
      <c r="G811" s="16">
        <f>VLOOKUP(C811,[1]master_data!$A$2:$E$495,4,FALSE)</f>
        <v>25000</v>
      </c>
      <c r="H811" s="16">
        <f>E811*F811</f>
        <v>10000</v>
      </c>
      <c r="I811" s="16">
        <f>E811*G811</f>
        <v>25000</v>
      </c>
      <c r="J811" s="16">
        <f>I811-H811</f>
        <v>15000</v>
      </c>
      <c r="K811" s="16" t="str">
        <f>VLOOKUP(C811,[1]master_data!$A$2:$E$495,5,FALSE)</f>
        <v>Ikan</v>
      </c>
      <c r="L811" s="1"/>
    </row>
    <row r="812" spans="1:12" ht="12" customHeight="1" x14ac:dyDescent="0.25">
      <c r="A812" s="15">
        <v>44418</v>
      </c>
      <c r="B812" s="16" t="s">
        <v>1393</v>
      </c>
      <c r="C812" s="16" t="s">
        <v>124</v>
      </c>
      <c r="D812" s="16" t="str">
        <f>VLOOKUP(C812,[1]master_data!$A$2:$E$495,2,FALSE)</f>
        <v>LED KANDILA 3 BRS 30 CM</v>
      </c>
      <c r="E812" s="16">
        <v>2</v>
      </c>
      <c r="F812" s="16">
        <f>VLOOKUP(C812,[1]master_data!$A$2:$E$495,3,FALSE)</f>
        <v>22000</v>
      </c>
      <c r="G812" s="16">
        <f>VLOOKUP(C812,[1]master_data!$A$2:$E$495,4,FALSE)</f>
        <v>40000</v>
      </c>
      <c r="H812" s="16">
        <f>E812*F812</f>
        <v>44000</v>
      </c>
      <c r="I812" s="16">
        <f>E812*G812</f>
        <v>80000</v>
      </c>
      <c r="J812" s="16">
        <f>I812-H812</f>
        <v>36000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44418</v>
      </c>
      <c r="B813" s="16" t="s">
        <v>1394</v>
      </c>
      <c r="C813" s="16" t="s">
        <v>354</v>
      </c>
      <c r="D813" s="16" t="str">
        <f>VLOOKUP(C813,[1]master_data!$A$2:$E$495,2,FALSE)</f>
        <v>PEMBERSIH KACA ALBINO</v>
      </c>
      <c r="E813" s="16">
        <v>10</v>
      </c>
      <c r="F813" s="16">
        <f>VLOOKUP(C813,[1]master_data!$A$2:$E$495,3,FALSE)</f>
        <v>2500</v>
      </c>
      <c r="G813" s="16">
        <f>VLOOKUP(C813,[1]master_data!$A$2:$E$495,4,FALSE)</f>
        <v>5000</v>
      </c>
      <c r="H813" s="16">
        <f>E813*F813</f>
        <v>25000</v>
      </c>
      <c r="I813" s="16">
        <f>E813*G813</f>
        <v>50000</v>
      </c>
      <c r="J813" s="16">
        <f>I813-H813</f>
        <v>25000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44418</v>
      </c>
      <c r="B814" s="16" t="s">
        <v>1395</v>
      </c>
      <c r="C814" s="16" t="s">
        <v>119</v>
      </c>
      <c r="D814" s="16" t="str">
        <f>VLOOKUP(C814,[1]master_data!$A$2:$E$495,2,FALSE)</f>
        <v>LED NIKITA 3 MODE 100 CM</v>
      </c>
      <c r="E814" s="16">
        <v>1</v>
      </c>
      <c r="F814" s="16">
        <f>VLOOKUP(C814,[1]master_data!$A$2:$E$495,3,FALSE)</f>
        <v>60000</v>
      </c>
      <c r="G814" s="16">
        <f>VLOOKUP(C814,[1]master_data!$A$2:$E$495,4,FALSE)</f>
        <v>90000</v>
      </c>
      <c r="H814" s="16">
        <f>E814*F814</f>
        <v>60000</v>
      </c>
      <c r="I814" s="16">
        <f>E814*G814</f>
        <v>90000</v>
      </c>
      <c r="J814" s="16">
        <f>I814-H814</f>
        <v>30000</v>
      </c>
      <c r="K814" s="16" t="str">
        <f>VLOOKUP(C814,[1]master_data!$A$2:$E$495,5,FALSE)</f>
        <v>Aksesoris</v>
      </c>
      <c r="L814" s="1"/>
    </row>
    <row r="815" spans="1:12" ht="12" customHeight="1" x14ac:dyDescent="0.25">
      <c r="A815" s="15">
        <v>44418</v>
      </c>
      <c r="B815" s="16" t="s">
        <v>1396</v>
      </c>
      <c r="C815" s="16" t="s">
        <v>26</v>
      </c>
      <c r="D815" s="16" t="str">
        <f>VLOOKUP(C815,[1]master_data!$A$2:$E$495,2,FALSE)</f>
        <v>MESIN ROSTON 108</v>
      </c>
      <c r="E815" s="16">
        <v>1</v>
      </c>
      <c r="F815" s="16">
        <f>VLOOKUP(C815,[1]master_data!$A$2:$E$495,3,FALSE)</f>
        <v>190000</v>
      </c>
      <c r="G815" s="16">
        <f>VLOOKUP(C815,[1]master_data!$A$2:$E$495,4,FALSE)</f>
        <v>275000</v>
      </c>
      <c r="H815" s="16">
        <f>E815*F815</f>
        <v>190000</v>
      </c>
      <c r="I815" s="16">
        <f>E815*G815</f>
        <v>275000</v>
      </c>
      <c r="J815" s="16">
        <f>I815-H815</f>
        <v>85000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44418</v>
      </c>
      <c r="B816" s="16" t="s">
        <v>1397</v>
      </c>
      <c r="C816" s="16" t="s">
        <v>314</v>
      </c>
      <c r="D816" s="16" t="str">
        <f>VLOOKUP(C816,[1]master_data!$A$2:$E$495,2,FALSE)</f>
        <v>BALA BALA B</v>
      </c>
      <c r="E816" s="16">
        <v>30</v>
      </c>
      <c r="F816" s="16">
        <f>VLOOKUP(C816,[1]master_data!$A$2:$E$495,3,FALSE)</f>
        <v>7000</v>
      </c>
      <c r="G816" s="16">
        <f>VLOOKUP(C816,[1]master_data!$A$2:$E$495,4,FALSE)</f>
        <v>15000</v>
      </c>
      <c r="H816" s="16">
        <f>E816*F816</f>
        <v>210000</v>
      </c>
      <c r="I816" s="16">
        <f>E816*G816</f>
        <v>450000</v>
      </c>
      <c r="J816" s="16">
        <f>I816-H816</f>
        <v>240000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44417</v>
      </c>
      <c r="B817" s="16" t="s">
        <v>1388</v>
      </c>
      <c r="C817" s="16" t="s">
        <v>26</v>
      </c>
      <c r="D817" s="16" t="str">
        <f>VLOOKUP(C817,[1]master_data!$A$2:$E$495,2,FALSE)</f>
        <v>MESIN ROSTON 108</v>
      </c>
      <c r="E817" s="16">
        <v>2</v>
      </c>
      <c r="F817" s="16">
        <f>VLOOKUP(C817,[1]master_data!$A$2:$E$495,3,FALSE)</f>
        <v>190000</v>
      </c>
      <c r="G817" s="16">
        <f>VLOOKUP(C817,[1]master_data!$A$2:$E$495,4,FALSE)</f>
        <v>275000</v>
      </c>
      <c r="H817" s="16">
        <f>E817*F817</f>
        <v>380000</v>
      </c>
      <c r="I817" s="16">
        <f>E817*G817</f>
        <v>550000</v>
      </c>
      <c r="J817" s="16">
        <f>I817-H817</f>
        <v>170000</v>
      </c>
      <c r="K817" s="16" t="str">
        <f>VLOOKUP(C817,[1]master_data!$A$2:$E$495,5,FALSE)</f>
        <v>Aksesoris</v>
      </c>
      <c r="L817" s="1"/>
    </row>
    <row r="818" spans="1:12" ht="12" customHeight="1" x14ac:dyDescent="0.25">
      <c r="A818" s="15">
        <v>44417</v>
      </c>
      <c r="B818" s="16" t="s">
        <v>1389</v>
      </c>
      <c r="C818" s="16" t="s">
        <v>230</v>
      </c>
      <c r="D818" s="16" t="str">
        <f>VLOOKUP(C818,[1]master_data!$A$2:$E$495,2,FALSE)</f>
        <v>JARING 8</v>
      </c>
      <c r="E818" s="16">
        <v>25</v>
      </c>
      <c r="F818" s="16">
        <f>VLOOKUP(C818,[1]master_data!$A$2:$E$495,3,FALSE)</f>
        <v>3000</v>
      </c>
      <c r="G818" s="16">
        <f>VLOOKUP(C818,[1]master_data!$A$2:$E$495,4,FALSE)</f>
        <v>5000</v>
      </c>
      <c r="H818" s="16">
        <f>E818*F818</f>
        <v>75000</v>
      </c>
      <c r="I818" s="16">
        <f>E818*G818</f>
        <v>125000</v>
      </c>
      <c r="J818" s="16">
        <f>I818-H818</f>
        <v>50000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44417</v>
      </c>
      <c r="B819" s="16" t="s">
        <v>1390</v>
      </c>
      <c r="C819" s="16" t="s">
        <v>362</v>
      </c>
      <c r="D819" s="16" t="str">
        <f>VLOOKUP(C819,[1]master_data!$A$2:$E$495,2,FALSE)</f>
        <v>SUMATRA BIASA</v>
      </c>
      <c r="E819" s="16">
        <v>30</v>
      </c>
      <c r="F819" s="16">
        <f>VLOOKUP(C819,[1]master_data!$A$2:$E$495,3,FALSE)</f>
        <v>800</v>
      </c>
      <c r="G819" s="16">
        <f>VLOOKUP(C819,[1]master_data!$A$2:$E$495,4,FALSE)</f>
        <v>2000</v>
      </c>
      <c r="H819" s="16">
        <f>E819*F819</f>
        <v>24000</v>
      </c>
      <c r="I819" s="16">
        <f>E819*G819</f>
        <v>60000</v>
      </c>
      <c r="J819" s="16">
        <f>I819-H819</f>
        <v>36000</v>
      </c>
      <c r="K819" s="16" t="str">
        <f>VLOOKUP(C819,[1]master_data!$A$2:$E$495,5,FALSE)</f>
        <v>Ikan</v>
      </c>
      <c r="L819" s="1"/>
    </row>
    <row r="820" spans="1:12" ht="12" customHeight="1" x14ac:dyDescent="0.25">
      <c r="A820" s="15">
        <v>44417</v>
      </c>
      <c r="B820" s="16" t="s">
        <v>1391</v>
      </c>
      <c r="C820" s="16" t="s">
        <v>120</v>
      </c>
      <c r="D820" s="16" t="str">
        <f>VLOOKUP(C820,[1]master_data!$A$2:$E$495,2,FALSE)</f>
        <v>LED YANG HW 30 CM</v>
      </c>
      <c r="E820" s="16">
        <v>3</v>
      </c>
      <c r="F820" s="16">
        <f>VLOOKUP(C820,[1]master_data!$A$2:$E$495,3,FALSE)</f>
        <v>56000</v>
      </c>
      <c r="G820" s="16">
        <f>VLOOKUP(C820,[1]master_data!$A$2:$E$495,4,FALSE)</f>
        <v>75000</v>
      </c>
      <c r="H820" s="16">
        <f>E820*F820</f>
        <v>168000</v>
      </c>
      <c r="I820" s="16">
        <f>E820*G820</f>
        <v>225000</v>
      </c>
      <c r="J820" s="16">
        <f>I820-H820</f>
        <v>57000</v>
      </c>
      <c r="K820" s="16" t="str">
        <f>VLOOKUP(C820,[1]master_data!$A$2:$E$495,5,FALSE)</f>
        <v>Aksesoris</v>
      </c>
      <c r="L820" s="1"/>
    </row>
    <row r="821" spans="1:12" ht="12" customHeight="1" x14ac:dyDescent="0.25">
      <c r="A821" s="15">
        <v>44417</v>
      </c>
      <c r="B821" s="16" t="s">
        <v>1392</v>
      </c>
      <c r="C821" s="16" t="s">
        <v>324</v>
      </c>
      <c r="D821" s="16" t="str">
        <f>VLOOKUP(C821,[1]master_data!$A$2:$E$495,2,FALSE)</f>
        <v>GOLDEN BLACK</v>
      </c>
      <c r="E821" s="16">
        <v>5</v>
      </c>
      <c r="F821" s="16">
        <f>VLOOKUP(C821,[1]master_data!$A$2:$E$495,3,FALSE)</f>
        <v>800</v>
      </c>
      <c r="G821" s="16">
        <f>VLOOKUP(C821,[1]master_data!$A$2:$E$495,4,FALSE)</f>
        <v>2000</v>
      </c>
      <c r="H821" s="16">
        <f>E821*F821</f>
        <v>4000</v>
      </c>
      <c r="I821" s="16">
        <f>E821*G821</f>
        <v>10000</v>
      </c>
      <c r="J821" s="16">
        <f>I821-H821</f>
        <v>6000</v>
      </c>
      <c r="K821" s="16" t="str">
        <f>VLOOKUP(C821,[1]master_data!$A$2:$E$495,5,FALSE)</f>
        <v>Ikan</v>
      </c>
      <c r="L821" s="1"/>
    </row>
    <row r="822" spans="1:12" ht="12" customHeight="1" x14ac:dyDescent="0.25">
      <c r="A822" s="15">
        <v>44416</v>
      </c>
      <c r="B822" s="16" t="s">
        <v>1386</v>
      </c>
      <c r="C822" s="16" t="s">
        <v>341</v>
      </c>
      <c r="D822" s="16" t="str">
        <f>VLOOKUP(C822,[1]master_data!$A$2:$E$495,2,FALSE)</f>
        <v>LOUHAN</v>
      </c>
      <c r="E822" s="16">
        <v>2</v>
      </c>
      <c r="F822" s="16">
        <f>VLOOKUP(C822,[1]master_data!$A$2:$E$495,3,FALSE)</f>
        <v>85000</v>
      </c>
      <c r="G822" s="16">
        <f>VLOOKUP(C822,[1]master_data!$A$2:$E$495,4,FALSE)</f>
        <v>200000</v>
      </c>
      <c r="H822" s="16">
        <f>E822*F822</f>
        <v>170000</v>
      </c>
      <c r="I822" s="16">
        <f>E822*G822</f>
        <v>400000</v>
      </c>
      <c r="J822" s="16">
        <f>I822-H822</f>
        <v>230000</v>
      </c>
      <c r="K822" s="16" t="str">
        <f>VLOOKUP(C822,[1]master_data!$A$2:$E$495,5,FALSE)</f>
        <v>Ikan</v>
      </c>
      <c r="L822" s="1"/>
    </row>
    <row r="823" spans="1:12" ht="12" customHeight="1" x14ac:dyDescent="0.25">
      <c r="A823" s="15">
        <v>44416</v>
      </c>
      <c r="B823" s="16" t="s">
        <v>1387</v>
      </c>
      <c r="C823" s="16" t="s">
        <v>94</v>
      </c>
      <c r="D823" s="16" t="str">
        <f>VLOOKUP(C823,[1]master_data!$A$2:$E$495,2,FALSE)</f>
        <v>AIRATOR ROSTON LUB 1</v>
      </c>
      <c r="E823" s="16">
        <v>5</v>
      </c>
      <c r="F823" s="16">
        <f>VLOOKUP(C823,[1]master_data!$A$2:$E$495,3,FALSE)</f>
        <v>20000</v>
      </c>
      <c r="G823" s="16">
        <f>VLOOKUP(C823,[1]master_data!$A$2:$E$495,4,FALSE)</f>
        <v>30000</v>
      </c>
      <c r="H823" s="16">
        <f>E823*F823</f>
        <v>100000</v>
      </c>
      <c r="I823" s="16">
        <f>E823*G823</f>
        <v>150000</v>
      </c>
      <c r="J823" s="16">
        <f>I823-H823</f>
        <v>50000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44415</v>
      </c>
      <c r="B824" s="16" t="s">
        <v>1380</v>
      </c>
      <c r="C824" s="16" t="s">
        <v>366</v>
      </c>
      <c r="D824" s="16" t="str">
        <f>VLOOKUP(C824,[1]master_data!$A$2:$E$495,2,FALSE)</f>
        <v>SYNODONTI B</v>
      </c>
      <c r="E824" s="16">
        <v>1</v>
      </c>
      <c r="F824" s="16">
        <f>VLOOKUP(C824,[1]master_data!$A$2:$E$495,3,FALSE)</f>
        <v>4000</v>
      </c>
      <c r="G824" s="16">
        <f>VLOOKUP(C824,[1]master_data!$A$2:$E$495,4,FALSE)</f>
        <v>10000</v>
      </c>
      <c r="H824" s="16">
        <f>E824*F824</f>
        <v>4000</v>
      </c>
      <c r="I824" s="16">
        <f>E824*G824</f>
        <v>10000</v>
      </c>
      <c r="J824" s="16">
        <f>I824-H824</f>
        <v>6000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44415</v>
      </c>
      <c r="B825" s="16" t="s">
        <v>1381</v>
      </c>
      <c r="C825" s="16" t="s">
        <v>367</v>
      </c>
      <c r="D825" s="16" t="str">
        <f>VLOOKUP(C825,[1]master_data!$A$2:$E$495,2,FALSE)</f>
        <v>TETRA</v>
      </c>
      <c r="E825" s="16">
        <v>15</v>
      </c>
      <c r="F825" s="16">
        <f>VLOOKUP(C825,[1]master_data!$A$2:$E$495,3,FALSE)</f>
        <v>800</v>
      </c>
      <c r="G825" s="16">
        <f>VLOOKUP(C825,[1]master_data!$A$2:$E$495,4,FALSE)</f>
        <v>2000</v>
      </c>
      <c r="H825" s="16">
        <f>E825*F825</f>
        <v>12000</v>
      </c>
      <c r="I825" s="16">
        <f>E825*G825</f>
        <v>30000</v>
      </c>
      <c r="J825" s="16">
        <f>I825-H825</f>
        <v>18000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44415</v>
      </c>
      <c r="B826" s="16" t="s">
        <v>1382</v>
      </c>
      <c r="C826" s="16" t="s">
        <v>47</v>
      </c>
      <c r="D826" s="16" t="str">
        <f>VLOOKUP(C826,[1]master_data!$A$2:$E$495,2,FALSE)</f>
        <v>MESIN NIKITA WAVE MAKER M6</v>
      </c>
      <c r="E826" s="16">
        <v>2</v>
      </c>
      <c r="F826" s="16">
        <f>VLOOKUP(C826,[1]master_data!$A$2:$E$495,3,FALSE)</f>
        <v>86000</v>
      </c>
      <c r="G826" s="16">
        <f>VLOOKUP(C826,[1]master_data!$A$2:$E$495,4,FALSE)</f>
        <v>120000</v>
      </c>
      <c r="H826" s="16">
        <f>E826*F826</f>
        <v>172000</v>
      </c>
      <c r="I826" s="16">
        <f>E826*G826</f>
        <v>240000</v>
      </c>
      <c r="J826" s="16">
        <f>I826-H826</f>
        <v>68000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44415</v>
      </c>
      <c r="B827" s="16" t="s">
        <v>1383</v>
      </c>
      <c r="C827" s="16" t="s">
        <v>310</v>
      </c>
      <c r="D827" s="16" t="str">
        <f>VLOOKUP(C827,[1]master_data!$A$2:$E$495,2,FALSE)</f>
        <v>ALIGATOR</v>
      </c>
      <c r="E827" s="16">
        <v>1</v>
      </c>
      <c r="F827" s="16">
        <f>VLOOKUP(C827,[1]master_data!$A$2:$E$495,3,FALSE)</f>
        <v>17000</v>
      </c>
      <c r="G827" s="16">
        <f>VLOOKUP(C827,[1]master_data!$A$2:$E$495,4,FALSE)</f>
        <v>35000</v>
      </c>
      <c r="H827" s="16">
        <f>E827*F827</f>
        <v>17000</v>
      </c>
      <c r="I827" s="16">
        <f>E827*G827</f>
        <v>35000</v>
      </c>
      <c r="J827" s="16">
        <f>I827-H827</f>
        <v>18000</v>
      </c>
      <c r="K827" s="16" t="str">
        <f>VLOOKUP(C827,[1]master_data!$A$2:$E$495,5,FALSE)</f>
        <v>Ikan</v>
      </c>
      <c r="L827" s="1"/>
    </row>
    <row r="828" spans="1:12" ht="12" customHeight="1" x14ac:dyDescent="0.25">
      <c r="A828" s="15">
        <v>44415</v>
      </c>
      <c r="B828" s="16" t="s">
        <v>1384</v>
      </c>
      <c r="C828" s="16" t="s">
        <v>356</v>
      </c>
      <c r="D828" s="16" t="str">
        <f>VLOOKUP(C828,[1]master_data!$A$2:$E$495,2,FALSE)</f>
        <v>PARROT</v>
      </c>
      <c r="E828" s="16">
        <v>7</v>
      </c>
      <c r="F828" s="16">
        <f>VLOOKUP(C828,[1]master_data!$A$2:$E$495,3,FALSE)</f>
        <v>27000</v>
      </c>
      <c r="G828" s="16">
        <f>VLOOKUP(C828,[1]master_data!$A$2:$E$495,4,FALSE)</f>
        <v>60000</v>
      </c>
      <c r="H828" s="16">
        <f>E828*F828</f>
        <v>189000</v>
      </c>
      <c r="I828" s="16">
        <f>E828*G828</f>
        <v>420000</v>
      </c>
      <c r="J828" s="16">
        <f>I828-H828</f>
        <v>231000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44415</v>
      </c>
      <c r="B829" s="16" t="s">
        <v>1385</v>
      </c>
      <c r="C829" s="16" t="s">
        <v>366</v>
      </c>
      <c r="D829" s="16" t="str">
        <f>VLOOKUP(C829,[1]master_data!$A$2:$E$495,2,FALSE)</f>
        <v>SYNODONTI B</v>
      </c>
      <c r="E829" s="16">
        <v>1</v>
      </c>
      <c r="F829" s="16">
        <f>VLOOKUP(C829,[1]master_data!$A$2:$E$495,3,FALSE)</f>
        <v>4000</v>
      </c>
      <c r="G829" s="16">
        <f>VLOOKUP(C829,[1]master_data!$A$2:$E$495,4,FALSE)</f>
        <v>10000</v>
      </c>
      <c r="H829" s="16">
        <f>E829*F829</f>
        <v>4000</v>
      </c>
      <c r="I829" s="16">
        <f>E829*G829</f>
        <v>10000</v>
      </c>
      <c r="J829" s="16">
        <f>I829-H829</f>
        <v>6000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44414</v>
      </c>
      <c r="B830" s="16" t="s">
        <v>1375</v>
      </c>
      <c r="C830" s="16" t="s">
        <v>341</v>
      </c>
      <c r="D830" s="16" t="str">
        <f>VLOOKUP(C830,[1]master_data!$A$2:$E$495,2,FALSE)</f>
        <v>LOUHAN</v>
      </c>
      <c r="E830" s="16">
        <v>2</v>
      </c>
      <c r="F830" s="16">
        <f>VLOOKUP(C830,[1]master_data!$A$2:$E$495,3,FALSE)</f>
        <v>85000</v>
      </c>
      <c r="G830" s="16">
        <f>VLOOKUP(C830,[1]master_data!$A$2:$E$495,4,FALSE)</f>
        <v>200000</v>
      </c>
      <c r="H830" s="16">
        <f>E830*F830</f>
        <v>170000</v>
      </c>
      <c r="I830" s="16">
        <f>E830*G830</f>
        <v>400000</v>
      </c>
      <c r="J830" s="16">
        <f>I830-H830</f>
        <v>230000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44414</v>
      </c>
      <c r="B831" s="16" t="s">
        <v>1376</v>
      </c>
      <c r="C831" s="16" t="s">
        <v>335</v>
      </c>
      <c r="D831" s="16" t="str">
        <f>VLOOKUP(C831,[1]master_data!$A$2:$E$495,2,FALSE)</f>
        <v>KOMET SLAYER</v>
      </c>
      <c r="E831" s="16">
        <v>15</v>
      </c>
      <c r="F831" s="16">
        <f>VLOOKUP(C831,[1]master_data!$A$2:$E$495,3,FALSE)</f>
        <v>2000</v>
      </c>
      <c r="G831" s="16">
        <f>VLOOKUP(C831,[1]master_data!$A$2:$E$495,4,FALSE)</f>
        <v>5000</v>
      </c>
      <c r="H831" s="16">
        <f>E831*F831</f>
        <v>30000</v>
      </c>
      <c r="I831" s="16">
        <f>E831*G831</f>
        <v>75000</v>
      </c>
      <c r="J831" s="16">
        <f>I831-H831</f>
        <v>45000</v>
      </c>
      <c r="K831" s="16" t="str">
        <f>VLOOKUP(C831,[1]master_data!$A$2:$E$495,5,FALSE)</f>
        <v>Ikan</v>
      </c>
      <c r="L831" s="1"/>
    </row>
    <row r="832" spans="1:12" ht="12" customHeight="1" x14ac:dyDescent="0.25">
      <c r="A832" s="15">
        <v>44414</v>
      </c>
      <c r="B832" s="16" t="s">
        <v>1377</v>
      </c>
      <c r="C832" s="16" t="s">
        <v>65</v>
      </c>
      <c r="D832" s="16" t="str">
        <f>VLOOKUP(C832,[1]master_data!$A$2:$E$495,2,FALSE)</f>
        <v>BIO FOAM L</v>
      </c>
      <c r="E832" s="16">
        <v>2</v>
      </c>
      <c r="F832" s="16">
        <f>VLOOKUP(C832,[1]master_data!$A$2:$E$495,3,FALSE)</f>
        <v>22000</v>
      </c>
      <c r="G832" s="16">
        <f>VLOOKUP(C832,[1]master_data!$A$2:$E$495,4,FALSE)</f>
        <v>35000</v>
      </c>
      <c r="H832" s="16">
        <f>E832*F832</f>
        <v>44000</v>
      </c>
      <c r="I832" s="16">
        <f>E832*G832</f>
        <v>70000</v>
      </c>
      <c r="J832" s="16">
        <f>I832-H832</f>
        <v>26000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44414</v>
      </c>
      <c r="B833" s="16" t="s">
        <v>1378</v>
      </c>
      <c r="C833" s="16" t="s">
        <v>256</v>
      </c>
      <c r="D833" s="16" t="str">
        <f>VLOOKUP(C833,[1]master_data!$A$2:$E$495,2,FALSE)</f>
        <v>HEATER STENLEES 75 W</v>
      </c>
      <c r="E833" s="16">
        <v>3</v>
      </c>
      <c r="F833" s="16">
        <f>VLOOKUP(C833,[1]master_data!$A$2:$E$495,3,FALSE)</f>
        <v>70000</v>
      </c>
      <c r="G833" s="16">
        <f>VLOOKUP(C833,[1]master_data!$A$2:$E$495,4,FALSE)</f>
        <v>90000</v>
      </c>
      <c r="H833" s="16">
        <f>E833*F833</f>
        <v>210000</v>
      </c>
      <c r="I833" s="16">
        <f>E833*G833</f>
        <v>270000</v>
      </c>
      <c r="J833" s="16">
        <f>I833-H833</f>
        <v>60000</v>
      </c>
      <c r="K833" s="16" t="str">
        <f>VLOOKUP(C833,[1]master_data!$A$2:$E$495,5,FALSE)</f>
        <v>Aksesoris</v>
      </c>
      <c r="L833" s="1"/>
    </row>
    <row r="834" spans="1:12" ht="12" customHeight="1" x14ac:dyDescent="0.25">
      <c r="A834" s="15">
        <v>44414</v>
      </c>
      <c r="B834" s="16" t="s">
        <v>1379</v>
      </c>
      <c r="C834" s="16" t="s">
        <v>354</v>
      </c>
      <c r="D834" s="16" t="str">
        <f>VLOOKUP(C834,[1]master_data!$A$2:$E$495,2,FALSE)</f>
        <v>PEMBERSIH KACA ALBINO</v>
      </c>
      <c r="E834" s="16">
        <v>25</v>
      </c>
      <c r="F834" s="16">
        <f>VLOOKUP(C834,[1]master_data!$A$2:$E$495,3,FALSE)</f>
        <v>2500</v>
      </c>
      <c r="G834" s="16">
        <f>VLOOKUP(C834,[1]master_data!$A$2:$E$495,4,FALSE)</f>
        <v>5000</v>
      </c>
      <c r="H834" s="16">
        <f>E834*F834</f>
        <v>62500</v>
      </c>
      <c r="I834" s="16">
        <f>E834*G834</f>
        <v>125000</v>
      </c>
      <c r="J834" s="16">
        <f>I834-H834</f>
        <v>62500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44413</v>
      </c>
      <c r="B835" s="16" t="s">
        <v>1369</v>
      </c>
      <c r="C835" s="16" t="s">
        <v>360</v>
      </c>
      <c r="D835" s="16" t="str">
        <f>VLOOKUP(C835,[1]master_data!$A$2:$E$495,2,FALSE)</f>
        <v xml:space="preserve"> CHANNA RED BARITO K</v>
      </c>
      <c r="E835" s="16">
        <v>4</v>
      </c>
      <c r="F835" s="16">
        <f>VLOOKUP(C835,[1]master_data!$A$2:$E$495,3,FALSE)</f>
        <v>45000</v>
      </c>
      <c r="G835" s="16">
        <f>VLOOKUP(C835,[1]master_data!$A$2:$E$495,4,FALSE)</f>
        <v>100000</v>
      </c>
      <c r="H835" s="16">
        <f>E835*F835</f>
        <v>180000</v>
      </c>
      <c r="I835" s="16">
        <f>E835*G835</f>
        <v>400000</v>
      </c>
      <c r="J835" s="16">
        <f>I835-H835</f>
        <v>220000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44413</v>
      </c>
      <c r="B836" s="16" t="s">
        <v>1370</v>
      </c>
      <c r="C836" s="16" t="s">
        <v>132</v>
      </c>
      <c r="D836" s="16" t="str">
        <f>VLOOKUP(C836,[1]master_data!$A$2:$E$495,2,FALSE)</f>
        <v>LED KANDILA 3 MODE 60 CM</v>
      </c>
      <c r="E836" s="16">
        <v>1</v>
      </c>
      <c r="F836" s="16">
        <f>VLOOKUP(C836,[1]master_data!$A$2:$E$495,3,FALSE)</f>
        <v>33000</v>
      </c>
      <c r="G836" s="16">
        <f>VLOOKUP(C836,[1]master_data!$A$2:$E$495,4,FALSE)</f>
        <v>70000</v>
      </c>
      <c r="H836" s="16">
        <f>E836*F836</f>
        <v>33000</v>
      </c>
      <c r="I836" s="16">
        <f>E836*G836</f>
        <v>70000</v>
      </c>
      <c r="J836" s="16">
        <f>I836-H836</f>
        <v>37000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44413</v>
      </c>
      <c r="B837" s="16" t="s">
        <v>1371</v>
      </c>
      <c r="C837" s="16" t="s">
        <v>166</v>
      </c>
      <c r="D837" s="16" t="str">
        <f>VLOOKUP(C837,[1]master_data!$A$2:$E$495,2,FALSE)</f>
        <v>OK IKO LOUHAN MERAH</v>
      </c>
      <c r="E837" s="16">
        <v>2</v>
      </c>
      <c r="F837" s="16">
        <f>VLOOKUP(C837,[1]master_data!$A$2:$E$495,3,FALSE)</f>
        <v>33500</v>
      </c>
      <c r="G837" s="16">
        <f>VLOOKUP(C837,[1]master_data!$A$2:$E$495,4,FALSE)</f>
        <v>50000</v>
      </c>
      <c r="H837" s="16">
        <f>E837*F837</f>
        <v>67000</v>
      </c>
      <c r="I837" s="16">
        <f>E837*G837</f>
        <v>100000</v>
      </c>
      <c r="J837" s="16">
        <f>I837-H837</f>
        <v>33000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44413</v>
      </c>
      <c r="B838" s="16" t="s">
        <v>1372</v>
      </c>
      <c r="C838" s="16" t="s">
        <v>50</v>
      </c>
      <c r="D838" s="16" t="str">
        <f>VLOOKUP(C838,[1]master_data!$A$2:$E$495,2,FALSE)</f>
        <v>TOP FILTER LENGKAP B</v>
      </c>
      <c r="E838" s="16">
        <v>1</v>
      </c>
      <c r="F838" s="16">
        <f>VLOOKUP(C838,[1]master_data!$A$2:$E$495,3,FALSE)</f>
        <v>37500</v>
      </c>
      <c r="G838" s="16">
        <f>VLOOKUP(C838,[1]master_data!$A$2:$E$495,4,FALSE)</f>
        <v>65000</v>
      </c>
      <c r="H838" s="16">
        <f>E838*F838</f>
        <v>37500</v>
      </c>
      <c r="I838" s="16">
        <f>E838*G838</f>
        <v>65000</v>
      </c>
      <c r="J838" s="16">
        <f>I838-H838</f>
        <v>27500</v>
      </c>
      <c r="K838" s="16" t="str">
        <f>VLOOKUP(C838,[1]master_data!$A$2:$E$495,5,FALSE)</f>
        <v>Aksesoris</v>
      </c>
      <c r="L838" s="1"/>
    </row>
    <row r="839" spans="1:12" ht="12" customHeight="1" x14ac:dyDescent="0.25">
      <c r="A839" s="15">
        <v>44413</v>
      </c>
      <c r="B839" s="16" t="s">
        <v>1373</v>
      </c>
      <c r="C839" s="16" t="s">
        <v>375</v>
      </c>
      <c r="D839" s="16" t="str">
        <f>VLOOKUP(C839,[1]master_data!$A$2:$E$495,2,FALSE)</f>
        <v>CHANNA STEWARTI</v>
      </c>
      <c r="E839" s="16">
        <v>2</v>
      </c>
      <c r="F839" s="16">
        <f>VLOOKUP(C839,[1]master_data!$A$2:$E$495,3,FALSE)</f>
        <v>15000</v>
      </c>
      <c r="G839" s="16">
        <f>VLOOKUP(C839,[1]master_data!$A$2:$E$495,4,FALSE)</f>
        <v>40000</v>
      </c>
      <c r="H839" s="16">
        <f>E839*F839</f>
        <v>30000</v>
      </c>
      <c r="I839" s="16">
        <f>E839*G839</f>
        <v>80000</v>
      </c>
      <c r="J839" s="16">
        <f>I839-H839</f>
        <v>50000</v>
      </c>
      <c r="K839" s="16" t="str">
        <f>VLOOKUP(C839,[1]master_data!$A$2:$E$495,5,FALSE)</f>
        <v>Ikan</v>
      </c>
      <c r="L839" s="1"/>
    </row>
    <row r="840" spans="1:12" ht="12" customHeight="1" x14ac:dyDescent="0.25">
      <c r="A840" s="15">
        <v>44413</v>
      </c>
      <c r="B840" s="16" t="s">
        <v>1374</v>
      </c>
      <c r="C840" s="16" t="s">
        <v>333</v>
      </c>
      <c r="D840" s="16" t="str">
        <f>VLOOKUP(C840,[1]master_data!$A$2:$E$495,2,FALSE)</f>
        <v>KAVIAT</v>
      </c>
      <c r="E840" s="16">
        <v>15</v>
      </c>
      <c r="F840" s="16">
        <f>VLOOKUP(C840,[1]master_data!$A$2:$E$495,3,FALSE)</f>
        <v>3500</v>
      </c>
      <c r="G840" s="16">
        <f>VLOOKUP(C840,[1]master_data!$A$2:$E$495,4,FALSE)</f>
        <v>8000</v>
      </c>
      <c r="H840" s="16">
        <f>E840*F840</f>
        <v>52500</v>
      </c>
      <c r="I840" s="16">
        <f>E840*G840</f>
        <v>120000</v>
      </c>
      <c r="J840" s="16">
        <f>I840-H840</f>
        <v>67500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44412</v>
      </c>
      <c r="B841" s="16" t="s">
        <v>1362</v>
      </c>
      <c r="C841" s="16" t="s">
        <v>300</v>
      </c>
      <c r="D841" s="16" t="str">
        <f>VLOOKUP(C841,[1]master_data!$A$2:$E$495,2,FALSE)</f>
        <v>BATU KARANG JAHE</v>
      </c>
      <c r="E841" s="16">
        <v>10</v>
      </c>
      <c r="F841" s="16">
        <f>VLOOKUP(C841,[1]master_data!$A$2:$E$495,3,FALSE)</f>
        <v>15000</v>
      </c>
      <c r="G841" s="16">
        <f>VLOOKUP(C841,[1]master_data!$A$2:$E$495,4,FALSE)</f>
        <v>25000</v>
      </c>
      <c r="H841" s="16">
        <f>E841*F841</f>
        <v>150000</v>
      </c>
      <c r="I841" s="16">
        <f>E841*G841</f>
        <v>250000</v>
      </c>
      <c r="J841" s="16">
        <f>I841-H841</f>
        <v>100000</v>
      </c>
      <c r="K841" s="16" t="str">
        <f>VLOOKUP(C841,[1]master_data!$A$2:$E$495,5,FALSE)</f>
        <v>Aksesoris</v>
      </c>
      <c r="L841" s="1"/>
    </row>
    <row r="842" spans="1:12" ht="12" customHeight="1" x14ac:dyDescent="0.25">
      <c r="A842" s="15">
        <v>44412</v>
      </c>
      <c r="B842" s="16" t="s">
        <v>1363</v>
      </c>
      <c r="C842" s="16" t="s">
        <v>368</v>
      </c>
      <c r="D842" s="16" t="str">
        <f>VLOOKUP(C842,[1]master_data!$A$2:$E$495,2,FALSE)</f>
        <v>TOMAN</v>
      </c>
      <c r="E842" s="16">
        <v>5</v>
      </c>
      <c r="F842" s="16">
        <f>VLOOKUP(C842,[1]master_data!$A$2:$E$495,3,FALSE)</f>
        <v>10000</v>
      </c>
      <c r="G842" s="16">
        <f>VLOOKUP(C842,[1]master_data!$A$2:$E$495,4,FALSE)</f>
        <v>25000</v>
      </c>
      <c r="H842" s="16">
        <f>E842*F842</f>
        <v>50000</v>
      </c>
      <c r="I842" s="16">
        <f>E842*G842</f>
        <v>125000</v>
      </c>
      <c r="J842" s="16">
        <f>I842-H842</f>
        <v>75000</v>
      </c>
      <c r="K842" s="16" t="str">
        <f>VLOOKUP(C842,[1]master_data!$A$2:$E$495,5,FALSE)</f>
        <v>Ikan</v>
      </c>
      <c r="L842" s="1"/>
    </row>
    <row r="843" spans="1:12" ht="12" customHeight="1" x14ac:dyDescent="0.25">
      <c r="A843" s="15">
        <v>44412</v>
      </c>
      <c r="B843" s="16" t="s">
        <v>1364</v>
      </c>
      <c r="C843" s="16" t="s">
        <v>191</v>
      </c>
      <c r="D843" s="16" t="str">
        <f>VLOOKUP(C843,[1]master_data!$A$2:$E$495,2,FALSE)</f>
        <v>PAKAN KURA WARNA</v>
      </c>
      <c r="E843" s="16">
        <v>5</v>
      </c>
      <c r="F843" s="16">
        <f>VLOOKUP(C843,[1]master_data!$A$2:$E$495,3,FALSE)</f>
        <v>7000</v>
      </c>
      <c r="G843" s="16">
        <f>VLOOKUP(C843,[1]master_data!$A$2:$E$495,4,FALSE)</f>
        <v>12000</v>
      </c>
      <c r="H843" s="16">
        <f>E843*F843</f>
        <v>35000</v>
      </c>
      <c r="I843" s="16">
        <f>E843*G843</f>
        <v>60000</v>
      </c>
      <c r="J843" s="16">
        <f>I843-H843</f>
        <v>25000</v>
      </c>
      <c r="K843" s="16" t="str">
        <f>VLOOKUP(C843,[1]master_data!$A$2:$E$495,5,FALSE)</f>
        <v>Aksesoris</v>
      </c>
      <c r="L843" s="1"/>
    </row>
    <row r="844" spans="1:12" ht="12" customHeight="1" x14ac:dyDescent="0.25">
      <c r="A844" s="15">
        <v>44412</v>
      </c>
      <c r="B844" s="16" t="s">
        <v>1365</v>
      </c>
      <c r="C844" s="16" t="s">
        <v>239</v>
      </c>
      <c r="D844" s="16" t="str">
        <f>VLOOKUP(C844,[1]master_data!$A$2:$E$495,2,FALSE)</f>
        <v>OBAT QUARANTINI MED</v>
      </c>
      <c r="E844" s="16">
        <v>4</v>
      </c>
      <c r="F844" s="16">
        <f>VLOOKUP(C844,[1]master_data!$A$2:$E$495,3,FALSE)</f>
        <v>37000</v>
      </c>
      <c r="G844" s="16">
        <f>VLOOKUP(C844,[1]master_data!$A$2:$E$495,4,FALSE)</f>
        <v>60000</v>
      </c>
      <c r="H844" s="16">
        <f>E844*F844</f>
        <v>148000</v>
      </c>
      <c r="I844" s="16">
        <f>E844*G844</f>
        <v>240000</v>
      </c>
      <c r="J844" s="16">
        <f>I844-H844</f>
        <v>92000</v>
      </c>
      <c r="K844" s="16" t="str">
        <f>VLOOKUP(C844,[1]master_data!$A$2:$E$495,5,FALSE)</f>
        <v>Aksesoris</v>
      </c>
      <c r="L844" s="1"/>
    </row>
    <row r="845" spans="1:12" ht="12" customHeight="1" x14ac:dyDescent="0.25">
      <c r="A845" s="15">
        <v>44412</v>
      </c>
      <c r="B845" s="16" t="s">
        <v>1366</v>
      </c>
      <c r="C845" s="16" t="s">
        <v>32</v>
      </c>
      <c r="D845" s="16" t="str">
        <f>VLOOKUP(C845,[1]master_data!$A$2:$E$495,2,FALSE)</f>
        <v>MESIN YAMANO 1800</v>
      </c>
      <c r="E845" s="16">
        <v>1</v>
      </c>
      <c r="F845" s="16">
        <f>VLOOKUP(C845,[1]master_data!$A$2:$E$495,3,FALSE)</f>
        <v>64000</v>
      </c>
      <c r="G845" s="16">
        <f>VLOOKUP(C845,[1]master_data!$A$2:$E$495,4,FALSE)</f>
        <v>110000</v>
      </c>
      <c r="H845" s="16">
        <f>E845*F845</f>
        <v>64000</v>
      </c>
      <c r="I845" s="16">
        <f>E845*G845</f>
        <v>110000</v>
      </c>
      <c r="J845" s="16">
        <f>I845-H845</f>
        <v>46000</v>
      </c>
      <c r="K845" s="16" t="str">
        <f>VLOOKUP(C845,[1]master_data!$A$2:$E$495,5,FALSE)</f>
        <v>Aksesoris</v>
      </c>
      <c r="L845" s="1"/>
    </row>
    <row r="846" spans="1:12" ht="12" customHeight="1" x14ac:dyDescent="0.25">
      <c r="A846" s="15">
        <v>44412</v>
      </c>
      <c r="B846" s="16" t="s">
        <v>1367</v>
      </c>
      <c r="C846" s="16" t="s">
        <v>357</v>
      </c>
      <c r="D846" s="16" t="str">
        <f>VLOOKUP(C846,[1]master_data!$A$2:$E$495,2,FALSE)</f>
        <v>PESO</v>
      </c>
      <c r="E846" s="16">
        <v>1</v>
      </c>
      <c r="F846" s="16">
        <f>VLOOKUP(C846,[1]master_data!$A$2:$E$495,3,FALSE)</f>
        <v>19000</v>
      </c>
      <c r="G846" s="16">
        <f>VLOOKUP(C846,[1]master_data!$A$2:$E$495,4,FALSE)</f>
        <v>40000</v>
      </c>
      <c r="H846" s="16">
        <f>E846*F846</f>
        <v>19000</v>
      </c>
      <c r="I846" s="16">
        <f>E846*G846</f>
        <v>40000</v>
      </c>
      <c r="J846" s="16">
        <f>I846-H846</f>
        <v>21000</v>
      </c>
      <c r="K846" s="16" t="str">
        <f>VLOOKUP(C846,[1]master_data!$A$2:$E$495,5,FALSE)</f>
        <v>Ikan</v>
      </c>
      <c r="L846" s="1"/>
    </row>
    <row r="847" spans="1:12" ht="12" customHeight="1" x14ac:dyDescent="0.25">
      <c r="A847" s="15">
        <v>44412</v>
      </c>
      <c r="B847" s="16" t="s">
        <v>1368</v>
      </c>
      <c r="C847" s="16" t="s">
        <v>322</v>
      </c>
      <c r="D847" s="16" t="str">
        <f>VLOOKUP(C847,[1]master_data!$A$2:$E$495,2,FALSE)</f>
        <v>GOLD FISH</v>
      </c>
      <c r="E847" s="16">
        <v>2</v>
      </c>
      <c r="F847" s="16">
        <f>VLOOKUP(C847,[1]master_data!$A$2:$E$495,3,FALSE)</f>
        <v>800</v>
      </c>
      <c r="G847" s="16">
        <f>VLOOKUP(C847,[1]master_data!$A$2:$E$495,4,FALSE)</f>
        <v>2000</v>
      </c>
      <c r="H847" s="16">
        <f>E847*F847</f>
        <v>1600</v>
      </c>
      <c r="I847" s="16">
        <f>E847*G847</f>
        <v>4000</v>
      </c>
      <c r="J847" s="16">
        <f>I847-H847</f>
        <v>2400</v>
      </c>
      <c r="K847" s="16" t="str">
        <f>VLOOKUP(C847,[1]master_data!$A$2:$E$495,5,FALSE)</f>
        <v>Ikan</v>
      </c>
      <c r="L847" s="1"/>
    </row>
    <row r="848" spans="1:12" ht="12" customHeight="1" x14ac:dyDescent="0.25">
      <c r="A848" s="15">
        <v>44411</v>
      </c>
      <c r="B848" s="16" t="s">
        <v>1359</v>
      </c>
      <c r="C848" s="16" t="s">
        <v>90</v>
      </c>
      <c r="D848" s="16" t="str">
        <f>VLOOKUP(C848,[1]master_data!$A$2:$E$495,2,FALSE)</f>
        <v>AIRATOR KANDILA LUB 1</v>
      </c>
      <c r="E848" s="16">
        <v>5</v>
      </c>
      <c r="F848" s="16">
        <f>VLOOKUP(C848,[1]master_data!$A$2:$E$495,3,FALSE)</f>
        <v>15000</v>
      </c>
      <c r="G848" s="16">
        <f>VLOOKUP(C848,[1]master_data!$A$2:$E$495,4,FALSE)</f>
        <v>25000</v>
      </c>
      <c r="H848" s="16">
        <f>E848*F848</f>
        <v>75000</v>
      </c>
      <c r="I848" s="16">
        <f>E848*G848</f>
        <v>125000</v>
      </c>
      <c r="J848" s="16">
        <f>I848-H848</f>
        <v>50000</v>
      </c>
      <c r="K848" s="16" t="str">
        <f>VLOOKUP(C848,[1]master_data!$A$2:$E$495,5,FALSE)</f>
        <v>Aksesoris</v>
      </c>
      <c r="L848" s="1"/>
    </row>
    <row r="849" spans="1:12" ht="12" customHeight="1" x14ac:dyDescent="0.25">
      <c r="A849" s="15">
        <v>44411</v>
      </c>
      <c r="B849" s="16" t="s">
        <v>1360</v>
      </c>
      <c r="C849" s="16" t="s">
        <v>130</v>
      </c>
      <c r="D849" s="16" t="str">
        <f>VLOOKUP(C849,[1]master_data!$A$2:$E$495,2,FALSE)</f>
        <v>LED ROSTON 3 MODE 50 CM</v>
      </c>
      <c r="E849" s="16">
        <v>8</v>
      </c>
      <c r="F849" s="16">
        <f>VLOOKUP(C849,[1]master_data!$A$2:$E$495,3,FALSE)</f>
        <v>30000</v>
      </c>
      <c r="G849" s="16">
        <f>VLOOKUP(C849,[1]master_data!$A$2:$E$495,4,FALSE)</f>
        <v>60000</v>
      </c>
      <c r="H849" s="16">
        <f>E849*F849</f>
        <v>240000</v>
      </c>
      <c r="I849" s="16">
        <f>E849*G849</f>
        <v>480000</v>
      </c>
      <c r="J849" s="16">
        <f>I849-H849</f>
        <v>240000</v>
      </c>
      <c r="K849" s="16" t="str">
        <f>VLOOKUP(C849,[1]master_data!$A$2:$E$495,5,FALSE)</f>
        <v>Aksesoris</v>
      </c>
      <c r="L849" s="1"/>
    </row>
    <row r="850" spans="1:12" ht="12" customHeight="1" x14ac:dyDescent="0.25">
      <c r="A850" s="15">
        <v>44411</v>
      </c>
      <c r="B850" s="16" t="s">
        <v>1361</v>
      </c>
      <c r="C850" s="16" t="s">
        <v>337</v>
      </c>
      <c r="D850" s="16" t="str">
        <f>VLOOKUP(C850,[1]master_data!$A$2:$E$495,2,FALSE)</f>
        <v>KOI SLAYER B</v>
      </c>
      <c r="E850" s="16">
        <v>3</v>
      </c>
      <c r="F850" s="16">
        <f>VLOOKUP(C850,[1]master_data!$A$2:$E$495,3,FALSE)</f>
        <v>8000</v>
      </c>
      <c r="G850" s="16">
        <f>VLOOKUP(C850,[1]master_data!$A$2:$E$495,4,FALSE)</f>
        <v>20000</v>
      </c>
      <c r="H850" s="16">
        <f>E850*F850</f>
        <v>24000</v>
      </c>
      <c r="I850" s="16">
        <f>E850*G850</f>
        <v>60000</v>
      </c>
      <c r="J850" s="16">
        <f>I850-H850</f>
        <v>36000</v>
      </c>
      <c r="K850" s="16" t="str">
        <f>VLOOKUP(C850,[1]master_data!$A$2:$E$495,5,FALSE)</f>
        <v>Ikan</v>
      </c>
      <c r="L850" s="1"/>
    </row>
    <row r="851" spans="1:12" ht="12" customHeight="1" x14ac:dyDescent="0.25">
      <c r="A851" s="15">
        <v>44410</v>
      </c>
      <c r="B851" s="16" t="s">
        <v>1348</v>
      </c>
      <c r="C851" s="16" t="s">
        <v>331</v>
      </c>
      <c r="D851" s="16" t="str">
        <f>VLOOKUP(C851,[1]master_data!$A$2:$E$495,2,FALSE)</f>
        <v>KOI B</v>
      </c>
      <c r="E851" s="16">
        <v>1</v>
      </c>
      <c r="F851" s="16">
        <f>VLOOKUP(C851,[1]master_data!$A$2:$E$495,3,FALSE)</f>
        <v>9000</v>
      </c>
      <c r="G851" s="16">
        <f>VLOOKUP(C851,[1]master_data!$A$2:$E$495,4,FALSE)</f>
        <v>30000</v>
      </c>
      <c r="H851" s="16">
        <f>E851*F851</f>
        <v>9000</v>
      </c>
      <c r="I851" s="16">
        <f>E851*G851</f>
        <v>30000</v>
      </c>
      <c r="J851" s="16">
        <f>I851-H851</f>
        <v>21000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44410</v>
      </c>
      <c r="B852" s="16" t="s">
        <v>1349</v>
      </c>
      <c r="C852" s="16" t="s">
        <v>169</v>
      </c>
      <c r="D852" s="16" t="str">
        <f>VLOOKUP(C852,[1]master_data!$A$2:$E$495,2,FALSE)</f>
        <v>TAKARI K</v>
      </c>
      <c r="E852" s="16">
        <v>5</v>
      </c>
      <c r="F852" s="16">
        <f>VLOOKUP(C852,[1]master_data!$A$2:$E$495,3,FALSE)</f>
        <v>3500</v>
      </c>
      <c r="G852" s="16">
        <f>VLOOKUP(C852,[1]master_data!$A$2:$E$495,4,FALSE)</f>
        <v>5000</v>
      </c>
      <c r="H852" s="16">
        <f>E852*F852</f>
        <v>17500</v>
      </c>
      <c r="I852" s="16">
        <f>E852*G852</f>
        <v>25000</v>
      </c>
      <c r="J852" s="16">
        <f>I852-H852</f>
        <v>7500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44410</v>
      </c>
      <c r="B853" s="16" t="s">
        <v>1350</v>
      </c>
      <c r="C853" s="16" t="s">
        <v>375</v>
      </c>
      <c r="D853" s="16" t="str">
        <f>VLOOKUP(C853,[1]master_data!$A$2:$E$495,2,FALSE)</f>
        <v>CHANNA STEWARTI</v>
      </c>
      <c r="E853" s="16">
        <v>2</v>
      </c>
      <c r="F853" s="16">
        <f>VLOOKUP(C853,[1]master_data!$A$2:$E$495,3,FALSE)</f>
        <v>15000</v>
      </c>
      <c r="G853" s="16">
        <f>VLOOKUP(C853,[1]master_data!$A$2:$E$495,4,FALSE)</f>
        <v>40000</v>
      </c>
      <c r="H853" s="16">
        <f>E853*F853</f>
        <v>30000</v>
      </c>
      <c r="I853" s="16">
        <f>E853*G853</f>
        <v>80000</v>
      </c>
      <c r="J853" s="16">
        <f>I853-H853</f>
        <v>50000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44410</v>
      </c>
      <c r="B854" s="16" t="s">
        <v>1351</v>
      </c>
      <c r="C854" s="16" t="s">
        <v>346</v>
      </c>
      <c r="D854" s="16" t="str">
        <f>VLOOKUP(C854,[1]master_data!$A$2:$E$495,2,FALSE)</f>
        <v>MOLI PAKAN</v>
      </c>
      <c r="E854" s="16">
        <v>15</v>
      </c>
      <c r="F854" s="16">
        <f>VLOOKUP(C854,[1]master_data!$A$2:$E$495,3,FALSE)</f>
        <v>100</v>
      </c>
      <c r="G854" s="16">
        <f>VLOOKUP(C854,[1]master_data!$A$2:$E$495,4,FALSE)</f>
        <v>200</v>
      </c>
      <c r="H854" s="16">
        <f>E854*F854</f>
        <v>1500</v>
      </c>
      <c r="I854" s="16">
        <f>E854*G854</f>
        <v>3000</v>
      </c>
      <c r="J854" s="16">
        <f>I854-H854</f>
        <v>1500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44410</v>
      </c>
      <c r="B855" s="16" t="s">
        <v>1352</v>
      </c>
      <c r="C855" s="16" t="s">
        <v>313</v>
      </c>
      <c r="D855" s="16" t="str">
        <f>VLOOKUP(C855,[1]master_data!$A$2:$E$495,2,FALSE)</f>
        <v>BALA BALA K</v>
      </c>
      <c r="E855" s="16">
        <v>10</v>
      </c>
      <c r="F855" s="16">
        <f>VLOOKUP(C855,[1]master_data!$A$2:$E$495,3,FALSE)</f>
        <v>4000</v>
      </c>
      <c r="G855" s="16">
        <f>VLOOKUP(C855,[1]master_data!$A$2:$E$495,4,FALSE)</f>
        <v>8000</v>
      </c>
      <c r="H855" s="16">
        <f>E855*F855</f>
        <v>40000</v>
      </c>
      <c r="I855" s="16">
        <f>E855*G855</f>
        <v>80000</v>
      </c>
      <c r="J855" s="16">
        <f>I855-H855</f>
        <v>40000</v>
      </c>
      <c r="K855" s="16" t="str">
        <f>VLOOKUP(C855,[1]master_data!$A$2:$E$495,5,FALSE)</f>
        <v>Ikan</v>
      </c>
      <c r="L855" s="1"/>
    </row>
    <row r="856" spans="1:12" ht="12" customHeight="1" x14ac:dyDescent="0.25">
      <c r="A856" s="15">
        <v>44410</v>
      </c>
      <c r="B856" s="16" t="s">
        <v>1353</v>
      </c>
      <c r="C856" s="16" t="s">
        <v>323</v>
      </c>
      <c r="D856" s="16" t="str">
        <f>VLOOKUP(C856,[1]master_data!$A$2:$E$495,2,FALSE)</f>
        <v>GUPY</v>
      </c>
      <c r="E856" s="16">
        <v>25</v>
      </c>
      <c r="F856" s="16">
        <f>VLOOKUP(C856,[1]master_data!$A$2:$E$495,3,FALSE)</f>
        <v>1200</v>
      </c>
      <c r="G856" s="16">
        <f>VLOOKUP(C856,[1]master_data!$A$2:$E$495,4,FALSE)</f>
        <v>2500</v>
      </c>
      <c r="H856" s="16">
        <f>E856*F856</f>
        <v>30000</v>
      </c>
      <c r="I856" s="16">
        <f>E856*G856</f>
        <v>62500</v>
      </c>
      <c r="J856" s="16">
        <f>I856-H856</f>
        <v>32500</v>
      </c>
      <c r="K856" s="16" t="str">
        <f>VLOOKUP(C856,[1]master_data!$A$2:$E$495,5,FALSE)</f>
        <v>Ikan</v>
      </c>
      <c r="L856" s="1"/>
    </row>
    <row r="857" spans="1:12" ht="12" customHeight="1" x14ac:dyDescent="0.25">
      <c r="A857" s="15">
        <v>44410</v>
      </c>
      <c r="B857" s="16" t="s">
        <v>1354</v>
      </c>
      <c r="C857" s="16" t="s">
        <v>374</v>
      </c>
      <c r="D857" s="16" t="str">
        <f>VLOOKUP(C857,[1]master_data!$A$2:$E$495,2,FALSE)</f>
        <v>SEPAT ALBINO</v>
      </c>
      <c r="E857" s="16">
        <v>10</v>
      </c>
      <c r="F857" s="16">
        <f>VLOOKUP(C857,[1]master_data!$A$2:$E$495,3,FALSE)</f>
        <v>2000</v>
      </c>
      <c r="G857" s="16">
        <f>VLOOKUP(C857,[1]master_data!$A$2:$E$495,4,FALSE)</f>
        <v>5000</v>
      </c>
      <c r="H857" s="16">
        <f>E857*F857</f>
        <v>20000</v>
      </c>
      <c r="I857" s="16">
        <f>E857*G857</f>
        <v>50000</v>
      </c>
      <c r="J857" s="16">
        <f>I857-H857</f>
        <v>30000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44410</v>
      </c>
      <c r="B858" s="16" t="s">
        <v>1355</v>
      </c>
      <c r="C858" s="16" t="s">
        <v>366</v>
      </c>
      <c r="D858" s="16" t="str">
        <f>VLOOKUP(C858,[1]master_data!$A$2:$E$495,2,FALSE)</f>
        <v>SYNODONTI B</v>
      </c>
      <c r="E858" s="16">
        <v>10</v>
      </c>
      <c r="F858" s="16">
        <f>VLOOKUP(C858,[1]master_data!$A$2:$E$495,3,FALSE)</f>
        <v>4000</v>
      </c>
      <c r="G858" s="16">
        <f>VLOOKUP(C858,[1]master_data!$A$2:$E$495,4,FALSE)</f>
        <v>10000</v>
      </c>
      <c r="H858" s="16">
        <f>E858*F858</f>
        <v>40000</v>
      </c>
      <c r="I858" s="16">
        <f>E858*G858</f>
        <v>100000</v>
      </c>
      <c r="J858" s="16">
        <f>I858-H858</f>
        <v>60000</v>
      </c>
      <c r="K858" s="16" t="str">
        <f>VLOOKUP(C858,[1]master_data!$A$2:$E$495,5,FALSE)</f>
        <v>Ikan</v>
      </c>
      <c r="L858" s="1"/>
    </row>
    <row r="859" spans="1:12" ht="12" customHeight="1" x14ac:dyDescent="0.25">
      <c r="A859" s="15">
        <v>44410</v>
      </c>
      <c r="B859" s="16" t="s">
        <v>1356</v>
      </c>
      <c r="C859" s="16" t="s">
        <v>315</v>
      </c>
      <c r="D859" s="16" t="str">
        <f>VLOOKUP(C859,[1]master_data!$A$2:$E$495,2,FALSE)</f>
        <v>BLACK GHOST</v>
      </c>
      <c r="E859" s="16">
        <v>7</v>
      </c>
      <c r="F859" s="16">
        <f>VLOOKUP(C859,[1]master_data!$A$2:$E$495,3,FALSE)</f>
        <v>4000</v>
      </c>
      <c r="G859" s="16">
        <f>VLOOKUP(C859,[1]master_data!$A$2:$E$495,4,FALSE)</f>
        <v>10000</v>
      </c>
      <c r="H859" s="16">
        <f>E859*F859</f>
        <v>28000</v>
      </c>
      <c r="I859" s="16">
        <f>E859*G859</f>
        <v>70000</v>
      </c>
      <c r="J859" s="16">
        <f>I859-H859</f>
        <v>42000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44410</v>
      </c>
      <c r="B860" s="16" t="s">
        <v>1357</v>
      </c>
      <c r="C860" s="16" t="s">
        <v>346</v>
      </c>
      <c r="D860" s="16" t="str">
        <f>VLOOKUP(C860,[1]master_data!$A$2:$E$495,2,FALSE)</f>
        <v>MOLI PAKAN</v>
      </c>
      <c r="E860" s="16">
        <v>15</v>
      </c>
      <c r="F860" s="16">
        <f>VLOOKUP(C860,[1]master_data!$A$2:$E$495,3,FALSE)</f>
        <v>100</v>
      </c>
      <c r="G860" s="16">
        <f>VLOOKUP(C860,[1]master_data!$A$2:$E$495,4,FALSE)</f>
        <v>200</v>
      </c>
      <c r="H860" s="16">
        <f>E860*F860</f>
        <v>1500</v>
      </c>
      <c r="I860" s="16">
        <f>E860*G860</f>
        <v>3000</v>
      </c>
      <c r="J860" s="16">
        <f>I860-H860</f>
        <v>1500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44410</v>
      </c>
      <c r="B861" s="16" t="s">
        <v>1358</v>
      </c>
      <c r="C861" s="16" t="s">
        <v>359</v>
      </c>
      <c r="D861" s="16" t="str">
        <f>VLOOKUP(C861,[1]master_data!$A$2:$E$495,2,FALSE)</f>
        <v>REDFIN ALBINO</v>
      </c>
      <c r="E861" s="16">
        <v>1</v>
      </c>
      <c r="F861" s="16">
        <f>VLOOKUP(C861,[1]master_data!$A$2:$E$495,3,FALSE)</f>
        <v>1500</v>
      </c>
      <c r="G861" s="16">
        <f>VLOOKUP(C861,[1]master_data!$A$2:$E$495,4,FALSE)</f>
        <v>4000</v>
      </c>
      <c r="H861" s="16">
        <f>E861*F861</f>
        <v>1500</v>
      </c>
      <c r="I861" s="16">
        <f>E861*G861</f>
        <v>4000</v>
      </c>
      <c r="J861" s="16">
        <f>I861-H861</f>
        <v>2500</v>
      </c>
      <c r="K861" s="16" t="str">
        <f>VLOOKUP(C861,[1]master_data!$A$2:$E$495,5,FALSE)</f>
        <v>Ikan</v>
      </c>
      <c r="L861" s="1"/>
    </row>
    <row r="862" spans="1:12" ht="12" customHeight="1" x14ac:dyDescent="0.25">
      <c r="A862" s="15">
        <v>44409</v>
      </c>
      <c r="B862" s="16" t="s">
        <v>1341</v>
      </c>
      <c r="C862" s="16" t="s">
        <v>313</v>
      </c>
      <c r="D862" s="16" t="str">
        <f>VLOOKUP(C862,[1]master_data!$A$2:$E$495,2,FALSE)</f>
        <v>BALA BALA K</v>
      </c>
      <c r="E862" s="16">
        <v>10</v>
      </c>
      <c r="F862" s="16">
        <f>VLOOKUP(C862,[1]master_data!$A$2:$E$495,3,FALSE)</f>
        <v>4000</v>
      </c>
      <c r="G862" s="16">
        <f>VLOOKUP(C862,[1]master_data!$A$2:$E$495,4,FALSE)</f>
        <v>8000</v>
      </c>
      <c r="H862" s="16">
        <f>E862*F862</f>
        <v>40000</v>
      </c>
      <c r="I862" s="16">
        <f>E862*G862</f>
        <v>80000</v>
      </c>
      <c r="J862" s="16">
        <f>I862-H862</f>
        <v>40000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44409</v>
      </c>
      <c r="B863" s="16" t="s">
        <v>1342</v>
      </c>
      <c r="C863" s="16" t="s">
        <v>313</v>
      </c>
      <c r="D863" s="16" t="str">
        <f>VLOOKUP(C863,[1]master_data!$A$2:$E$495,2,FALSE)</f>
        <v>BALA BALA K</v>
      </c>
      <c r="E863" s="16">
        <v>10</v>
      </c>
      <c r="F863" s="16">
        <f>VLOOKUP(C863,[1]master_data!$A$2:$E$495,3,FALSE)</f>
        <v>4000</v>
      </c>
      <c r="G863" s="16">
        <f>VLOOKUP(C863,[1]master_data!$A$2:$E$495,4,FALSE)</f>
        <v>8000</v>
      </c>
      <c r="H863" s="16">
        <f>E863*F863</f>
        <v>40000</v>
      </c>
      <c r="I863" s="16">
        <f>E863*G863</f>
        <v>80000</v>
      </c>
      <c r="J863" s="16">
        <f>I863-H863</f>
        <v>40000</v>
      </c>
      <c r="K863" s="16" t="str">
        <f>VLOOKUP(C863,[1]master_data!$A$2:$E$495,5,FALSE)</f>
        <v>Ikan</v>
      </c>
      <c r="L863" s="1"/>
    </row>
    <row r="864" spans="1:12" ht="12" customHeight="1" x14ac:dyDescent="0.25">
      <c r="A864" s="15">
        <v>44409</v>
      </c>
      <c r="B864" s="16" t="s">
        <v>1343</v>
      </c>
      <c r="C864" s="16" t="s">
        <v>313</v>
      </c>
      <c r="D864" s="16" t="str">
        <f>VLOOKUP(C864,[1]master_data!$A$2:$E$495,2,FALSE)</f>
        <v>BALA BALA K</v>
      </c>
      <c r="E864" s="16">
        <v>2</v>
      </c>
      <c r="F864" s="16">
        <f>VLOOKUP(C864,[1]master_data!$A$2:$E$495,3,FALSE)</f>
        <v>4000</v>
      </c>
      <c r="G864" s="16">
        <f>VLOOKUP(C864,[1]master_data!$A$2:$E$495,4,FALSE)</f>
        <v>8000</v>
      </c>
      <c r="H864" s="16">
        <f>E864*F864</f>
        <v>8000</v>
      </c>
      <c r="I864" s="16">
        <f>E864*G864</f>
        <v>16000</v>
      </c>
      <c r="J864" s="16">
        <f>I864-H864</f>
        <v>8000</v>
      </c>
      <c r="K864" s="16" t="str">
        <f>VLOOKUP(C864,[1]master_data!$A$2:$E$495,5,FALSE)</f>
        <v>Ikan</v>
      </c>
      <c r="L864" s="1"/>
    </row>
    <row r="865" spans="1:12" ht="12" customHeight="1" x14ac:dyDescent="0.25">
      <c r="A865" s="15">
        <v>44409</v>
      </c>
      <c r="B865" s="16" t="s">
        <v>1344</v>
      </c>
      <c r="C865" s="16" t="s">
        <v>327</v>
      </c>
      <c r="D865" s="16" t="str">
        <f>VLOOKUP(C865,[1]master_data!$A$2:$E$495,2,FALSE)</f>
        <v>KOKI T</v>
      </c>
      <c r="E865" s="16">
        <v>1</v>
      </c>
      <c r="F865" s="16">
        <f>VLOOKUP(C865,[1]master_data!$A$2:$E$495,3,FALSE)</f>
        <v>8000</v>
      </c>
      <c r="G865" s="16">
        <f>VLOOKUP(C865,[1]master_data!$A$2:$E$495,4,FALSE)</f>
        <v>15000</v>
      </c>
      <c r="H865" s="16">
        <f>E865*F865</f>
        <v>8000</v>
      </c>
      <c r="I865" s="16">
        <f>E865*G865</f>
        <v>15000</v>
      </c>
      <c r="J865" s="16">
        <f>I865-H865</f>
        <v>7000</v>
      </c>
      <c r="K865" s="16" t="str">
        <f>VLOOKUP(C865,[1]master_data!$A$2:$E$495,5,FALSE)</f>
        <v>Ikan</v>
      </c>
      <c r="L865" s="1"/>
    </row>
    <row r="866" spans="1:12" ht="12" customHeight="1" x14ac:dyDescent="0.25">
      <c r="A866" s="15">
        <v>44409</v>
      </c>
      <c r="B866" s="16" t="s">
        <v>1345</v>
      </c>
      <c r="C866" s="16" t="s">
        <v>332</v>
      </c>
      <c r="D866" s="16" t="str">
        <f>VLOOKUP(C866,[1]master_data!$A$2:$E$495,2,FALSE)</f>
        <v>KURA - KURA</v>
      </c>
      <c r="E866" s="16">
        <v>10</v>
      </c>
      <c r="F866" s="16">
        <f>VLOOKUP(C866,[1]master_data!$A$2:$E$495,3,FALSE)</f>
        <v>25000</v>
      </c>
      <c r="G866" s="16">
        <f>VLOOKUP(C866,[1]master_data!$A$2:$E$495,4,FALSE)</f>
        <v>35000</v>
      </c>
      <c r="H866" s="16">
        <f>E866*F866</f>
        <v>250000</v>
      </c>
      <c r="I866" s="16">
        <f>E866*G866</f>
        <v>350000</v>
      </c>
      <c r="J866" s="16">
        <f>I866-H866</f>
        <v>100000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44409</v>
      </c>
      <c r="B867" s="16" t="s">
        <v>1346</v>
      </c>
      <c r="C867" s="16" t="s">
        <v>340</v>
      </c>
      <c r="D867" s="16" t="str">
        <f>VLOOKUP(C867,[1]master_data!$A$2:$E$495,2,FALSE)</f>
        <v>LEMON</v>
      </c>
      <c r="E867" s="16">
        <v>10</v>
      </c>
      <c r="F867" s="16">
        <f>VLOOKUP(C867,[1]master_data!$A$2:$E$495,3,FALSE)</f>
        <v>1000</v>
      </c>
      <c r="G867" s="16">
        <f>VLOOKUP(C867,[1]master_data!$A$2:$E$495,4,FALSE)</f>
        <v>2000</v>
      </c>
      <c r="H867" s="16">
        <f>E867*F867</f>
        <v>10000</v>
      </c>
      <c r="I867" s="16">
        <f>E867*G867</f>
        <v>20000</v>
      </c>
      <c r="J867" s="16">
        <f>I867-H867</f>
        <v>10000</v>
      </c>
      <c r="K867" s="16" t="str">
        <f>VLOOKUP(C867,[1]master_data!$A$2:$E$495,5,FALSE)</f>
        <v>Ikan</v>
      </c>
      <c r="L867" s="1"/>
    </row>
    <row r="868" spans="1:12" ht="12" customHeight="1" x14ac:dyDescent="0.25">
      <c r="A868" s="15">
        <v>44409</v>
      </c>
      <c r="B868" s="16" t="s">
        <v>1347</v>
      </c>
      <c r="C868" s="16" t="s">
        <v>34</v>
      </c>
      <c r="D868" s="16" t="str">
        <f>VLOOKUP(C868,[1]master_data!$A$2:$E$495,2,FALSE)</f>
        <v>MESIN YAMANO ACT 5800</v>
      </c>
      <c r="E868" s="16">
        <v>1</v>
      </c>
      <c r="F868" s="16">
        <f>VLOOKUP(C868,[1]master_data!$A$2:$E$495,3,FALSE)</f>
        <v>500000</v>
      </c>
      <c r="G868" s="16">
        <f>VLOOKUP(C868,[1]master_data!$A$2:$E$495,4,FALSE)</f>
        <v>600000</v>
      </c>
      <c r="H868" s="16">
        <f>E868*F868</f>
        <v>500000</v>
      </c>
      <c r="I868" s="16">
        <f>E868*G868</f>
        <v>600000</v>
      </c>
      <c r="J868" s="16">
        <f>I868-H868</f>
        <v>100000</v>
      </c>
      <c r="K868" s="16" t="str">
        <f>VLOOKUP(C868,[1]master_data!$A$2:$E$495,5,FALSE)</f>
        <v>Aksesoris</v>
      </c>
      <c r="L868" s="1"/>
    </row>
    <row r="869" spans="1:12" ht="12" customHeight="1" x14ac:dyDescent="0.25">
      <c r="A869" s="15">
        <v>44408</v>
      </c>
      <c r="B869" s="16" t="s">
        <v>1338</v>
      </c>
      <c r="C869" s="16" t="s">
        <v>308</v>
      </c>
      <c r="D869" s="16" t="str">
        <f>VLOOKUP(C869,[1]master_data!$A$2:$E$495,2,FALSE)</f>
        <v>ARWANA SILVER B</v>
      </c>
      <c r="E869" s="16">
        <v>1</v>
      </c>
      <c r="F869" s="16">
        <f>VLOOKUP(C869,[1]master_data!$A$2:$E$495,3,FALSE)</f>
        <v>300000</v>
      </c>
      <c r="G869" s="16">
        <f>VLOOKUP(C869,[1]master_data!$A$2:$E$495,4,FALSE)</f>
        <v>500000</v>
      </c>
      <c r="H869" s="16">
        <f>E869*F869</f>
        <v>300000</v>
      </c>
      <c r="I869" s="16">
        <f>E869*G869</f>
        <v>500000</v>
      </c>
      <c r="J869" s="16">
        <f>I869-H869</f>
        <v>200000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44408</v>
      </c>
      <c r="B870" s="16" t="s">
        <v>1339</v>
      </c>
      <c r="C870" s="16" t="s">
        <v>372</v>
      </c>
      <c r="D870" s="16" t="str">
        <f>VLOOKUP(C870,[1]master_data!$A$2:$E$495,2,FALSE)</f>
        <v>ZEBRA KUNING</v>
      </c>
      <c r="E870" s="16">
        <v>8</v>
      </c>
      <c r="F870" s="16">
        <f>VLOOKUP(C870,[1]master_data!$A$2:$E$495,3,FALSE)</f>
        <v>800</v>
      </c>
      <c r="G870" s="16">
        <f>VLOOKUP(C870,[1]master_data!$A$2:$E$495,4,FALSE)</f>
        <v>2000</v>
      </c>
      <c r="H870" s="16">
        <f>E870*F870</f>
        <v>6400</v>
      </c>
      <c r="I870" s="16">
        <f>E870*G870</f>
        <v>16000</v>
      </c>
      <c r="J870" s="16">
        <f>I870-H870</f>
        <v>9600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44408</v>
      </c>
      <c r="B871" s="16" t="s">
        <v>1340</v>
      </c>
      <c r="C871" s="16" t="s">
        <v>76</v>
      </c>
      <c r="D871" s="16" t="str">
        <f>VLOOKUP(C871,[1]master_data!$A$2:$E$495,2,FALSE)</f>
        <v>MESIN ARMADA 1150L</v>
      </c>
      <c r="E871" s="16">
        <v>1</v>
      </c>
      <c r="F871" s="16">
        <f>VLOOKUP(C871,[1]master_data!$A$2:$E$495,3,FALSE)</f>
        <v>42000</v>
      </c>
      <c r="G871" s="16">
        <f>VLOOKUP(C871,[1]master_data!$A$2:$E$495,4,FALSE)</f>
        <v>55000</v>
      </c>
      <c r="H871" s="16">
        <f>E871*F871</f>
        <v>42000</v>
      </c>
      <c r="I871" s="16">
        <f>E871*G871</f>
        <v>55000</v>
      </c>
      <c r="J871" s="16">
        <f>I871-H871</f>
        <v>13000</v>
      </c>
      <c r="K871" s="16" t="str">
        <f>VLOOKUP(C871,[1]master_data!$A$2:$E$495,5,FALSE)</f>
        <v>Aksesoris</v>
      </c>
      <c r="L871" s="1"/>
    </row>
    <row r="872" spans="1:12" ht="12" customHeight="1" x14ac:dyDescent="0.25">
      <c r="A872" s="15">
        <v>44407</v>
      </c>
      <c r="B872" s="16" t="s">
        <v>1334</v>
      </c>
      <c r="C872" s="16" t="s">
        <v>359</v>
      </c>
      <c r="D872" s="16" t="str">
        <f>VLOOKUP(C872,[1]master_data!$A$2:$E$495,2,FALSE)</f>
        <v>REDFIN ALBINO</v>
      </c>
      <c r="E872" s="16">
        <v>30</v>
      </c>
      <c r="F872" s="16">
        <f>VLOOKUP(C872,[1]master_data!$A$2:$E$495,3,FALSE)</f>
        <v>1500</v>
      </c>
      <c r="G872" s="16">
        <f>VLOOKUP(C872,[1]master_data!$A$2:$E$495,4,FALSE)</f>
        <v>4000</v>
      </c>
      <c r="H872" s="16">
        <f>E872*F872</f>
        <v>45000</v>
      </c>
      <c r="I872" s="16">
        <f>E872*G872</f>
        <v>120000</v>
      </c>
      <c r="J872" s="16">
        <f>I872-H872</f>
        <v>75000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44407</v>
      </c>
      <c r="B873" s="16" t="s">
        <v>1335</v>
      </c>
      <c r="C873" s="16" t="s">
        <v>109</v>
      </c>
      <c r="D873" s="16" t="str">
        <f>VLOOKUP(C873,[1]master_data!$A$2:$E$495,2,FALSE)</f>
        <v>LED YAMANO S800</v>
      </c>
      <c r="E873" s="16">
        <v>2</v>
      </c>
      <c r="F873" s="16">
        <f>VLOOKUP(C873,[1]master_data!$A$2:$E$495,3,FALSE)</f>
        <v>70000</v>
      </c>
      <c r="G873" s="16">
        <f>VLOOKUP(C873,[1]master_data!$A$2:$E$495,4,FALSE)</f>
        <v>115000</v>
      </c>
      <c r="H873" s="16">
        <f>E873*F873</f>
        <v>140000</v>
      </c>
      <c r="I873" s="16">
        <f>E873*G873</f>
        <v>230000</v>
      </c>
      <c r="J873" s="16">
        <f>I873-H873</f>
        <v>90000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44407</v>
      </c>
      <c r="B874" s="16" t="s">
        <v>1336</v>
      </c>
      <c r="C874" s="16" t="s">
        <v>343</v>
      </c>
      <c r="D874" s="16" t="str">
        <f>VLOOKUP(C874,[1]master_data!$A$2:$E$495,2,FALSE)</f>
        <v>MANFISH K</v>
      </c>
      <c r="E874" s="16">
        <v>1</v>
      </c>
      <c r="F874" s="16">
        <f>VLOOKUP(C874,[1]master_data!$A$2:$E$495,3,FALSE)</f>
        <v>2000</v>
      </c>
      <c r="G874" s="16">
        <f>VLOOKUP(C874,[1]master_data!$A$2:$E$495,4,FALSE)</f>
        <v>5000</v>
      </c>
      <c r="H874" s="16">
        <f>E874*F874</f>
        <v>2000</v>
      </c>
      <c r="I874" s="16">
        <f>E874*G874</f>
        <v>5000</v>
      </c>
      <c r="J874" s="16">
        <f>I874-H874</f>
        <v>3000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44407</v>
      </c>
      <c r="B875" s="16" t="s">
        <v>1337</v>
      </c>
      <c r="C875" s="16" t="s">
        <v>12</v>
      </c>
      <c r="D875" s="16" t="str">
        <f>VLOOKUP(C875,[1]master_data!$A$2:$E$495,2,FALSE)</f>
        <v>MESIN YANG 104</v>
      </c>
      <c r="E875" s="16">
        <v>1</v>
      </c>
      <c r="F875" s="16">
        <f>VLOOKUP(C875,[1]master_data!$A$2:$E$495,3,FALSE)</f>
        <v>98000</v>
      </c>
      <c r="G875" s="16">
        <f>VLOOKUP(C875,[1]master_data!$A$2:$E$495,4,FALSE)</f>
        <v>140000</v>
      </c>
      <c r="H875" s="16">
        <f>E875*F875</f>
        <v>98000</v>
      </c>
      <c r="I875" s="16">
        <f>E875*G875</f>
        <v>140000</v>
      </c>
      <c r="J875" s="16">
        <f>I875-H875</f>
        <v>42000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44406</v>
      </c>
      <c r="B876" s="16" t="s">
        <v>1329</v>
      </c>
      <c r="C876" s="16" t="s">
        <v>154</v>
      </c>
      <c r="D876" s="16" t="str">
        <f>VLOOKUP(C876,[1]master_data!$A$2:$E$495,2,FALSE)</f>
        <v>LED RECENT DnN 50CM</v>
      </c>
      <c r="E876" s="16">
        <v>2</v>
      </c>
      <c r="F876" s="16">
        <f>VLOOKUP(C876,[1]master_data!$A$2:$E$495,3,FALSE)</f>
        <v>30000</v>
      </c>
      <c r="G876" s="16">
        <f>VLOOKUP(C876,[1]master_data!$A$2:$E$495,4,FALSE)</f>
        <v>60000</v>
      </c>
      <c r="H876" s="16">
        <f>E876*F876</f>
        <v>60000</v>
      </c>
      <c r="I876" s="16">
        <f>E876*G876</f>
        <v>120000</v>
      </c>
      <c r="J876" s="16">
        <f>I876-H876</f>
        <v>60000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44406</v>
      </c>
      <c r="B877" s="16" t="s">
        <v>1330</v>
      </c>
      <c r="C877" s="16" t="s">
        <v>76</v>
      </c>
      <c r="D877" s="16" t="str">
        <f>VLOOKUP(C877,[1]master_data!$A$2:$E$495,2,FALSE)</f>
        <v>MESIN ARMADA 1150L</v>
      </c>
      <c r="E877" s="16">
        <v>5</v>
      </c>
      <c r="F877" s="16">
        <f>VLOOKUP(C877,[1]master_data!$A$2:$E$495,3,FALSE)</f>
        <v>42000</v>
      </c>
      <c r="G877" s="16">
        <f>VLOOKUP(C877,[1]master_data!$A$2:$E$495,4,FALSE)</f>
        <v>55000</v>
      </c>
      <c r="H877" s="16">
        <f>E877*F877</f>
        <v>210000</v>
      </c>
      <c r="I877" s="16">
        <f>E877*G877</f>
        <v>275000</v>
      </c>
      <c r="J877" s="16">
        <f>I877-H877</f>
        <v>65000</v>
      </c>
      <c r="K877" s="16" t="str">
        <f>VLOOKUP(C877,[1]master_data!$A$2:$E$495,5,FALSE)</f>
        <v>Aksesoris</v>
      </c>
      <c r="L877" s="1"/>
    </row>
    <row r="878" spans="1:12" ht="12" customHeight="1" x14ac:dyDescent="0.25">
      <c r="A878" s="15">
        <v>44406</v>
      </c>
      <c r="B878" s="16" t="s">
        <v>1331</v>
      </c>
      <c r="C878" s="16" t="s">
        <v>320</v>
      </c>
      <c r="D878" s="16" t="str">
        <f>VLOOKUP(C878,[1]master_data!$A$2:$E$495,2,FALSE)</f>
        <v>CUPANG</v>
      </c>
      <c r="E878" s="16">
        <v>5</v>
      </c>
      <c r="F878" s="16">
        <f>VLOOKUP(C878,[1]master_data!$A$2:$E$495,3,FALSE)</f>
        <v>2000</v>
      </c>
      <c r="G878" s="16">
        <f>VLOOKUP(C878,[1]master_data!$A$2:$E$495,4,FALSE)</f>
        <v>5000</v>
      </c>
      <c r="H878" s="16">
        <f>E878*F878</f>
        <v>10000</v>
      </c>
      <c r="I878" s="16">
        <f>E878*G878</f>
        <v>25000</v>
      </c>
      <c r="J878" s="16">
        <f>I878-H878</f>
        <v>15000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44406</v>
      </c>
      <c r="B879" s="16" t="s">
        <v>1332</v>
      </c>
      <c r="C879" s="16" t="s">
        <v>221</v>
      </c>
      <c r="D879" s="16" t="str">
        <f>VLOOKUP(C879,[1]master_data!$A$2:$E$495,2,FALSE)</f>
        <v>JARING 12</v>
      </c>
      <c r="E879" s="16">
        <v>3</v>
      </c>
      <c r="F879" s="16">
        <f>VLOOKUP(C879,[1]master_data!$A$2:$E$495,3,FALSE)</f>
        <v>4000</v>
      </c>
      <c r="G879" s="16">
        <f>VLOOKUP(C879,[1]master_data!$A$2:$E$495,4,FALSE)</f>
        <v>7000</v>
      </c>
      <c r="H879" s="16">
        <f>E879*F879</f>
        <v>12000</v>
      </c>
      <c r="I879" s="16">
        <f>E879*G879</f>
        <v>21000</v>
      </c>
      <c r="J879" s="16">
        <f>I879-H879</f>
        <v>9000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44406</v>
      </c>
      <c r="B880" s="16" t="s">
        <v>1333</v>
      </c>
      <c r="C880" s="16" t="s">
        <v>344</v>
      </c>
      <c r="D880" s="16" t="str">
        <f>VLOOKUP(C880,[1]master_data!$A$2:$E$495,2,FALSE)</f>
        <v>MANFISH B</v>
      </c>
      <c r="E880" s="16">
        <v>1</v>
      </c>
      <c r="F880" s="16">
        <f>VLOOKUP(C880,[1]master_data!$A$2:$E$495,3,FALSE)</f>
        <v>4000</v>
      </c>
      <c r="G880" s="16">
        <f>VLOOKUP(C880,[1]master_data!$A$2:$E$495,4,FALSE)</f>
        <v>10000</v>
      </c>
      <c r="H880" s="16">
        <f>E880*F880</f>
        <v>4000</v>
      </c>
      <c r="I880" s="16">
        <f>E880*G880</f>
        <v>10000</v>
      </c>
      <c r="J880" s="16">
        <f>I880-H880</f>
        <v>6000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44405</v>
      </c>
      <c r="B881" s="16" t="s">
        <v>1324</v>
      </c>
      <c r="C881" s="16" t="s">
        <v>320</v>
      </c>
      <c r="D881" s="16" t="str">
        <f>VLOOKUP(C881,[1]master_data!$A$2:$E$495,2,FALSE)</f>
        <v>CUPANG</v>
      </c>
      <c r="E881" s="16">
        <v>15</v>
      </c>
      <c r="F881" s="16">
        <f>VLOOKUP(C881,[1]master_data!$A$2:$E$495,3,FALSE)</f>
        <v>2000</v>
      </c>
      <c r="G881" s="16">
        <f>VLOOKUP(C881,[1]master_data!$A$2:$E$495,4,FALSE)</f>
        <v>5000</v>
      </c>
      <c r="H881" s="16">
        <f>E881*F881</f>
        <v>30000</v>
      </c>
      <c r="I881" s="16">
        <f>E881*G881</f>
        <v>75000</v>
      </c>
      <c r="J881" s="16">
        <f>I881-H881</f>
        <v>45000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44405</v>
      </c>
      <c r="B882" s="16" t="s">
        <v>1325</v>
      </c>
      <c r="C882" s="16" t="s">
        <v>222</v>
      </c>
      <c r="D882" s="16" t="str">
        <f>VLOOKUP(C882,[1]master_data!$A$2:$E$495,2,FALSE)</f>
        <v>JARING 20</v>
      </c>
      <c r="E882" s="16">
        <v>25</v>
      </c>
      <c r="F882" s="16">
        <f>VLOOKUP(C882,[1]master_data!$A$2:$E$495,3,FALSE)</f>
        <v>5600</v>
      </c>
      <c r="G882" s="16">
        <f>VLOOKUP(C882,[1]master_data!$A$2:$E$495,4,FALSE)</f>
        <v>10000</v>
      </c>
      <c r="H882" s="16">
        <f>E882*F882</f>
        <v>140000</v>
      </c>
      <c r="I882" s="16">
        <f>E882*G882</f>
        <v>250000</v>
      </c>
      <c r="J882" s="16">
        <f>I882-H882</f>
        <v>110000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44405</v>
      </c>
      <c r="B883" s="16" t="s">
        <v>1326</v>
      </c>
      <c r="C883" s="16" t="s">
        <v>313</v>
      </c>
      <c r="D883" s="16" t="str">
        <f>VLOOKUP(C883,[1]master_data!$A$2:$E$495,2,FALSE)</f>
        <v>BALA BALA K</v>
      </c>
      <c r="E883" s="16">
        <v>6</v>
      </c>
      <c r="F883" s="16">
        <f>VLOOKUP(C883,[1]master_data!$A$2:$E$495,3,FALSE)</f>
        <v>4000</v>
      </c>
      <c r="G883" s="16">
        <f>VLOOKUP(C883,[1]master_data!$A$2:$E$495,4,FALSE)</f>
        <v>8000</v>
      </c>
      <c r="H883" s="16">
        <f>E883*F883</f>
        <v>24000</v>
      </c>
      <c r="I883" s="16">
        <f>E883*G883</f>
        <v>48000</v>
      </c>
      <c r="J883" s="16">
        <f>I883-H883</f>
        <v>24000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44405</v>
      </c>
      <c r="B884" s="16" t="s">
        <v>1327</v>
      </c>
      <c r="C884" s="16" t="s">
        <v>194</v>
      </c>
      <c r="D884" s="16" t="str">
        <f>VLOOKUP(C884,[1]master_data!$A$2:$E$495,2,FALSE)</f>
        <v>HOKKY PAKAN KURA</v>
      </c>
      <c r="E884" s="16">
        <v>1</v>
      </c>
      <c r="F884" s="16">
        <f>VLOOKUP(C884,[1]master_data!$A$2:$E$495,3,FALSE)</f>
        <v>7500</v>
      </c>
      <c r="G884" s="16">
        <f>VLOOKUP(C884,[1]master_data!$A$2:$E$495,4,FALSE)</f>
        <v>10000</v>
      </c>
      <c r="H884" s="16">
        <f>E884*F884</f>
        <v>7500</v>
      </c>
      <c r="I884" s="16">
        <f>E884*G884</f>
        <v>10000</v>
      </c>
      <c r="J884" s="16">
        <f>I884-H884</f>
        <v>2500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44405</v>
      </c>
      <c r="B885" s="16" t="s">
        <v>1328</v>
      </c>
      <c r="C885" s="16" t="s">
        <v>320</v>
      </c>
      <c r="D885" s="16" t="str">
        <f>VLOOKUP(C885,[1]master_data!$A$2:$E$495,2,FALSE)</f>
        <v>CUPANG</v>
      </c>
      <c r="E885" s="16">
        <v>5</v>
      </c>
      <c r="F885" s="16">
        <f>VLOOKUP(C885,[1]master_data!$A$2:$E$495,3,FALSE)</f>
        <v>2000</v>
      </c>
      <c r="G885" s="16">
        <f>VLOOKUP(C885,[1]master_data!$A$2:$E$495,4,FALSE)</f>
        <v>5000</v>
      </c>
      <c r="H885" s="16">
        <f>E885*F885</f>
        <v>10000</v>
      </c>
      <c r="I885" s="16">
        <f>E885*G885</f>
        <v>25000</v>
      </c>
      <c r="J885" s="16">
        <f>I885-H885</f>
        <v>15000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44404</v>
      </c>
      <c r="B886" s="16" t="s">
        <v>1322</v>
      </c>
      <c r="C886" s="16" t="s">
        <v>366</v>
      </c>
      <c r="D886" s="16" t="str">
        <f>VLOOKUP(C886,[1]master_data!$A$2:$E$495,2,FALSE)</f>
        <v>SYNODONTI B</v>
      </c>
      <c r="E886" s="16">
        <v>20</v>
      </c>
      <c r="F886" s="16">
        <f>VLOOKUP(C886,[1]master_data!$A$2:$E$495,3,FALSE)</f>
        <v>4000</v>
      </c>
      <c r="G886" s="16">
        <f>VLOOKUP(C886,[1]master_data!$A$2:$E$495,4,FALSE)</f>
        <v>10000</v>
      </c>
      <c r="H886" s="16">
        <f>E886*F886</f>
        <v>80000</v>
      </c>
      <c r="I886" s="16">
        <f>E886*G886</f>
        <v>200000</v>
      </c>
      <c r="J886" s="16">
        <f>I886-H886</f>
        <v>120000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44404</v>
      </c>
      <c r="B887" s="16" t="s">
        <v>1323</v>
      </c>
      <c r="C887" s="16" t="s">
        <v>149</v>
      </c>
      <c r="D887" s="16" t="str">
        <f>VLOOKUP(C887,[1]master_data!$A$2:$E$495,2,FALSE)</f>
        <v>LED KANDILA PRO RED 180 CM</v>
      </c>
      <c r="E887" s="16">
        <v>1</v>
      </c>
      <c r="F887" s="16">
        <f>VLOOKUP(C887,[1]master_data!$A$2:$E$495,3,FALSE)</f>
        <v>317000</v>
      </c>
      <c r="G887" s="16">
        <f>VLOOKUP(C887,[1]master_data!$A$2:$E$495,4,FALSE)</f>
        <v>425000</v>
      </c>
      <c r="H887" s="16">
        <f>E887*F887</f>
        <v>317000</v>
      </c>
      <c r="I887" s="16">
        <f>E887*G887</f>
        <v>425000</v>
      </c>
      <c r="J887" s="16">
        <f>I887-H887</f>
        <v>108000</v>
      </c>
      <c r="K887" s="16" t="str">
        <f>VLOOKUP(C887,[1]master_data!$A$2:$E$495,5,FALSE)</f>
        <v>Aksesoris</v>
      </c>
      <c r="L887" s="1"/>
    </row>
    <row r="888" spans="1:12" ht="12" customHeight="1" x14ac:dyDescent="0.25">
      <c r="A888" s="15">
        <v>44403</v>
      </c>
      <c r="B888" s="16" t="s">
        <v>1318</v>
      </c>
      <c r="C888" s="16" t="s">
        <v>335</v>
      </c>
      <c r="D888" s="16" t="str">
        <f>VLOOKUP(C888,[1]master_data!$A$2:$E$495,2,FALSE)</f>
        <v>KOMET SLAYER</v>
      </c>
      <c r="E888" s="16">
        <v>10</v>
      </c>
      <c r="F888" s="16">
        <f>VLOOKUP(C888,[1]master_data!$A$2:$E$495,3,FALSE)</f>
        <v>2000</v>
      </c>
      <c r="G888" s="16">
        <f>VLOOKUP(C888,[1]master_data!$A$2:$E$495,4,FALSE)</f>
        <v>5000</v>
      </c>
      <c r="H888" s="16">
        <f>E888*F888</f>
        <v>20000</v>
      </c>
      <c r="I888" s="16">
        <f>E888*G888</f>
        <v>50000</v>
      </c>
      <c r="J888" s="16">
        <f>I888-H888</f>
        <v>30000</v>
      </c>
      <c r="K888" s="16" t="str">
        <f>VLOOKUP(C888,[1]master_data!$A$2:$E$495,5,FALSE)</f>
        <v>Ikan</v>
      </c>
      <c r="L888" s="1"/>
    </row>
    <row r="889" spans="1:12" ht="12" customHeight="1" x14ac:dyDescent="0.25">
      <c r="A889" s="15">
        <v>44403</v>
      </c>
      <c r="B889" s="16" t="s">
        <v>1319</v>
      </c>
      <c r="C889" s="16" t="s">
        <v>316</v>
      </c>
      <c r="D889" s="16" t="str">
        <f>VLOOKUP(C889,[1]master_data!$A$2:$E$495,2,FALSE)</f>
        <v>CHANNA BLUE PULCHRA K</v>
      </c>
      <c r="E889" s="16">
        <v>6</v>
      </c>
      <c r="F889" s="16">
        <f>VLOOKUP(C889,[1]master_data!$A$2:$E$495,3,FALSE)</f>
        <v>25000</v>
      </c>
      <c r="G889" s="16">
        <f>VLOOKUP(C889,[1]master_data!$A$2:$E$495,4,FALSE)</f>
        <v>50000</v>
      </c>
      <c r="H889" s="16">
        <f>E889*F889</f>
        <v>150000</v>
      </c>
      <c r="I889" s="16">
        <f>E889*G889</f>
        <v>300000</v>
      </c>
      <c r="J889" s="16">
        <f>I889-H889</f>
        <v>150000</v>
      </c>
      <c r="K889" s="16" t="str">
        <f>VLOOKUP(C889,[1]master_data!$A$2:$E$495,5,FALSE)</f>
        <v>Ikan</v>
      </c>
      <c r="L889" s="1"/>
    </row>
    <row r="890" spans="1:12" ht="12" customHeight="1" x14ac:dyDescent="0.25">
      <c r="A890" s="15">
        <v>44403</v>
      </c>
      <c r="B890" s="16" t="s">
        <v>1320</v>
      </c>
      <c r="C890" s="16" t="s">
        <v>95</v>
      </c>
      <c r="D890" s="16" t="str">
        <f>VLOOKUP(C890,[1]master_data!$A$2:$E$495,2,FALSE)</f>
        <v>LED ROSTON 20 CM</v>
      </c>
      <c r="E890" s="16">
        <v>1</v>
      </c>
      <c r="F890" s="16">
        <f>VLOOKUP(C890,[1]master_data!$A$2:$E$495,3,FALSE)</f>
        <v>21000</v>
      </c>
      <c r="G890" s="16">
        <f>VLOOKUP(C890,[1]master_data!$A$2:$E$495,4,FALSE)</f>
        <v>30000</v>
      </c>
      <c r="H890" s="16">
        <f>E890*F890</f>
        <v>21000</v>
      </c>
      <c r="I890" s="16">
        <f>E890*G890</f>
        <v>30000</v>
      </c>
      <c r="J890" s="16">
        <f>I890-H890</f>
        <v>9000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44403</v>
      </c>
      <c r="B891" s="16" t="s">
        <v>1321</v>
      </c>
      <c r="C891" s="16" t="s">
        <v>6</v>
      </c>
      <c r="D891" s="16" t="str">
        <f>VLOOKUP(C891,[1]master_data!$A$2:$E$495,2,FALSE)</f>
        <v>MESIN YANG 1200</v>
      </c>
      <c r="E891" s="16">
        <v>1</v>
      </c>
      <c r="F891" s="16">
        <f>VLOOKUP(C891,[1]master_data!$A$2:$E$495,3,FALSE)</f>
        <v>25000</v>
      </c>
      <c r="G891" s="16">
        <f>VLOOKUP(C891,[1]master_data!$A$2:$E$495,4,FALSE)</f>
        <v>40000</v>
      </c>
      <c r="H891" s="16">
        <f>E891*F891</f>
        <v>25000</v>
      </c>
      <c r="I891" s="16">
        <f>E891*G891</f>
        <v>40000</v>
      </c>
      <c r="J891" s="16">
        <f>I891-H891</f>
        <v>15000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44402</v>
      </c>
      <c r="B892" s="16" t="s">
        <v>1314</v>
      </c>
      <c r="C892" s="16" t="s">
        <v>307</v>
      </c>
      <c r="D892" s="16" t="str">
        <f>VLOOKUP(C892,[1]master_data!$A$2:$E$495,2,FALSE)</f>
        <v>ARWANA SILVER K</v>
      </c>
      <c r="E892" s="16">
        <v>2</v>
      </c>
      <c r="F892" s="16">
        <f>VLOOKUP(C892,[1]master_data!$A$2:$E$495,3,FALSE)</f>
        <v>100000</v>
      </c>
      <c r="G892" s="16">
        <f>VLOOKUP(C892,[1]master_data!$A$2:$E$495,4,FALSE)</f>
        <v>200000</v>
      </c>
      <c r="H892" s="16">
        <f>E892*F892</f>
        <v>200000</v>
      </c>
      <c r="I892" s="16">
        <f>E892*G892</f>
        <v>400000</v>
      </c>
      <c r="J892" s="16">
        <f>I892-H892</f>
        <v>200000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44402</v>
      </c>
      <c r="B893" s="16" t="s">
        <v>1315</v>
      </c>
      <c r="C893" s="16" t="s">
        <v>113</v>
      </c>
      <c r="D893" s="16" t="str">
        <f>VLOOKUP(C893,[1]master_data!$A$2:$E$495,2,FALSE)</f>
        <v>LED NIKITA NS 400</v>
      </c>
      <c r="E893" s="16">
        <v>1</v>
      </c>
      <c r="F893" s="16">
        <f>VLOOKUP(C893,[1]master_data!$A$2:$E$495,3,FALSE)</f>
        <v>41000</v>
      </c>
      <c r="G893" s="16">
        <f>VLOOKUP(C893,[1]master_data!$A$2:$E$495,4,FALSE)</f>
        <v>65000</v>
      </c>
      <c r="H893" s="16">
        <f>E893*F893</f>
        <v>41000</v>
      </c>
      <c r="I893" s="16">
        <f>E893*G893</f>
        <v>65000</v>
      </c>
      <c r="J893" s="16">
        <f>I893-H893</f>
        <v>24000</v>
      </c>
      <c r="K893" s="16" t="str">
        <f>VLOOKUP(C893,[1]master_data!$A$2:$E$495,5,FALSE)</f>
        <v>Aksesoris</v>
      </c>
      <c r="L893" s="1"/>
    </row>
    <row r="894" spans="1:12" ht="12" customHeight="1" x14ac:dyDescent="0.25">
      <c r="A894" s="15">
        <v>44402</v>
      </c>
      <c r="B894" s="16" t="s">
        <v>1316</v>
      </c>
      <c r="C894" s="16" t="s">
        <v>321</v>
      </c>
      <c r="D894" s="16" t="str">
        <f>VLOOKUP(C894,[1]master_data!$A$2:$E$495,2,FALSE)</f>
        <v>CATFISH</v>
      </c>
      <c r="E894" s="16">
        <v>1</v>
      </c>
      <c r="F894" s="16">
        <f>VLOOKUP(C894,[1]master_data!$A$2:$E$495,3,FALSE)</f>
        <v>20000</v>
      </c>
      <c r="G894" s="16">
        <f>VLOOKUP(C894,[1]master_data!$A$2:$E$495,4,FALSE)</f>
        <v>50000</v>
      </c>
      <c r="H894" s="16">
        <f>E894*F894</f>
        <v>20000</v>
      </c>
      <c r="I894" s="16">
        <f>E894*G894</f>
        <v>50000</v>
      </c>
      <c r="J894" s="16">
        <f>I894-H894</f>
        <v>30000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44402</v>
      </c>
      <c r="B895" s="16" t="s">
        <v>1317</v>
      </c>
      <c r="C895" s="16" t="s">
        <v>194</v>
      </c>
      <c r="D895" s="16" t="str">
        <f>VLOOKUP(C895,[1]master_data!$A$2:$E$495,2,FALSE)</f>
        <v>HOKKY PAKAN KURA</v>
      </c>
      <c r="E895" s="16">
        <v>1</v>
      </c>
      <c r="F895" s="16">
        <f>VLOOKUP(C895,[1]master_data!$A$2:$E$495,3,FALSE)</f>
        <v>7500</v>
      </c>
      <c r="G895" s="16">
        <f>VLOOKUP(C895,[1]master_data!$A$2:$E$495,4,FALSE)</f>
        <v>10000</v>
      </c>
      <c r="H895" s="16">
        <f>E895*F895</f>
        <v>7500</v>
      </c>
      <c r="I895" s="16">
        <f>E895*G895</f>
        <v>10000</v>
      </c>
      <c r="J895" s="16">
        <f>I895-H895</f>
        <v>2500</v>
      </c>
      <c r="K895" s="16" t="str">
        <f>VLOOKUP(C895,[1]master_data!$A$2:$E$495,5,FALSE)</f>
        <v>Aksesoris</v>
      </c>
      <c r="L895" s="1"/>
    </row>
    <row r="896" spans="1:12" ht="12" customHeight="1" x14ac:dyDescent="0.25">
      <c r="A896" s="15">
        <v>44401</v>
      </c>
      <c r="B896" s="16" t="s">
        <v>1310</v>
      </c>
      <c r="C896" s="16" t="s">
        <v>361</v>
      </c>
      <c r="D896" s="16" t="str">
        <f>VLOOKUP(C896,[1]master_data!$A$2:$E$495,2,FALSE)</f>
        <v>CHANNA RED BARITO B</v>
      </c>
      <c r="E896" s="16">
        <v>1</v>
      </c>
      <c r="F896" s="16">
        <f>VLOOKUP(C896,[1]master_data!$A$2:$E$495,3,FALSE)</f>
        <v>120000</v>
      </c>
      <c r="G896" s="16">
        <f>VLOOKUP(C896,[1]master_data!$A$2:$E$495,4,FALSE)</f>
        <v>200000</v>
      </c>
      <c r="H896" s="16">
        <f>E896*F896</f>
        <v>120000</v>
      </c>
      <c r="I896" s="16">
        <f>E896*G896</f>
        <v>200000</v>
      </c>
      <c r="J896" s="16">
        <f>I896-H896</f>
        <v>80000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44401</v>
      </c>
      <c r="B897" s="16" t="s">
        <v>1311</v>
      </c>
      <c r="C897" s="16" t="s">
        <v>328</v>
      </c>
      <c r="D897" s="16" t="str">
        <f>VLOOKUP(C897,[1]master_data!$A$2:$E$495,2,FALSE)</f>
        <v>KOKI B</v>
      </c>
      <c r="E897" s="16">
        <v>1</v>
      </c>
      <c r="F897" s="16">
        <f>VLOOKUP(C897,[1]master_data!$A$2:$E$495,3,FALSE)</f>
        <v>20000</v>
      </c>
      <c r="G897" s="16">
        <f>VLOOKUP(C897,[1]master_data!$A$2:$E$495,4,FALSE)</f>
        <v>50000</v>
      </c>
      <c r="H897" s="16">
        <f>E897*F897</f>
        <v>20000</v>
      </c>
      <c r="I897" s="16">
        <f>E897*G897</f>
        <v>50000</v>
      </c>
      <c r="J897" s="16">
        <f>I897-H897</f>
        <v>30000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44401</v>
      </c>
      <c r="B898" s="16" t="s">
        <v>1312</v>
      </c>
      <c r="C898" s="16" t="s">
        <v>326</v>
      </c>
      <c r="D898" s="16" t="str">
        <f>VLOOKUP(C898,[1]master_data!$A$2:$E$495,2,FALSE)</f>
        <v>KOKI K</v>
      </c>
      <c r="E898" s="16">
        <v>3</v>
      </c>
      <c r="F898" s="16">
        <f>VLOOKUP(C898,[1]master_data!$A$2:$E$495,3,FALSE)</f>
        <v>3500</v>
      </c>
      <c r="G898" s="16">
        <f>VLOOKUP(C898,[1]master_data!$A$2:$E$495,4,FALSE)</f>
        <v>10000</v>
      </c>
      <c r="H898" s="16">
        <f>E898*F898</f>
        <v>10500</v>
      </c>
      <c r="I898" s="16">
        <f>E898*G898</f>
        <v>30000</v>
      </c>
      <c r="J898" s="16">
        <f>I898-H898</f>
        <v>19500</v>
      </c>
      <c r="K898" s="16" t="str">
        <f>VLOOKUP(C898,[1]master_data!$A$2:$E$495,5,FALSE)</f>
        <v>Ikan</v>
      </c>
      <c r="L898" s="1"/>
    </row>
    <row r="899" spans="1:12" ht="12" customHeight="1" x14ac:dyDescent="0.25">
      <c r="A899" s="15">
        <v>44401</v>
      </c>
      <c r="B899" s="16" t="s">
        <v>1313</v>
      </c>
      <c r="C899" s="16" t="s">
        <v>359</v>
      </c>
      <c r="D899" s="16" t="str">
        <f>VLOOKUP(C899,[1]master_data!$A$2:$E$495,2,FALSE)</f>
        <v>REDFIN ALBINO</v>
      </c>
      <c r="E899" s="16">
        <v>100</v>
      </c>
      <c r="F899" s="16">
        <f>VLOOKUP(C899,[1]master_data!$A$2:$E$495,3,FALSE)</f>
        <v>1500</v>
      </c>
      <c r="G899" s="16">
        <f>VLOOKUP(C899,[1]master_data!$A$2:$E$495,4,FALSE)</f>
        <v>4000</v>
      </c>
      <c r="H899" s="16">
        <f>E899*F899</f>
        <v>150000</v>
      </c>
      <c r="I899" s="16">
        <f>E899*G899</f>
        <v>400000</v>
      </c>
      <c r="J899" s="16">
        <f>I899-H899</f>
        <v>250000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44400</v>
      </c>
      <c r="B900" s="16" t="s">
        <v>1305</v>
      </c>
      <c r="C900" s="16" t="s">
        <v>312</v>
      </c>
      <c r="D900" s="16" t="str">
        <f>VLOOKUP(C900,[1]master_data!$A$2:$E$495,2,FALSE)</f>
        <v>BUENOS AIRES TETRA</v>
      </c>
      <c r="E900" s="16">
        <v>25</v>
      </c>
      <c r="F900" s="16">
        <f>VLOOKUP(C900,[1]master_data!$A$2:$E$495,3,FALSE)</f>
        <v>800</v>
      </c>
      <c r="G900" s="16">
        <f>VLOOKUP(C900,[1]master_data!$A$2:$E$495,4,FALSE)</f>
        <v>2000</v>
      </c>
      <c r="H900" s="16">
        <f>E900*F900</f>
        <v>20000</v>
      </c>
      <c r="I900" s="16">
        <f>E900*G900</f>
        <v>50000</v>
      </c>
      <c r="J900" s="16">
        <f>I900-H900</f>
        <v>30000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44400</v>
      </c>
      <c r="B901" s="16" t="s">
        <v>1306</v>
      </c>
      <c r="C901" s="16" t="s">
        <v>370</v>
      </c>
      <c r="D901" s="16" t="str">
        <f>VLOOKUP(C901,[1]master_data!$A$2:$E$495,2,FALSE)</f>
        <v>ZEBRA HIJAU</v>
      </c>
      <c r="E901" s="16">
        <v>20</v>
      </c>
      <c r="F901" s="16">
        <f>VLOOKUP(C901,[1]master_data!$A$2:$E$495,3,FALSE)</f>
        <v>800</v>
      </c>
      <c r="G901" s="16">
        <f>VLOOKUP(C901,[1]master_data!$A$2:$E$495,4,FALSE)</f>
        <v>2000</v>
      </c>
      <c r="H901" s="16">
        <f>E901*F901</f>
        <v>16000</v>
      </c>
      <c r="I901" s="16">
        <f>E901*G901</f>
        <v>40000</v>
      </c>
      <c r="J901" s="16">
        <f>I901-H901</f>
        <v>24000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44400</v>
      </c>
      <c r="B902" s="16" t="s">
        <v>1307</v>
      </c>
      <c r="C902" s="16" t="s">
        <v>339</v>
      </c>
      <c r="D902" s="16" t="str">
        <f>VLOOKUP(C902,[1]master_data!$A$2:$E$495,2,FALSE)</f>
        <v>DISCUS</v>
      </c>
      <c r="E902" s="16">
        <v>2</v>
      </c>
      <c r="F902" s="16">
        <f>VLOOKUP(C902,[1]master_data!$A$2:$E$495,3,FALSE)</f>
        <v>50000</v>
      </c>
      <c r="G902" s="16">
        <f>VLOOKUP(C902,[1]master_data!$A$2:$E$495,4,FALSE)</f>
        <v>150000</v>
      </c>
      <c r="H902" s="16">
        <f>E902*F902</f>
        <v>100000</v>
      </c>
      <c r="I902" s="16">
        <f>E902*G902</f>
        <v>300000</v>
      </c>
      <c r="J902" s="16">
        <f>I902-H902</f>
        <v>200000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44400</v>
      </c>
      <c r="B903" s="16" t="s">
        <v>1308</v>
      </c>
      <c r="C903" s="16" t="s">
        <v>217</v>
      </c>
      <c r="D903" s="16" t="str">
        <f>VLOOKUP(C903,[1]master_data!$A$2:$E$495,2,FALSE)</f>
        <v>HEATER KACA 25 W</v>
      </c>
      <c r="E903" s="16">
        <v>1</v>
      </c>
      <c r="F903" s="16">
        <f>VLOOKUP(C903,[1]master_data!$A$2:$E$495,3,FALSE)</f>
        <v>33000</v>
      </c>
      <c r="G903" s="16">
        <f>VLOOKUP(C903,[1]master_data!$A$2:$E$495,4,FALSE)</f>
        <v>50000</v>
      </c>
      <c r="H903" s="16">
        <f>E903*F903</f>
        <v>33000</v>
      </c>
      <c r="I903" s="16">
        <f>E903*G903</f>
        <v>50000</v>
      </c>
      <c r="J903" s="16">
        <f>I903-H903</f>
        <v>17000</v>
      </c>
      <c r="K903" s="16" t="str">
        <f>VLOOKUP(C903,[1]master_data!$A$2:$E$495,5,FALSE)</f>
        <v>Aksesoris</v>
      </c>
      <c r="L903" s="1"/>
    </row>
    <row r="904" spans="1:12" ht="12" customHeight="1" x14ac:dyDescent="0.25">
      <c r="A904" s="15">
        <v>44400</v>
      </c>
      <c r="B904" s="16" t="s">
        <v>1309</v>
      </c>
      <c r="C904" s="16" t="s">
        <v>330</v>
      </c>
      <c r="D904" s="16" t="str">
        <f>VLOOKUP(C904,[1]master_data!$A$2:$E$495,2,FALSE)</f>
        <v>KOI T</v>
      </c>
      <c r="E904" s="16">
        <v>4</v>
      </c>
      <c r="F904" s="16">
        <f>VLOOKUP(C904,[1]master_data!$A$2:$E$495,3,FALSE)</f>
        <v>7000</v>
      </c>
      <c r="G904" s="16">
        <f>VLOOKUP(C904,[1]master_data!$A$2:$E$495,4,FALSE)</f>
        <v>20000</v>
      </c>
      <c r="H904" s="16">
        <f>E904*F904</f>
        <v>28000</v>
      </c>
      <c r="I904" s="16">
        <f>E904*G904</f>
        <v>80000</v>
      </c>
      <c r="J904" s="16">
        <f>I904-H904</f>
        <v>52000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44399</v>
      </c>
      <c r="B905" s="16" t="s">
        <v>1302</v>
      </c>
      <c r="C905" s="16" t="s">
        <v>374</v>
      </c>
      <c r="D905" s="16" t="str">
        <f>VLOOKUP(C905,[1]master_data!$A$2:$E$495,2,FALSE)</f>
        <v>SEPAT ALBINO</v>
      </c>
      <c r="E905" s="16">
        <v>25</v>
      </c>
      <c r="F905" s="16">
        <f>VLOOKUP(C905,[1]master_data!$A$2:$E$495,3,FALSE)</f>
        <v>2000</v>
      </c>
      <c r="G905" s="16">
        <f>VLOOKUP(C905,[1]master_data!$A$2:$E$495,4,FALSE)</f>
        <v>5000</v>
      </c>
      <c r="H905" s="16">
        <f>E905*F905</f>
        <v>50000</v>
      </c>
      <c r="I905" s="16">
        <f>E905*G905</f>
        <v>125000</v>
      </c>
      <c r="J905" s="16">
        <f>I905-H905</f>
        <v>75000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44399</v>
      </c>
      <c r="B906" s="16" t="s">
        <v>1303</v>
      </c>
      <c r="C906" s="16" t="s">
        <v>326</v>
      </c>
      <c r="D906" s="16" t="str">
        <f>VLOOKUP(C906,[1]master_data!$A$2:$E$495,2,FALSE)</f>
        <v>KOKI K</v>
      </c>
      <c r="E906" s="16">
        <v>16</v>
      </c>
      <c r="F906" s="16">
        <f>VLOOKUP(C906,[1]master_data!$A$2:$E$495,3,FALSE)</f>
        <v>3500</v>
      </c>
      <c r="G906" s="16">
        <f>VLOOKUP(C906,[1]master_data!$A$2:$E$495,4,FALSE)</f>
        <v>10000</v>
      </c>
      <c r="H906" s="16">
        <f>E906*F906</f>
        <v>56000</v>
      </c>
      <c r="I906" s="16">
        <f>E906*G906</f>
        <v>160000</v>
      </c>
      <c r="J906" s="16">
        <f>I906-H906</f>
        <v>104000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44399</v>
      </c>
      <c r="B907" s="16" t="s">
        <v>1304</v>
      </c>
      <c r="C907" s="16" t="s">
        <v>173</v>
      </c>
      <c r="D907" s="16" t="str">
        <f>VLOOKUP(C907,[1]master_data!$A$2:$E$495,2,FALSE)</f>
        <v>HOKKY LOUHAN COLOUR</v>
      </c>
      <c r="E907" s="16">
        <v>1</v>
      </c>
      <c r="F907" s="16">
        <f>VLOOKUP(C907,[1]master_data!$A$2:$E$495,3,FALSE)</f>
        <v>18000</v>
      </c>
      <c r="G907" s="16">
        <f>VLOOKUP(C907,[1]master_data!$A$2:$E$495,4,FALSE)</f>
        <v>25000</v>
      </c>
      <c r="H907" s="16">
        <f>E907*F907</f>
        <v>18000</v>
      </c>
      <c r="I907" s="16">
        <f>E907*G907</f>
        <v>25000</v>
      </c>
      <c r="J907" s="16">
        <f>I907-H907</f>
        <v>7000</v>
      </c>
      <c r="K907" s="16" t="str">
        <f>VLOOKUP(C907,[1]master_data!$A$2:$E$495,5,FALSE)</f>
        <v>Aksesoris</v>
      </c>
      <c r="L907" s="1"/>
    </row>
    <row r="908" spans="1:12" ht="12" customHeight="1" x14ac:dyDescent="0.25">
      <c r="A908" s="15">
        <v>44398</v>
      </c>
      <c r="B908" s="16" t="s">
        <v>1297</v>
      </c>
      <c r="C908" s="16" t="s">
        <v>328</v>
      </c>
      <c r="D908" s="16" t="str">
        <f>VLOOKUP(C908,[1]master_data!$A$2:$E$495,2,FALSE)</f>
        <v>KOKI B</v>
      </c>
      <c r="E908" s="16">
        <v>1</v>
      </c>
      <c r="F908" s="16">
        <f>VLOOKUP(C908,[1]master_data!$A$2:$E$495,3,FALSE)</f>
        <v>20000</v>
      </c>
      <c r="G908" s="16">
        <f>VLOOKUP(C908,[1]master_data!$A$2:$E$495,4,FALSE)</f>
        <v>50000</v>
      </c>
      <c r="H908" s="16">
        <f>E908*F908</f>
        <v>20000</v>
      </c>
      <c r="I908" s="16">
        <f>E908*G908</f>
        <v>50000</v>
      </c>
      <c r="J908" s="16">
        <f>I908-H908</f>
        <v>30000</v>
      </c>
      <c r="K908" s="16" t="str">
        <f>VLOOKUP(C908,[1]master_data!$A$2:$E$495,5,FALSE)</f>
        <v>Ikan</v>
      </c>
      <c r="L908" s="1"/>
    </row>
    <row r="909" spans="1:12" ht="12" customHeight="1" x14ac:dyDescent="0.25">
      <c r="A909" s="15">
        <v>44398</v>
      </c>
      <c r="B909" s="16" t="s">
        <v>1298</v>
      </c>
      <c r="C909" s="16" t="s">
        <v>361</v>
      </c>
      <c r="D909" s="16" t="str">
        <f>VLOOKUP(C909,[1]master_data!$A$2:$E$495,2,FALSE)</f>
        <v>CHANNA RED BARITO B</v>
      </c>
      <c r="E909" s="16">
        <v>1</v>
      </c>
      <c r="F909" s="16">
        <f>VLOOKUP(C909,[1]master_data!$A$2:$E$495,3,FALSE)</f>
        <v>120000</v>
      </c>
      <c r="G909" s="16">
        <f>VLOOKUP(C909,[1]master_data!$A$2:$E$495,4,FALSE)</f>
        <v>200000</v>
      </c>
      <c r="H909" s="16">
        <f>E909*F909</f>
        <v>120000</v>
      </c>
      <c r="I909" s="16">
        <f>E909*G909</f>
        <v>200000</v>
      </c>
      <c r="J909" s="16">
        <f>I909-H909</f>
        <v>80000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44398</v>
      </c>
      <c r="B910" s="16" t="s">
        <v>1299</v>
      </c>
      <c r="C910" s="16" t="s">
        <v>366</v>
      </c>
      <c r="D910" s="16" t="str">
        <f>VLOOKUP(C910,[1]master_data!$A$2:$E$495,2,FALSE)</f>
        <v>SYNODONTI B</v>
      </c>
      <c r="E910" s="16">
        <v>11</v>
      </c>
      <c r="F910" s="16">
        <f>VLOOKUP(C910,[1]master_data!$A$2:$E$495,3,FALSE)</f>
        <v>4000</v>
      </c>
      <c r="G910" s="16">
        <f>VLOOKUP(C910,[1]master_data!$A$2:$E$495,4,FALSE)</f>
        <v>10000</v>
      </c>
      <c r="H910" s="16">
        <f>E910*F910</f>
        <v>44000</v>
      </c>
      <c r="I910" s="16">
        <f>E910*G910</f>
        <v>110000</v>
      </c>
      <c r="J910" s="16">
        <f>I910-H910</f>
        <v>66000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44398</v>
      </c>
      <c r="B911" s="16" t="s">
        <v>1300</v>
      </c>
      <c r="C911" s="16" t="s">
        <v>354</v>
      </c>
      <c r="D911" s="16" t="str">
        <f>VLOOKUP(C911,[1]master_data!$A$2:$E$495,2,FALSE)</f>
        <v>PEMBERSIH KACA ALBINO</v>
      </c>
      <c r="E911" s="16">
        <v>1</v>
      </c>
      <c r="F911" s="16">
        <f>VLOOKUP(C911,[1]master_data!$A$2:$E$495,3,FALSE)</f>
        <v>2500</v>
      </c>
      <c r="G911" s="16">
        <f>VLOOKUP(C911,[1]master_data!$A$2:$E$495,4,FALSE)</f>
        <v>5000</v>
      </c>
      <c r="H911" s="16">
        <f>E911*F911</f>
        <v>2500</v>
      </c>
      <c r="I911" s="16">
        <f>E911*G911</f>
        <v>5000</v>
      </c>
      <c r="J911" s="16">
        <f>I911-H911</f>
        <v>2500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44398</v>
      </c>
      <c r="B912" s="16" t="s">
        <v>1301</v>
      </c>
      <c r="C912" s="16" t="s">
        <v>355</v>
      </c>
      <c r="D912" s="16" t="str">
        <f>VLOOKUP(C912,[1]master_data!$A$2:$E$495,2,FALSE)</f>
        <v>PALMAS</v>
      </c>
      <c r="E912" s="16">
        <v>1</v>
      </c>
      <c r="F912" s="16">
        <f>VLOOKUP(C912,[1]master_data!$A$2:$E$495,3,FALSE)</f>
        <v>10000</v>
      </c>
      <c r="G912" s="16">
        <f>VLOOKUP(C912,[1]master_data!$A$2:$E$495,4,FALSE)</f>
        <v>25000</v>
      </c>
      <c r="H912" s="16">
        <f>E912*F912</f>
        <v>10000</v>
      </c>
      <c r="I912" s="16">
        <f>E912*G912</f>
        <v>25000</v>
      </c>
      <c r="J912" s="16">
        <f>I912-H912</f>
        <v>15000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44397</v>
      </c>
      <c r="B913" s="16" t="s">
        <v>1291</v>
      </c>
      <c r="C913" s="16" t="s">
        <v>347</v>
      </c>
      <c r="D913" s="16" t="str">
        <f>VLOOKUP(C913,[1]master_data!$A$2:$E$495,2,FALSE)</f>
        <v>MOLI BALON</v>
      </c>
      <c r="E913" s="16">
        <v>30</v>
      </c>
      <c r="F913" s="16">
        <f>VLOOKUP(C913,[1]master_data!$A$2:$E$495,3,FALSE)</f>
        <v>800</v>
      </c>
      <c r="G913" s="16">
        <f>VLOOKUP(C913,[1]master_data!$A$2:$E$495,4,FALSE)</f>
        <v>2000</v>
      </c>
      <c r="H913" s="16">
        <f>E913*F913</f>
        <v>24000</v>
      </c>
      <c r="I913" s="16">
        <f>E913*G913</f>
        <v>60000</v>
      </c>
      <c r="J913" s="16">
        <f>I913-H913</f>
        <v>36000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44397</v>
      </c>
      <c r="B914" s="16" t="s">
        <v>1292</v>
      </c>
      <c r="C914" s="16" t="s">
        <v>306</v>
      </c>
      <c r="D914" s="16" t="str">
        <f>VLOOKUP(C914,[1]master_data!$A$2:$E$495,2,FALSE)</f>
        <v>CHANNA ANDRAO B</v>
      </c>
      <c r="E914" s="16">
        <v>2</v>
      </c>
      <c r="F914" s="16">
        <f>VLOOKUP(C914,[1]master_data!$A$2:$E$495,3,FALSE)</f>
        <v>100000</v>
      </c>
      <c r="G914" s="16">
        <f>VLOOKUP(C914,[1]master_data!$A$2:$E$495,4,FALSE)</f>
        <v>200000</v>
      </c>
      <c r="H914" s="16">
        <f>E914*F914</f>
        <v>200000</v>
      </c>
      <c r="I914" s="16">
        <f>E914*G914</f>
        <v>400000</v>
      </c>
      <c r="J914" s="16">
        <f>I914-H914</f>
        <v>200000</v>
      </c>
      <c r="K914" s="16" t="str">
        <f>VLOOKUP(C914,[1]master_data!$A$2:$E$495,5,FALSE)</f>
        <v>Ikan</v>
      </c>
      <c r="L914" s="1"/>
    </row>
    <row r="915" spans="1:12" ht="12" customHeight="1" x14ac:dyDescent="0.25">
      <c r="A915" s="15">
        <v>44397</v>
      </c>
      <c r="B915" s="16" t="s">
        <v>1293</v>
      </c>
      <c r="C915" s="16" t="s">
        <v>51</v>
      </c>
      <c r="D915" s="16" t="str">
        <f>VLOOKUP(C915,[1]master_data!$A$2:$E$495,2,FALSE)</f>
        <v>MESIN RECENT 203</v>
      </c>
      <c r="E915" s="16">
        <v>1</v>
      </c>
      <c r="F915" s="16">
        <f>VLOOKUP(C915,[1]master_data!$A$2:$E$495,3,FALSE)</f>
        <v>43500</v>
      </c>
      <c r="G915" s="16">
        <f>VLOOKUP(C915,[1]master_data!$A$2:$E$495,4,FALSE)</f>
        <v>70000</v>
      </c>
      <c r="H915" s="16">
        <f>E915*F915</f>
        <v>43500</v>
      </c>
      <c r="I915" s="16">
        <f>E915*G915</f>
        <v>70000</v>
      </c>
      <c r="J915" s="16">
        <f>I915-H915</f>
        <v>26500</v>
      </c>
      <c r="K915" s="16" t="str">
        <f>VLOOKUP(C915,[1]master_data!$A$2:$E$495,5,FALSE)</f>
        <v>Aksesoris</v>
      </c>
      <c r="L915" s="1"/>
    </row>
    <row r="916" spans="1:12" ht="12" customHeight="1" x14ac:dyDescent="0.25">
      <c r="A916" s="15">
        <v>44397</v>
      </c>
      <c r="B916" s="16" t="s">
        <v>1294</v>
      </c>
      <c r="C916" s="16" t="s">
        <v>330</v>
      </c>
      <c r="D916" s="16" t="str">
        <f>VLOOKUP(C916,[1]master_data!$A$2:$E$495,2,FALSE)</f>
        <v>KOI T</v>
      </c>
      <c r="E916" s="16">
        <v>1</v>
      </c>
      <c r="F916" s="16">
        <f>VLOOKUP(C916,[1]master_data!$A$2:$E$495,3,FALSE)</f>
        <v>7000</v>
      </c>
      <c r="G916" s="16">
        <f>VLOOKUP(C916,[1]master_data!$A$2:$E$495,4,FALSE)</f>
        <v>20000</v>
      </c>
      <c r="H916" s="16">
        <f>E916*F916</f>
        <v>7000</v>
      </c>
      <c r="I916" s="16">
        <f>E916*G916</f>
        <v>20000</v>
      </c>
      <c r="J916" s="16">
        <f>I916-H916</f>
        <v>13000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44397</v>
      </c>
      <c r="B917" s="16" t="s">
        <v>1295</v>
      </c>
      <c r="C917" s="16" t="s">
        <v>157</v>
      </c>
      <c r="D917" s="16" t="str">
        <f>VLOOKUP(C917,[1]master_data!$A$2:$E$495,2,FALSE)</f>
        <v>LED KANDILA DnN ECO 50 CM</v>
      </c>
      <c r="E917" s="16">
        <v>1</v>
      </c>
      <c r="F917" s="16">
        <f>VLOOKUP(C917,[1]master_data!$A$2:$E$495,3,FALSE)</f>
        <v>56000</v>
      </c>
      <c r="G917" s="16">
        <f>VLOOKUP(C917,[1]master_data!$A$2:$E$495,4,FALSE)</f>
        <v>85000</v>
      </c>
      <c r="H917" s="16">
        <f>E917*F917</f>
        <v>56000</v>
      </c>
      <c r="I917" s="16">
        <f>E917*G917</f>
        <v>85000</v>
      </c>
      <c r="J917" s="16">
        <f>I917-H917</f>
        <v>29000</v>
      </c>
      <c r="K917" s="16" t="str">
        <f>VLOOKUP(C917,[1]master_data!$A$2:$E$495,5,FALSE)</f>
        <v>Aksesoris</v>
      </c>
      <c r="L917" s="1"/>
    </row>
    <row r="918" spans="1:12" ht="12" customHeight="1" x14ac:dyDescent="0.25">
      <c r="A918" s="15">
        <v>44397</v>
      </c>
      <c r="B918" s="16" t="s">
        <v>1296</v>
      </c>
      <c r="C918" s="16" t="s">
        <v>321</v>
      </c>
      <c r="D918" s="16" t="str">
        <f>VLOOKUP(C918,[1]master_data!$A$2:$E$495,2,FALSE)</f>
        <v>CATFISH</v>
      </c>
      <c r="E918" s="16">
        <v>1</v>
      </c>
      <c r="F918" s="16">
        <f>VLOOKUP(C918,[1]master_data!$A$2:$E$495,3,FALSE)</f>
        <v>20000</v>
      </c>
      <c r="G918" s="16">
        <f>VLOOKUP(C918,[1]master_data!$A$2:$E$495,4,FALSE)</f>
        <v>50000</v>
      </c>
      <c r="H918" s="16">
        <f>E918*F918</f>
        <v>20000</v>
      </c>
      <c r="I918" s="16">
        <f>E918*G918</f>
        <v>50000</v>
      </c>
      <c r="J918" s="16">
        <f>I918-H918</f>
        <v>30000</v>
      </c>
      <c r="K918" s="16" t="str">
        <f>VLOOKUP(C918,[1]master_data!$A$2:$E$495,5,FALSE)</f>
        <v>Ikan</v>
      </c>
      <c r="L918" s="1"/>
    </row>
    <row r="919" spans="1:12" ht="12" customHeight="1" x14ac:dyDescent="0.25">
      <c r="A919" s="15">
        <v>44396</v>
      </c>
      <c r="B919" s="16" t="s">
        <v>1285</v>
      </c>
      <c r="C919" s="16" t="s">
        <v>364</v>
      </c>
      <c r="D919" s="16" t="str">
        <f>VLOOKUP(C919,[1]master_data!$A$2:$E$495,2,FALSE)</f>
        <v>SNOW WHITE</v>
      </c>
      <c r="E919" s="16">
        <v>25</v>
      </c>
      <c r="F919" s="16">
        <f>VLOOKUP(C919,[1]master_data!$A$2:$E$495,3,FALSE)</f>
        <v>1500</v>
      </c>
      <c r="G919" s="16">
        <f>VLOOKUP(C919,[1]master_data!$A$2:$E$495,4,FALSE)</f>
        <v>3000</v>
      </c>
      <c r="H919" s="16">
        <f>E919*F919</f>
        <v>37500</v>
      </c>
      <c r="I919" s="16">
        <f>E919*G919</f>
        <v>75000</v>
      </c>
      <c r="J919" s="16">
        <f>I919-H919</f>
        <v>37500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44396</v>
      </c>
      <c r="B920" s="16" t="s">
        <v>1286</v>
      </c>
      <c r="C920" s="16" t="s">
        <v>304</v>
      </c>
      <c r="D920" s="16" t="str">
        <f>VLOOKUP(C920,[1]master_data!$A$2:$E$495,2,FALSE)</f>
        <v>CHANNA ANDRAO K</v>
      </c>
      <c r="E920" s="16">
        <v>2</v>
      </c>
      <c r="F920" s="16">
        <f>VLOOKUP(C920,[1]master_data!$A$2:$E$495,3,FALSE)</f>
        <v>20000</v>
      </c>
      <c r="G920" s="16">
        <f>VLOOKUP(C920,[1]master_data!$A$2:$E$495,4,FALSE)</f>
        <v>50000</v>
      </c>
      <c r="H920" s="16">
        <f>E920*F920</f>
        <v>40000</v>
      </c>
      <c r="I920" s="16">
        <f>E920*G920</f>
        <v>100000</v>
      </c>
      <c r="J920" s="16">
        <f>I920-H920</f>
        <v>60000</v>
      </c>
      <c r="K920" s="16" t="str">
        <f>VLOOKUP(C920,[1]master_data!$A$2:$E$495,5,FALSE)</f>
        <v>Ikan</v>
      </c>
      <c r="L920" s="1"/>
    </row>
    <row r="921" spans="1:12" ht="12" customHeight="1" x14ac:dyDescent="0.25">
      <c r="A921" s="15">
        <v>44396</v>
      </c>
      <c r="B921" s="16" t="s">
        <v>1287</v>
      </c>
      <c r="C921" s="16" t="s">
        <v>314</v>
      </c>
      <c r="D921" s="16" t="str">
        <f>VLOOKUP(C921,[1]master_data!$A$2:$E$495,2,FALSE)</f>
        <v>BALA BALA B</v>
      </c>
      <c r="E921" s="16">
        <v>5</v>
      </c>
      <c r="F921" s="16">
        <f>VLOOKUP(C921,[1]master_data!$A$2:$E$495,3,FALSE)</f>
        <v>7000</v>
      </c>
      <c r="G921" s="16">
        <f>VLOOKUP(C921,[1]master_data!$A$2:$E$495,4,FALSE)</f>
        <v>15000</v>
      </c>
      <c r="H921" s="16">
        <f>E921*F921</f>
        <v>35000</v>
      </c>
      <c r="I921" s="16">
        <f>E921*G921</f>
        <v>75000</v>
      </c>
      <c r="J921" s="16">
        <f>I921-H921</f>
        <v>40000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44396</v>
      </c>
      <c r="B922" s="16" t="s">
        <v>1288</v>
      </c>
      <c r="C922" s="16" t="s">
        <v>153</v>
      </c>
      <c r="D922" s="16" t="str">
        <f>VLOOKUP(C922,[1]master_data!$A$2:$E$495,2,FALSE)</f>
        <v>LED RECENT DnN 40 CM</v>
      </c>
      <c r="E922" s="16">
        <v>3</v>
      </c>
      <c r="F922" s="16">
        <f>VLOOKUP(C922,[1]master_data!$A$2:$E$495,3,FALSE)</f>
        <v>29000</v>
      </c>
      <c r="G922" s="16">
        <f>VLOOKUP(C922,[1]master_data!$A$2:$E$495,4,FALSE)</f>
        <v>50000</v>
      </c>
      <c r="H922" s="16">
        <f>E922*F922</f>
        <v>87000</v>
      </c>
      <c r="I922" s="16">
        <f>E922*G922</f>
        <v>150000</v>
      </c>
      <c r="J922" s="16">
        <f>I922-H922</f>
        <v>63000</v>
      </c>
      <c r="K922" s="16" t="str">
        <f>VLOOKUP(C922,[1]master_data!$A$2:$E$495,5,FALSE)</f>
        <v>Aksesoris</v>
      </c>
      <c r="L922" s="1"/>
    </row>
    <row r="923" spans="1:12" ht="12" customHeight="1" x14ac:dyDescent="0.25">
      <c r="A923" s="15">
        <v>44396</v>
      </c>
      <c r="B923" s="16" t="s">
        <v>1289</v>
      </c>
      <c r="C923" s="16" t="s">
        <v>182</v>
      </c>
      <c r="D923" s="16" t="str">
        <f>VLOOKUP(C923,[1]master_data!$A$2:$E$495,2,FALSE)</f>
        <v>MAGOT BESAR</v>
      </c>
      <c r="E923" s="16">
        <v>1</v>
      </c>
      <c r="F923" s="16">
        <f>VLOOKUP(C923,[1]master_data!$A$2:$E$495,3,FALSE)</f>
        <v>7000</v>
      </c>
      <c r="G923" s="16">
        <f>VLOOKUP(C923,[1]master_data!$A$2:$E$495,4,FALSE)</f>
        <v>12000</v>
      </c>
      <c r="H923" s="16">
        <f>E923*F923</f>
        <v>7000</v>
      </c>
      <c r="I923" s="16">
        <f>E923*G923</f>
        <v>12000</v>
      </c>
      <c r="J923" s="16">
        <f>I923-H923</f>
        <v>5000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44396</v>
      </c>
      <c r="B924" s="16" t="s">
        <v>1290</v>
      </c>
      <c r="C924" s="16" t="s">
        <v>9</v>
      </c>
      <c r="D924" s="16" t="str">
        <f>VLOOKUP(C924,[1]master_data!$A$2:$E$495,2,FALSE)</f>
        <v>TOP FILTER YANG 910</v>
      </c>
      <c r="E924" s="16">
        <v>1</v>
      </c>
      <c r="F924" s="16">
        <f>VLOOKUP(C924,[1]master_data!$A$2:$E$495,3,FALSE)</f>
        <v>41000</v>
      </c>
      <c r="G924" s="16">
        <f>VLOOKUP(C924,[1]master_data!$A$2:$E$495,4,FALSE)</f>
        <v>65000</v>
      </c>
      <c r="H924" s="16">
        <f>E924*F924</f>
        <v>41000</v>
      </c>
      <c r="I924" s="16">
        <f>E924*G924</f>
        <v>65000</v>
      </c>
      <c r="J924" s="16">
        <f>I924-H924</f>
        <v>24000</v>
      </c>
      <c r="K924" s="16" t="str">
        <f>VLOOKUP(C924,[1]master_data!$A$2:$E$495,5,FALSE)</f>
        <v>Aksesoris</v>
      </c>
      <c r="L924" s="1"/>
    </row>
    <row r="925" spans="1:12" ht="12" customHeight="1" x14ac:dyDescent="0.25">
      <c r="A925" s="15">
        <v>44395</v>
      </c>
      <c r="B925" s="16" t="s">
        <v>1279</v>
      </c>
      <c r="C925" s="16" t="s">
        <v>149</v>
      </c>
      <c r="D925" s="16" t="str">
        <f>VLOOKUP(C925,[1]master_data!$A$2:$E$495,2,FALSE)</f>
        <v>LED KANDILA PRO RED 180 CM</v>
      </c>
      <c r="E925" s="16">
        <v>1</v>
      </c>
      <c r="F925" s="16">
        <f>VLOOKUP(C925,[1]master_data!$A$2:$E$495,3,FALSE)</f>
        <v>317000</v>
      </c>
      <c r="G925" s="16">
        <f>VLOOKUP(C925,[1]master_data!$A$2:$E$495,4,FALSE)</f>
        <v>425000</v>
      </c>
      <c r="H925" s="16">
        <f>E925*F925</f>
        <v>317000</v>
      </c>
      <c r="I925" s="16">
        <f>E925*G925</f>
        <v>425000</v>
      </c>
      <c r="J925" s="16">
        <f>I925-H925</f>
        <v>108000</v>
      </c>
      <c r="K925" s="16" t="str">
        <f>VLOOKUP(C925,[1]master_data!$A$2:$E$495,5,FALSE)</f>
        <v>Aksesoris</v>
      </c>
      <c r="L925" s="1"/>
    </row>
    <row r="926" spans="1:12" ht="12" customHeight="1" x14ac:dyDescent="0.25">
      <c r="A926" s="15">
        <v>44395</v>
      </c>
      <c r="B926" s="16" t="s">
        <v>1280</v>
      </c>
      <c r="C926" s="16" t="s">
        <v>65</v>
      </c>
      <c r="D926" s="16" t="str">
        <f>VLOOKUP(C926,[1]master_data!$A$2:$E$495,2,FALSE)</f>
        <v>BIO FOAM L</v>
      </c>
      <c r="E926" s="16">
        <v>2</v>
      </c>
      <c r="F926" s="16">
        <f>VLOOKUP(C926,[1]master_data!$A$2:$E$495,3,FALSE)</f>
        <v>22000</v>
      </c>
      <c r="G926" s="16">
        <f>VLOOKUP(C926,[1]master_data!$A$2:$E$495,4,FALSE)</f>
        <v>35000</v>
      </c>
      <c r="H926" s="16">
        <f>E926*F926</f>
        <v>44000</v>
      </c>
      <c r="I926" s="16">
        <f>E926*G926</f>
        <v>70000</v>
      </c>
      <c r="J926" s="16">
        <f>I926-H926</f>
        <v>26000</v>
      </c>
      <c r="K926" s="16" t="str">
        <f>VLOOKUP(C926,[1]master_data!$A$2:$E$495,5,FALSE)</f>
        <v>Aksesoris</v>
      </c>
      <c r="L926" s="1"/>
    </row>
    <row r="927" spans="1:12" ht="12" customHeight="1" x14ac:dyDescent="0.25">
      <c r="A927" s="15">
        <v>44395</v>
      </c>
      <c r="B927" s="16" t="s">
        <v>1281</v>
      </c>
      <c r="C927" s="16" t="s">
        <v>332</v>
      </c>
      <c r="D927" s="16" t="str">
        <f>VLOOKUP(C927,[1]master_data!$A$2:$E$495,2,FALSE)</f>
        <v>KURA - KURA</v>
      </c>
      <c r="E927" s="16">
        <v>2</v>
      </c>
      <c r="F927" s="16">
        <f>VLOOKUP(C927,[1]master_data!$A$2:$E$495,3,FALSE)</f>
        <v>25000</v>
      </c>
      <c r="G927" s="16">
        <f>VLOOKUP(C927,[1]master_data!$A$2:$E$495,4,FALSE)</f>
        <v>35000</v>
      </c>
      <c r="H927" s="16">
        <f>E927*F927</f>
        <v>50000</v>
      </c>
      <c r="I927" s="16">
        <f>E927*G927</f>
        <v>70000</v>
      </c>
      <c r="J927" s="16">
        <f>I927-H927</f>
        <v>20000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44395</v>
      </c>
      <c r="B928" s="16" t="s">
        <v>1282</v>
      </c>
      <c r="C928" s="16" t="s">
        <v>343</v>
      </c>
      <c r="D928" s="16" t="str">
        <f>VLOOKUP(C928,[1]master_data!$A$2:$E$495,2,FALSE)</f>
        <v>MANFISH K</v>
      </c>
      <c r="E928" s="16">
        <v>10</v>
      </c>
      <c r="F928" s="16">
        <f>VLOOKUP(C928,[1]master_data!$A$2:$E$495,3,FALSE)</f>
        <v>2000</v>
      </c>
      <c r="G928" s="16">
        <f>VLOOKUP(C928,[1]master_data!$A$2:$E$495,4,FALSE)</f>
        <v>5000</v>
      </c>
      <c r="H928" s="16">
        <f>E928*F928</f>
        <v>20000</v>
      </c>
      <c r="I928" s="16">
        <f>E928*G928</f>
        <v>50000</v>
      </c>
      <c r="J928" s="16">
        <f>I928-H928</f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44395</v>
      </c>
      <c r="B929" s="16" t="s">
        <v>1283</v>
      </c>
      <c r="C929" s="16" t="s">
        <v>369</v>
      </c>
      <c r="D929" s="16" t="str">
        <f>VLOOKUP(C929,[1]master_data!$A$2:$E$495,2,FALSE)</f>
        <v>ZEBRA PINK</v>
      </c>
      <c r="E929" s="16">
        <v>2</v>
      </c>
      <c r="F929" s="16">
        <f>VLOOKUP(C929,[1]master_data!$A$2:$E$495,3,FALSE)</f>
        <v>800</v>
      </c>
      <c r="G929" s="16">
        <f>VLOOKUP(C929,[1]master_data!$A$2:$E$495,4,FALSE)</f>
        <v>2000</v>
      </c>
      <c r="H929" s="16">
        <f>E929*F929</f>
        <v>1600</v>
      </c>
      <c r="I929" s="16">
        <f>E929*G929</f>
        <v>4000</v>
      </c>
      <c r="J929" s="16">
        <f>I929-H929</f>
        <v>2400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44395</v>
      </c>
      <c r="B930" s="16" t="s">
        <v>1284</v>
      </c>
      <c r="C930" s="16" t="s">
        <v>55</v>
      </c>
      <c r="D930" s="16" t="str">
        <f>VLOOKUP(C930,[1]master_data!$A$2:$E$495,2,FALSE)</f>
        <v>MESIN ATMAN 105</v>
      </c>
      <c r="E930" s="16">
        <v>3</v>
      </c>
      <c r="F930" s="16">
        <f>VLOOKUP(C930,[1]master_data!$A$2:$E$495,3,FALSE)</f>
        <v>275000</v>
      </c>
      <c r="G930" s="16">
        <f>VLOOKUP(C930,[1]master_data!$A$2:$E$495,4,FALSE)</f>
        <v>350000</v>
      </c>
      <c r="H930" s="16">
        <f>E930*F930</f>
        <v>825000</v>
      </c>
      <c r="I930" s="16">
        <f>E930*G930</f>
        <v>1050000</v>
      </c>
      <c r="J930" s="16">
        <f>I930-H930</f>
        <v>225000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44394</v>
      </c>
      <c r="B931" s="16" t="s">
        <v>1272</v>
      </c>
      <c r="C931" s="16" t="s">
        <v>44</v>
      </c>
      <c r="D931" s="16" t="str">
        <f>VLOOKUP(C931,[1]master_data!$A$2:$E$495,2,FALSE)</f>
        <v>TOP FILTER NIKITA K</v>
      </c>
      <c r="E931" s="16">
        <v>1</v>
      </c>
      <c r="F931" s="16">
        <f>VLOOKUP(C931,[1]master_data!$A$2:$E$495,3,FALSE)</f>
        <v>36000</v>
      </c>
      <c r="G931" s="16">
        <f>VLOOKUP(C931,[1]master_data!$A$2:$E$495,4,FALSE)</f>
        <v>55000</v>
      </c>
      <c r="H931" s="16">
        <f>E931*F931</f>
        <v>36000</v>
      </c>
      <c r="I931" s="16">
        <f>E931*G931</f>
        <v>55000</v>
      </c>
      <c r="J931" s="16">
        <f>I931-H931</f>
        <v>19000</v>
      </c>
      <c r="K931" s="16" t="str">
        <f>VLOOKUP(C931,[1]master_data!$A$2:$E$495,5,FALSE)</f>
        <v>Aksesoris</v>
      </c>
      <c r="L931" s="1"/>
    </row>
    <row r="932" spans="1:12" ht="12" customHeight="1" x14ac:dyDescent="0.25">
      <c r="A932" s="15">
        <v>44394</v>
      </c>
      <c r="B932" s="16" t="s">
        <v>1273</v>
      </c>
      <c r="C932" s="16" t="s">
        <v>310</v>
      </c>
      <c r="D932" s="16" t="str">
        <f>VLOOKUP(C932,[1]master_data!$A$2:$E$495,2,FALSE)</f>
        <v>ALIGATOR</v>
      </c>
      <c r="E932" s="16">
        <v>2</v>
      </c>
      <c r="F932" s="16">
        <f>VLOOKUP(C932,[1]master_data!$A$2:$E$495,3,FALSE)</f>
        <v>17000</v>
      </c>
      <c r="G932" s="16">
        <f>VLOOKUP(C932,[1]master_data!$A$2:$E$495,4,FALSE)</f>
        <v>35000</v>
      </c>
      <c r="H932" s="16">
        <f>E932*F932</f>
        <v>34000</v>
      </c>
      <c r="I932" s="16">
        <f>E932*G932</f>
        <v>70000</v>
      </c>
      <c r="J932" s="16">
        <f>I932-H932</f>
        <v>36000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44394</v>
      </c>
      <c r="B933" s="16" t="s">
        <v>1274</v>
      </c>
      <c r="C933" s="16" t="s">
        <v>8</v>
      </c>
      <c r="D933" s="16" t="str">
        <f>VLOOKUP(C933,[1]master_data!$A$2:$E$495,2,FALSE)</f>
        <v>MESIN YANG 1800</v>
      </c>
      <c r="E933" s="16">
        <v>1</v>
      </c>
      <c r="F933" s="16">
        <f>VLOOKUP(C933,[1]master_data!$A$2:$E$495,3,FALSE)</f>
        <v>75000</v>
      </c>
      <c r="G933" s="16">
        <f>VLOOKUP(C933,[1]master_data!$A$2:$E$495,4,FALSE)</f>
        <v>110000</v>
      </c>
      <c r="H933" s="16">
        <f>E933*F933</f>
        <v>75000</v>
      </c>
      <c r="I933" s="16">
        <f>E933*G933</f>
        <v>110000</v>
      </c>
      <c r="J933" s="16">
        <f>I933-H933</f>
        <v>35000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44394</v>
      </c>
      <c r="B934" s="16" t="s">
        <v>1275</v>
      </c>
      <c r="C934" s="16" t="s">
        <v>347</v>
      </c>
      <c r="D934" s="16" t="str">
        <f>VLOOKUP(C934,[1]master_data!$A$2:$E$495,2,FALSE)</f>
        <v>MOLI BALON</v>
      </c>
      <c r="E934" s="16">
        <v>30</v>
      </c>
      <c r="F934" s="16">
        <f>VLOOKUP(C934,[1]master_data!$A$2:$E$495,3,FALSE)</f>
        <v>800</v>
      </c>
      <c r="G934" s="16">
        <f>VLOOKUP(C934,[1]master_data!$A$2:$E$495,4,FALSE)</f>
        <v>2000</v>
      </c>
      <c r="H934" s="16">
        <f>E934*F934</f>
        <v>24000</v>
      </c>
      <c r="I934" s="16">
        <f>E934*G934</f>
        <v>60000</v>
      </c>
      <c r="J934" s="16">
        <f>I934-H934</f>
        <v>36000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44394</v>
      </c>
      <c r="B935" s="16" t="s">
        <v>1276</v>
      </c>
      <c r="C935" s="16" t="s">
        <v>30</v>
      </c>
      <c r="D935" s="16" t="str">
        <f>VLOOKUP(C935,[1]master_data!$A$2:$E$495,2,FALSE)</f>
        <v>MESIN YAMANO 1200</v>
      </c>
      <c r="E935" s="16">
        <v>1</v>
      </c>
      <c r="F935" s="16">
        <f>VLOOKUP(C935,[1]master_data!$A$2:$E$495,3,FALSE)</f>
        <v>27000</v>
      </c>
      <c r="G935" s="16">
        <f>VLOOKUP(C935,[1]master_data!$A$2:$E$495,4,FALSE)</f>
        <v>40000</v>
      </c>
      <c r="H935" s="16">
        <f>E935*F935</f>
        <v>27000</v>
      </c>
      <c r="I935" s="16">
        <f>E935*G935</f>
        <v>40000</v>
      </c>
      <c r="J935" s="16">
        <f>I935-H935</f>
        <v>13000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44394</v>
      </c>
      <c r="B936" s="16" t="s">
        <v>1277</v>
      </c>
      <c r="C936" s="16" t="s">
        <v>315</v>
      </c>
      <c r="D936" s="16" t="str">
        <f>VLOOKUP(C936,[1]master_data!$A$2:$E$495,2,FALSE)</f>
        <v>BLACK GHOST</v>
      </c>
      <c r="E936" s="16">
        <v>5</v>
      </c>
      <c r="F936" s="16">
        <f>VLOOKUP(C936,[1]master_data!$A$2:$E$495,3,FALSE)</f>
        <v>4000</v>
      </c>
      <c r="G936" s="16">
        <f>VLOOKUP(C936,[1]master_data!$A$2:$E$495,4,FALSE)</f>
        <v>10000</v>
      </c>
      <c r="H936" s="16">
        <f>E936*F936</f>
        <v>20000</v>
      </c>
      <c r="I936" s="16">
        <f>E936*G936</f>
        <v>50000</v>
      </c>
      <c r="J936" s="16">
        <f>I936-H936</f>
        <v>30000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44394</v>
      </c>
      <c r="B937" s="16" t="s">
        <v>1278</v>
      </c>
      <c r="C937" s="16" t="s">
        <v>70</v>
      </c>
      <c r="D937" s="16" t="str">
        <f>VLOOKUP(C937,[1]master_data!$A$2:$E$495,2,FALSE)</f>
        <v>MESIN ATMAN 103</v>
      </c>
      <c r="E937" s="16">
        <v>1</v>
      </c>
      <c r="F937" s="16">
        <f>VLOOKUP(C937,[1]master_data!$A$2:$E$495,3,FALSE)</f>
        <v>130000</v>
      </c>
      <c r="G937" s="16">
        <f>VLOOKUP(C937,[1]master_data!$A$2:$E$495,4,FALSE)</f>
        <v>175000</v>
      </c>
      <c r="H937" s="16">
        <f>E937*F937</f>
        <v>130000</v>
      </c>
      <c r="I937" s="16">
        <f>E937*G937</f>
        <v>175000</v>
      </c>
      <c r="J937" s="16">
        <f>I937-H937</f>
        <v>45000</v>
      </c>
      <c r="K937" s="16" t="str">
        <f>VLOOKUP(C937,[1]master_data!$A$2:$E$495,5,FALSE)</f>
        <v>Aksesoris</v>
      </c>
      <c r="L937" s="1"/>
    </row>
    <row r="938" spans="1:12" ht="12" customHeight="1" x14ac:dyDescent="0.25">
      <c r="A938" s="15">
        <v>44393</v>
      </c>
      <c r="B938" s="16" t="s">
        <v>1269</v>
      </c>
      <c r="C938" s="16" t="s">
        <v>39</v>
      </c>
      <c r="D938" s="16" t="str">
        <f>VLOOKUP(C938,[1]master_data!$A$2:$E$495,2,FALSE)</f>
        <v>MESIN YAMANO ACO 003</v>
      </c>
      <c r="E938" s="16">
        <v>2</v>
      </c>
      <c r="F938" s="16">
        <f>VLOOKUP(C938,[1]master_data!$A$2:$E$495,3,FALSE)</f>
        <v>375000</v>
      </c>
      <c r="G938" s="16">
        <f>VLOOKUP(C938,[1]master_data!$A$2:$E$495,4,FALSE)</f>
        <v>450000</v>
      </c>
      <c r="H938" s="16">
        <f>E938*F938</f>
        <v>750000</v>
      </c>
      <c r="I938" s="16">
        <f>E938*G938</f>
        <v>900000</v>
      </c>
      <c r="J938" s="16">
        <f>I938-H938</f>
        <v>150000</v>
      </c>
      <c r="K938" s="16" t="str">
        <f>VLOOKUP(C938,[1]master_data!$A$2:$E$495,5,FALSE)</f>
        <v>Aksesoris</v>
      </c>
      <c r="L938" s="1"/>
    </row>
    <row r="939" spans="1:12" ht="12" customHeight="1" x14ac:dyDescent="0.25">
      <c r="A939" s="15">
        <v>44393</v>
      </c>
      <c r="B939" s="16" t="s">
        <v>1270</v>
      </c>
      <c r="C939" s="16" t="s">
        <v>219</v>
      </c>
      <c r="D939" s="16" t="str">
        <f>VLOOKUP(C939,[1]master_data!$A$2:$E$495,2,FALSE)</f>
        <v>HEATER KACA 100 W</v>
      </c>
      <c r="E939" s="16">
        <v>1</v>
      </c>
      <c r="F939" s="16">
        <f>VLOOKUP(C939,[1]master_data!$A$2:$E$495,3,FALSE)</f>
        <v>33000</v>
      </c>
      <c r="G939" s="16">
        <f>VLOOKUP(C939,[1]master_data!$A$2:$E$495,4,FALSE)</f>
        <v>50000</v>
      </c>
      <c r="H939" s="16">
        <f>E939*F939</f>
        <v>33000</v>
      </c>
      <c r="I939" s="16">
        <f>E939*G939</f>
        <v>50000</v>
      </c>
      <c r="J939" s="16">
        <f>I939-H939</f>
        <v>17000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44393</v>
      </c>
      <c r="B940" s="16" t="s">
        <v>1271</v>
      </c>
      <c r="C940" s="16" t="s">
        <v>54</v>
      </c>
      <c r="D940" s="16" t="str">
        <f>VLOOKUP(C940,[1]master_data!$A$2:$E$495,2,FALSE)</f>
        <v>MESIN ATMAN 104</v>
      </c>
      <c r="E940" s="16">
        <v>1</v>
      </c>
      <c r="F940" s="16">
        <f>VLOOKUP(C940,[1]master_data!$A$2:$E$495,3,FALSE)</f>
        <v>170000</v>
      </c>
      <c r="G940" s="16">
        <f>VLOOKUP(C940,[1]master_data!$A$2:$E$495,4,FALSE)</f>
        <v>225000</v>
      </c>
      <c r="H940" s="16">
        <f>E940*F940</f>
        <v>170000</v>
      </c>
      <c r="I940" s="16">
        <f>E940*G940</f>
        <v>225000</v>
      </c>
      <c r="J940" s="16">
        <f>I940-H940</f>
        <v>55000</v>
      </c>
      <c r="K940" s="16" t="str">
        <f>VLOOKUP(C940,[1]master_data!$A$2:$E$495,5,FALSE)</f>
        <v>Aksesoris</v>
      </c>
      <c r="L940" s="1"/>
    </row>
    <row r="941" spans="1:12" ht="12" customHeight="1" x14ac:dyDescent="0.25">
      <c r="A941" s="15">
        <v>44392</v>
      </c>
      <c r="B941" s="16" t="s">
        <v>1264</v>
      </c>
      <c r="C941" s="16" t="s">
        <v>209</v>
      </c>
      <c r="D941" s="16" t="str">
        <f>VLOOKUP(C941,[1]master_data!$A$2:$E$495,2,FALSE)</f>
        <v>BIORING</v>
      </c>
      <c r="E941" s="16">
        <v>5</v>
      </c>
      <c r="F941" s="16">
        <f>VLOOKUP(C941,[1]master_data!$A$2:$E$495,3,FALSE)</f>
        <v>8000</v>
      </c>
      <c r="G941" s="16">
        <f>VLOOKUP(C941,[1]master_data!$A$2:$E$495,4,FALSE)</f>
        <v>15000</v>
      </c>
      <c r="H941" s="16">
        <f>E941*F941</f>
        <v>40000</v>
      </c>
      <c r="I941" s="16">
        <f>E941*G941</f>
        <v>75000</v>
      </c>
      <c r="J941" s="16">
        <f>I941-H941</f>
        <v>35000</v>
      </c>
      <c r="K941" s="16" t="str">
        <f>VLOOKUP(C941,[1]master_data!$A$2:$E$495,5,FALSE)</f>
        <v>Aksesoris</v>
      </c>
      <c r="L941" s="1"/>
    </row>
    <row r="942" spans="1:12" ht="12" customHeight="1" x14ac:dyDescent="0.25">
      <c r="A942" s="15">
        <v>44392</v>
      </c>
      <c r="B942" s="16" t="s">
        <v>1265</v>
      </c>
      <c r="C942" s="16" t="s">
        <v>51</v>
      </c>
      <c r="D942" s="16" t="str">
        <f>VLOOKUP(C942,[1]master_data!$A$2:$E$495,2,FALSE)</f>
        <v>MESIN RECENT 203</v>
      </c>
      <c r="E942" s="16">
        <v>5</v>
      </c>
      <c r="F942" s="16">
        <f>VLOOKUP(C942,[1]master_data!$A$2:$E$495,3,FALSE)</f>
        <v>43500</v>
      </c>
      <c r="G942" s="16">
        <f>VLOOKUP(C942,[1]master_data!$A$2:$E$495,4,FALSE)</f>
        <v>70000</v>
      </c>
      <c r="H942" s="16">
        <f>E942*F942</f>
        <v>217500</v>
      </c>
      <c r="I942" s="16">
        <f>E942*G942</f>
        <v>350000</v>
      </c>
      <c r="J942" s="16">
        <f>I942-H942</f>
        <v>132500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44392</v>
      </c>
      <c r="B943" s="16" t="s">
        <v>1266</v>
      </c>
      <c r="C943" s="16" t="s">
        <v>337</v>
      </c>
      <c r="D943" s="16" t="str">
        <f>VLOOKUP(C943,[1]master_data!$A$2:$E$495,2,FALSE)</f>
        <v>KOI SLAYER B</v>
      </c>
      <c r="E943" s="16">
        <v>5</v>
      </c>
      <c r="F943" s="16">
        <f>VLOOKUP(C943,[1]master_data!$A$2:$E$495,3,FALSE)</f>
        <v>8000</v>
      </c>
      <c r="G943" s="16">
        <f>VLOOKUP(C943,[1]master_data!$A$2:$E$495,4,FALSE)</f>
        <v>20000</v>
      </c>
      <c r="H943" s="16">
        <f>E943*F943</f>
        <v>40000</v>
      </c>
      <c r="I943" s="16">
        <f>E943*G943</f>
        <v>100000</v>
      </c>
      <c r="J943" s="16">
        <f>I943-H943</f>
        <v>60000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44392</v>
      </c>
      <c r="B944" s="16" t="s">
        <v>1267</v>
      </c>
      <c r="C944" s="16" t="s">
        <v>331</v>
      </c>
      <c r="D944" s="16" t="str">
        <f>VLOOKUP(C944,[1]master_data!$A$2:$E$495,2,FALSE)</f>
        <v>KOI B</v>
      </c>
      <c r="E944" s="16">
        <v>10</v>
      </c>
      <c r="F944" s="16">
        <f>VLOOKUP(C944,[1]master_data!$A$2:$E$495,3,FALSE)</f>
        <v>9000</v>
      </c>
      <c r="G944" s="16">
        <f>VLOOKUP(C944,[1]master_data!$A$2:$E$495,4,FALSE)</f>
        <v>30000</v>
      </c>
      <c r="H944" s="16">
        <f>E944*F944</f>
        <v>90000</v>
      </c>
      <c r="I944" s="16">
        <f>E944*G944</f>
        <v>300000</v>
      </c>
      <c r="J944" s="16">
        <f>I944-H944</f>
        <v>210000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44392</v>
      </c>
      <c r="B945" s="16" t="s">
        <v>1268</v>
      </c>
      <c r="C945" s="16" t="s">
        <v>331</v>
      </c>
      <c r="D945" s="16" t="str">
        <f>VLOOKUP(C945,[1]master_data!$A$2:$E$495,2,FALSE)</f>
        <v>KOI B</v>
      </c>
      <c r="E945" s="16">
        <v>10</v>
      </c>
      <c r="F945" s="16">
        <f>VLOOKUP(C945,[1]master_data!$A$2:$E$495,3,FALSE)</f>
        <v>9000</v>
      </c>
      <c r="G945" s="16">
        <f>VLOOKUP(C945,[1]master_data!$A$2:$E$495,4,FALSE)</f>
        <v>30000</v>
      </c>
      <c r="H945" s="16">
        <f>E945*F945</f>
        <v>90000</v>
      </c>
      <c r="I945" s="16">
        <f>E945*G945</f>
        <v>300000</v>
      </c>
      <c r="J945" s="16">
        <f>I945-H945</f>
        <v>210000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44391</v>
      </c>
      <c r="B946" s="16" t="s">
        <v>1262</v>
      </c>
      <c r="C946" s="16" t="s">
        <v>9</v>
      </c>
      <c r="D946" s="16" t="str">
        <f>VLOOKUP(C946,[1]master_data!$A$2:$E$495,2,FALSE)</f>
        <v>TOP FILTER YANG 910</v>
      </c>
      <c r="E946" s="16">
        <v>7</v>
      </c>
      <c r="F946" s="16">
        <f>VLOOKUP(C946,[1]master_data!$A$2:$E$495,3,FALSE)</f>
        <v>41000</v>
      </c>
      <c r="G946" s="16">
        <f>VLOOKUP(C946,[1]master_data!$A$2:$E$495,4,FALSE)</f>
        <v>65000</v>
      </c>
      <c r="H946" s="16">
        <f>E946*F946</f>
        <v>287000</v>
      </c>
      <c r="I946" s="16">
        <f>E946*G946</f>
        <v>455000</v>
      </c>
      <c r="J946" s="16">
        <f>I946-H946</f>
        <v>168000</v>
      </c>
      <c r="K946" s="16" t="str">
        <f>VLOOKUP(C946,[1]master_data!$A$2:$E$495,5,FALSE)</f>
        <v>Aksesoris</v>
      </c>
      <c r="L946" s="1"/>
    </row>
    <row r="947" spans="1:12" ht="12" customHeight="1" x14ac:dyDescent="0.25">
      <c r="A947" s="15">
        <v>44391</v>
      </c>
      <c r="B947" s="16" t="s">
        <v>1263</v>
      </c>
      <c r="C947" s="16" t="s">
        <v>129</v>
      </c>
      <c r="D947" s="16" t="str">
        <f>VLOOKUP(C947,[1]master_data!$A$2:$E$495,2,FALSE)</f>
        <v>LED ROSTON 3 MODE 40 CM</v>
      </c>
      <c r="E947" s="16">
        <v>1</v>
      </c>
      <c r="F947" s="16">
        <f>VLOOKUP(C947,[1]master_data!$A$2:$E$495,3,FALSE)</f>
        <v>27000</v>
      </c>
      <c r="G947" s="16">
        <f>VLOOKUP(C947,[1]master_data!$A$2:$E$495,4,FALSE)</f>
        <v>50000</v>
      </c>
      <c r="H947" s="16">
        <f>E947*F947</f>
        <v>27000</v>
      </c>
      <c r="I947" s="16">
        <f>E947*G947</f>
        <v>50000</v>
      </c>
      <c r="J947" s="16">
        <f>I947-H947</f>
        <v>23000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44390</v>
      </c>
      <c r="B948" s="16" t="s">
        <v>1256</v>
      </c>
      <c r="C948" s="16" t="s">
        <v>303</v>
      </c>
      <c r="D948" s="16" t="str">
        <f>VLOOKUP(C948,[1]master_data!$A$2:$E$495,2,FALSE)</f>
        <v>CHANNA ASIATICA K</v>
      </c>
      <c r="E948" s="16">
        <v>1</v>
      </c>
      <c r="F948" s="16">
        <f>VLOOKUP(C948,[1]master_data!$A$2:$E$495,3,FALSE)</f>
        <v>10000</v>
      </c>
      <c r="G948" s="16">
        <f>VLOOKUP(C948,[1]master_data!$A$2:$E$495,4,FALSE)</f>
        <v>40000</v>
      </c>
      <c r="H948" s="16">
        <f>E948*F948</f>
        <v>10000</v>
      </c>
      <c r="I948" s="16">
        <f>E948*G948</f>
        <v>40000</v>
      </c>
      <c r="J948" s="16">
        <f>I948-H948</f>
        <v>30000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44390</v>
      </c>
      <c r="B949" s="16" t="s">
        <v>1257</v>
      </c>
      <c r="C949" s="16" t="s">
        <v>270</v>
      </c>
      <c r="D949" s="16" t="str">
        <f>VLOOKUP(C949,[1]master_data!$A$2:$E$495,2,FALSE)</f>
        <v>FISH ALL ANTI ALGAE</v>
      </c>
      <c r="E949" s="16">
        <v>5</v>
      </c>
      <c r="F949" s="16">
        <f>VLOOKUP(C949,[1]master_data!$A$2:$E$495,3,FALSE)</f>
        <v>6000</v>
      </c>
      <c r="G949" s="16">
        <f>VLOOKUP(C949,[1]master_data!$A$2:$E$495,4,FALSE)</f>
        <v>12000</v>
      </c>
      <c r="H949" s="16">
        <f>E949*F949</f>
        <v>30000</v>
      </c>
      <c r="I949" s="16">
        <f>E949*G949</f>
        <v>60000</v>
      </c>
      <c r="J949" s="16">
        <f>I949-H949</f>
        <v>30000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44390</v>
      </c>
      <c r="B950" s="16" t="s">
        <v>1258</v>
      </c>
      <c r="C950" s="16" t="s">
        <v>171</v>
      </c>
      <c r="D950" s="16" t="str">
        <f>VLOOKUP(C950,[1]master_data!$A$2:$E$495,2,FALSE)</f>
        <v>ARTEMIA SUPREME PLUS</v>
      </c>
      <c r="E950" s="16">
        <v>5</v>
      </c>
      <c r="F950" s="16">
        <f>VLOOKUP(C950,[1]master_data!$A$2:$E$495,3,FALSE)</f>
        <v>14500</v>
      </c>
      <c r="G950" s="16">
        <f>VLOOKUP(C950,[1]master_data!$A$2:$E$495,4,FALSE)</f>
        <v>25000</v>
      </c>
      <c r="H950" s="16">
        <f>E950*F950</f>
        <v>72500</v>
      </c>
      <c r="I950" s="16">
        <f>E950*G950</f>
        <v>125000</v>
      </c>
      <c r="J950" s="16">
        <f>I950-H950</f>
        <v>52500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44390</v>
      </c>
      <c r="B951" s="16" t="s">
        <v>1259</v>
      </c>
      <c r="C951" s="16" t="s">
        <v>352</v>
      </c>
      <c r="D951" s="16" t="str">
        <f>VLOOKUP(C951,[1]master_data!$A$2:$E$495,2,FALSE)</f>
        <v>OSCAR</v>
      </c>
      <c r="E951" s="16">
        <v>1</v>
      </c>
      <c r="F951" s="16">
        <f>VLOOKUP(C951,[1]master_data!$A$2:$E$495,3,FALSE)</f>
        <v>25000</v>
      </c>
      <c r="G951" s="16">
        <f>VLOOKUP(C951,[1]master_data!$A$2:$E$495,4,FALSE)</f>
        <v>50000</v>
      </c>
      <c r="H951" s="16">
        <f>E951*F951</f>
        <v>25000</v>
      </c>
      <c r="I951" s="16">
        <f>E951*G951</f>
        <v>50000</v>
      </c>
      <c r="J951" s="16">
        <f>I951-H951</f>
        <v>25000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44390</v>
      </c>
      <c r="B952" s="16" t="s">
        <v>1260</v>
      </c>
      <c r="C952" s="16" t="s">
        <v>347</v>
      </c>
      <c r="D952" s="16" t="str">
        <f>VLOOKUP(C952,[1]master_data!$A$2:$E$495,2,FALSE)</f>
        <v>MOLI BALON</v>
      </c>
      <c r="E952" s="16">
        <v>16</v>
      </c>
      <c r="F952" s="16">
        <f>VLOOKUP(C952,[1]master_data!$A$2:$E$495,3,FALSE)</f>
        <v>800</v>
      </c>
      <c r="G952" s="16">
        <f>VLOOKUP(C952,[1]master_data!$A$2:$E$495,4,FALSE)</f>
        <v>2000</v>
      </c>
      <c r="H952" s="16">
        <f>E952*F952</f>
        <v>12800</v>
      </c>
      <c r="I952" s="16">
        <f>E952*G952</f>
        <v>32000</v>
      </c>
      <c r="J952" s="16">
        <f>I952-H952</f>
        <v>19200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44390</v>
      </c>
      <c r="B953" s="16" t="s">
        <v>1261</v>
      </c>
      <c r="C953" s="16" t="s">
        <v>345</v>
      </c>
      <c r="D953" s="16" t="str">
        <f>VLOOKUP(C953,[1]master_data!$A$2:$E$495,2,FALSE)</f>
        <v>MARU B</v>
      </c>
      <c r="E953" s="16">
        <v>2</v>
      </c>
      <c r="F953" s="16">
        <f>VLOOKUP(C953,[1]master_data!$A$2:$E$495,3,FALSE)</f>
        <v>90000</v>
      </c>
      <c r="G953" s="16">
        <f>VLOOKUP(C953,[1]master_data!$A$2:$E$495,4,FALSE)</f>
        <v>150000</v>
      </c>
      <c r="H953" s="16">
        <f>E953*F953</f>
        <v>180000</v>
      </c>
      <c r="I953" s="16">
        <f>E953*G953</f>
        <v>300000</v>
      </c>
      <c r="J953" s="16">
        <f>I953-H953</f>
        <v>120000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44389</v>
      </c>
      <c r="B954" s="16" t="s">
        <v>1252</v>
      </c>
      <c r="C954" s="16" t="s">
        <v>251</v>
      </c>
      <c r="D954" s="16" t="str">
        <f>VLOOKUP(C954,[1]master_data!$A$2:$E$495,2,FALSE)</f>
        <v>LURUS SELANG</v>
      </c>
      <c r="E954" s="16">
        <v>20</v>
      </c>
      <c r="F954" s="16">
        <f>VLOOKUP(C954,[1]master_data!$A$2:$E$495,3,FALSE)</f>
        <v>750</v>
      </c>
      <c r="G954" s="16">
        <f>VLOOKUP(C954,[1]master_data!$A$2:$E$495,4,FALSE)</f>
        <v>1500</v>
      </c>
      <c r="H954" s="16">
        <f>E954*F954</f>
        <v>15000</v>
      </c>
      <c r="I954" s="16">
        <f>E954*G954</f>
        <v>30000</v>
      </c>
      <c r="J954" s="16">
        <f>I954-H954</f>
        <v>15000</v>
      </c>
      <c r="K954" s="16" t="str">
        <f>VLOOKUP(C954,[1]master_data!$A$2:$E$495,5,FALSE)</f>
        <v>Aksesoris</v>
      </c>
      <c r="L954" s="1"/>
    </row>
    <row r="955" spans="1:12" ht="12" customHeight="1" x14ac:dyDescent="0.25">
      <c r="A955" s="15">
        <v>44389</v>
      </c>
      <c r="B955" s="16" t="s">
        <v>1253</v>
      </c>
      <c r="C955" s="16" t="s">
        <v>312</v>
      </c>
      <c r="D955" s="16" t="str">
        <f>VLOOKUP(C955,[1]master_data!$A$2:$E$495,2,FALSE)</f>
        <v>BUENOS AIRES TETRA</v>
      </c>
      <c r="E955" s="16">
        <v>25</v>
      </c>
      <c r="F955" s="16">
        <f>VLOOKUP(C955,[1]master_data!$A$2:$E$495,3,FALSE)</f>
        <v>800</v>
      </c>
      <c r="G955" s="16">
        <f>VLOOKUP(C955,[1]master_data!$A$2:$E$495,4,FALSE)</f>
        <v>2000</v>
      </c>
      <c r="H955" s="16">
        <f>E955*F955</f>
        <v>20000</v>
      </c>
      <c r="I955" s="16">
        <f>E955*G955</f>
        <v>50000</v>
      </c>
      <c r="J955" s="16">
        <f>I955-H955</f>
        <v>30000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44389</v>
      </c>
      <c r="B956" s="16" t="s">
        <v>1254</v>
      </c>
      <c r="C956" s="16" t="s">
        <v>32</v>
      </c>
      <c r="D956" s="16" t="str">
        <f>VLOOKUP(C956,[1]master_data!$A$2:$E$495,2,FALSE)</f>
        <v>MESIN YAMANO 1800</v>
      </c>
      <c r="E956" s="16">
        <v>1</v>
      </c>
      <c r="F956" s="16">
        <f>VLOOKUP(C956,[1]master_data!$A$2:$E$495,3,FALSE)</f>
        <v>64000</v>
      </c>
      <c r="G956" s="16">
        <f>VLOOKUP(C956,[1]master_data!$A$2:$E$495,4,FALSE)</f>
        <v>110000</v>
      </c>
      <c r="H956" s="16">
        <f>E956*F956</f>
        <v>64000</v>
      </c>
      <c r="I956" s="16">
        <f>E956*G956</f>
        <v>110000</v>
      </c>
      <c r="J956" s="16">
        <f>I956-H956</f>
        <v>46000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44389</v>
      </c>
      <c r="B957" s="16" t="s">
        <v>1255</v>
      </c>
      <c r="C957" s="16" t="s">
        <v>341</v>
      </c>
      <c r="D957" s="16" t="str">
        <f>VLOOKUP(C957,[1]master_data!$A$2:$E$495,2,FALSE)</f>
        <v>LOUHAN</v>
      </c>
      <c r="E957" s="16">
        <v>2</v>
      </c>
      <c r="F957" s="16">
        <f>VLOOKUP(C957,[1]master_data!$A$2:$E$495,3,FALSE)</f>
        <v>85000</v>
      </c>
      <c r="G957" s="16">
        <f>VLOOKUP(C957,[1]master_data!$A$2:$E$495,4,FALSE)</f>
        <v>200000</v>
      </c>
      <c r="H957" s="16">
        <f>E957*F957</f>
        <v>170000</v>
      </c>
      <c r="I957" s="16">
        <f>E957*G957</f>
        <v>400000</v>
      </c>
      <c r="J957" s="16">
        <f>I957-H957</f>
        <v>230000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44388</v>
      </c>
      <c r="B958" s="16" t="s">
        <v>1245</v>
      </c>
      <c r="C958" s="16" t="s">
        <v>352</v>
      </c>
      <c r="D958" s="16" t="str">
        <f>VLOOKUP(C958,[1]master_data!$A$2:$E$495,2,FALSE)</f>
        <v>OSCAR</v>
      </c>
      <c r="E958" s="16">
        <v>1</v>
      </c>
      <c r="F958" s="16">
        <f>VLOOKUP(C958,[1]master_data!$A$2:$E$495,3,FALSE)</f>
        <v>25000</v>
      </c>
      <c r="G958" s="16">
        <f>VLOOKUP(C958,[1]master_data!$A$2:$E$495,4,FALSE)</f>
        <v>50000</v>
      </c>
      <c r="H958" s="16">
        <f>E958*F958</f>
        <v>25000</v>
      </c>
      <c r="I958" s="16">
        <f>E958*G958</f>
        <v>50000</v>
      </c>
      <c r="J958" s="16">
        <f>I958-H958</f>
        <v>25000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44388</v>
      </c>
      <c r="B959" s="16" t="s">
        <v>1246</v>
      </c>
      <c r="C959" s="16" t="s">
        <v>357</v>
      </c>
      <c r="D959" s="16" t="str">
        <f>VLOOKUP(C959,[1]master_data!$A$2:$E$495,2,FALSE)</f>
        <v>PESO</v>
      </c>
      <c r="E959" s="16">
        <v>1</v>
      </c>
      <c r="F959" s="16">
        <f>VLOOKUP(C959,[1]master_data!$A$2:$E$495,3,FALSE)</f>
        <v>19000</v>
      </c>
      <c r="G959" s="16">
        <f>VLOOKUP(C959,[1]master_data!$A$2:$E$495,4,FALSE)</f>
        <v>40000</v>
      </c>
      <c r="H959" s="16">
        <f>E959*F959</f>
        <v>19000</v>
      </c>
      <c r="I959" s="16">
        <f>E959*G959</f>
        <v>40000</v>
      </c>
      <c r="J959" s="16">
        <f>I959-H959</f>
        <v>21000</v>
      </c>
      <c r="K959" s="16" t="str">
        <f>VLOOKUP(C959,[1]master_data!$A$2:$E$495,5,FALSE)</f>
        <v>Ikan</v>
      </c>
      <c r="L959" s="1"/>
    </row>
    <row r="960" spans="1:12" ht="12" customHeight="1" x14ac:dyDescent="0.25">
      <c r="A960" s="15">
        <v>44388</v>
      </c>
      <c r="B960" s="16" t="s">
        <v>1247</v>
      </c>
      <c r="C960" s="16" t="s">
        <v>314</v>
      </c>
      <c r="D960" s="16" t="str">
        <f>VLOOKUP(C960,[1]master_data!$A$2:$E$495,2,FALSE)</f>
        <v>BALA BALA B</v>
      </c>
      <c r="E960" s="16">
        <v>1</v>
      </c>
      <c r="F960" s="16">
        <f>VLOOKUP(C960,[1]master_data!$A$2:$E$495,3,FALSE)</f>
        <v>7000</v>
      </c>
      <c r="G960" s="16">
        <f>VLOOKUP(C960,[1]master_data!$A$2:$E$495,4,FALSE)</f>
        <v>15000</v>
      </c>
      <c r="H960" s="16">
        <f>E960*F960</f>
        <v>7000</v>
      </c>
      <c r="I960" s="16">
        <f>E960*G960</f>
        <v>15000</v>
      </c>
      <c r="J960" s="16">
        <f>I960-H960</f>
        <v>8000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44388</v>
      </c>
      <c r="B961" s="16" t="s">
        <v>1248</v>
      </c>
      <c r="C961" s="16" t="s">
        <v>209</v>
      </c>
      <c r="D961" s="16" t="str">
        <f>VLOOKUP(C961,[1]master_data!$A$2:$E$495,2,FALSE)</f>
        <v>BIORING</v>
      </c>
      <c r="E961" s="16">
        <v>5</v>
      </c>
      <c r="F961" s="16">
        <f>VLOOKUP(C961,[1]master_data!$A$2:$E$495,3,FALSE)</f>
        <v>8000</v>
      </c>
      <c r="G961" s="16">
        <f>VLOOKUP(C961,[1]master_data!$A$2:$E$495,4,FALSE)</f>
        <v>15000</v>
      </c>
      <c r="H961" s="16">
        <f>E961*F961</f>
        <v>40000</v>
      </c>
      <c r="I961" s="16">
        <f>E961*G961</f>
        <v>75000</v>
      </c>
      <c r="J961" s="16">
        <f>I961-H961</f>
        <v>35000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44388</v>
      </c>
      <c r="B962" s="16" t="s">
        <v>1249</v>
      </c>
      <c r="C962" s="16" t="s">
        <v>309</v>
      </c>
      <c r="D962" s="16" t="str">
        <f>VLOOKUP(C962,[1]master_data!$A$2:$E$495,2,FALSE)</f>
        <v>ALGA EATER</v>
      </c>
      <c r="E962" s="16">
        <v>10</v>
      </c>
      <c r="F962" s="16">
        <f>VLOOKUP(C962,[1]master_data!$A$2:$E$495,3,FALSE)</f>
        <v>1750</v>
      </c>
      <c r="G962" s="16">
        <f>VLOOKUP(C962,[1]master_data!$A$2:$E$495,4,FALSE)</f>
        <v>5000</v>
      </c>
      <c r="H962" s="16">
        <f>E962*F962</f>
        <v>17500</v>
      </c>
      <c r="I962" s="16">
        <f>E962*G962</f>
        <v>50000</v>
      </c>
      <c r="J962" s="16">
        <f>I962-H962</f>
        <v>32500</v>
      </c>
      <c r="K962" s="16" t="str">
        <f>VLOOKUP(C962,[1]master_data!$A$2:$E$495,5,FALSE)</f>
        <v>Ikan</v>
      </c>
      <c r="L962" s="1"/>
    </row>
    <row r="963" spans="1:12" ht="12" customHeight="1" x14ac:dyDescent="0.25">
      <c r="A963" s="15">
        <v>44388</v>
      </c>
      <c r="B963" s="16" t="s">
        <v>1250</v>
      </c>
      <c r="C963" s="16" t="s">
        <v>373</v>
      </c>
      <c r="D963" s="16" t="str">
        <f>VLOOKUP(C963,[1]master_data!$A$2:$E$495,2,FALSE)</f>
        <v>SEPAT</v>
      </c>
      <c r="E963" s="16">
        <v>8</v>
      </c>
      <c r="F963" s="16">
        <f>VLOOKUP(C963,[1]master_data!$A$2:$E$495,3,FALSE)</f>
        <v>600</v>
      </c>
      <c r="G963" s="16">
        <f>VLOOKUP(C963,[1]master_data!$A$2:$E$495,4,FALSE)</f>
        <v>2000</v>
      </c>
      <c r="H963" s="16">
        <f>E963*F963</f>
        <v>4800</v>
      </c>
      <c r="I963" s="16">
        <f>E963*G963</f>
        <v>16000</v>
      </c>
      <c r="J963" s="16">
        <f>I963-H963</f>
        <v>11200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44388</v>
      </c>
      <c r="B964" s="16" t="s">
        <v>1251</v>
      </c>
      <c r="C964" s="16" t="s">
        <v>351</v>
      </c>
      <c r="D964" s="16" t="str">
        <f>VLOOKUP(C964,[1]master_data!$A$2:$E$495,2,FALSE)</f>
        <v>NEON</v>
      </c>
      <c r="E964" s="16">
        <v>1</v>
      </c>
      <c r="F964" s="16">
        <f>VLOOKUP(C964,[1]master_data!$A$2:$E$495,3,FALSE)</f>
        <v>1250</v>
      </c>
      <c r="G964" s="16">
        <f>VLOOKUP(C964,[1]master_data!$A$2:$E$495,4,FALSE)</f>
        <v>5000</v>
      </c>
      <c r="H964" s="16">
        <f>E964*F964</f>
        <v>1250</v>
      </c>
      <c r="I964" s="16">
        <f>E964*G964</f>
        <v>5000</v>
      </c>
      <c r="J964" s="16">
        <f>I964-H964</f>
        <v>3750</v>
      </c>
      <c r="K964" s="16" t="str">
        <f>VLOOKUP(C964,[1]master_data!$A$2:$E$495,5,FALSE)</f>
        <v>Ikan</v>
      </c>
      <c r="L964" s="1"/>
    </row>
    <row r="965" spans="1:12" ht="12" customHeight="1" x14ac:dyDescent="0.25">
      <c r="A965" s="15">
        <v>44387</v>
      </c>
      <c r="B965" s="16" t="s">
        <v>1238</v>
      </c>
      <c r="C965" s="16" t="s">
        <v>210</v>
      </c>
      <c r="D965" s="16" t="str">
        <f>VLOOKUP(C965,[1]master_data!$A$2:$E$495,2,FALSE)</f>
        <v>COP PIPA</v>
      </c>
      <c r="E965" s="16">
        <v>1</v>
      </c>
      <c r="F965" s="16">
        <f>VLOOKUP(C965,[1]master_data!$A$2:$E$495,3,FALSE)</f>
        <v>800</v>
      </c>
      <c r="G965" s="16">
        <f>VLOOKUP(C965,[1]master_data!$A$2:$E$495,4,FALSE)</f>
        <v>2000</v>
      </c>
      <c r="H965" s="16">
        <f>E965*F965</f>
        <v>800</v>
      </c>
      <c r="I965" s="16">
        <f>E965*G965</f>
        <v>2000</v>
      </c>
      <c r="J965" s="16">
        <f>I965-H965</f>
        <v>1200</v>
      </c>
      <c r="K965" s="16" t="str">
        <f>VLOOKUP(C965,[1]master_data!$A$2:$E$495,5,FALSE)</f>
        <v>Aksesoris</v>
      </c>
      <c r="L965" s="1"/>
    </row>
    <row r="966" spans="1:12" ht="12" customHeight="1" x14ac:dyDescent="0.25">
      <c r="A966" s="15">
        <v>44387</v>
      </c>
      <c r="B966" s="16" t="s">
        <v>1239</v>
      </c>
      <c r="C966" s="16" t="s">
        <v>324</v>
      </c>
      <c r="D966" s="16" t="str">
        <f>VLOOKUP(C966,[1]master_data!$A$2:$E$495,2,FALSE)</f>
        <v>GOLDEN BLACK</v>
      </c>
      <c r="E966" s="16">
        <v>1</v>
      </c>
      <c r="F966" s="16">
        <f>VLOOKUP(C966,[1]master_data!$A$2:$E$495,3,FALSE)</f>
        <v>800</v>
      </c>
      <c r="G966" s="16">
        <f>VLOOKUP(C966,[1]master_data!$A$2:$E$495,4,FALSE)</f>
        <v>2000</v>
      </c>
      <c r="H966" s="16">
        <f>E966*F966</f>
        <v>800</v>
      </c>
      <c r="I966" s="16">
        <f>E966*G966</f>
        <v>2000</v>
      </c>
      <c r="J966" s="16">
        <f>I966-H966</f>
        <v>1200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44387</v>
      </c>
      <c r="B967" s="16" t="s">
        <v>1240</v>
      </c>
      <c r="C967" s="16" t="s">
        <v>281</v>
      </c>
      <c r="D967" s="16" t="str">
        <f>VLOOKUP(C967,[1]master_data!$A$2:$E$495,2,FALSE)</f>
        <v>TOPLES 7,2 L</v>
      </c>
      <c r="E967" s="16">
        <v>1</v>
      </c>
      <c r="F967" s="16">
        <f>VLOOKUP(C967,[1]master_data!$A$2:$E$495,3,FALSE)</f>
        <v>45000</v>
      </c>
      <c r="G967" s="16">
        <f>VLOOKUP(C967,[1]master_data!$A$2:$E$495,4,FALSE)</f>
        <v>100000</v>
      </c>
      <c r="H967" s="16">
        <f>E967*F967</f>
        <v>45000</v>
      </c>
      <c r="I967" s="16">
        <f>E967*G967</f>
        <v>100000</v>
      </c>
      <c r="J967" s="16">
        <f>I967-H967</f>
        <v>55000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44387</v>
      </c>
      <c r="B968" s="16" t="s">
        <v>1241</v>
      </c>
      <c r="C968" s="16" t="s">
        <v>40</v>
      </c>
      <c r="D968" s="16" t="str">
        <f>VLOOKUP(C968,[1]master_data!$A$2:$E$495,2,FALSE)</f>
        <v>MESIN YAMANO ACO 004</v>
      </c>
      <c r="E968" s="16">
        <v>1</v>
      </c>
      <c r="F968" s="16">
        <f>VLOOKUP(C968,[1]master_data!$A$2:$E$495,3,FALSE)</f>
        <v>505000</v>
      </c>
      <c r="G968" s="16">
        <f>VLOOKUP(C968,[1]master_data!$A$2:$E$495,4,FALSE)</f>
        <v>550000</v>
      </c>
      <c r="H968" s="16">
        <f>E968*F968</f>
        <v>505000</v>
      </c>
      <c r="I968" s="16">
        <f>E968*G968</f>
        <v>550000</v>
      </c>
      <c r="J968" s="16">
        <f>I968-H968</f>
        <v>45000</v>
      </c>
      <c r="K968" s="16" t="str">
        <f>VLOOKUP(C968,[1]master_data!$A$2:$E$495,5,FALSE)</f>
        <v>Aksesoris</v>
      </c>
      <c r="L968" s="1"/>
    </row>
    <row r="969" spans="1:12" ht="12" customHeight="1" x14ac:dyDescent="0.25">
      <c r="A969" s="15">
        <v>44387</v>
      </c>
      <c r="B969" s="16" t="s">
        <v>1242</v>
      </c>
      <c r="C969" s="16" t="s">
        <v>32</v>
      </c>
      <c r="D969" s="16" t="str">
        <f>VLOOKUP(C969,[1]master_data!$A$2:$E$495,2,FALSE)</f>
        <v>MESIN YAMANO 1800</v>
      </c>
      <c r="E969" s="16">
        <v>1</v>
      </c>
      <c r="F969" s="16">
        <f>VLOOKUP(C969,[1]master_data!$A$2:$E$495,3,FALSE)</f>
        <v>64000</v>
      </c>
      <c r="G969" s="16">
        <f>VLOOKUP(C969,[1]master_data!$A$2:$E$495,4,FALSE)</f>
        <v>110000</v>
      </c>
      <c r="H969" s="16">
        <f>E969*F969</f>
        <v>64000</v>
      </c>
      <c r="I969" s="16">
        <f>E969*G969</f>
        <v>110000</v>
      </c>
      <c r="J969" s="16">
        <f>I969-H969</f>
        <v>46000</v>
      </c>
      <c r="K969" s="16" t="str">
        <f>VLOOKUP(C969,[1]master_data!$A$2:$E$495,5,FALSE)</f>
        <v>Aksesoris</v>
      </c>
      <c r="L969" s="1"/>
    </row>
    <row r="970" spans="1:12" ht="12" customHeight="1" x14ac:dyDescent="0.25">
      <c r="A970" s="15">
        <v>44387</v>
      </c>
      <c r="B970" s="16" t="s">
        <v>1243</v>
      </c>
      <c r="C970" s="16" t="s">
        <v>102</v>
      </c>
      <c r="D970" s="16" t="str">
        <f>VLOOKUP(C970,[1]master_data!$A$2:$E$495,2,FALSE)</f>
        <v>LED ROSTON 60 CM</v>
      </c>
      <c r="E970" s="16">
        <v>1</v>
      </c>
      <c r="F970" s="16">
        <f>VLOOKUP(C970,[1]master_data!$A$2:$E$495,3,FALSE)</f>
        <v>28000</v>
      </c>
      <c r="G970" s="16">
        <f>VLOOKUP(C970,[1]master_data!$A$2:$E$495,4,FALSE)</f>
        <v>60000</v>
      </c>
      <c r="H970" s="16">
        <f>E970*F970</f>
        <v>28000</v>
      </c>
      <c r="I970" s="16">
        <f>E970*G970</f>
        <v>60000</v>
      </c>
      <c r="J970" s="16">
        <f>I970-H970</f>
        <v>32000</v>
      </c>
      <c r="K970" s="16" t="str">
        <f>VLOOKUP(C970,[1]master_data!$A$2:$E$495,5,FALSE)</f>
        <v>Aksesoris</v>
      </c>
      <c r="L970" s="1"/>
    </row>
    <row r="971" spans="1:12" ht="12" customHeight="1" x14ac:dyDescent="0.25">
      <c r="A971" s="15">
        <v>44387</v>
      </c>
      <c r="B971" s="16" t="s">
        <v>1244</v>
      </c>
      <c r="C971" s="16" t="s">
        <v>38</v>
      </c>
      <c r="D971" s="16" t="str">
        <f>VLOOKUP(C971,[1]master_data!$A$2:$E$495,2,FALSE)</f>
        <v>MESIN YAMANO ACO 001</v>
      </c>
      <c r="E971" s="16">
        <v>1</v>
      </c>
      <c r="F971" s="16">
        <f>VLOOKUP(C971,[1]master_data!$A$2:$E$495,3,FALSE)</f>
        <v>275000</v>
      </c>
      <c r="G971" s="16">
        <f>VLOOKUP(C971,[1]master_data!$A$2:$E$495,4,FALSE)</f>
        <v>350000</v>
      </c>
      <c r="H971" s="16">
        <f>E971*F971</f>
        <v>275000</v>
      </c>
      <c r="I971" s="16">
        <f>E971*G971</f>
        <v>350000</v>
      </c>
      <c r="J971" s="16">
        <f>I971-H971</f>
        <v>75000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44386</v>
      </c>
      <c r="B972" s="16" t="s">
        <v>1236</v>
      </c>
      <c r="C972" s="16" t="s">
        <v>105</v>
      </c>
      <c r="D972" s="16" t="str">
        <f>VLOOKUP(C972,[1]master_data!$A$2:$E$495,2,FALSE)</f>
        <v>LAMPU YAMANO UV 9W</v>
      </c>
      <c r="E972" s="16">
        <v>9</v>
      </c>
      <c r="F972" s="16">
        <f>VLOOKUP(C972,[1]master_data!$A$2:$E$495,3,FALSE)</f>
        <v>66000</v>
      </c>
      <c r="G972" s="16">
        <f>VLOOKUP(C972,[1]master_data!$A$2:$E$495,4,FALSE)</f>
        <v>85000</v>
      </c>
      <c r="H972" s="16">
        <f>E972*F972</f>
        <v>594000</v>
      </c>
      <c r="I972" s="16">
        <f>E972*G972</f>
        <v>765000</v>
      </c>
      <c r="J972" s="16">
        <f>I972-H972</f>
        <v>171000</v>
      </c>
      <c r="K972" s="16" t="str">
        <f>VLOOKUP(C972,[1]master_data!$A$2:$E$495,5,FALSE)</f>
        <v>Aksesoris</v>
      </c>
      <c r="L972" s="1"/>
    </row>
    <row r="973" spans="1:12" ht="12" customHeight="1" x14ac:dyDescent="0.25">
      <c r="A973" s="15">
        <v>44386</v>
      </c>
      <c r="B973" s="16" t="s">
        <v>1237</v>
      </c>
      <c r="C973" s="16" t="s">
        <v>37</v>
      </c>
      <c r="D973" s="16" t="str">
        <f>VLOOKUP(C973,[1]master_data!$A$2:$E$495,2,FALSE)</f>
        <v>MESIN YAMANO 107</v>
      </c>
      <c r="E973" s="16">
        <v>1</v>
      </c>
      <c r="F973" s="16">
        <f>VLOOKUP(C973,[1]master_data!$A$2:$E$495,3,FALSE)</f>
        <v>280000</v>
      </c>
      <c r="G973" s="16">
        <f>VLOOKUP(C973,[1]master_data!$A$2:$E$495,4,FALSE)</f>
        <v>321000</v>
      </c>
      <c r="H973" s="16">
        <f>E973*F973</f>
        <v>280000</v>
      </c>
      <c r="I973" s="16">
        <f>E973*G973</f>
        <v>321000</v>
      </c>
      <c r="J973" s="16">
        <f>I973-H973</f>
        <v>41000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44385</v>
      </c>
      <c r="B974" s="16" t="s">
        <v>1231</v>
      </c>
      <c r="C974" s="16" t="s">
        <v>364</v>
      </c>
      <c r="D974" s="16" t="str">
        <f>VLOOKUP(C974,[1]master_data!$A$2:$E$495,2,FALSE)</f>
        <v>SNOW WHITE</v>
      </c>
      <c r="E974" s="16">
        <v>25</v>
      </c>
      <c r="F974" s="16">
        <f>VLOOKUP(C974,[1]master_data!$A$2:$E$495,3,FALSE)</f>
        <v>1500</v>
      </c>
      <c r="G974" s="16">
        <f>VLOOKUP(C974,[1]master_data!$A$2:$E$495,4,FALSE)</f>
        <v>3000</v>
      </c>
      <c r="H974" s="16">
        <f>E974*F974</f>
        <v>37500</v>
      </c>
      <c r="I974" s="16">
        <f>E974*G974</f>
        <v>75000</v>
      </c>
      <c r="J974" s="16">
        <f>I974-H974</f>
        <v>37500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44385</v>
      </c>
      <c r="B975" s="16" t="s">
        <v>1232</v>
      </c>
      <c r="C975" s="16" t="s">
        <v>321</v>
      </c>
      <c r="D975" s="16" t="str">
        <f>VLOOKUP(C975,[1]master_data!$A$2:$E$495,2,FALSE)</f>
        <v>CATFISH</v>
      </c>
      <c r="E975" s="16">
        <v>2</v>
      </c>
      <c r="F975" s="16">
        <f>VLOOKUP(C975,[1]master_data!$A$2:$E$495,3,FALSE)</f>
        <v>20000</v>
      </c>
      <c r="G975" s="16">
        <f>VLOOKUP(C975,[1]master_data!$A$2:$E$495,4,FALSE)</f>
        <v>50000</v>
      </c>
      <c r="H975" s="16">
        <f>E975*F975</f>
        <v>40000</v>
      </c>
      <c r="I975" s="16">
        <f>E975*G975</f>
        <v>100000</v>
      </c>
      <c r="J975" s="16">
        <f>I975-H975</f>
        <v>60000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44385</v>
      </c>
      <c r="B976" s="16" t="s">
        <v>1233</v>
      </c>
      <c r="C976" s="16" t="s">
        <v>16</v>
      </c>
      <c r="D976" s="16" t="str">
        <f>VLOOKUP(C976,[1]master_data!$A$2:$E$495,2,FALSE)</f>
        <v>MESIN YANG 108</v>
      </c>
      <c r="E976" s="16">
        <v>1</v>
      </c>
      <c r="F976" s="16">
        <f>VLOOKUP(C976,[1]master_data!$A$2:$E$495,3,FALSE)</f>
        <v>350000</v>
      </c>
      <c r="G976" s="16">
        <f>VLOOKUP(C976,[1]master_data!$A$2:$E$495,4,FALSE)</f>
        <v>420000</v>
      </c>
      <c r="H976" s="16">
        <f>E976*F976</f>
        <v>350000</v>
      </c>
      <c r="I976" s="16">
        <f>E976*G976</f>
        <v>420000</v>
      </c>
      <c r="J976" s="16">
        <f>I976-H976</f>
        <v>70000</v>
      </c>
      <c r="K976" s="16" t="str">
        <f>VLOOKUP(C976,[1]master_data!$A$2:$E$495,5,FALSE)</f>
        <v>Aksesoris</v>
      </c>
      <c r="L976" s="1"/>
    </row>
    <row r="977" spans="1:12" ht="12" customHeight="1" x14ac:dyDescent="0.25">
      <c r="A977" s="15">
        <v>44385</v>
      </c>
      <c r="B977" s="16" t="s">
        <v>1234</v>
      </c>
      <c r="C977" s="16" t="s">
        <v>246</v>
      </c>
      <c r="D977" s="16" t="str">
        <f>VLOOKUP(C977,[1]master_data!$A$2:$E$495,2,FALSE)</f>
        <v>SELANG FUSO</v>
      </c>
      <c r="E977" s="16">
        <v>10</v>
      </c>
      <c r="F977" s="16">
        <f>VLOOKUP(C977,[1]master_data!$A$2:$E$495,3,FALSE)</f>
        <v>800</v>
      </c>
      <c r="G977" s="16">
        <f>VLOOKUP(C977,[1]master_data!$A$2:$E$495,4,FALSE)</f>
        <v>2000</v>
      </c>
      <c r="H977" s="16">
        <f>E977*F977</f>
        <v>8000</v>
      </c>
      <c r="I977" s="16">
        <f>E977*G977</f>
        <v>20000</v>
      </c>
      <c r="J977" s="16">
        <f>I977-H977</f>
        <v>12000</v>
      </c>
      <c r="K977" s="16" t="str">
        <f>VLOOKUP(C977,[1]master_data!$A$2:$E$495,5,FALSE)</f>
        <v>Aksesoris</v>
      </c>
      <c r="L977" s="1"/>
    </row>
    <row r="978" spans="1:12" ht="12" customHeight="1" x14ac:dyDescent="0.25">
      <c r="A978" s="15">
        <v>44385</v>
      </c>
      <c r="B978" s="16" t="s">
        <v>1235</v>
      </c>
      <c r="C978" s="16" t="s">
        <v>374</v>
      </c>
      <c r="D978" s="16" t="str">
        <f>VLOOKUP(C978,[1]master_data!$A$2:$E$495,2,FALSE)</f>
        <v>SEPAT ALBINO</v>
      </c>
      <c r="E978" s="16">
        <v>1</v>
      </c>
      <c r="F978" s="16">
        <f>VLOOKUP(C978,[1]master_data!$A$2:$E$495,3,FALSE)</f>
        <v>2000</v>
      </c>
      <c r="G978" s="16">
        <f>VLOOKUP(C978,[1]master_data!$A$2:$E$495,4,FALSE)</f>
        <v>5000</v>
      </c>
      <c r="H978" s="16">
        <f>E978*F978</f>
        <v>2000</v>
      </c>
      <c r="I978" s="16">
        <f>E978*G978</f>
        <v>5000</v>
      </c>
      <c r="J978" s="16">
        <f>I978-H978</f>
        <v>3000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44384</v>
      </c>
      <c r="B979" s="16" t="s">
        <v>1227</v>
      </c>
      <c r="C979" s="16" t="s">
        <v>5</v>
      </c>
      <c r="D979" s="16" t="str">
        <f>VLOOKUP(C979,[1]master_data!$A$2:$E$495,2,FALSE)</f>
        <v>MESIN YANG 1000 L</v>
      </c>
      <c r="E979" s="16">
        <v>5</v>
      </c>
      <c r="F979" s="16">
        <f>VLOOKUP(C979,[1]master_data!$A$2:$E$495,3,FALSE)</f>
        <v>31000</v>
      </c>
      <c r="G979" s="16">
        <f>VLOOKUP(C979,[1]master_data!$A$2:$E$495,4,FALSE)</f>
        <v>50000</v>
      </c>
      <c r="H979" s="16">
        <f>E979*F979</f>
        <v>155000</v>
      </c>
      <c r="I979" s="16">
        <f>E979*G979</f>
        <v>250000</v>
      </c>
      <c r="J979" s="16">
        <f>I979-H979</f>
        <v>95000</v>
      </c>
      <c r="K979" s="16" t="str">
        <f>VLOOKUP(C979,[1]master_data!$A$2:$E$495,5,FALSE)</f>
        <v>Aksesoris</v>
      </c>
      <c r="L979" s="1"/>
    </row>
    <row r="980" spans="1:12" ht="12" customHeight="1" x14ac:dyDescent="0.25">
      <c r="A980" s="15">
        <v>44384</v>
      </c>
      <c r="B980" s="16" t="s">
        <v>1228</v>
      </c>
      <c r="C980" s="16" t="s">
        <v>332</v>
      </c>
      <c r="D980" s="16" t="str">
        <f>VLOOKUP(C980,[1]master_data!$A$2:$E$495,2,FALSE)</f>
        <v>KURA - KURA</v>
      </c>
      <c r="E980" s="16">
        <v>2</v>
      </c>
      <c r="F980" s="16">
        <f>VLOOKUP(C980,[1]master_data!$A$2:$E$495,3,FALSE)</f>
        <v>25000</v>
      </c>
      <c r="G980" s="16">
        <f>VLOOKUP(C980,[1]master_data!$A$2:$E$495,4,FALSE)</f>
        <v>35000</v>
      </c>
      <c r="H980" s="16">
        <f>E980*F980</f>
        <v>50000</v>
      </c>
      <c r="I980" s="16">
        <f>E980*G980</f>
        <v>70000</v>
      </c>
      <c r="J980" s="16">
        <f>I980-H980</f>
        <v>20000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44384</v>
      </c>
      <c r="B981" s="16" t="s">
        <v>1229</v>
      </c>
      <c r="C981" s="16" t="s">
        <v>344</v>
      </c>
      <c r="D981" s="16" t="str">
        <f>VLOOKUP(C981,[1]master_data!$A$2:$E$495,2,FALSE)</f>
        <v>MANFISH B</v>
      </c>
      <c r="E981" s="16">
        <v>10</v>
      </c>
      <c r="F981" s="16">
        <f>VLOOKUP(C981,[1]master_data!$A$2:$E$495,3,FALSE)</f>
        <v>4000</v>
      </c>
      <c r="G981" s="16">
        <f>VLOOKUP(C981,[1]master_data!$A$2:$E$495,4,FALSE)</f>
        <v>10000</v>
      </c>
      <c r="H981" s="16">
        <f>E981*F981</f>
        <v>40000</v>
      </c>
      <c r="I981" s="16">
        <f>E981*G981</f>
        <v>100000</v>
      </c>
      <c r="J981" s="16">
        <f>I981-H981</f>
        <v>60000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44384</v>
      </c>
      <c r="B982" s="16" t="s">
        <v>1230</v>
      </c>
      <c r="C982" s="16" t="s">
        <v>358</v>
      </c>
      <c r="D982" s="16" t="str">
        <f>VLOOKUP(C982,[1]master_data!$A$2:$E$495,2,FALSE)</f>
        <v>REDFIN HITAM</v>
      </c>
      <c r="E982" s="16">
        <v>10</v>
      </c>
      <c r="F982" s="16">
        <f>VLOOKUP(C982,[1]master_data!$A$2:$E$495,3,FALSE)</f>
        <v>1500</v>
      </c>
      <c r="G982" s="16">
        <f>VLOOKUP(C982,[1]master_data!$A$2:$E$495,4,FALSE)</f>
        <v>4000</v>
      </c>
      <c r="H982" s="16">
        <f>E982*F982</f>
        <v>15000</v>
      </c>
      <c r="I982" s="16">
        <f>E982*G982</f>
        <v>40000</v>
      </c>
      <c r="J982" s="16">
        <f>I982-H982</f>
        <v>25000</v>
      </c>
      <c r="K982" s="16" t="str">
        <f>VLOOKUP(C982,[1]master_data!$A$2:$E$495,5,FALSE)</f>
        <v>Ikan</v>
      </c>
      <c r="L982" s="1"/>
    </row>
    <row r="983" spans="1:12" ht="12" customHeight="1" x14ac:dyDescent="0.25">
      <c r="A983" s="15">
        <v>44383</v>
      </c>
      <c r="B983" s="16" t="s">
        <v>1222</v>
      </c>
      <c r="C983" s="16" t="s">
        <v>369</v>
      </c>
      <c r="D983" s="16" t="str">
        <f>VLOOKUP(C983,[1]master_data!$A$2:$E$495,2,FALSE)</f>
        <v>ZEBRA PINK</v>
      </c>
      <c r="E983" s="16">
        <v>50</v>
      </c>
      <c r="F983" s="16">
        <f>VLOOKUP(C983,[1]master_data!$A$2:$E$495,3,FALSE)</f>
        <v>800</v>
      </c>
      <c r="G983" s="16">
        <f>VLOOKUP(C983,[1]master_data!$A$2:$E$495,4,FALSE)</f>
        <v>2000</v>
      </c>
      <c r="H983" s="16">
        <f>E983*F983</f>
        <v>40000</v>
      </c>
      <c r="I983" s="16">
        <f>E983*G983</f>
        <v>100000</v>
      </c>
      <c r="J983" s="16">
        <f>I983-H983</f>
        <v>60000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44383</v>
      </c>
      <c r="B984" s="16" t="s">
        <v>1223</v>
      </c>
      <c r="C984" s="16" t="s">
        <v>369</v>
      </c>
      <c r="D984" s="16" t="str">
        <f>VLOOKUP(C984,[1]master_data!$A$2:$E$495,2,FALSE)</f>
        <v>ZEBRA PINK</v>
      </c>
      <c r="E984" s="16">
        <v>50</v>
      </c>
      <c r="F984" s="16">
        <f>VLOOKUP(C984,[1]master_data!$A$2:$E$495,3,FALSE)</f>
        <v>800</v>
      </c>
      <c r="G984" s="16">
        <f>VLOOKUP(C984,[1]master_data!$A$2:$E$495,4,FALSE)</f>
        <v>2000</v>
      </c>
      <c r="H984" s="16">
        <f>E984*F984</f>
        <v>40000</v>
      </c>
      <c r="I984" s="16">
        <f>E984*G984</f>
        <v>100000</v>
      </c>
      <c r="J984" s="16">
        <f>I984-H984</f>
        <v>60000</v>
      </c>
      <c r="K984" s="16" t="str">
        <f>VLOOKUP(C984,[1]master_data!$A$2:$E$495,5,FALSE)</f>
        <v>Ikan</v>
      </c>
      <c r="L984" s="1"/>
    </row>
    <row r="985" spans="1:12" ht="12" customHeight="1" x14ac:dyDescent="0.25">
      <c r="A985" s="15">
        <v>44383</v>
      </c>
      <c r="B985" s="16" t="s">
        <v>1224</v>
      </c>
      <c r="C985" s="16" t="s">
        <v>185</v>
      </c>
      <c r="D985" s="16" t="str">
        <f>VLOOKUP(C985,[1]master_data!$A$2:$E$495,2,FALSE)</f>
        <v>CACING KERING</v>
      </c>
      <c r="E985" s="16">
        <v>20</v>
      </c>
      <c r="F985" s="16">
        <f>VLOOKUP(C985,[1]master_data!$A$2:$E$495,3,FALSE)</f>
        <v>5000</v>
      </c>
      <c r="G985" s="16">
        <f>VLOOKUP(C985,[1]master_data!$A$2:$E$495,4,FALSE)</f>
        <v>8000</v>
      </c>
      <c r="H985" s="16">
        <f>E985*F985</f>
        <v>100000</v>
      </c>
      <c r="I985" s="16">
        <f>E985*G985</f>
        <v>160000</v>
      </c>
      <c r="J985" s="16">
        <f>I985-H985</f>
        <v>60000</v>
      </c>
      <c r="K985" s="16" t="str">
        <f>VLOOKUP(C985,[1]master_data!$A$2:$E$495,5,FALSE)</f>
        <v>Aksesoris</v>
      </c>
      <c r="L985" s="1"/>
    </row>
    <row r="986" spans="1:12" ht="12" customHeight="1" x14ac:dyDescent="0.25">
      <c r="A986" s="15">
        <v>44383</v>
      </c>
      <c r="B986" s="16" t="s">
        <v>1225</v>
      </c>
      <c r="C986" s="16" t="s">
        <v>106</v>
      </c>
      <c r="D986" s="16" t="str">
        <f>VLOOKUP(C986,[1]master_data!$A$2:$E$495,2,FALSE)</f>
        <v>LAMPU YAMANO UV 11W</v>
      </c>
      <c r="E986" s="16">
        <v>3</v>
      </c>
      <c r="F986" s="16">
        <f>VLOOKUP(C986,[1]master_data!$A$2:$E$495,3,FALSE)</f>
        <v>69000</v>
      </c>
      <c r="G986" s="16">
        <f>VLOOKUP(C986,[1]master_data!$A$2:$E$495,4,FALSE)</f>
        <v>85000</v>
      </c>
      <c r="H986" s="16">
        <f>E986*F986</f>
        <v>207000</v>
      </c>
      <c r="I986" s="16">
        <f>E986*G986</f>
        <v>255000</v>
      </c>
      <c r="J986" s="16">
        <f>I986-H986</f>
        <v>48000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44383</v>
      </c>
      <c r="B987" s="16" t="s">
        <v>1226</v>
      </c>
      <c r="C987" s="16" t="s">
        <v>5</v>
      </c>
      <c r="D987" s="16" t="str">
        <f>VLOOKUP(C987,[1]master_data!$A$2:$E$495,2,FALSE)</f>
        <v>MESIN YANG 1000 L</v>
      </c>
      <c r="E987" s="16">
        <v>1</v>
      </c>
      <c r="F987" s="16">
        <f>VLOOKUP(C987,[1]master_data!$A$2:$E$495,3,FALSE)</f>
        <v>31000</v>
      </c>
      <c r="G987" s="16">
        <f>VLOOKUP(C987,[1]master_data!$A$2:$E$495,4,FALSE)</f>
        <v>50000</v>
      </c>
      <c r="H987" s="16">
        <f>E987*F987</f>
        <v>31000</v>
      </c>
      <c r="I987" s="16">
        <f>E987*G987</f>
        <v>50000</v>
      </c>
      <c r="J987" s="16">
        <f>I987-H987</f>
        <v>19000</v>
      </c>
      <c r="K987" s="16" t="str">
        <f>VLOOKUP(C987,[1]master_data!$A$2:$E$495,5,FALSE)</f>
        <v>Aksesoris</v>
      </c>
      <c r="L987" s="1"/>
    </row>
    <row r="988" spans="1:12" ht="12" customHeight="1" x14ac:dyDescent="0.25">
      <c r="A988" s="15">
        <v>44382</v>
      </c>
      <c r="B988" s="16" t="s">
        <v>1220</v>
      </c>
      <c r="C988" s="16" t="s">
        <v>329</v>
      </c>
      <c r="D988" s="16" t="str">
        <f>VLOOKUP(C988,[1]master_data!$A$2:$E$495,2,FALSE)</f>
        <v>KOI K</v>
      </c>
      <c r="E988" s="16">
        <v>20</v>
      </c>
      <c r="F988" s="16">
        <f>VLOOKUP(C988,[1]master_data!$A$2:$E$495,3,FALSE)</f>
        <v>2500</v>
      </c>
      <c r="G988" s="16">
        <f>VLOOKUP(C988,[1]master_data!$A$2:$E$495,4,FALSE)</f>
        <v>10000</v>
      </c>
      <c r="H988" s="16">
        <f>E988*F988</f>
        <v>50000</v>
      </c>
      <c r="I988" s="16">
        <f>E988*G988</f>
        <v>200000</v>
      </c>
      <c r="J988" s="16">
        <f>I988-H988</f>
        <v>150000</v>
      </c>
      <c r="K988" s="16" t="str">
        <f>VLOOKUP(C988,[1]master_data!$A$2:$E$495,5,FALSE)</f>
        <v>Ikan</v>
      </c>
      <c r="L988" s="1"/>
    </row>
    <row r="989" spans="1:12" ht="12" customHeight="1" x14ac:dyDescent="0.25">
      <c r="A989" s="15">
        <v>44382</v>
      </c>
      <c r="B989" s="16" t="s">
        <v>1221</v>
      </c>
      <c r="C989" s="16" t="s">
        <v>360</v>
      </c>
      <c r="D989" s="16" t="str">
        <f>VLOOKUP(C989,[1]master_data!$A$2:$E$495,2,FALSE)</f>
        <v xml:space="preserve"> CHANNA RED BARITO K</v>
      </c>
      <c r="E989" s="16">
        <v>2</v>
      </c>
      <c r="F989" s="16">
        <f>VLOOKUP(C989,[1]master_data!$A$2:$E$495,3,FALSE)</f>
        <v>45000</v>
      </c>
      <c r="G989" s="16">
        <f>VLOOKUP(C989,[1]master_data!$A$2:$E$495,4,FALSE)</f>
        <v>100000</v>
      </c>
      <c r="H989" s="16">
        <f>E989*F989</f>
        <v>90000</v>
      </c>
      <c r="I989" s="16">
        <f>E989*G989</f>
        <v>200000</v>
      </c>
      <c r="J989" s="16">
        <f>I989-H989</f>
        <v>110000</v>
      </c>
      <c r="K989" s="16" t="str">
        <f>VLOOKUP(C989,[1]master_data!$A$2:$E$495,5,FALSE)</f>
        <v>Ikan</v>
      </c>
      <c r="L989" s="1"/>
    </row>
    <row r="990" spans="1:12" ht="12" customHeight="1" x14ac:dyDescent="0.25">
      <c r="A990" s="15">
        <v>44381</v>
      </c>
      <c r="B990" s="16" t="s">
        <v>1217</v>
      </c>
      <c r="C990" s="16" t="s">
        <v>225</v>
      </c>
      <c r="D990" s="16" t="str">
        <f>VLOOKUP(C990,[1]master_data!$A$2:$E$495,2,FALSE)</f>
        <v>KRAN 1 W</v>
      </c>
      <c r="E990" s="16">
        <v>15</v>
      </c>
      <c r="F990" s="16">
        <f>VLOOKUP(C990,[1]master_data!$A$2:$E$495,3,FALSE)</f>
        <v>1200</v>
      </c>
      <c r="G990" s="16">
        <f>VLOOKUP(C990,[1]master_data!$A$2:$E$495,4,FALSE)</f>
        <v>3000</v>
      </c>
      <c r="H990" s="16">
        <f>E990*F990</f>
        <v>18000</v>
      </c>
      <c r="I990" s="16">
        <f>E990*G990</f>
        <v>45000</v>
      </c>
      <c r="J990" s="16">
        <f>I990-H990</f>
        <v>27000</v>
      </c>
      <c r="K990" s="16" t="str">
        <f>VLOOKUP(C990,[1]master_data!$A$2:$E$495,5,FALSE)</f>
        <v>Aksesoris</v>
      </c>
      <c r="L990" s="1"/>
    </row>
    <row r="991" spans="1:12" ht="12" customHeight="1" x14ac:dyDescent="0.25">
      <c r="A991" s="15">
        <v>44381</v>
      </c>
      <c r="B991" s="16" t="s">
        <v>1218</v>
      </c>
      <c r="C991" s="16" t="s">
        <v>304</v>
      </c>
      <c r="D991" s="16" t="str">
        <f>VLOOKUP(C991,[1]master_data!$A$2:$E$495,2,FALSE)</f>
        <v>CHANNA ANDRAO K</v>
      </c>
      <c r="E991" s="16">
        <v>10</v>
      </c>
      <c r="F991" s="16">
        <f>VLOOKUP(C991,[1]master_data!$A$2:$E$495,3,FALSE)</f>
        <v>20000</v>
      </c>
      <c r="G991" s="16">
        <f>VLOOKUP(C991,[1]master_data!$A$2:$E$495,4,FALSE)</f>
        <v>50000</v>
      </c>
      <c r="H991" s="16">
        <f>E991*F991</f>
        <v>200000</v>
      </c>
      <c r="I991" s="16">
        <f>E991*G991</f>
        <v>500000</v>
      </c>
      <c r="J991" s="16">
        <f>I991-H991</f>
        <v>300000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44381</v>
      </c>
      <c r="B992" s="16" t="s">
        <v>1219</v>
      </c>
      <c r="C992" s="16" t="s">
        <v>357</v>
      </c>
      <c r="D992" s="16" t="str">
        <f>VLOOKUP(C992,[1]master_data!$A$2:$E$495,2,FALSE)</f>
        <v>PESO</v>
      </c>
      <c r="E992" s="16">
        <v>1</v>
      </c>
      <c r="F992" s="16">
        <f>VLOOKUP(C992,[1]master_data!$A$2:$E$495,3,FALSE)</f>
        <v>19000</v>
      </c>
      <c r="G992" s="16">
        <f>VLOOKUP(C992,[1]master_data!$A$2:$E$495,4,FALSE)</f>
        <v>40000</v>
      </c>
      <c r="H992" s="16">
        <f>E992*F992</f>
        <v>19000</v>
      </c>
      <c r="I992" s="16">
        <f>E992*G992</f>
        <v>40000</v>
      </c>
      <c r="J992" s="16">
        <f>I992-H992</f>
        <v>21000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44380</v>
      </c>
      <c r="B993" s="16" t="s">
        <v>1211</v>
      </c>
      <c r="C993" s="16" t="s">
        <v>357</v>
      </c>
      <c r="D993" s="16" t="str">
        <f>VLOOKUP(C993,[1]master_data!$A$2:$E$495,2,FALSE)</f>
        <v>PESO</v>
      </c>
      <c r="E993" s="16">
        <v>5</v>
      </c>
      <c r="F993" s="16">
        <f>VLOOKUP(C993,[1]master_data!$A$2:$E$495,3,FALSE)</f>
        <v>19000</v>
      </c>
      <c r="G993" s="16">
        <f>VLOOKUP(C993,[1]master_data!$A$2:$E$495,4,FALSE)</f>
        <v>40000</v>
      </c>
      <c r="H993" s="16">
        <f>E993*F993</f>
        <v>95000</v>
      </c>
      <c r="I993" s="16">
        <f>E993*G993</f>
        <v>200000</v>
      </c>
      <c r="J993" s="16">
        <f>I993-H993</f>
        <v>105000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44380</v>
      </c>
      <c r="B994" s="16" t="s">
        <v>1212</v>
      </c>
      <c r="C994" s="16" t="s">
        <v>38</v>
      </c>
      <c r="D994" s="16" t="str">
        <f>VLOOKUP(C994,[1]master_data!$A$2:$E$495,2,FALSE)</f>
        <v>MESIN YAMANO ACO 001</v>
      </c>
      <c r="E994" s="16">
        <v>1</v>
      </c>
      <c r="F994" s="16">
        <f>VLOOKUP(C994,[1]master_data!$A$2:$E$495,3,FALSE)</f>
        <v>275000</v>
      </c>
      <c r="G994" s="16">
        <f>VLOOKUP(C994,[1]master_data!$A$2:$E$495,4,FALSE)</f>
        <v>350000</v>
      </c>
      <c r="H994" s="16">
        <f>E994*F994</f>
        <v>275000</v>
      </c>
      <c r="I994" s="16">
        <f>E994*G994</f>
        <v>350000</v>
      </c>
      <c r="J994" s="16">
        <f>I994-H994</f>
        <v>75000</v>
      </c>
      <c r="K994" s="16" t="str">
        <f>VLOOKUP(C994,[1]master_data!$A$2:$E$495,5,FALSE)</f>
        <v>Aksesoris</v>
      </c>
      <c r="L994" s="1"/>
    </row>
    <row r="995" spans="1:12" ht="12" customHeight="1" x14ac:dyDescent="0.25">
      <c r="A995" s="15">
        <v>44380</v>
      </c>
      <c r="B995" s="16" t="s">
        <v>1213</v>
      </c>
      <c r="C995" s="16" t="s">
        <v>363</v>
      </c>
      <c r="D995" s="16" t="str">
        <f>VLOOKUP(C995,[1]master_data!$A$2:$E$495,2,FALSE)</f>
        <v>SUMATRA GOLD FISH</v>
      </c>
      <c r="E995" s="16">
        <v>10</v>
      </c>
      <c r="F995" s="16">
        <f>VLOOKUP(C995,[1]master_data!$A$2:$E$495,3,FALSE)</f>
        <v>2500</v>
      </c>
      <c r="G995" s="16">
        <f>VLOOKUP(C995,[1]master_data!$A$2:$E$495,4,FALSE)</f>
        <v>4000</v>
      </c>
      <c r="H995" s="16">
        <f>E995*F995</f>
        <v>25000</v>
      </c>
      <c r="I995" s="16">
        <f>E995*G995</f>
        <v>40000</v>
      </c>
      <c r="J995" s="16">
        <f>I995-H995</f>
        <v>15000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44380</v>
      </c>
      <c r="B996" s="16" t="s">
        <v>1214</v>
      </c>
      <c r="C996" s="16" t="s">
        <v>335</v>
      </c>
      <c r="D996" s="16" t="str">
        <f>VLOOKUP(C996,[1]master_data!$A$2:$E$495,2,FALSE)</f>
        <v>KOMET SLAYER</v>
      </c>
      <c r="E996" s="16">
        <v>3</v>
      </c>
      <c r="F996" s="16">
        <f>VLOOKUP(C996,[1]master_data!$A$2:$E$495,3,FALSE)</f>
        <v>2000</v>
      </c>
      <c r="G996" s="16">
        <f>VLOOKUP(C996,[1]master_data!$A$2:$E$495,4,FALSE)</f>
        <v>5000</v>
      </c>
      <c r="H996" s="16">
        <f>E996*F996</f>
        <v>6000</v>
      </c>
      <c r="I996" s="16">
        <f>E996*G996</f>
        <v>15000</v>
      </c>
      <c r="J996" s="16">
        <f>I996-H996</f>
        <v>9000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44380</v>
      </c>
      <c r="B997" s="16" t="s">
        <v>1215</v>
      </c>
      <c r="C997" s="16" t="s">
        <v>121</v>
      </c>
      <c r="D997" s="16" t="str">
        <f>VLOOKUP(C997,[1]master_data!$A$2:$E$495,2,FALSE)</f>
        <v>LED YANG HW 45 CM</v>
      </c>
      <c r="E997" s="16">
        <v>1</v>
      </c>
      <c r="F997" s="16">
        <f>VLOOKUP(C997,[1]master_data!$A$2:$E$495,3,FALSE)</f>
        <v>70000</v>
      </c>
      <c r="G997" s="16">
        <f>VLOOKUP(C997,[1]master_data!$A$2:$E$495,4,FALSE)</f>
        <v>90000</v>
      </c>
      <c r="H997" s="16">
        <f>E997*F997</f>
        <v>70000</v>
      </c>
      <c r="I997" s="16">
        <f>E997*G997</f>
        <v>90000</v>
      </c>
      <c r="J997" s="16">
        <f>I997-H997</f>
        <v>20000</v>
      </c>
      <c r="K997" s="16" t="str">
        <f>VLOOKUP(C997,[1]master_data!$A$2:$E$495,5,FALSE)</f>
        <v>Aksesoris</v>
      </c>
      <c r="L997" s="1"/>
    </row>
    <row r="998" spans="1:12" ht="12" customHeight="1" x14ac:dyDescent="0.25">
      <c r="A998" s="15">
        <v>44380</v>
      </c>
      <c r="B998" s="16" t="s">
        <v>1216</v>
      </c>
      <c r="C998" s="16" t="s">
        <v>355</v>
      </c>
      <c r="D998" s="16" t="str">
        <f>VLOOKUP(C998,[1]master_data!$A$2:$E$495,2,FALSE)</f>
        <v>PALMAS</v>
      </c>
      <c r="E998" s="16">
        <v>10</v>
      </c>
      <c r="F998" s="16">
        <f>VLOOKUP(C998,[1]master_data!$A$2:$E$495,3,FALSE)</f>
        <v>10000</v>
      </c>
      <c r="G998" s="16">
        <f>VLOOKUP(C998,[1]master_data!$A$2:$E$495,4,FALSE)</f>
        <v>25000</v>
      </c>
      <c r="H998" s="16">
        <f>E998*F998</f>
        <v>100000</v>
      </c>
      <c r="I998" s="16">
        <f>E998*G998</f>
        <v>250000</v>
      </c>
      <c r="J998" s="16">
        <f>I998-H998</f>
        <v>150000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44379</v>
      </c>
      <c r="B999" s="16" t="s">
        <v>1207</v>
      </c>
      <c r="C999" s="16" t="s">
        <v>207</v>
      </c>
      <c r="D999" s="16" t="str">
        <f>VLOOKUP(C999,[1]master_data!$A$2:$E$495,2,FALSE)</f>
        <v>BILTS K</v>
      </c>
      <c r="E999" s="16">
        <v>25</v>
      </c>
      <c r="F999" s="16">
        <f>VLOOKUP(C999,[1]master_data!$A$2:$E$495,3,FALSE)</f>
        <v>5000</v>
      </c>
      <c r="G999" s="16">
        <f>VLOOKUP(C999,[1]master_data!$A$2:$E$495,4,FALSE)</f>
        <v>7000</v>
      </c>
      <c r="H999" s="16">
        <f>E999*F999</f>
        <v>125000</v>
      </c>
      <c r="I999" s="16">
        <f>E999*G999</f>
        <v>175000</v>
      </c>
      <c r="J999" s="16">
        <f>I999-H999</f>
        <v>50000</v>
      </c>
      <c r="K999" s="16" t="str">
        <f>VLOOKUP(C999,[1]master_data!$A$2:$E$495,5,FALSE)</f>
        <v>Aksesoris</v>
      </c>
      <c r="L999" s="1"/>
    </row>
    <row r="1000" spans="1:12" ht="12" customHeight="1" x14ac:dyDescent="0.25">
      <c r="A1000" s="15">
        <v>44379</v>
      </c>
      <c r="B1000" s="16" t="s">
        <v>1208</v>
      </c>
      <c r="C1000" s="16" t="s">
        <v>317</v>
      </c>
      <c r="D1000" s="16" t="str">
        <f>VLOOKUP(C1000,[1]master_data!$A$2:$E$495,2,FALSE)</f>
        <v>CHANNA BLUE PULCHRA B</v>
      </c>
      <c r="E1000" s="16">
        <v>2</v>
      </c>
      <c r="F1000" s="16">
        <f>VLOOKUP(C1000,[1]master_data!$A$2:$E$495,3,FALSE)</f>
        <v>125000</v>
      </c>
      <c r="G1000" s="16">
        <f>VLOOKUP(C1000,[1]master_data!$A$2:$E$495,4,FALSE)</f>
        <v>200000</v>
      </c>
      <c r="H1000" s="16">
        <f>E1000*F1000</f>
        <v>250000</v>
      </c>
      <c r="I1000" s="16">
        <f>E1000*G1000</f>
        <v>400000</v>
      </c>
      <c r="J1000" s="16">
        <f>I1000-H1000</f>
        <v>150000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44379</v>
      </c>
      <c r="B1001" s="16" t="s">
        <v>1209</v>
      </c>
      <c r="C1001" s="16" t="s">
        <v>312</v>
      </c>
      <c r="D1001" s="16" t="str">
        <f>VLOOKUP(C1001,[1]master_data!$A$2:$E$495,2,FALSE)</f>
        <v>BUENOS AIRES TETRA</v>
      </c>
      <c r="E1001" s="16">
        <v>12</v>
      </c>
      <c r="F1001" s="16">
        <f>VLOOKUP(C1001,[1]master_data!$A$2:$E$495,3,FALSE)</f>
        <v>800</v>
      </c>
      <c r="G1001" s="16">
        <f>VLOOKUP(C1001,[1]master_data!$A$2:$E$495,4,FALSE)</f>
        <v>2000</v>
      </c>
      <c r="H1001" s="16">
        <f>E1001*F1001</f>
        <v>9600</v>
      </c>
      <c r="I1001" s="16">
        <f>E1001*G1001</f>
        <v>24000</v>
      </c>
      <c r="J1001" s="16">
        <f>I1001-H1001</f>
        <v>14400</v>
      </c>
      <c r="K1001" s="16" t="str">
        <f>VLOOKUP(C1001,[1]master_data!$A$2:$E$495,5,FALSE)</f>
        <v>Ikan</v>
      </c>
      <c r="L1001" s="1"/>
    </row>
    <row r="1002" spans="1:12" ht="12" customHeight="1" x14ac:dyDescent="0.25">
      <c r="A1002" s="15">
        <v>44379</v>
      </c>
      <c r="B1002" s="16" t="s">
        <v>1210</v>
      </c>
      <c r="C1002" s="16" t="s">
        <v>18</v>
      </c>
      <c r="D1002" s="16" t="str">
        <f>VLOOKUP(C1002,[1]master_data!$A$2:$E$495,2,FALSE)</f>
        <v>MESIN YANG WAVE MAKER 100</v>
      </c>
      <c r="E1002" s="16">
        <v>1</v>
      </c>
      <c r="F1002" s="16">
        <f>VLOOKUP(C1002,[1]master_data!$A$2:$E$495,3,FALSE)</f>
        <v>67500</v>
      </c>
      <c r="G1002" s="16">
        <f>VLOOKUP(C1002,[1]master_data!$A$2:$E$495,4,FALSE)</f>
        <v>85000</v>
      </c>
      <c r="H1002" s="16">
        <f>E1002*F1002</f>
        <v>67500</v>
      </c>
      <c r="I1002" s="16">
        <f>E1002*G1002</f>
        <v>85000</v>
      </c>
      <c r="J1002" s="16">
        <f>I1002-H1002</f>
        <v>17500</v>
      </c>
      <c r="K1002" s="16" t="str">
        <f>VLOOKUP(C1002,[1]master_data!$A$2:$E$495,5,FALSE)</f>
        <v>Aksesoris</v>
      </c>
      <c r="L1002" s="1"/>
    </row>
    <row r="1003" spans="1:12" ht="12" customHeight="1" x14ac:dyDescent="0.25">
      <c r="A1003" s="15">
        <v>44378</v>
      </c>
      <c r="B1003" s="16" t="s">
        <v>1198</v>
      </c>
      <c r="C1003" s="16" t="s">
        <v>332</v>
      </c>
      <c r="D1003" s="16" t="str">
        <f>VLOOKUP(C1003,[1]master_data!$A$2:$E$495,2,FALSE)</f>
        <v>KURA - KURA</v>
      </c>
      <c r="E1003" s="16">
        <v>1</v>
      </c>
      <c r="F1003" s="16">
        <f>VLOOKUP(C1003,[1]master_data!$A$2:$E$495,3,FALSE)</f>
        <v>25000</v>
      </c>
      <c r="G1003" s="16">
        <f>VLOOKUP(C1003,[1]master_data!$A$2:$E$495,4,FALSE)</f>
        <v>35000</v>
      </c>
      <c r="H1003" s="16">
        <f>E1003*F1003</f>
        <v>25000</v>
      </c>
      <c r="I1003" s="16">
        <f>E1003*G1003</f>
        <v>35000</v>
      </c>
      <c r="J1003" s="16">
        <f>I1003-H1003</f>
        <v>10000</v>
      </c>
      <c r="K1003" s="16" t="str">
        <f>VLOOKUP(C1003,[1]master_data!$A$2:$E$495,5,FALSE)</f>
        <v>Ikan</v>
      </c>
      <c r="L1003" s="1"/>
    </row>
    <row r="1004" spans="1:12" ht="12" customHeight="1" x14ac:dyDescent="0.25">
      <c r="A1004" s="15">
        <v>44378</v>
      </c>
      <c r="B1004" s="16" t="s">
        <v>1199</v>
      </c>
      <c r="C1004" s="16" t="s">
        <v>363</v>
      </c>
      <c r="D1004" s="16" t="str">
        <f>VLOOKUP(C1004,[1]master_data!$A$2:$E$495,2,FALSE)</f>
        <v>SUMATRA GOLD FISH</v>
      </c>
      <c r="E1004" s="16">
        <v>30</v>
      </c>
      <c r="F1004" s="16">
        <f>VLOOKUP(C1004,[1]master_data!$A$2:$E$495,3,FALSE)</f>
        <v>2500</v>
      </c>
      <c r="G1004" s="16">
        <f>VLOOKUP(C1004,[1]master_data!$A$2:$E$495,4,FALSE)</f>
        <v>4000</v>
      </c>
      <c r="H1004" s="16">
        <f>E1004*F1004</f>
        <v>75000</v>
      </c>
      <c r="I1004" s="16">
        <f>E1004*G1004</f>
        <v>120000</v>
      </c>
      <c r="J1004" s="16">
        <f>I1004-H1004</f>
        <v>45000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44378</v>
      </c>
      <c r="B1005" s="16" t="s">
        <v>1200</v>
      </c>
      <c r="C1005" s="16" t="s">
        <v>88</v>
      </c>
      <c r="D1005" s="16" t="str">
        <f>VLOOKUP(C1005,[1]master_data!$A$2:$E$495,2,FALSE)</f>
        <v>AIRATOR JINGYE LUB 1</v>
      </c>
      <c r="E1005" s="16">
        <v>2</v>
      </c>
      <c r="F1005" s="16">
        <f>VLOOKUP(C1005,[1]master_data!$A$2:$E$495,3,FALSE)</f>
        <v>20500</v>
      </c>
      <c r="G1005" s="16">
        <f>VLOOKUP(C1005,[1]master_data!$A$2:$E$495,4,FALSE)</f>
        <v>30000</v>
      </c>
      <c r="H1005" s="16">
        <f>E1005*F1005</f>
        <v>41000</v>
      </c>
      <c r="I1005" s="16">
        <f>E1005*G1005</f>
        <v>60000</v>
      </c>
      <c r="J1005" s="16">
        <f>I1005-H1005</f>
        <v>19000</v>
      </c>
      <c r="K1005" s="16" t="str">
        <f>VLOOKUP(C1005,[1]master_data!$A$2:$E$495,5,FALSE)</f>
        <v>Aksesoris</v>
      </c>
      <c r="L1005" s="1"/>
    </row>
    <row r="1006" spans="1:12" ht="12" customHeight="1" x14ac:dyDescent="0.25">
      <c r="A1006" s="15">
        <v>44378</v>
      </c>
      <c r="B1006" s="16" t="s">
        <v>1201</v>
      </c>
      <c r="C1006" s="16" t="s">
        <v>366</v>
      </c>
      <c r="D1006" s="16" t="str">
        <f>VLOOKUP(C1006,[1]master_data!$A$2:$E$495,2,FALSE)</f>
        <v>SYNODONTI B</v>
      </c>
      <c r="E1006" s="16">
        <v>10</v>
      </c>
      <c r="F1006" s="16">
        <f>VLOOKUP(C1006,[1]master_data!$A$2:$E$495,3,FALSE)</f>
        <v>4000</v>
      </c>
      <c r="G1006" s="16">
        <f>VLOOKUP(C1006,[1]master_data!$A$2:$E$495,4,FALSE)</f>
        <v>10000</v>
      </c>
      <c r="H1006" s="16">
        <f>E1006*F1006</f>
        <v>40000</v>
      </c>
      <c r="I1006" s="16">
        <f>E1006*G1006</f>
        <v>100000</v>
      </c>
      <c r="J1006" s="16">
        <f>I1006-H1006</f>
        <v>60000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44378</v>
      </c>
      <c r="B1007" s="16" t="s">
        <v>1202</v>
      </c>
      <c r="C1007" s="16" t="s">
        <v>328</v>
      </c>
      <c r="D1007" s="16" t="str">
        <f>VLOOKUP(C1007,[1]master_data!$A$2:$E$495,2,FALSE)</f>
        <v>KOKI B</v>
      </c>
      <c r="E1007" s="16">
        <v>1</v>
      </c>
      <c r="F1007" s="16">
        <f>VLOOKUP(C1007,[1]master_data!$A$2:$E$495,3,FALSE)</f>
        <v>20000</v>
      </c>
      <c r="G1007" s="16">
        <f>VLOOKUP(C1007,[1]master_data!$A$2:$E$495,4,FALSE)</f>
        <v>50000</v>
      </c>
      <c r="H1007" s="16">
        <f>E1007*F1007</f>
        <v>20000</v>
      </c>
      <c r="I1007" s="16">
        <f>E1007*G1007</f>
        <v>50000</v>
      </c>
      <c r="J1007" s="16">
        <f>I1007-H1007</f>
        <v>30000</v>
      </c>
      <c r="K1007" s="16" t="str">
        <f>VLOOKUP(C1007,[1]master_data!$A$2:$E$495,5,FALSE)</f>
        <v>Ikan</v>
      </c>
      <c r="L1007" s="1"/>
    </row>
    <row r="1008" spans="1:12" ht="12" customHeight="1" x14ac:dyDescent="0.25">
      <c r="A1008" s="15">
        <v>44378</v>
      </c>
      <c r="B1008" s="16" t="s">
        <v>1203</v>
      </c>
      <c r="C1008" s="16" t="s">
        <v>266</v>
      </c>
      <c r="D1008" s="16" t="str">
        <f>VLOOKUP(C1008,[1]master_data!$A$2:$E$495,2,FALSE)</f>
        <v>MAGNET 09</v>
      </c>
      <c r="E1008" s="16">
        <v>1</v>
      </c>
      <c r="F1008" s="16">
        <f>VLOOKUP(C1008,[1]master_data!$A$2:$E$495,3,FALSE)</f>
        <v>58000</v>
      </c>
      <c r="G1008" s="16">
        <f>VLOOKUP(C1008,[1]master_data!$A$2:$E$495,4,FALSE)</f>
        <v>80000</v>
      </c>
      <c r="H1008" s="16">
        <f>E1008*F1008</f>
        <v>58000</v>
      </c>
      <c r="I1008" s="16">
        <f>E1008*G1008</f>
        <v>80000</v>
      </c>
      <c r="J1008" s="16">
        <f>I1008-H1008</f>
        <v>22000</v>
      </c>
      <c r="K1008" s="16" t="str">
        <f>VLOOKUP(C1008,[1]master_data!$A$2:$E$495,5,FALSE)</f>
        <v>Aksesoris</v>
      </c>
      <c r="L1008" s="1"/>
    </row>
    <row r="1009" spans="1:12" ht="12" customHeight="1" x14ac:dyDescent="0.25">
      <c r="A1009" s="15">
        <v>44378</v>
      </c>
      <c r="B1009" s="16" t="s">
        <v>1204</v>
      </c>
      <c r="C1009" s="16" t="s">
        <v>244</v>
      </c>
      <c r="D1009" s="16" t="str">
        <f>VLOOKUP(C1009,[1]master_data!$A$2:$E$495,2,FALSE)</f>
        <v>SUPER BLUE</v>
      </c>
      <c r="E1009" s="16">
        <v>10</v>
      </c>
      <c r="F1009" s="16">
        <f>VLOOKUP(C1009,[1]master_data!$A$2:$E$495,3,FALSE)</f>
        <v>8000</v>
      </c>
      <c r="G1009" s="16">
        <f>VLOOKUP(C1009,[1]master_data!$A$2:$E$495,4,FALSE)</f>
        <v>12000</v>
      </c>
      <c r="H1009" s="16">
        <f>E1009*F1009</f>
        <v>80000</v>
      </c>
      <c r="I1009" s="16">
        <f>E1009*G1009</f>
        <v>120000</v>
      </c>
      <c r="J1009" s="16">
        <f>I1009-H1009</f>
        <v>40000</v>
      </c>
      <c r="K1009" s="16" t="str">
        <f>VLOOKUP(C1009,[1]master_data!$A$2:$E$495,5,FALSE)</f>
        <v>Aksesoris</v>
      </c>
      <c r="L1009" s="1"/>
    </row>
    <row r="1010" spans="1:12" ht="12" customHeight="1" x14ac:dyDescent="0.25">
      <c r="A1010" s="15">
        <v>44378</v>
      </c>
      <c r="B1010" s="16" t="s">
        <v>1205</v>
      </c>
      <c r="C1010" s="16" t="s">
        <v>314</v>
      </c>
      <c r="D1010" s="16" t="str">
        <f>VLOOKUP(C1010,[1]master_data!$A$2:$E$495,2,FALSE)</f>
        <v>BALA BALA B</v>
      </c>
      <c r="E1010" s="16">
        <v>1</v>
      </c>
      <c r="F1010" s="16">
        <f>VLOOKUP(C1010,[1]master_data!$A$2:$E$495,3,FALSE)</f>
        <v>7000</v>
      </c>
      <c r="G1010" s="16">
        <f>VLOOKUP(C1010,[1]master_data!$A$2:$E$495,4,FALSE)</f>
        <v>15000</v>
      </c>
      <c r="H1010" s="16">
        <f>E1010*F1010</f>
        <v>7000</v>
      </c>
      <c r="I1010" s="16">
        <f>E1010*G1010</f>
        <v>15000</v>
      </c>
      <c r="J1010" s="16">
        <f>I1010-H1010</f>
        <v>8000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44378</v>
      </c>
      <c r="B1011" s="16" t="s">
        <v>1206</v>
      </c>
      <c r="C1011" s="16" t="s">
        <v>176</v>
      </c>
      <c r="D1011" s="16" t="str">
        <f>VLOOKUP(C1011,[1]master_data!$A$2:$E$495,2,FALSE)</f>
        <v>HIRO COLOUR</v>
      </c>
      <c r="E1011" s="16">
        <v>1</v>
      </c>
      <c r="F1011" s="16">
        <f>VLOOKUP(C1011,[1]master_data!$A$2:$E$495,3,FALSE)</f>
        <v>72000</v>
      </c>
      <c r="G1011" s="16">
        <f>VLOOKUP(C1011,[1]master_data!$A$2:$E$495,4,FALSE)</f>
        <v>80000</v>
      </c>
      <c r="H1011" s="16">
        <f>E1011*F1011</f>
        <v>72000</v>
      </c>
      <c r="I1011" s="16">
        <f>E1011*G1011</f>
        <v>80000</v>
      </c>
      <c r="J1011" s="16">
        <f>I1011-H1011</f>
        <v>8000</v>
      </c>
      <c r="K1011" s="16" t="str">
        <f>VLOOKUP(C1011,[1]master_data!$A$2:$E$495,5,FALSE)</f>
        <v>Aksesoris</v>
      </c>
      <c r="L1011" s="1"/>
    </row>
    <row r="1012" spans="1:12" ht="12" customHeight="1" x14ac:dyDescent="0.25">
      <c r="A1012" s="15">
        <v>44377</v>
      </c>
      <c r="B1012" s="16" t="s">
        <v>1193</v>
      </c>
      <c r="C1012" s="16" t="s">
        <v>313</v>
      </c>
      <c r="D1012" s="16" t="str">
        <f>VLOOKUP(C1012,[1]master_data!$A$2:$E$495,2,FALSE)</f>
        <v>BALA BALA K</v>
      </c>
      <c r="E1012" s="16">
        <v>25</v>
      </c>
      <c r="F1012" s="16">
        <f>VLOOKUP(C1012,[1]master_data!$A$2:$E$495,3,FALSE)</f>
        <v>4000</v>
      </c>
      <c r="G1012" s="16">
        <f>VLOOKUP(C1012,[1]master_data!$A$2:$E$495,4,FALSE)</f>
        <v>8000</v>
      </c>
      <c r="H1012" s="16">
        <f>E1012*F1012</f>
        <v>100000</v>
      </c>
      <c r="I1012" s="16">
        <f>E1012*G1012</f>
        <v>200000</v>
      </c>
      <c r="J1012" s="16">
        <f>I1012-H1012</f>
        <v>100000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44377</v>
      </c>
      <c r="B1013" s="16" t="s">
        <v>1194</v>
      </c>
      <c r="C1013" s="16" t="s">
        <v>229</v>
      </c>
      <c r="D1013" s="16" t="str">
        <f>VLOOKUP(C1013,[1]master_data!$A$2:$E$495,2,FALSE)</f>
        <v>KAPAS 2X1</v>
      </c>
      <c r="E1013" s="16">
        <v>5</v>
      </c>
      <c r="F1013" s="16">
        <f>VLOOKUP(C1013,[1]master_data!$A$2:$E$495,3,FALSE)</f>
        <v>35000</v>
      </c>
      <c r="G1013" s="16">
        <f>VLOOKUP(C1013,[1]master_data!$A$2:$E$495,4,FALSE)</f>
        <v>40000</v>
      </c>
      <c r="H1013" s="16">
        <f>E1013*F1013</f>
        <v>175000</v>
      </c>
      <c r="I1013" s="16">
        <f>E1013*G1013</f>
        <v>200000</v>
      </c>
      <c r="J1013" s="16">
        <f>I1013-H1013</f>
        <v>25000</v>
      </c>
      <c r="K1013" s="16" t="str">
        <f>VLOOKUP(C1013,[1]master_data!$A$2:$E$495,5,FALSE)</f>
        <v>Aksesoris</v>
      </c>
      <c r="L1013" s="1"/>
    </row>
    <row r="1014" spans="1:12" ht="12" customHeight="1" x14ac:dyDescent="0.25">
      <c r="A1014" s="15">
        <v>44377</v>
      </c>
      <c r="B1014" s="16" t="s">
        <v>1195</v>
      </c>
      <c r="C1014" s="16" t="s">
        <v>337</v>
      </c>
      <c r="D1014" s="16" t="str">
        <f>VLOOKUP(C1014,[1]master_data!$A$2:$E$495,2,FALSE)</f>
        <v>KOI SLAYER B</v>
      </c>
      <c r="E1014" s="16">
        <v>9</v>
      </c>
      <c r="F1014" s="16">
        <f>VLOOKUP(C1014,[1]master_data!$A$2:$E$495,3,FALSE)</f>
        <v>8000</v>
      </c>
      <c r="G1014" s="16">
        <f>VLOOKUP(C1014,[1]master_data!$A$2:$E$495,4,FALSE)</f>
        <v>20000</v>
      </c>
      <c r="H1014" s="16">
        <f>E1014*F1014</f>
        <v>72000</v>
      </c>
      <c r="I1014" s="16">
        <f>E1014*G1014</f>
        <v>180000</v>
      </c>
      <c r="J1014" s="16">
        <f>I1014-H1014</f>
        <v>108000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44377</v>
      </c>
      <c r="B1015" s="16" t="s">
        <v>1196</v>
      </c>
      <c r="C1015" s="16" t="s">
        <v>346</v>
      </c>
      <c r="D1015" s="16" t="str">
        <f>VLOOKUP(C1015,[1]master_data!$A$2:$E$495,2,FALSE)</f>
        <v>MOLI PAKAN</v>
      </c>
      <c r="E1015" s="16">
        <v>23</v>
      </c>
      <c r="F1015" s="16">
        <f>VLOOKUP(C1015,[1]master_data!$A$2:$E$495,3,FALSE)</f>
        <v>100</v>
      </c>
      <c r="G1015" s="16">
        <f>VLOOKUP(C1015,[1]master_data!$A$2:$E$495,4,FALSE)</f>
        <v>200</v>
      </c>
      <c r="H1015" s="16">
        <f>E1015*F1015</f>
        <v>2300</v>
      </c>
      <c r="I1015" s="16">
        <f>E1015*G1015</f>
        <v>4600</v>
      </c>
      <c r="J1015" s="16">
        <f>I1015-H1015</f>
        <v>2300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44377</v>
      </c>
      <c r="B1016" s="16" t="s">
        <v>1197</v>
      </c>
      <c r="C1016" s="16" t="s">
        <v>355</v>
      </c>
      <c r="D1016" s="16" t="str">
        <f>VLOOKUP(C1016,[1]master_data!$A$2:$E$495,2,FALSE)</f>
        <v>PALMAS</v>
      </c>
      <c r="E1016" s="16">
        <v>1</v>
      </c>
      <c r="F1016" s="16">
        <f>VLOOKUP(C1016,[1]master_data!$A$2:$E$495,3,FALSE)</f>
        <v>10000</v>
      </c>
      <c r="G1016" s="16">
        <f>VLOOKUP(C1016,[1]master_data!$A$2:$E$495,4,FALSE)</f>
        <v>25000</v>
      </c>
      <c r="H1016" s="16">
        <f>E1016*F1016</f>
        <v>10000</v>
      </c>
      <c r="I1016" s="16">
        <f>E1016*G1016</f>
        <v>25000</v>
      </c>
      <c r="J1016" s="16">
        <f>I1016-H1016</f>
        <v>15000</v>
      </c>
      <c r="K1016" s="16" t="str">
        <f>VLOOKUP(C1016,[1]master_data!$A$2:$E$495,5,FALSE)</f>
        <v>Ikan</v>
      </c>
      <c r="L1016" s="1"/>
    </row>
    <row r="1017" spans="1:12" ht="12" customHeight="1" x14ac:dyDescent="0.25">
      <c r="A1017" s="15">
        <v>44376</v>
      </c>
      <c r="B1017" s="16" t="s">
        <v>1189</v>
      </c>
      <c r="C1017" s="16" t="s">
        <v>171</v>
      </c>
      <c r="D1017" s="16" t="str">
        <f>VLOOKUP(C1017,[1]master_data!$A$2:$E$495,2,FALSE)</f>
        <v>ARTEMIA SUPREME PLUS</v>
      </c>
      <c r="E1017" s="16">
        <v>10</v>
      </c>
      <c r="F1017" s="16">
        <f>VLOOKUP(C1017,[1]master_data!$A$2:$E$495,3,FALSE)</f>
        <v>14500</v>
      </c>
      <c r="G1017" s="16">
        <f>VLOOKUP(C1017,[1]master_data!$A$2:$E$495,4,FALSE)</f>
        <v>25000</v>
      </c>
      <c r="H1017" s="16">
        <f>E1017*F1017</f>
        <v>145000</v>
      </c>
      <c r="I1017" s="16">
        <f>E1017*G1017</f>
        <v>250000</v>
      </c>
      <c r="J1017" s="16">
        <f>I1017-H1017</f>
        <v>105000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44376</v>
      </c>
      <c r="B1018" s="16" t="s">
        <v>1190</v>
      </c>
      <c r="C1018" s="16" t="s">
        <v>349</v>
      </c>
      <c r="D1018" s="16" t="str">
        <f>VLOOKUP(C1018,[1]master_data!$A$2:$E$495,2,FALSE)</f>
        <v>RED EYE TETRA</v>
      </c>
      <c r="E1018" s="16">
        <v>1</v>
      </c>
      <c r="F1018" s="16">
        <f>VLOOKUP(C1018,[1]master_data!$A$2:$E$495,3,FALSE)</f>
        <v>900</v>
      </c>
      <c r="G1018" s="16">
        <f>VLOOKUP(C1018,[1]master_data!$A$2:$E$495,4,FALSE)</f>
        <v>2000</v>
      </c>
      <c r="H1018" s="16">
        <f>E1018*F1018</f>
        <v>900</v>
      </c>
      <c r="I1018" s="16">
        <f>E1018*G1018</f>
        <v>2000</v>
      </c>
      <c r="J1018" s="16">
        <f>I1018-H1018</f>
        <v>1100</v>
      </c>
      <c r="K1018" s="16" t="str">
        <f>VLOOKUP(C1018,[1]master_data!$A$2:$E$495,5,FALSE)</f>
        <v>Ikan</v>
      </c>
      <c r="L1018" s="1"/>
    </row>
    <row r="1019" spans="1:12" ht="12" customHeight="1" x14ac:dyDescent="0.25">
      <c r="A1019" s="15">
        <v>44376</v>
      </c>
      <c r="B1019" s="16" t="s">
        <v>1191</v>
      </c>
      <c r="C1019" s="16" t="s">
        <v>242</v>
      </c>
      <c r="D1019" s="16" t="str">
        <f>VLOOKUP(C1019,[1]master_data!$A$2:$E$495,2,FALSE)</f>
        <v>SEDOTAN</v>
      </c>
      <c r="E1019" s="16">
        <v>7</v>
      </c>
      <c r="F1019" s="16">
        <f>VLOOKUP(C1019,[1]master_data!$A$2:$E$495,3,FALSE)</f>
        <v>10000</v>
      </c>
      <c r="G1019" s="16">
        <f>VLOOKUP(C1019,[1]master_data!$A$2:$E$495,4,FALSE)</f>
        <v>15000</v>
      </c>
      <c r="H1019" s="16">
        <f>E1019*F1019</f>
        <v>70000</v>
      </c>
      <c r="I1019" s="16">
        <f>E1019*G1019</f>
        <v>105000</v>
      </c>
      <c r="J1019" s="16">
        <f>I1019-H1019</f>
        <v>35000</v>
      </c>
      <c r="K1019" s="16" t="str">
        <f>VLOOKUP(C1019,[1]master_data!$A$2:$E$495,5,FALSE)</f>
        <v>Aksesoris</v>
      </c>
      <c r="L1019" s="1"/>
    </row>
    <row r="1020" spans="1:12" ht="12" customHeight="1" x14ac:dyDescent="0.25">
      <c r="A1020" s="15">
        <v>44376</v>
      </c>
      <c r="B1020" s="16" t="s">
        <v>1192</v>
      </c>
      <c r="C1020" s="16" t="s">
        <v>292</v>
      </c>
      <c r="D1020" s="16" t="str">
        <f>VLOOKUP(C1020,[1]master_data!$A$2:$E$495,2,FALSE)</f>
        <v>PASIR HITAM B</v>
      </c>
      <c r="E1020" s="16">
        <v>1</v>
      </c>
      <c r="F1020" s="16">
        <f>VLOOKUP(C1020,[1]master_data!$A$2:$E$495,3,FALSE)</f>
        <v>8000</v>
      </c>
      <c r="G1020" s="16">
        <f>VLOOKUP(C1020,[1]master_data!$A$2:$E$495,4,FALSE)</f>
        <v>15000</v>
      </c>
      <c r="H1020" s="16">
        <f>E1020*F1020</f>
        <v>8000</v>
      </c>
      <c r="I1020" s="16">
        <f>E1020*G1020</f>
        <v>15000</v>
      </c>
      <c r="J1020" s="16">
        <f>I1020-H1020</f>
        <v>7000</v>
      </c>
      <c r="K1020" s="16" t="str">
        <f>VLOOKUP(C1020,[1]master_data!$A$2:$E$495,5,FALSE)</f>
        <v>Aksesoris</v>
      </c>
      <c r="L1020" s="1"/>
    </row>
    <row r="1021" spans="1:12" ht="12" customHeight="1" x14ac:dyDescent="0.25">
      <c r="A1021" s="15">
        <v>44375</v>
      </c>
      <c r="B1021" s="16" t="s">
        <v>1188</v>
      </c>
      <c r="C1021" s="16" t="s">
        <v>316</v>
      </c>
      <c r="D1021" s="16" t="str">
        <f>VLOOKUP(C1021,[1]master_data!$A$2:$E$495,2,FALSE)</f>
        <v>CHANNA BLUE PULCHRA K</v>
      </c>
      <c r="E1021" s="16">
        <v>10</v>
      </c>
      <c r="F1021" s="16">
        <f>VLOOKUP(C1021,[1]master_data!$A$2:$E$495,3,FALSE)</f>
        <v>25000</v>
      </c>
      <c r="G1021" s="16">
        <f>VLOOKUP(C1021,[1]master_data!$A$2:$E$495,4,FALSE)</f>
        <v>50000</v>
      </c>
      <c r="H1021" s="16">
        <f>E1021*F1021</f>
        <v>250000</v>
      </c>
      <c r="I1021" s="16">
        <f>E1021*G1021</f>
        <v>500000</v>
      </c>
      <c r="J1021" s="16">
        <f>I1021-H1021</f>
        <v>250000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44374</v>
      </c>
      <c r="B1022" s="16" t="s">
        <v>1183</v>
      </c>
      <c r="C1022" s="16" t="s">
        <v>156</v>
      </c>
      <c r="D1022" s="16" t="str">
        <f>VLOOKUP(C1022,[1]master_data!$A$2:$E$495,2,FALSE)</f>
        <v>LED KANDILA PRO RED ECO 60 CM</v>
      </c>
      <c r="E1022" s="16">
        <v>10</v>
      </c>
      <c r="F1022" s="16">
        <f>VLOOKUP(C1022,[1]master_data!$A$2:$E$495,3,FALSE)</f>
        <v>60000</v>
      </c>
      <c r="G1022" s="16">
        <f>VLOOKUP(C1022,[1]master_data!$A$2:$E$495,4,FALSE)</f>
        <v>80000</v>
      </c>
      <c r="H1022" s="16">
        <f>E1022*F1022</f>
        <v>600000</v>
      </c>
      <c r="I1022" s="16">
        <f>E1022*G1022</f>
        <v>800000</v>
      </c>
      <c r="J1022" s="16">
        <f>I1022-H1022</f>
        <v>200000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44374</v>
      </c>
      <c r="B1023" s="16" t="s">
        <v>1184</v>
      </c>
      <c r="C1023" s="16" t="s">
        <v>334</v>
      </c>
      <c r="D1023" s="16" t="str">
        <f>VLOOKUP(C1023,[1]master_data!$A$2:$E$495,2,FALSE)</f>
        <v>KOMET PAKAN</v>
      </c>
      <c r="E1023" s="16">
        <v>45</v>
      </c>
      <c r="F1023" s="16">
        <f>VLOOKUP(C1023,[1]master_data!$A$2:$E$495,3,FALSE)</f>
        <v>300</v>
      </c>
      <c r="G1023" s="16">
        <f>VLOOKUP(C1023,[1]master_data!$A$2:$E$495,4,FALSE)</f>
        <v>1000</v>
      </c>
      <c r="H1023" s="16">
        <f>E1023*F1023</f>
        <v>13500</v>
      </c>
      <c r="I1023" s="16">
        <f>E1023*G1023</f>
        <v>45000</v>
      </c>
      <c r="J1023" s="16">
        <f>I1023-H1023</f>
        <v>31500</v>
      </c>
      <c r="K1023" s="16" t="str">
        <f>VLOOKUP(C1023,[1]master_data!$A$2:$E$495,5,FALSE)</f>
        <v>Ikan</v>
      </c>
      <c r="L1023" s="1"/>
    </row>
    <row r="1024" spans="1:12" ht="12" customHeight="1" x14ac:dyDescent="0.25">
      <c r="A1024" s="15">
        <v>44374</v>
      </c>
      <c r="B1024" s="16" t="s">
        <v>1185</v>
      </c>
      <c r="C1024" s="16" t="s">
        <v>204</v>
      </c>
      <c r="D1024" s="16" t="str">
        <f>VLOOKUP(C1024,[1]master_data!$A$2:$E$495,2,FALSE)</f>
        <v>STOP KUTU</v>
      </c>
      <c r="E1024" s="16">
        <v>10</v>
      </c>
      <c r="F1024" s="16">
        <f>VLOOKUP(C1024,[1]master_data!$A$2:$E$495,3,FALSE)</f>
        <v>10000</v>
      </c>
      <c r="G1024" s="16">
        <f>VLOOKUP(C1024,[1]master_data!$A$2:$E$495,4,FALSE)</f>
        <v>15000</v>
      </c>
      <c r="H1024" s="16">
        <f>E1024*F1024</f>
        <v>100000</v>
      </c>
      <c r="I1024" s="16">
        <f>E1024*G1024</f>
        <v>150000</v>
      </c>
      <c r="J1024" s="16">
        <f>I1024-H1024</f>
        <v>50000</v>
      </c>
      <c r="K1024" s="16" t="str">
        <f>VLOOKUP(C1024,[1]master_data!$A$2:$E$495,5,FALSE)</f>
        <v>Aksesoris</v>
      </c>
      <c r="L1024" s="1"/>
    </row>
    <row r="1025" spans="1:12" ht="12" customHeight="1" x14ac:dyDescent="0.25">
      <c r="A1025" s="15">
        <v>44374</v>
      </c>
      <c r="B1025" s="16" t="s">
        <v>1186</v>
      </c>
      <c r="C1025" s="16" t="s">
        <v>312</v>
      </c>
      <c r="D1025" s="16" t="str">
        <f>VLOOKUP(C1025,[1]master_data!$A$2:$E$495,2,FALSE)</f>
        <v>BUENOS AIRES TETRA</v>
      </c>
      <c r="E1025" s="16">
        <v>3</v>
      </c>
      <c r="F1025" s="16">
        <f>VLOOKUP(C1025,[1]master_data!$A$2:$E$495,3,FALSE)</f>
        <v>800</v>
      </c>
      <c r="G1025" s="16">
        <f>VLOOKUP(C1025,[1]master_data!$A$2:$E$495,4,FALSE)</f>
        <v>2000</v>
      </c>
      <c r="H1025" s="16">
        <f>E1025*F1025</f>
        <v>2400</v>
      </c>
      <c r="I1025" s="16">
        <f>E1025*G1025</f>
        <v>6000</v>
      </c>
      <c r="J1025" s="16">
        <f>I1025-H1025</f>
        <v>3600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44374</v>
      </c>
      <c r="B1026" s="16" t="s">
        <v>1187</v>
      </c>
      <c r="C1026" s="16" t="s">
        <v>349</v>
      </c>
      <c r="D1026" s="16" t="str">
        <f>VLOOKUP(C1026,[1]master_data!$A$2:$E$495,2,FALSE)</f>
        <v>RED EYE TETRA</v>
      </c>
      <c r="E1026" s="16">
        <v>1</v>
      </c>
      <c r="F1026" s="16">
        <f>VLOOKUP(C1026,[1]master_data!$A$2:$E$495,3,FALSE)</f>
        <v>900</v>
      </c>
      <c r="G1026" s="16">
        <f>VLOOKUP(C1026,[1]master_data!$A$2:$E$495,4,FALSE)</f>
        <v>2000</v>
      </c>
      <c r="H1026" s="16">
        <f>E1026*F1026</f>
        <v>900</v>
      </c>
      <c r="I1026" s="16">
        <f>E1026*G1026</f>
        <v>2000</v>
      </c>
      <c r="J1026" s="16">
        <f>I1026-H1026</f>
        <v>1100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44373</v>
      </c>
      <c r="B1027" s="16" t="s">
        <v>1175</v>
      </c>
      <c r="C1027" s="16" t="s">
        <v>326</v>
      </c>
      <c r="D1027" s="16" t="str">
        <f>VLOOKUP(C1027,[1]master_data!$A$2:$E$495,2,FALSE)</f>
        <v>KOKI K</v>
      </c>
      <c r="E1027" s="16">
        <v>15</v>
      </c>
      <c r="F1027" s="16">
        <f>VLOOKUP(C1027,[1]master_data!$A$2:$E$495,3,FALSE)</f>
        <v>3500</v>
      </c>
      <c r="G1027" s="16">
        <f>VLOOKUP(C1027,[1]master_data!$A$2:$E$495,4,FALSE)</f>
        <v>10000</v>
      </c>
      <c r="H1027" s="16">
        <f>E1027*F1027</f>
        <v>52500</v>
      </c>
      <c r="I1027" s="16">
        <f>E1027*G1027</f>
        <v>150000</v>
      </c>
      <c r="J1027" s="16">
        <f>I1027-H1027</f>
        <v>97500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44373</v>
      </c>
      <c r="B1028" s="16" t="s">
        <v>1176</v>
      </c>
      <c r="C1028" s="16" t="s">
        <v>5</v>
      </c>
      <c r="D1028" s="16" t="str">
        <f>VLOOKUP(C1028,[1]master_data!$A$2:$E$495,2,FALSE)</f>
        <v>MESIN YANG 1000 L</v>
      </c>
      <c r="E1028" s="16">
        <v>1</v>
      </c>
      <c r="F1028" s="16">
        <f>VLOOKUP(C1028,[1]master_data!$A$2:$E$495,3,FALSE)</f>
        <v>31000</v>
      </c>
      <c r="G1028" s="16">
        <f>VLOOKUP(C1028,[1]master_data!$A$2:$E$495,4,FALSE)</f>
        <v>50000</v>
      </c>
      <c r="H1028" s="16">
        <f>E1028*F1028</f>
        <v>31000</v>
      </c>
      <c r="I1028" s="16">
        <f>E1028*G1028</f>
        <v>50000</v>
      </c>
      <c r="J1028" s="16">
        <f>I1028-H1028</f>
        <v>19000</v>
      </c>
      <c r="K1028" s="16" t="str">
        <f>VLOOKUP(C1028,[1]master_data!$A$2:$E$495,5,FALSE)</f>
        <v>Aksesoris</v>
      </c>
      <c r="L1028" s="1"/>
    </row>
    <row r="1029" spans="1:12" ht="12" customHeight="1" x14ac:dyDescent="0.25">
      <c r="A1029" s="15">
        <v>44373</v>
      </c>
      <c r="B1029" s="16" t="s">
        <v>1177</v>
      </c>
      <c r="C1029" s="16" t="s">
        <v>67</v>
      </c>
      <c r="D1029" s="16" t="str">
        <f>VLOOKUP(C1029,[1]master_data!$A$2:$E$495,2,FALSE)</f>
        <v>BOX KOSONG K</v>
      </c>
      <c r="E1029" s="16">
        <v>1</v>
      </c>
      <c r="F1029" s="16">
        <f>VLOOKUP(C1029,[1]master_data!$A$2:$E$495,3,FALSE)</f>
        <v>10000</v>
      </c>
      <c r="G1029" s="16">
        <f>VLOOKUP(C1029,[1]master_data!$A$2:$E$495,4,FALSE)</f>
        <v>20000</v>
      </c>
      <c r="H1029" s="16">
        <f>E1029*F1029</f>
        <v>10000</v>
      </c>
      <c r="I1029" s="16">
        <f>E1029*G1029</f>
        <v>20000</v>
      </c>
      <c r="J1029" s="16">
        <f>I1029-H1029</f>
        <v>10000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44373</v>
      </c>
      <c r="B1030" s="16" t="s">
        <v>1178</v>
      </c>
      <c r="C1030" s="16" t="s">
        <v>365</v>
      </c>
      <c r="D1030" s="16" t="str">
        <f>VLOOKUP(C1030,[1]master_data!$A$2:$E$495,2,FALSE)</f>
        <v>SYNODONTIS K</v>
      </c>
      <c r="E1030" s="16">
        <v>15</v>
      </c>
      <c r="F1030" s="16">
        <f>VLOOKUP(C1030,[1]master_data!$A$2:$E$495,3,FALSE)</f>
        <v>1500</v>
      </c>
      <c r="G1030" s="16">
        <f>VLOOKUP(C1030,[1]master_data!$A$2:$E$495,4,FALSE)</f>
        <v>5000</v>
      </c>
      <c r="H1030" s="16">
        <f>E1030*F1030</f>
        <v>22500</v>
      </c>
      <c r="I1030" s="16">
        <f>E1030*G1030</f>
        <v>75000</v>
      </c>
      <c r="J1030" s="16">
        <f>I1030-H1030</f>
        <v>52500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44373</v>
      </c>
      <c r="B1031" s="16" t="s">
        <v>1179</v>
      </c>
      <c r="C1031" s="16" t="s">
        <v>311</v>
      </c>
      <c r="D1031" s="16" t="str">
        <f>VLOOKUP(C1031,[1]master_data!$A$2:$E$495,2,FALSE)</f>
        <v>BIPOLAR</v>
      </c>
      <c r="E1031" s="16">
        <v>25</v>
      </c>
      <c r="F1031" s="16">
        <f>VLOOKUP(C1031,[1]master_data!$A$2:$E$495,3,FALSE)</f>
        <v>1000</v>
      </c>
      <c r="G1031" s="16">
        <f>VLOOKUP(C1031,[1]master_data!$A$2:$E$495,4,FALSE)</f>
        <v>2500</v>
      </c>
      <c r="H1031" s="16">
        <f>E1031*F1031</f>
        <v>25000</v>
      </c>
      <c r="I1031" s="16">
        <f>E1031*G1031</f>
        <v>62500</v>
      </c>
      <c r="J1031" s="16">
        <f>I1031-H1031</f>
        <v>37500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44373</v>
      </c>
      <c r="B1032" s="16" t="s">
        <v>1180</v>
      </c>
      <c r="C1032" s="16" t="s">
        <v>334</v>
      </c>
      <c r="D1032" s="16" t="str">
        <f>VLOOKUP(C1032,[1]master_data!$A$2:$E$495,2,FALSE)</f>
        <v>KOMET PAKAN</v>
      </c>
      <c r="E1032" s="16">
        <v>60</v>
      </c>
      <c r="F1032" s="16">
        <f>VLOOKUP(C1032,[1]master_data!$A$2:$E$495,3,FALSE)</f>
        <v>300</v>
      </c>
      <c r="G1032" s="16">
        <f>VLOOKUP(C1032,[1]master_data!$A$2:$E$495,4,FALSE)</f>
        <v>1000</v>
      </c>
      <c r="H1032" s="16">
        <f>E1032*F1032</f>
        <v>18000</v>
      </c>
      <c r="I1032" s="16">
        <f>E1032*G1032</f>
        <v>60000</v>
      </c>
      <c r="J1032" s="16">
        <f>I1032-H1032</f>
        <v>42000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44373</v>
      </c>
      <c r="B1033" s="16" t="s">
        <v>1181</v>
      </c>
      <c r="C1033" s="16" t="s">
        <v>372</v>
      </c>
      <c r="D1033" s="16" t="str">
        <f>VLOOKUP(C1033,[1]master_data!$A$2:$E$495,2,FALSE)</f>
        <v>ZEBRA KUNING</v>
      </c>
      <c r="E1033" s="16">
        <v>25</v>
      </c>
      <c r="F1033" s="16">
        <f>VLOOKUP(C1033,[1]master_data!$A$2:$E$495,3,FALSE)</f>
        <v>800</v>
      </c>
      <c r="G1033" s="16">
        <f>VLOOKUP(C1033,[1]master_data!$A$2:$E$495,4,FALSE)</f>
        <v>2000</v>
      </c>
      <c r="H1033" s="16">
        <f>E1033*F1033</f>
        <v>20000</v>
      </c>
      <c r="I1033" s="16">
        <f>E1033*G1033</f>
        <v>50000</v>
      </c>
      <c r="J1033" s="16">
        <f>I1033-H1033</f>
        <v>30000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44373</v>
      </c>
      <c r="B1034" s="16" t="s">
        <v>1182</v>
      </c>
      <c r="C1034" s="16" t="s">
        <v>368</v>
      </c>
      <c r="D1034" s="16" t="str">
        <f>VLOOKUP(C1034,[1]master_data!$A$2:$E$495,2,FALSE)</f>
        <v>TOMAN</v>
      </c>
      <c r="E1034" s="16">
        <v>1</v>
      </c>
      <c r="F1034" s="16">
        <f>VLOOKUP(C1034,[1]master_data!$A$2:$E$495,3,FALSE)</f>
        <v>10000</v>
      </c>
      <c r="G1034" s="16">
        <f>VLOOKUP(C1034,[1]master_data!$A$2:$E$495,4,FALSE)</f>
        <v>25000</v>
      </c>
      <c r="H1034" s="16">
        <f>E1034*F1034</f>
        <v>10000</v>
      </c>
      <c r="I1034" s="16">
        <f>E1034*G1034</f>
        <v>25000</v>
      </c>
      <c r="J1034" s="16">
        <f>I1034-H1034</f>
        <v>15000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44372</v>
      </c>
      <c r="B1035" s="16" t="s">
        <v>1172</v>
      </c>
      <c r="C1035" s="16" t="s">
        <v>374</v>
      </c>
      <c r="D1035" s="16" t="str">
        <f>VLOOKUP(C1035,[1]master_data!$A$2:$E$495,2,FALSE)</f>
        <v>SEPAT ALBINO</v>
      </c>
      <c r="E1035" s="16">
        <v>15</v>
      </c>
      <c r="F1035" s="16">
        <f>VLOOKUP(C1035,[1]master_data!$A$2:$E$495,3,FALSE)</f>
        <v>2000</v>
      </c>
      <c r="G1035" s="16">
        <f>VLOOKUP(C1035,[1]master_data!$A$2:$E$495,4,FALSE)</f>
        <v>5000</v>
      </c>
      <c r="H1035" s="16">
        <f>E1035*F1035</f>
        <v>30000</v>
      </c>
      <c r="I1035" s="16">
        <f>E1035*G1035</f>
        <v>75000</v>
      </c>
      <c r="J1035" s="16">
        <f>I1035-H1035</f>
        <v>45000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44372</v>
      </c>
      <c r="B1036" s="16" t="s">
        <v>1173</v>
      </c>
      <c r="C1036" s="16" t="s">
        <v>58</v>
      </c>
      <c r="D1036" s="16" t="str">
        <f>VLOOKUP(C1036,[1]master_data!$A$2:$E$495,2,FALSE)</f>
        <v>MESIN KANDILA 1200</v>
      </c>
      <c r="E1036" s="16">
        <v>5</v>
      </c>
      <c r="F1036" s="16">
        <f>VLOOKUP(C1036,[1]master_data!$A$2:$E$495,3,FALSE)</f>
        <v>19000</v>
      </c>
      <c r="G1036" s="16">
        <f>VLOOKUP(C1036,[1]master_data!$A$2:$E$495,4,FALSE)</f>
        <v>30000</v>
      </c>
      <c r="H1036" s="16">
        <f>E1036*F1036</f>
        <v>95000</v>
      </c>
      <c r="I1036" s="16">
        <f>E1036*G1036</f>
        <v>150000</v>
      </c>
      <c r="J1036" s="16">
        <f>I1036-H1036</f>
        <v>55000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A1037" s="15">
        <v>44372</v>
      </c>
      <c r="B1037" s="16" t="s">
        <v>1174</v>
      </c>
      <c r="C1037" s="16" t="s">
        <v>75</v>
      </c>
      <c r="D1037" s="16" t="str">
        <f>VLOOKUP(C1037,[1]master_data!$A$2:$E$495,2,FALSE)</f>
        <v>MESIN KIYOSAKI 105B</v>
      </c>
      <c r="E1037" s="16">
        <v>1</v>
      </c>
      <c r="F1037" s="16">
        <f>VLOOKUP(C1037,[1]master_data!$A$2:$E$495,3,FALSE)</f>
        <v>110000</v>
      </c>
      <c r="G1037" s="16">
        <f>VLOOKUP(C1037,[1]master_data!$A$2:$E$495,4,FALSE)</f>
        <v>160000</v>
      </c>
      <c r="H1037" s="16">
        <f>E1037*F1037</f>
        <v>110000</v>
      </c>
      <c r="I1037" s="16">
        <f>E1037*G1037</f>
        <v>160000</v>
      </c>
      <c r="J1037" s="16">
        <f>I1037-H1037</f>
        <v>50000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44371</v>
      </c>
      <c r="B1038" s="16" t="s">
        <v>1167</v>
      </c>
      <c r="C1038" s="16" t="s">
        <v>176</v>
      </c>
      <c r="D1038" s="16" t="str">
        <f>VLOOKUP(C1038,[1]master_data!$A$2:$E$495,2,FALSE)</f>
        <v>HIRO COLOUR</v>
      </c>
      <c r="E1038" s="16">
        <v>10</v>
      </c>
      <c r="F1038" s="16">
        <f>VLOOKUP(C1038,[1]master_data!$A$2:$E$495,3,FALSE)</f>
        <v>72000</v>
      </c>
      <c r="G1038" s="16">
        <f>VLOOKUP(C1038,[1]master_data!$A$2:$E$495,4,FALSE)</f>
        <v>80000</v>
      </c>
      <c r="H1038" s="16">
        <f>E1038*F1038</f>
        <v>720000</v>
      </c>
      <c r="I1038" s="16">
        <f>E1038*G1038</f>
        <v>800000</v>
      </c>
      <c r="J1038" s="16">
        <f>I1038-H1038</f>
        <v>80000</v>
      </c>
      <c r="K1038" s="16" t="str">
        <f>VLOOKUP(C1038,[1]master_data!$A$2:$E$495,5,FALSE)</f>
        <v>Aksesoris</v>
      </c>
      <c r="L1038" s="1"/>
    </row>
    <row r="1039" spans="1:12" ht="12" customHeight="1" x14ac:dyDescent="0.25">
      <c r="A1039" s="15">
        <v>44371</v>
      </c>
      <c r="B1039" s="16" t="s">
        <v>1168</v>
      </c>
      <c r="C1039" s="16" t="s">
        <v>339</v>
      </c>
      <c r="D1039" s="16" t="str">
        <f>VLOOKUP(C1039,[1]master_data!$A$2:$E$495,2,FALSE)</f>
        <v>DISCUS</v>
      </c>
      <c r="E1039" s="16">
        <v>2</v>
      </c>
      <c r="F1039" s="16">
        <f>VLOOKUP(C1039,[1]master_data!$A$2:$E$495,3,FALSE)</f>
        <v>50000</v>
      </c>
      <c r="G1039" s="16">
        <f>VLOOKUP(C1039,[1]master_data!$A$2:$E$495,4,FALSE)</f>
        <v>150000</v>
      </c>
      <c r="H1039" s="16">
        <f>E1039*F1039</f>
        <v>100000</v>
      </c>
      <c r="I1039" s="16">
        <f>E1039*G1039</f>
        <v>300000</v>
      </c>
      <c r="J1039" s="16">
        <f>I1039-H1039</f>
        <v>200000</v>
      </c>
      <c r="K1039" s="16" t="str">
        <f>VLOOKUP(C1039,[1]master_data!$A$2:$E$495,5,FALSE)</f>
        <v>Ikan</v>
      </c>
      <c r="L1039" s="1"/>
    </row>
    <row r="1040" spans="1:12" ht="12" customHeight="1" x14ac:dyDescent="0.25">
      <c r="A1040" s="15">
        <v>44371</v>
      </c>
      <c r="B1040" s="16" t="s">
        <v>1169</v>
      </c>
      <c r="C1040" s="16" t="s">
        <v>318</v>
      </c>
      <c r="D1040" s="16" t="str">
        <f>VLOOKUP(C1040,[1]master_data!$A$2:$E$495,2,FALSE)</f>
        <v>KOMET BOKIM</v>
      </c>
      <c r="E1040" s="16">
        <v>20</v>
      </c>
      <c r="F1040" s="16">
        <f>VLOOKUP(C1040,[1]master_data!$A$2:$E$495,3,FALSE)</f>
        <v>1500</v>
      </c>
      <c r="G1040" s="16">
        <f>VLOOKUP(C1040,[1]master_data!$A$2:$E$495,4,FALSE)</f>
        <v>5000</v>
      </c>
      <c r="H1040" s="16">
        <f>E1040*F1040</f>
        <v>30000</v>
      </c>
      <c r="I1040" s="16">
        <f>E1040*G1040</f>
        <v>100000</v>
      </c>
      <c r="J1040" s="16">
        <f>I1040-H1040</f>
        <v>70000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44371</v>
      </c>
      <c r="B1041" s="16" t="s">
        <v>1170</v>
      </c>
      <c r="C1041" s="16" t="s">
        <v>365</v>
      </c>
      <c r="D1041" s="16" t="str">
        <f>VLOOKUP(C1041,[1]master_data!$A$2:$E$495,2,FALSE)</f>
        <v>SYNODONTIS K</v>
      </c>
      <c r="E1041" s="16">
        <v>13</v>
      </c>
      <c r="F1041" s="16">
        <f>VLOOKUP(C1041,[1]master_data!$A$2:$E$495,3,FALSE)</f>
        <v>1500</v>
      </c>
      <c r="G1041" s="16">
        <f>VLOOKUP(C1041,[1]master_data!$A$2:$E$495,4,FALSE)</f>
        <v>5000</v>
      </c>
      <c r="H1041" s="16">
        <f>E1041*F1041</f>
        <v>19500</v>
      </c>
      <c r="I1041" s="16">
        <f>E1041*G1041</f>
        <v>65000</v>
      </c>
      <c r="J1041" s="16">
        <f>I1041-H1041</f>
        <v>45500</v>
      </c>
      <c r="K1041" s="16" t="str">
        <f>VLOOKUP(C1041,[1]master_data!$A$2:$E$495,5,FALSE)</f>
        <v>Ikan</v>
      </c>
      <c r="L1041" s="1"/>
    </row>
    <row r="1042" spans="1:12" ht="12" customHeight="1" x14ac:dyDescent="0.25">
      <c r="A1042" s="15">
        <v>44371</v>
      </c>
      <c r="B1042" s="16" t="s">
        <v>1171</v>
      </c>
      <c r="C1042" s="16" t="s">
        <v>347</v>
      </c>
      <c r="D1042" s="16" t="str">
        <f>VLOOKUP(C1042,[1]master_data!$A$2:$E$495,2,FALSE)</f>
        <v>MOLI BALON</v>
      </c>
      <c r="E1042" s="16">
        <v>1</v>
      </c>
      <c r="F1042" s="16">
        <f>VLOOKUP(C1042,[1]master_data!$A$2:$E$495,3,FALSE)</f>
        <v>800</v>
      </c>
      <c r="G1042" s="16">
        <f>VLOOKUP(C1042,[1]master_data!$A$2:$E$495,4,FALSE)</f>
        <v>2000</v>
      </c>
      <c r="H1042" s="16">
        <f>E1042*F1042</f>
        <v>800</v>
      </c>
      <c r="I1042" s="16">
        <f>E1042*G1042</f>
        <v>2000</v>
      </c>
      <c r="J1042" s="16">
        <f>I1042-H1042</f>
        <v>1200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44370</v>
      </c>
      <c r="B1043" s="16" t="s">
        <v>1165</v>
      </c>
      <c r="C1043" s="16" t="s">
        <v>142</v>
      </c>
      <c r="D1043" s="16" t="str">
        <f>VLOOKUP(C1043,[1]master_data!$A$2:$E$495,2,FALSE)</f>
        <v>LED KANDILA DnN 80 CM</v>
      </c>
      <c r="E1043" s="16">
        <v>5</v>
      </c>
      <c r="F1043" s="16">
        <f>VLOOKUP(C1043,[1]master_data!$A$2:$E$495,3,FALSE)</f>
        <v>50000</v>
      </c>
      <c r="G1043" s="16">
        <f>VLOOKUP(C1043,[1]master_data!$A$2:$E$495,4,FALSE)</f>
        <v>90000</v>
      </c>
      <c r="H1043" s="16">
        <f>E1043*F1043</f>
        <v>250000</v>
      </c>
      <c r="I1043" s="16">
        <f>E1043*G1043</f>
        <v>450000</v>
      </c>
      <c r="J1043" s="16">
        <f>I1043-H1043</f>
        <v>200000</v>
      </c>
      <c r="K1043" s="16" t="str">
        <f>VLOOKUP(C1043,[1]master_data!$A$2:$E$495,5,FALSE)</f>
        <v>Aksesoris</v>
      </c>
      <c r="L1043" s="1"/>
    </row>
    <row r="1044" spans="1:12" ht="12" customHeight="1" x14ac:dyDescent="0.25">
      <c r="A1044" s="15">
        <v>44370</v>
      </c>
      <c r="B1044" s="16" t="s">
        <v>1166</v>
      </c>
      <c r="C1044" s="16" t="s">
        <v>90</v>
      </c>
      <c r="D1044" s="16" t="str">
        <f>VLOOKUP(C1044,[1]master_data!$A$2:$E$495,2,FALSE)</f>
        <v>AIRATOR KANDILA LUB 1</v>
      </c>
      <c r="E1044" s="16">
        <v>8</v>
      </c>
      <c r="F1044" s="16">
        <f>VLOOKUP(C1044,[1]master_data!$A$2:$E$495,3,FALSE)</f>
        <v>15000</v>
      </c>
      <c r="G1044" s="16">
        <f>VLOOKUP(C1044,[1]master_data!$A$2:$E$495,4,FALSE)</f>
        <v>25000</v>
      </c>
      <c r="H1044" s="16">
        <f>E1044*F1044</f>
        <v>120000</v>
      </c>
      <c r="I1044" s="16">
        <f>E1044*G1044</f>
        <v>200000</v>
      </c>
      <c r="J1044" s="16">
        <f>I1044-H1044</f>
        <v>80000</v>
      </c>
      <c r="K1044" s="16" t="str">
        <f>VLOOKUP(C1044,[1]master_data!$A$2:$E$495,5,FALSE)</f>
        <v>Aksesoris</v>
      </c>
      <c r="L1044" s="1"/>
    </row>
    <row r="1045" spans="1:12" ht="12" customHeight="1" x14ac:dyDescent="0.25">
      <c r="A1045" s="15">
        <v>44369</v>
      </c>
      <c r="B1045" s="16" t="s">
        <v>1157</v>
      </c>
      <c r="C1045" s="16" t="s">
        <v>218</v>
      </c>
      <c r="D1045" s="16" t="str">
        <f>VLOOKUP(C1045,[1]master_data!$A$2:$E$495,2,FALSE)</f>
        <v>HEATER KACA 75 W</v>
      </c>
      <c r="E1045" s="16">
        <v>4</v>
      </c>
      <c r="F1045" s="16">
        <f>VLOOKUP(C1045,[1]master_data!$A$2:$E$495,3,FALSE)</f>
        <v>33000</v>
      </c>
      <c r="G1045" s="16">
        <f>VLOOKUP(C1045,[1]master_data!$A$2:$E$495,4,FALSE)</f>
        <v>50000</v>
      </c>
      <c r="H1045" s="16">
        <f>E1045*F1045</f>
        <v>132000</v>
      </c>
      <c r="I1045" s="16">
        <f>E1045*G1045</f>
        <v>200000</v>
      </c>
      <c r="J1045" s="16">
        <f>I1045-H1045</f>
        <v>68000</v>
      </c>
      <c r="K1045" s="16" t="str">
        <f>VLOOKUP(C1045,[1]master_data!$A$2:$E$495,5,FALSE)</f>
        <v>Aksesoris</v>
      </c>
      <c r="L1045" s="1"/>
    </row>
    <row r="1046" spans="1:12" ht="12" customHeight="1" x14ac:dyDescent="0.25">
      <c r="A1046" s="15">
        <v>44369</v>
      </c>
      <c r="B1046" s="16" t="s">
        <v>1158</v>
      </c>
      <c r="C1046" s="16" t="s">
        <v>354</v>
      </c>
      <c r="D1046" s="16" t="str">
        <f>VLOOKUP(C1046,[1]master_data!$A$2:$E$495,2,FALSE)</f>
        <v>PEMBERSIH KACA ALBINO</v>
      </c>
      <c r="E1046" s="16">
        <v>30</v>
      </c>
      <c r="F1046" s="16">
        <f>VLOOKUP(C1046,[1]master_data!$A$2:$E$495,3,FALSE)</f>
        <v>2500</v>
      </c>
      <c r="G1046" s="16">
        <f>VLOOKUP(C1046,[1]master_data!$A$2:$E$495,4,FALSE)</f>
        <v>5000</v>
      </c>
      <c r="H1046" s="16">
        <f>E1046*F1046</f>
        <v>75000</v>
      </c>
      <c r="I1046" s="16">
        <f>E1046*G1046</f>
        <v>150000</v>
      </c>
      <c r="J1046" s="16">
        <f>I1046-H1046</f>
        <v>75000</v>
      </c>
      <c r="K1046" s="16" t="str">
        <f>VLOOKUP(C1046,[1]master_data!$A$2:$E$495,5,FALSE)</f>
        <v>Ikan</v>
      </c>
      <c r="L1046" s="1"/>
    </row>
    <row r="1047" spans="1:12" ht="12" customHeight="1" x14ac:dyDescent="0.25">
      <c r="A1047" s="15">
        <v>44369</v>
      </c>
      <c r="B1047" s="16" t="s">
        <v>1159</v>
      </c>
      <c r="C1047" s="16" t="s">
        <v>21</v>
      </c>
      <c r="D1047" s="16" t="str">
        <f>VLOOKUP(C1047,[1]master_data!$A$2:$E$495,2,FALSE)</f>
        <v>MESIN ROSTON 1200</v>
      </c>
      <c r="E1047" s="16">
        <v>1</v>
      </c>
      <c r="F1047" s="16">
        <f>VLOOKUP(C1047,[1]master_data!$A$2:$E$495,3,FALSE)</f>
        <v>23000</v>
      </c>
      <c r="G1047" s="16">
        <f>VLOOKUP(C1047,[1]master_data!$A$2:$E$495,4,FALSE)</f>
        <v>35000</v>
      </c>
      <c r="H1047" s="16">
        <f>E1047*F1047</f>
        <v>23000</v>
      </c>
      <c r="I1047" s="16">
        <f>E1047*G1047</f>
        <v>35000</v>
      </c>
      <c r="J1047" s="16">
        <f>I1047-H1047</f>
        <v>12000</v>
      </c>
      <c r="K1047" s="16" t="str">
        <f>VLOOKUP(C1047,[1]master_data!$A$2:$E$495,5,FALSE)</f>
        <v>Aksesoris</v>
      </c>
      <c r="L1047" s="1"/>
    </row>
    <row r="1048" spans="1:12" ht="12" customHeight="1" x14ac:dyDescent="0.25">
      <c r="A1048" s="15">
        <v>44369</v>
      </c>
      <c r="B1048" s="16" t="s">
        <v>1160</v>
      </c>
      <c r="C1048" s="16" t="s">
        <v>198</v>
      </c>
      <c r="D1048" s="16" t="str">
        <f>VLOOKUP(C1048,[1]master_data!$A$2:$E$495,2,FALSE)</f>
        <v>AIRSTONE 40</v>
      </c>
      <c r="E1048" s="16">
        <v>5</v>
      </c>
      <c r="F1048" s="16">
        <f>VLOOKUP(C1048,[1]master_data!$A$2:$E$495,3,FALSE)</f>
        <v>6000</v>
      </c>
      <c r="G1048" s="16">
        <f>VLOOKUP(C1048,[1]master_data!$A$2:$E$495,4,FALSE)</f>
        <v>12000</v>
      </c>
      <c r="H1048" s="16">
        <f>E1048*F1048</f>
        <v>30000</v>
      </c>
      <c r="I1048" s="16">
        <f>E1048*G1048</f>
        <v>60000</v>
      </c>
      <c r="J1048" s="16">
        <f>I1048-H1048</f>
        <v>30000</v>
      </c>
      <c r="K1048" s="16" t="str">
        <f>VLOOKUP(C1048,[1]master_data!$A$2:$E$495,5,FALSE)</f>
        <v>Aksesoris</v>
      </c>
      <c r="L1048" s="1"/>
    </row>
    <row r="1049" spans="1:12" ht="12" customHeight="1" x14ac:dyDescent="0.25">
      <c r="A1049" s="15">
        <v>44369</v>
      </c>
      <c r="B1049" s="16" t="s">
        <v>1161</v>
      </c>
      <c r="C1049" s="16" t="s">
        <v>298</v>
      </c>
      <c r="D1049" s="16" t="str">
        <f>VLOOKUP(C1049,[1]master_data!$A$2:$E$495,2,FALSE)</f>
        <v>BATU WARNA FOSFOR B</v>
      </c>
      <c r="E1049" s="16">
        <v>10</v>
      </c>
      <c r="F1049" s="16">
        <f>VLOOKUP(C1049,[1]master_data!$A$2:$E$495,3,FALSE)</f>
        <v>8000</v>
      </c>
      <c r="G1049" s="16">
        <f>VLOOKUP(C1049,[1]master_data!$A$2:$E$495,4,FALSE)</f>
        <v>15000</v>
      </c>
      <c r="H1049" s="16">
        <f>E1049*F1049</f>
        <v>80000</v>
      </c>
      <c r="I1049" s="16">
        <f>E1049*G1049</f>
        <v>150000</v>
      </c>
      <c r="J1049" s="16">
        <f>I1049-H1049</f>
        <v>70000</v>
      </c>
      <c r="K1049" s="16" t="str">
        <f>VLOOKUP(C1049,[1]master_data!$A$2:$E$495,5,FALSE)</f>
        <v>Aksesoris</v>
      </c>
      <c r="L1049" s="1"/>
    </row>
    <row r="1050" spans="1:12" ht="12" customHeight="1" x14ac:dyDescent="0.25">
      <c r="A1050" s="15">
        <v>44369</v>
      </c>
      <c r="B1050" s="16" t="s">
        <v>1162</v>
      </c>
      <c r="C1050" s="16" t="s">
        <v>330</v>
      </c>
      <c r="D1050" s="16" t="str">
        <f>VLOOKUP(C1050,[1]master_data!$A$2:$E$495,2,FALSE)</f>
        <v>KOI T</v>
      </c>
      <c r="E1050" s="16">
        <v>1</v>
      </c>
      <c r="F1050" s="16">
        <f>VLOOKUP(C1050,[1]master_data!$A$2:$E$495,3,FALSE)</f>
        <v>7000</v>
      </c>
      <c r="G1050" s="16">
        <f>VLOOKUP(C1050,[1]master_data!$A$2:$E$495,4,FALSE)</f>
        <v>20000</v>
      </c>
      <c r="H1050" s="16">
        <f>E1050*F1050</f>
        <v>7000</v>
      </c>
      <c r="I1050" s="16">
        <f>E1050*G1050</f>
        <v>20000</v>
      </c>
      <c r="J1050" s="16">
        <f>I1050-H1050</f>
        <v>13000</v>
      </c>
      <c r="K1050" s="16" t="str">
        <f>VLOOKUP(C1050,[1]master_data!$A$2:$E$495,5,FALSE)</f>
        <v>Ikan</v>
      </c>
      <c r="L1050" s="1"/>
    </row>
    <row r="1051" spans="1:12" ht="12" customHeight="1" x14ac:dyDescent="0.25">
      <c r="A1051" s="15">
        <v>44369</v>
      </c>
      <c r="B1051" s="16" t="s">
        <v>1163</v>
      </c>
      <c r="C1051" s="16" t="s">
        <v>291</v>
      </c>
      <c r="D1051" s="16" t="str">
        <f>VLOOKUP(C1051,[1]master_data!$A$2:$E$495,2,FALSE)</f>
        <v>PASIR HITAM K</v>
      </c>
      <c r="E1051" s="16">
        <v>5</v>
      </c>
      <c r="F1051" s="16">
        <f>VLOOKUP(C1051,[1]master_data!$A$2:$E$495,3,FALSE)</f>
        <v>2500</v>
      </c>
      <c r="G1051" s="16">
        <f>VLOOKUP(C1051,[1]master_data!$A$2:$E$495,4,FALSE)</f>
        <v>5000</v>
      </c>
      <c r="H1051" s="16">
        <f>E1051*F1051</f>
        <v>12500</v>
      </c>
      <c r="I1051" s="16">
        <f>E1051*G1051</f>
        <v>25000</v>
      </c>
      <c r="J1051" s="16">
        <f>I1051-H1051</f>
        <v>12500</v>
      </c>
      <c r="K1051" s="16" t="str">
        <f>VLOOKUP(C1051,[1]master_data!$A$2:$E$495,5,FALSE)</f>
        <v>Aksesoris</v>
      </c>
      <c r="L1051" s="1"/>
    </row>
    <row r="1052" spans="1:12" ht="12" customHeight="1" x14ac:dyDescent="0.25">
      <c r="A1052" s="15">
        <v>44369</v>
      </c>
      <c r="B1052" s="16" t="s">
        <v>1164</v>
      </c>
      <c r="C1052" s="16" t="s">
        <v>351</v>
      </c>
      <c r="D1052" s="16" t="str">
        <f>VLOOKUP(C1052,[1]master_data!$A$2:$E$495,2,FALSE)</f>
        <v>NEON</v>
      </c>
      <c r="E1052" s="16">
        <v>50</v>
      </c>
      <c r="F1052" s="16">
        <f>VLOOKUP(C1052,[1]master_data!$A$2:$E$495,3,FALSE)</f>
        <v>1250</v>
      </c>
      <c r="G1052" s="16">
        <f>VLOOKUP(C1052,[1]master_data!$A$2:$E$495,4,FALSE)</f>
        <v>5000</v>
      </c>
      <c r="H1052" s="16">
        <f>E1052*F1052</f>
        <v>62500</v>
      </c>
      <c r="I1052" s="16">
        <f>E1052*G1052</f>
        <v>250000</v>
      </c>
      <c r="J1052" s="16">
        <f>I1052-H1052</f>
        <v>187500</v>
      </c>
      <c r="K1052" s="16" t="str">
        <f>VLOOKUP(C1052,[1]master_data!$A$2:$E$495,5,FALSE)</f>
        <v>Ikan</v>
      </c>
      <c r="L1052" s="1"/>
    </row>
    <row r="1053" spans="1:12" ht="12" customHeight="1" x14ac:dyDescent="0.25">
      <c r="A1053" s="15">
        <v>44368</v>
      </c>
      <c r="B1053" s="16" t="s">
        <v>1154</v>
      </c>
      <c r="C1053" s="16" t="s">
        <v>9</v>
      </c>
      <c r="D1053" s="16" t="str">
        <f>VLOOKUP(C1053,[1]master_data!$A$2:$E$495,2,FALSE)</f>
        <v>TOP FILTER YANG 910</v>
      </c>
      <c r="E1053" s="16">
        <v>10</v>
      </c>
      <c r="F1053" s="16">
        <f>VLOOKUP(C1053,[1]master_data!$A$2:$E$495,3,FALSE)</f>
        <v>41000</v>
      </c>
      <c r="G1053" s="16">
        <f>VLOOKUP(C1053,[1]master_data!$A$2:$E$495,4,FALSE)</f>
        <v>65000</v>
      </c>
      <c r="H1053" s="16">
        <f>E1053*F1053</f>
        <v>410000</v>
      </c>
      <c r="I1053" s="16">
        <f>E1053*G1053</f>
        <v>650000</v>
      </c>
      <c r="J1053" s="16">
        <f>I1053-H1053</f>
        <v>240000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44368</v>
      </c>
      <c r="B1054" s="16" t="s">
        <v>1155</v>
      </c>
      <c r="C1054" s="16" t="s">
        <v>822</v>
      </c>
      <c r="D1054" s="16" t="str">
        <f>VLOOKUP(C1054,[1]master_data!$A$2:$E$495,2,FALSE)</f>
        <v>LED YAMANO 6W</v>
      </c>
      <c r="E1054" s="16">
        <v>1</v>
      </c>
      <c r="F1054" s="16">
        <f>VLOOKUP(C1054,[1]master_data!$A$2:$E$495,3,FALSE)</f>
        <v>45000</v>
      </c>
      <c r="G1054" s="16">
        <f>VLOOKUP(C1054,[1]master_data!$A$2:$E$495,4,FALSE)</f>
        <v>75000</v>
      </c>
      <c r="H1054" s="16">
        <f>E1054*F1054</f>
        <v>45000</v>
      </c>
      <c r="I1054" s="16">
        <f>E1054*G1054</f>
        <v>75000</v>
      </c>
      <c r="J1054" s="16">
        <f>I1054-H1054</f>
        <v>30000</v>
      </c>
      <c r="K1054" s="16" t="str">
        <f>VLOOKUP(C1054,[1]master_data!$A$2:$E$495,5,FALSE)</f>
        <v>Aksesoris</v>
      </c>
      <c r="L1054" s="1"/>
    </row>
    <row r="1055" spans="1:12" ht="12" customHeight="1" x14ac:dyDescent="0.25">
      <c r="A1055" s="15">
        <v>44368</v>
      </c>
      <c r="B1055" s="16" t="s">
        <v>1156</v>
      </c>
      <c r="C1055" s="16" t="s">
        <v>334</v>
      </c>
      <c r="D1055" s="16" t="str">
        <f>VLOOKUP(C1055,[1]master_data!$A$2:$E$495,2,FALSE)</f>
        <v>KOMET PAKAN</v>
      </c>
      <c r="E1055" s="16">
        <v>63</v>
      </c>
      <c r="F1055" s="16">
        <f>VLOOKUP(C1055,[1]master_data!$A$2:$E$495,3,FALSE)</f>
        <v>300</v>
      </c>
      <c r="G1055" s="16">
        <f>VLOOKUP(C1055,[1]master_data!$A$2:$E$495,4,FALSE)</f>
        <v>1000</v>
      </c>
      <c r="H1055" s="16">
        <f>E1055*F1055</f>
        <v>18900</v>
      </c>
      <c r="I1055" s="16">
        <f>E1055*G1055</f>
        <v>63000</v>
      </c>
      <c r="J1055" s="16">
        <f>I1055-H1055</f>
        <v>44100</v>
      </c>
      <c r="K1055" s="16" t="str">
        <f>VLOOKUP(C1055,[1]master_data!$A$2:$E$495,5,FALSE)</f>
        <v>Ikan</v>
      </c>
      <c r="L1055" s="1"/>
    </row>
    <row r="1056" spans="1:12" ht="12" customHeight="1" x14ac:dyDescent="0.25">
      <c r="A1056" s="15">
        <v>44367</v>
      </c>
      <c r="B1056" s="16" t="s">
        <v>1151</v>
      </c>
      <c r="C1056" s="16" t="s">
        <v>188</v>
      </c>
      <c r="D1056" s="16" t="str">
        <f>VLOOKUP(C1056,[1]master_data!$A$2:$E$495,2,FALSE)</f>
        <v>MIZUKO</v>
      </c>
      <c r="E1056" s="16">
        <v>5</v>
      </c>
      <c r="F1056" s="16">
        <f>VLOOKUP(C1056,[1]master_data!$A$2:$E$495,3,FALSE)</f>
        <v>30000</v>
      </c>
      <c r="G1056" s="16">
        <f>VLOOKUP(C1056,[1]master_data!$A$2:$E$495,4,FALSE)</f>
        <v>50000</v>
      </c>
      <c r="H1056" s="16">
        <f>E1056*F1056</f>
        <v>150000</v>
      </c>
      <c r="I1056" s="16">
        <f>E1056*G1056</f>
        <v>250000</v>
      </c>
      <c r="J1056" s="16">
        <f>I1056-H1056</f>
        <v>100000</v>
      </c>
      <c r="K1056" s="16" t="str">
        <f>VLOOKUP(C1056,[1]master_data!$A$2:$E$495,5,FALSE)</f>
        <v>Aksesoris</v>
      </c>
      <c r="L1056" s="1"/>
    </row>
    <row r="1057" spans="1:12" ht="12" customHeight="1" x14ac:dyDescent="0.25">
      <c r="A1057" s="15">
        <v>44367</v>
      </c>
      <c r="B1057" s="16" t="s">
        <v>1152</v>
      </c>
      <c r="C1057" s="16" t="s">
        <v>147</v>
      </c>
      <c r="D1057" s="16" t="str">
        <f>VLOOKUP(C1057,[1]master_data!$A$2:$E$495,2,FALSE)</f>
        <v>LED KANDILA DnN 100 CM</v>
      </c>
      <c r="E1057" s="16">
        <v>4</v>
      </c>
      <c r="F1057" s="16">
        <f>VLOOKUP(C1057,[1]master_data!$A$2:$E$495,3,FALSE)</f>
        <v>55000</v>
      </c>
      <c r="G1057" s="16">
        <f>VLOOKUP(C1057,[1]master_data!$A$2:$E$495,4,FALSE)</f>
        <v>100000</v>
      </c>
      <c r="H1057" s="16">
        <f>E1057*F1057</f>
        <v>220000</v>
      </c>
      <c r="I1057" s="16">
        <f>E1057*G1057</f>
        <v>400000</v>
      </c>
      <c r="J1057" s="16">
        <f>I1057-H1057</f>
        <v>180000</v>
      </c>
      <c r="K1057" s="16" t="str">
        <f>VLOOKUP(C1057,[1]master_data!$A$2:$E$495,5,FALSE)</f>
        <v>Aksesoris</v>
      </c>
      <c r="L1057" s="1"/>
    </row>
    <row r="1058" spans="1:12" ht="12" customHeight="1" x14ac:dyDescent="0.25">
      <c r="A1058" s="15">
        <v>44367</v>
      </c>
      <c r="B1058" s="16" t="s">
        <v>1153</v>
      </c>
      <c r="C1058" s="16" t="s">
        <v>330</v>
      </c>
      <c r="D1058" s="16" t="str">
        <f>VLOOKUP(C1058,[1]master_data!$A$2:$E$495,2,FALSE)</f>
        <v>KOI T</v>
      </c>
      <c r="E1058" s="16">
        <v>10</v>
      </c>
      <c r="F1058" s="16">
        <f>VLOOKUP(C1058,[1]master_data!$A$2:$E$495,3,FALSE)</f>
        <v>7000</v>
      </c>
      <c r="G1058" s="16">
        <f>VLOOKUP(C1058,[1]master_data!$A$2:$E$495,4,FALSE)</f>
        <v>20000</v>
      </c>
      <c r="H1058" s="16">
        <f>E1058*F1058</f>
        <v>70000</v>
      </c>
      <c r="I1058" s="16">
        <f>E1058*G1058</f>
        <v>200000</v>
      </c>
      <c r="J1058" s="16">
        <f>I1058-H1058</f>
        <v>130000</v>
      </c>
      <c r="K1058" s="16" t="str">
        <f>VLOOKUP(C1058,[1]master_data!$A$2:$E$495,5,FALSE)</f>
        <v>Ikan</v>
      </c>
      <c r="L1058" s="1"/>
    </row>
    <row r="1059" spans="1:12" ht="12" customHeight="1" x14ac:dyDescent="0.25">
      <c r="A1059" s="15">
        <v>44366</v>
      </c>
      <c r="B1059" s="16" t="s">
        <v>1146</v>
      </c>
      <c r="C1059" s="16" t="s">
        <v>368</v>
      </c>
      <c r="D1059" s="16" t="str">
        <f>VLOOKUP(C1059,[1]master_data!$A$2:$E$495,2,FALSE)</f>
        <v>TOMAN</v>
      </c>
      <c r="E1059" s="16">
        <v>10</v>
      </c>
      <c r="F1059" s="16">
        <f>VLOOKUP(C1059,[1]master_data!$A$2:$E$495,3,FALSE)</f>
        <v>10000</v>
      </c>
      <c r="G1059" s="16">
        <f>VLOOKUP(C1059,[1]master_data!$A$2:$E$495,4,FALSE)</f>
        <v>25000</v>
      </c>
      <c r="H1059" s="16">
        <f>E1059*F1059</f>
        <v>100000</v>
      </c>
      <c r="I1059" s="16">
        <f>E1059*G1059</f>
        <v>250000</v>
      </c>
      <c r="J1059" s="16">
        <f>I1059-H1059</f>
        <v>150000</v>
      </c>
      <c r="K1059" s="16" t="str">
        <f>VLOOKUP(C1059,[1]master_data!$A$2:$E$495,5,FALSE)</f>
        <v>Ikan</v>
      </c>
      <c r="L1059" s="1"/>
    </row>
    <row r="1060" spans="1:12" ht="12" customHeight="1" x14ac:dyDescent="0.25">
      <c r="A1060" s="15">
        <v>44366</v>
      </c>
      <c r="B1060" s="16" t="s">
        <v>1147</v>
      </c>
      <c r="C1060" s="16" t="s">
        <v>76</v>
      </c>
      <c r="D1060" s="16" t="str">
        <f>VLOOKUP(C1060,[1]master_data!$A$2:$E$495,2,FALSE)</f>
        <v>MESIN ARMADA 1150L</v>
      </c>
      <c r="E1060" s="16">
        <v>2</v>
      </c>
      <c r="F1060" s="16">
        <f>VLOOKUP(C1060,[1]master_data!$A$2:$E$495,3,FALSE)</f>
        <v>42000</v>
      </c>
      <c r="G1060" s="16">
        <f>VLOOKUP(C1060,[1]master_data!$A$2:$E$495,4,FALSE)</f>
        <v>55000</v>
      </c>
      <c r="H1060" s="16">
        <f>E1060*F1060</f>
        <v>84000</v>
      </c>
      <c r="I1060" s="16">
        <f>E1060*G1060</f>
        <v>110000</v>
      </c>
      <c r="J1060" s="16">
        <f>I1060-H1060</f>
        <v>26000</v>
      </c>
      <c r="K1060" s="16" t="str">
        <f>VLOOKUP(C1060,[1]master_data!$A$2:$E$495,5,FALSE)</f>
        <v>Aksesoris</v>
      </c>
      <c r="L1060" s="1"/>
    </row>
    <row r="1061" spans="1:12" ht="12" customHeight="1" x14ac:dyDescent="0.25">
      <c r="A1061" s="15">
        <v>44366</v>
      </c>
      <c r="B1061" s="16" t="s">
        <v>1148</v>
      </c>
      <c r="C1061" s="16" t="s">
        <v>335</v>
      </c>
      <c r="D1061" s="16" t="str">
        <f>VLOOKUP(C1061,[1]master_data!$A$2:$E$495,2,FALSE)</f>
        <v>KOMET SLAYER</v>
      </c>
      <c r="E1061" s="16">
        <v>10</v>
      </c>
      <c r="F1061" s="16">
        <f>VLOOKUP(C1061,[1]master_data!$A$2:$E$495,3,FALSE)</f>
        <v>2000</v>
      </c>
      <c r="G1061" s="16">
        <f>VLOOKUP(C1061,[1]master_data!$A$2:$E$495,4,FALSE)</f>
        <v>5000</v>
      </c>
      <c r="H1061" s="16">
        <f>E1061*F1061</f>
        <v>20000</v>
      </c>
      <c r="I1061" s="16">
        <f>E1061*G1061</f>
        <v>50000</v>
      </c>
      <c r="J1061" s="16">
        <f>I1061-H1061</f>
        <v>30000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44366</v>
      </c>
      <c r="B1062" s="16" t="s">
        <v>1149</v>
      </c>
      <c r="C1062" s="16" t="s">
        <v>323</v>
      </c>
      <c r="D1062" s="16" t="str">
        <f>VLOOKUP(C1062,[1]master_data!$A$2:$E$495,2,FALSE)</f>
        <v>GUPY</v>
      </c>
      <c r="E1062" s="16">
        <v>20</v>
      </c>
      <c r="F1062" s="16">
        <f>VLOOKUP(C1062,[1]master_data!$A$2:$E$495,3,FALSE)</f>
        <v>1200</v>
      </c>
      <c r="G1062" s="16">
        <f>VLOOKUP(C1062,[1]master_data!$A$2:$E$495,4,FALSE)</f>
        <v>2500</v>
      </c>
      <c r="H1062" s="16">
        <f>E1062*F1062</f>
        <v>24000</v>
      </c>
      <c r="I1062" s="16">
        <f>E1062*G1062</f>
        <v>50000</v>
      </c>
      <c r="J1062" s="16">
        <f>I1062-H1062</f>
        <v>26000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44366</v>
      </c>
      <c r="B1063" s="16" t="s">
        <v>1150</v>
      </c>
      <c r="C1063" s="16" t="s">
        <v>333</v>
      </c>
      <c r="D1063" s="16" t="str">
        <f>VLOOKUP(C1063,[1]master_data!$A$2:$E$495,2,FALSE)</f>
        <v>KAVIAT</v>
      </c>
      <c r="E1063" s="16">
        <v>10</v>
      </c>
      <c r="F1063" s="16">
        <f>VLOOKUP(C1063,[1]master_data!$A$2:$E$495,3,FALSE)</f>
        <v>3500</v>
      </c>
      <c r="G1063" s="16">
        <f>VLOOKUP(C1063,[1]master_data!$A$2:$E$495,4,FALSE)</f>
        <v>8000</v>
      </c>
      <c r="H1063" s="16">
        <f>E1063*F1063</f>
        <v>35000</v>
      </c>
      <c r="I1063" s="16">
        <f>E1063*G1063</f>
        <v>80000</v>
      </c>
      <c r="J1063" s="16">
        <f>I1063-H1063</f>
        <v>45000</v>
      </c>
      <c r="K1063" s="16" t="str">
        <f>VLOOKUP(C1063,[1]master_data!$A$2:$E$495,5,FALSE)</f>
        <v>Ikan</v>
      </c>
      <c r="L1063" s="1"/>
    </row>
    <row r="1064" spans="1:12" ht="12" customHeight="1" x14ac:dyDescent="0.25">
      <c r="A1064" s="15">
        <v>44365</v>
      </c>
      <c r="B1064" s="16" t="s">
        <v>1143</v>
      </c>
      <c r="C1064" s="16" t="s">
        <v>354</v>
      </c>
      <c r="D1064" s="16" t="str">
        <f>VLOOKUP(C1064,[1]master_data!$A$2:$E$495,2,FALSE)</f>
        <v>PEMBERSIH KACA ALBINO</v>
      </c>
      <c r="E1064" s="16">
        <v>10</v>
      </c>
      <c r="F1064" s="16">
        <f>VLOOKUP(C1064,[1]master_data!$A$2:$E$495,3,FALSE)</f>
        <v>2500</v>
      </c>
      <c r="G1064" s="16">
        <f>VLOOKUP(C1064,[1]master_data!$A$2:$E$495,4,FALSE)</f>
        <v>5000</v>
      </c>
      <c r="H1064" s="16">
        <f>E1064*F1064</f>
        <v>25000</v>
      </c>
      <c r="I1064" s="16">
        <f>E1064*G1064</f>
        <v>50000</v>
      </c>
      <c r="J1064" s="16">
        <f>I1064-H1064</f>
        <v>25000</v>
      </c>
      <c r="K1064" s="16" t="str">
        <f>VLOOKUP(C1064,[1]master_data!$A$2:$E$495,5,FALSE)</f>
        <v>Ikan</v>
      </c>
      <c r="L1064" s="1"/>
    </row>
    <row r="1065" spans="1:12" ht="12" customHeight="1" x14ac:dyDescent="0.25">
      <c r="A1065" s="15">
        <v>44365</v>
      </c>
      <c r="B1065" s="16" t="s">
        <v>1144</v>
      </c>
      <c r="C1065" s="16" t="s">
        <v>27</v>
      </c>
      <c r="D1065" s="16" t="str">
        <f>VLOOKUP(C1065,[1]master_data!$A$2:$E$495,2,FALSE)</f>
        <v>TOP FILTER ROSTON 650 K</v>
      </c>
      <c r="E1065" s="16">
        <v>10</v>
      </c>
      <c r="F1065" s="16">
        <f>VLOOKUP(C1065,[1]master_data!$A$2:$E$495,3,FALSE)</f>
        <v>35000</v>
      </c>
      <c r="G1065" s="16">
        <f>VLOOKUP(C1065,[1]master_data!$A$2:$E$495,4,FALSE)</f>
        <v>50000</v>
      </c>
      <c r="H1065" s="16">
        <f>E1065*F1065</f>
        <v>350000</v>
      </c>
      <c r="I1065" s="16">
        <f>E1065*G1065</f>
        <v>500000</v>
      </c>
      <c r="J1065" s="16">
        <f>I1065-H1065</f>
        <v>150000</v>
      </c>
      <c r="K1065" s="16" t="str">
        <f>VLOOKUP(C1065,[1]master_data!$A$2:$E$495,5,FALSE)</f>
        <v>Aksesoris</v>
      </c>
      <c r="L1065" s="1"/>
    </row>
    <row r="1066" spans="1:12" ht="12" customHeight="1" x14ac:dyDescent="0.25">
      <c r="A1066" s="15">
        <v>44365</v>
      </c>
      <c r="B1066" s="16" t="s">
        <v>1145</v>
      </c>
      <c r="C1066" s="16" t="s">
        <v>117</v>
      </c>
      <c r="D1066" s="16" t="str">
        <f>VLOOKUP(C1066,[1]master_data!$A$2:$E$495,2,FALSE)</f>
        <v>LED NIKITA NS 800</v>
      </c>
      <c r="E1066" s="16">
        <v>4</v>
      </c>
      <c r="F1066" s="16">
        <f>VLOOKUP(C1066,[1]master_data!$A$2:$E$495,3,FALSE)</f>
        <v>74000</v>
      </c>
      <c r="G1066" s="16">
        <f>VLOOKUP(C1066,[1]master_data!$A$2:$E$495,4,FALSE)</f>
        <v>100000</v>
      </c>
      <c r="H1066" s="16">
        <f>E1066*F1066</f>
        <v>296000</v>
      </c>
      <c r="I1066" s="16">
        <f>E1066*G1066</f>
        <v>400000</v>
      </c>
      <c r="J1066" s="16">
        <f>I1066-H1066</f>
        <v>104000</v>
      </c>
      <c r="K1066" s="16" t="str">
        <f>VLOOKUP(C1066,[1]master_data!$A$2:$E$495,5,FALSE)</f>
        <v>Aksesoris</v>
      </c>
      <c r="L1066" s="1"/>
    </row>
    <row r="1067" spans="1:12" ht="12" customHeight="1" x14ac:dyDescent="0.25">
      <c r="A1067" s="15">
        <v>44364</v>
      </c>
      <c r="B1067" s="16" t="s">
        <v>1137</v>
      </c>
      <c r="C1067" s="16" t="s">
        <v>355</v>
      </c>
      <c r="D1067" s="16" t="str">
        <f>VLOOKUP(C1067,[1]master_data!$A$2:$E$495,2,FALSE)</f>
        <v>PALMAS</v>
      </c>
      <c r="E1067" s="16">
        <v>1</v>
      </c>
      <c r="F1067" s="16">
        <f>VLOOKUP(C1067,[1]master_data!$A$2:$E$495,3,FALSE)</f>
        <v>10000</v>
      </c>
      <c r="G1067" s="16">
        <f>VLOOKUP(C1067,[1]master_data!$A$2:$E$495,4,FALSE)</f>
        <v>25000</v>
      </c>
      <c r="H1067" s="16">
        <f>E1067*F1067</f>
        <v>10000</v>
      </c>
      <c r="I1067" s="16">
        <f>E1067*G1067</f>
        <v>25000</v>
      </c>
      <c r="J1067" s="16">
        <f>I1067-H1067</f>
        <v>15000</v>
      </c>
      <c r="K1067" s="16" t="str">
        <f>VLOOKUP(C1067,[1]master_data!$A$2:$E$495,5,FALSE)</f>
        <v>Ikan</v>
      </c>
      <c r="L1067" s="1"/>
    </row>
    <row r="1068" spans="1:12" ht="12" customHeight="1" x14ac:dyDescent="0.25">
      <c r="A1068" s="15">
        <v>44364</v>
      </c>
      <c r="B1068" s="16" t="s">
        <v>1138</v>
      </c>
      <c r="C1068" s="16" t="s">
        <v>368</v>
      </c>
      <c r="D1068" s="16" t="str">
        <f>VLOOKUP(C1068,[1]master_data!$A$2:$E$495,2,FALSE)</f>
        <v>TOMAN</v>
      </c>
      <c r="E1068" s="16">
        <v>1</v>
      </c>
      <c r="F1068" s="16">
        <f>VLOOKUP(C1068,[1]master_data!$A$2:$E$495,3,FALSE)</f>
        <v>10000</v>
      </c>
      <c r="G1068" s="16">
        <f>VLOOKUP(C1068,[1]master_data!$A$2:$E$495,4,FALSE)</f>
        <v>25000</v>
      </c>
      <c r="H1068" s="16">
        <f>E1068*F1068</f>
        <v>10000</v>
      </c>
      <c r="I1068" s="16">
        <f>E1068*G1068</f>
        <v>25000</v>
      </c>
      <c r="J1068" s="16">
        <f>I1068-H1068</f>
        <v>15000</v>
      </c>
      <c r="K1068" s="16" t="str">
        <f>VLOOKUP(C1068,[1]master_data!$A$2:$E$495,5,FALSE)</f>
        <v>Ikan</v>
      </c>
      <c r="L1068" s="1"/>
    </row>
    <row r="1069" spans="1:12" ht="12" customHeight="1" x14ac:dyDescent="0.25">
      <c r="A1069" s="15">
        <v>44364</v>
      </c>
      <c r="B1069" s="16" t="s">
        <v>1139</v>
      </c>
      <c r="C1069" s="16" t="s">
        <v>238</v>
      </c>
      <c r="D1069" s="16" t="str">
        <f>VLOOKUP(C1069,[1]master_data!$A$2:$E$495,2,FALSE)</f>
        <v>MAINAN NAGA DRAGON</v>
      </c>
      <c r="E1069" s="16">
        <v>5</v>
      </c>
      <c r="F1069" s="16">
        <f>VLOOKUP(C1069,[1]master_data!$A$2:$E$495,3,FALSE)</f>
        <v>26000</v>
      </c>
      <c r="G1069" s="16">
        <f>VLOOKUP(C1069,[1]master_data!$A$2:$E$495,4,FALSE)</f>
        <v>40000</v>
      </c>
      <c r="H1069" s="16">
        <f>E1069*F1069</f>
        <v>130000</v>
      </c>
      <c r="I1069" s="16">
        <f>E1069*G1069</f>
        <v>200000</v>
      </c>
      <c r="J1069" s="16">
        <f>I1069-H1069</f>
        <v>70000</v>
      </c>
      <c r="K1069" s="16" t="str">
        <f>VLOOKUP(C1069,[1]master_data!$A$2:$E$495,5,FALSE)</f>
        <v>Aksesoris</v>
      </c>
      <c r="L1069" s="1"/>
    </row>
    <row r="1070" spans="1:12" ht="12" customHeight="1" x14ac:dyDescent="0.25">
      <c r="A1070" s="15">
        <v>44364</v>
      </c>
      <c r="B1070" s="16" t="s">
        <v>1140</v>
      </c>
      <c r="C1070" s="16" t="s">
        <v>351</v>
      </c>
      <c r="D1070" s="16" t="str">
        <f>VLOOKUP(C1070,[1]master_data!$A$2:$E$495,2,FALSE)</f>
        <v>NEON</v>
      </c>
      <c r="E1070" s="16">
        <v>10</v>
      </c>
      <c r="F1070" s="16">
        <f>VLOOKUP(C1070,[1]master_data!$A$2:$E$495,3,FALSE)</f>
        <v>1250</v>
      </c>
      <c r="G1070" s="16">
        <f>VLOOKUP(C1070,[1]master_data!$A$2:$E$495,4,FALSE)</f>
        <v>5000</v>
      </c>
      <c r="H1070" s="16">
        <f>E1070*F1070</f>
        <v>12500</v>
      </c>
      <c r="I1070" s="16">
        <f>E1070*G1070</f>
        <v>50000</v>
      </c>
      <c r="J1070" s="16">
        <f>I1070-H1070</f>
        <v>37500</v>
      </c>
      <c r="K1070" s="16" t="str">
        <f>VLOOKUP(C1070,[1]master_data!$A$2:$E$495,5,FALSE)</f>
        <v>Ikan</v>
      </c>
      <c r="L1070" s="1"/>
    </row>
    <row r="1071" spans="1:12" ht="12" customHeight="1" x14ac:dyDescent="0.25">
      <c r="A1071" s="15">
        <v>44364</v>
      </c>
      <c r="B1071" s="16" t="s">
        <v>1141</v>
      </c>
      <c r="C1071" s="16" t="s">
        <v>7</v>
      </c>
      <c r="D1071" s="16" t="str">
        <f>VLOOKUP(C1071,[1]master_data!$A$2:$E$495,2,FALSE)</f>
        <v>MESIN YANG 1600</v>
      </c>
      <c r="E1071" s="16">
        <v>5</v>
      </c>
      <c r="F1071" s="16">
        <f>VLOOKUP(C1071,[1]master_data!$A$2:$E$495,3,FALSE)</f>
        <v>64000</v>
      </c>
      <c r="G1071" s="16">
        <f>VLOOKUP(C1071,[1]master_data!$A$2:$E$495,4,FALSE)</f>
        <v>90000</v>
      </c>
      <c r="H1071" s="16">
        <f>E1071*F1071</f>
        <v>320000</v>
      </c>
      <c r="I1071" s="16">
        <f>E1071*G1071</f>
        <v>450000</v>
      </c>
      <c r="J1071" s="16">
        <f>I1071-H1071</f>
        <v>130000</v>
      </c>
      <c r="K1071" s="16" t="str">
        <f>VLOOKUP(C1071,[1]master_data!$A$2:$E$495,5,FALSE)</f>
        <v>Aksesoris</v>
      </c>
      <c r="L1071" s="1"/>
    </row>
    <row r="1072" spans="1:12" ht="12" customHeight="1" x14ac:dyDescent="0.25">
      <c r="A1072" s="15">
        <v>44364</v>
      </c>
      <c r="B1072" s="16" t="s">
        <v>1142</v>
      </c>
      <c r="C1072" s="16" t="s">
        <v>312</v>
      </c>
      <c r="D1072" s="16" t="str">
        <f>VLOOKUP(C1072,[1]master_data!$A$2:$E$495,2,FALSE)</f>
        <v>BUENOS AIRES TETRA</v>
      </c>
      <c r="E1072" s="16">
        <v>10</v>
      </c>
      <c r="F1072" s="16">
        <f>VLOOKUP(C1072,[1]master_data!$A$2:$E$495,3,FALSE)</f>
        <v>800</v>
      </c>
      <c r="G1072" s="16">
        <f>VLOOKUP(C1072,[1]master_data!$A$2:$E$495,4,FALSE)</f>
        <v>2000</v>
      </c>
      <c r="H1072" s="16">
        <f>E1072*F1072</f>
        <v>8000</v>
      </c>
      <c r="I1072" s="16">
        <f>E1072*G1072</f>
        <v>20000</v>
      </c>
      <c r="J1072" s="16">
        <f>I1072-H1072</f>
        <v>12000</v>
      </c>
      <c r="K1072" s="16" t="str">
        <f>VLOOKUP(C1072,[1]master_data!$A$2:$E$495,5,FALSE)</f>
        <v>Ikan</v>
      </c>
      <c r="L1072" s="1"/>
    </row>
    <row r="1073" spans="1:12" ht="12" customHeight="1" x14ac:dyDescent="0.25">
      <c r="A1073" s="15">
        <v>44363</v>
      </c>
      <c r="B1073" s="16" t="s">
        <v>1131</v>
      </c>
      <c r="C1073" s="16" t="s">
        <v>318</v>
      </c>
      <c r="D1073" s="16" t="str">
        <f>VLOOKUP(C1073,[1]master_data!$A$2:$E$495,2,FALSE)</f>
        <v>KOMET BOKIM</v>
      </c>
      <c r="E1073" s="16">
        <v>45</v>
      </c>
      <c r="F1073" s="16">
        <f>VLOOKUP(C1073,[1]master_data!$A$2:$E$495,3,FALSE)</f>
        <v>1500</v>
      </c>
      <c r="G1073" s="16">
        <f>VLOOKUP(C1073,[1]master_data!$A$2:$E$495,4,FALSE)</f>
        <v>5000</v>
      </c>
      <c r="H1073" s="16">
        <f>E1073*F1073</f>
        <v>67500</v>
      </c>
      <c r="I1073" s="16">
        <f>E1073*G1073</f>
        <v>225000</v>
      </c>
      <c r="J1073" s="16">
        <f>I1073-H1073</f>
        <v>157500</v>
      </c>
      <c r="K1073" s="16" t="str">
        <f>VLOOKUP(C1073,[1]master_data!$A$2:$E$495,5,FALSE)</f>
        <v>Ikan</v>
      </c>
      <c r="L1073" s="1"/>
    </row>
    <row r="1074" spans="1:12" ht="12" customHeight="1" x14ac:dyDescent="0.25">
      <c r="A1074" s="15">
        <v>44363</v>
      </c>
      <c r="B1074" s="16" t="s">
        <v>1132</v>
      </c>
      <c r="C1074" s="16" t="s">
        <v>364</v>
      </c>
      <c r="D1074" s="16" t="str">
        <f>VLOOKUP(C1074,[1]master_data!$A$2:$E$495,2,FALSE)</f>
        <v>SNOW WHITE</v>
      </c>
      <c r="E1074" s="16">
        <v>20</v>
      </c>
      <c r="F1074" s="16">
        <f>VLOOKUP(C1074,[1]master_data!$A$2:$E$495,3,FALSE)</f>
        <v>1500</v>
      </c>
      <c r="G1074" s="16">
        <f>VLOOKUP(C1074,[1]master_data!$A$2:$E$495,4,FALSE)</f>
        <v>3000</v>
      </c>
      <c r="H1074" s="16">
        <f>E1074*F1074</f>
        <v>30000</v>
      </c>
      <c r="I1074" s="16">
        <f>E1074*G1074</f>
        <v>60000</v>
      </c>
      <c r="J1074" s="16">
        <f>I1074-H1074</f>
        <v>30000</v>
      </c>
      <c r="K1074" s="16" t="str">
        <f>VLOOKUP(C1074,[1]master_data!$A$2:$E$495,5,FALSE)</f>
        <v>Ikan</v>
      </c>
      <c r="L1074" s="1"/>
    </row>
    <row r="1075" spans="1:12" ht="12" customHeight="1" x14ac:dyDescent="0.25">
      <c r="A1075" s="15">
        <v>44363</v>
      </c>
      <c r="B1075" s="16" t="s">
        <v>1133</v>
      </c>
      <c r="C1075" s="16" t="s">
        <v>265</v>
      </c>
      <c r="D1075" s="16" t="str">
        <f>VLOOKUP(C1075,[1]master_data!$A$2:$E$495,2,FALSE)</f>
        <v>KARPET RUMPUT</v>
      </c>
      <c r="E1075" s="16">
        <v>2</v>
      </c>
      <c r="F1075" s="16">
        <f>VLOOKUP(C1075,[1]master_data!$A$2:$E$495,3,FALSE)</f>
        <v>15000</v>
      </c>
      <c r="G1075" s="16">
        <f>VLOOKUP(C1075,[1]master_data!$A$2:$E$495,4,FALSE)</f>
        <v>25000</v>
      </c>
      <c r="H1075" s="16">
        <f>E1075*F1075</f>
        <v>30000</v>
      </c>
      <c r="I1075" s="16">
        <f>E1075*G1075</f>
        <v>50000</v>
      </c>
      <c r="J1075" s="16">
        <f>I1075-H1075</f>
        <v>20000</v>
      </c>
      <c r="K1075" s="16" t="str">
        <f>VLOOKUP(C1075,[1]master_data!$A$2:$E$495,5,FALSE)</f>
        <v>Aksesoris</v>
      </c>
      <c r="L1075" s="1"/>
    </row>
    <row r="1076" spans="1:12" ht="12" customHeight="1" x14ac:dyDescent="0.25">
      <c r="A1076" s="15">
        <v>44363</v>
      </c>
      <c r="B1076" s="16" t="s">
        <v>1134</v>
      </c>
      <c r="C1076" s="16" t="s">
        <v>367</v>
      </c>
      <c r="D1076" s="16" t="str">
        <f>VLOOKUP(C1076,[1]master_data!$A$2:$E$495,2,FALSE)</f>
        <v>TETRA</v>
      </c>
      <c r="E1076" s="16">
        <v>20</v>
      </c>
      <c r="F1076" s="16">
        <f>VLOOKUP(C1076,[1]master_data!$A$2:$E$495,3,FALSE)</f>
        <v>800</v>
      </c>
      <c r="G1076" s="16">
        <f>VLOOKUP(C1076,[1]master_data!$A$2:$E$495,4,FALSE)</f>
        <v>2000</v>
      </c>
      <c r="H1076" s="16">
        <f>E1076*F1076</f>
        <v>16000</v>
      </c>
      <c r="I1076" s="16">
        <f>E1076*G1076</f>
        <v>40000</v>
      </c>
      <c r="J1076" s="16">
        <f>I1076-H1076</f>
        <v>24000</v>
      </c>
      <c r="K1076" s="16" t="str">
        <f>VLOOKUP(C1076,[1]master_data!$A$2:$E$495,5,FALSE)</f>
        <v>Ikan</v>
      </c>
      <c r="L1076" s="1"/>
    </row>
    <row r="1077" spans="1:12" ht="12" customHeight="1" x14ac:dyDescent="0.25">
      <c r="A1077" s="15">
        <v>44363</v>
      </c>
      <c r="B1077" s="16" t="s">
        <v>1135</v>
      </c>
      <c r="C1077" s="16" t="s">
        <v>147</v>
      </c>
      <c r="D1077" s="16" t="str">
        <f>VLOOKUP(C1077,[1]master_data!$A$2:$E$495,2,FALSE)</f>
        <v>LED KANDILA DnN 100 CM</v>
      </c>
      <c r="E1077" s="16">
        <v>2</v>
      </c>
      <c r="F1077" s="16">
        <f>VLOOKUP(C1077,[1]master_data!$A$2:$E$495,3,FALSE)</f>
        <v>55000</v>
      </c>
      <c r="G1077" s="16">
        <f>VLOOKUP(C1077,[1]master_data!$A$2:$E$495,4,FALSE)</f>
        <v>100000</v>
      </c>
      <c r="H1077" s="16">
        <f>E1077*F1077</f>
        <v>110000</v>
      </c>
      <c r="I1077" s="16">
        <f>E1077*G1077</f>
        <v>200000</v>
      </c>
      <c r="J1077" s="16">
        <f>I1077-H1077</f>
        <v>90000</v>
      </c>
      <c r="K1077" s="16" t="str">
        <f>VLOOKUP(C1077,[1]master_data!$A$2:$E$495,5,FALSE)</f>
        <v>Aksesoris</v>
      </c>
      <c r="L1077" s="1"/>
    </row>
    <row r="1078" spans="1:12" ht="12" customHeight="1" x14ac:dyDescent="0.25">
      <c r="A1078" s="15">
        <v>44363</v>
      </c>
      <c r="B1078" s="16" t="s">
        <v>1136</v>
      </c>
      <c r="C1078" s="16" t="s">
        <v>212</v>
      </c>
      <c r="D1078" s="16" t="str">
        <f>VLOOKUP(C1078,[1]master_data!$A$2:$E$495,2,FALSE)</f>
        <v>CORNER FILTER MULTI NAVIGATOR</v>
      </c>
      <c r="E1078" s="16">
        <v>1</v>
      </c>
      <c r="F1078" s="16">
        <f>VLOOKUP(C1078,[1]master_data!$A$2:$E$495,3,FALSE)</f>
        <v>21000</v>
      </c>
      <c r="G1078" s="16">
        <f>VLOOKUP(C1078,[1]master_data!$A$2:$E$495,4,FALSE)</f>
        <v>30000</v>
      </c>
      <c r="H1078" s="16">
        <f>E1078*F1078</f>
        <v>21000</v>
      </c>
      <c r="I1078" s="16">
        <f>E1078*G1078</f>
        <v>30000</v>
      </c>
      <c r="J1078" s="16">
        <f>I1078-H1078</f>
        <v>9000</v>
      </c>
      <c r="K1078" s="16" t="str">
        <f>VLOOKUP(C1078,[1]master_data!$A$2:$E$495,5,FALSE)</f>
        <v>Aksesoris</v>
      </c>
      <c r="L1078" s="1"/>
    </row>
    <row r="1079" spans="1:12" ht="12" customHeight="1" x14ac:dyDescent="0.25">
      <c r="A1079" s="15">
        <v>44362</v>
      </c>
      <c r="B1079" s="16" t="s">
        <v>1124</v>
      </c>
      <c r="C1079" s="16" t="s">
        <v>83</v>
      </c>
      <c r="D1079" s="16" t="str">
        <f>VLOOKUP(C1079,[1]master_data!$A$2:$E$495,2,FALSE)</f>
        <v>MESIN AMARA 105</v>
      </c>
      <c r="E1079" s="16">
        <v>2</v>
      </c>
      <c r="F1079" s="16">
        <f>VLOOKUP(C1079,[1]master_data!$A$2:$E$495,3,FALSE)</f>
        <v>155000</v>
      </c>
      <c r="G1079" s="16">
        <f>VLOOKUP(C1079,[1]master_data!$A$2:$E$495,4,FALSE)</f>
        <v>200000</v>
      </c>
      <c r="H1079" s="16">
        <f>E1079*F1079</f>
        <v>310000</v>
      </c>
      <c r="I1079" s="16">
        <f>E1079*G1079</f>
        <v>400000</v>
      </c>
      <c r="J1079" s="16">
        <f>I1079-H1079</f>
        <v>90000</v>
      </c>
      <c r="K1079" s="16" t="str">
        <f>VLOOKUP(C1079,[1]master_data!$A$2:$E$495,5,FALSE)</f>
        <v>Aksesoris</v>
      </c>
      <c r="L1079" s="1"/>
    </row>
    <row r="1080" spans="1:12" ht="12" customHeight="1" x14ac:dyDescent="0.25">
      <c r="A1080" s="15">
        <v>44362</v>
      </c>
      <c r="B1080" s="16" t="s">
        <v>1125</v>
      </c>
      <c r="C1080" s="16" t="s">
        <v>180</v>
      </c>
      <c r="D1080" s="16" t="str">
        <f>VLOOKUP(C1080,[1]master_data!$A$2:$E$495,2,FALSE)</f>
        <v>HOKKY KOI COLOUR</v>
      </c>
      <c r="E1080" s="16">
        <v>5</v>
      </c>
      <c r="F1080" s="16">
        <f>VLOOKUP(C1080,[1]master_data!$A$2:$E$495,3,FALSE)</f>
        <v>55000</v>
      </c>
      <c r="G1080" s="16">
        <f>VLOOKUP(C1080,[1]master_data!$A$2:$E$495,4,FALSE)</f>
        <v>60000</v>
      </c>
      <c r="H1080" s="16">
        <f>E1080*F1080</f>
        <v>275000</v>
      </c>
      <c r="I1080" s="16">
        <f>E1080*G1080</f>
        <v>300000</v>
      </c>
      <c r="J1080" s="16">
        <f>I1080-H1080</f>
        <v>25000</v>
      </c>
      <c r="K1080" s="16" t="str">
        <f>VLOOKUP(C1080,[1]master_data!$A$2:$E$495,5,FALSE)</f>
        <v>Aksesoris</v>
      </c>
      <c r="L1080" s="1"/>
    </row>
    <row r="1081" spans="1:12" ht="12" customHeight="1" x14ac:dyDescent="0.25">
      <c r="A1081" s="15">
        <v>44362</v>
      </c>
      <c r="B1081" s="16" t="s">
        <v>1126</v>
      </c>
      <c r="C1081" s="16" t="s">
        <v>135</v>
      </c>
      <c r="D1081" s="16" t="str">
        <f>VLOOKUP(C1081,[1]master_data!$A$2:$E$495,2,FALSE)</f>
        <v>LED KANDILA PRO RED 100 CM</v>
      </c>
      <c r="E1081" s="16">
        <v>1</v>
      </c>
      <c r="F1081" s="16">
        <f>VLOOKUP(C1081,[1]master_data!$A$2:$E$495,3,FALSE)</f>
        <v>225000</v>
      </c>
      <c r="G1081" s="16">
        <f>VLOOKUP(C1081,[1]master_data!$A$2:$E$495,4,FALSE)</f>
        <v>270000</v>
      </c>
      <c r="H1081" s="16">
        <f>E1081*F1081</f>
        <v>225000</v>
      </c>
      <c r="I1081" s="16">
        <f>E1081*G1081</f>
        <v>270000</v>
      </c>
      <c r="J1081" s="16">
        <f>I1081-H1081</f>
        <v>45000</v>
      </c>
      <c r="K1081" s="16" t="str">
        <f>VLOOKUP(C1081,[1]master_data!$A$2:$E$495,5,FALSE)</f>
        <v>Aksesoris</v>
      </c>
      <c r="L1081" s="1"/>
    </row>
    <row r="1082" spans="1:12" ht="12" customHeight="1" x14ac:dyDescent="0.25">
      <c r="A1082" s="15">
        <v>44362</v>
      </c>
      <c r="B1082" s="16" t="s">
        <v>1127</v>
      </c>
      <c r="C1082" s="16" t="s">
        <v>364</v>
      </c>
      <c r="D1082" s="16" t="str">
        <f>VLOOKUP(C1082,[1]master_data!$A$2:$E$495,2,FALSE)</f>
        <v>SNOW WHITE</v>
      </c>
      <c r="E1082" s="16">
        <v>15</v>
      </c>
      <c r="F1082" s="16">
        <f>VLOOKUP(C1082,[1]master_data!$A$2:$E$495,3,FALSE)</f>
        <v>1500</v>
      </c>
      <c r="G1082" s="16">
        <f>VLOOKUP(C1082,[1]master_data!$A$2:$E$495,4,FALSE)</f>
        <v>3000</v>
      </c>
      <c r="H1082" s="16">
        <f>E1082*F1082</f>
        <v>22500</v>
      </c>
      <c r="I1082" s="16">
        <f>E1082*G1082</f>
        <v>45000</v>
      </c>
      <c r="J1082" s="16">
        <f>I1082-H1082</f>
        <v>22500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44362</v>
      </c>
      <c r="B1083" s="16" t="s">
        <v>1128</v>
      </c>
      <c r="C1083" s="16" t="s">
        <v>331</v>
      </c>
      <c r="D1083" s="16" t="str">
        <f>VLOOKUP(C1083,[1]master_data!$A$2:$E$495,2,FALSE)</f>
        <v>KOI B</v>
      </c>
      <c r="E1083" s="16">
        <v>2</v>
      </c>
      <c r="F1083" s="16">
        <f>VLOOKUP(C1083,[1]master_data!$A$2:$E$495,3,FALSE)</f>
        <v>9000</v>
      </c>
      <c r="G1083" s="16">
        <f>VLOOKUP(C1083,[1]master_data!$A$2:$E$495,4,FALSE)</f>
        <v>30000</v>
      </c>
      <c r="H1083" s="16">
        <f>E1083*F1083</f>
        <v>18000</v>
      </c>
      <c r="I1083" s="16">
        <f>E1083*G1083</f>
        <v>60000</v>
      </c>
      <c r="J1083" s="16">
        <f>I1083-H1083</f>
        <v>42000</v>
      </c>
      <c r="K1083" s="16" t="str">
        <f>VLOOKUP(C1083,[1]master_data!$A$2:$E$495,5,FALSE)</f>
        <v>Ikan</v>
      </c>
      <c r="L1083" s="1"/>
    </row>
    <row r="1084" spans="1:12" ht="12" customHeight="1" x14ac:dyDescent="0.25">
      <c r="A1084" s="15">
        <v>44362</v>
      </c>
      <c r="B1084" s="16" t="s">
        <v>1129</v>
      </c>
      <c r="C1084" s="16" t="s">
        <v>9</v>
      </c>
      <c r="D1084" s="16" t="str">
        <f>VLOOKUP(C1084,[1]master_data!$A$2:$E$495,2,FALSE)</f>
        <v>TOP FILTER YANG 910</v>
      </c>
      <c r="E1084" s="16">
        <v>2</v>
      </c>
      <c r="F1084" s="16">
        <f>VLOOKUP(C1084,[1]master_data!$A$2:$E$495,3,FALSE)</f>
        <v>41000</v>
      </c>
      <c r="G1084" s="16">
        <f>VLOOKUP(C1084,[1]master_data!$A$2:$E$495,4,FALSE)</f>
        <v>65000</v>
      </c>
      <c r="H1084" s="16">
        <f>E1084*F1084</f>
        <v>82000</v>
      </c>
      <c r="I1084" s="16">
        <f>E1084*G1084</f>
        <v>130000</v>
      </c>
      <c r="J1084" s="16">
        <f>I1084-H1084</f>
        <v>48000</v>
      </c>
      <c r="K1084" s="16" t="str">
        <f>VLOOKUP(C1084,[1]master_data!$A$2:$E$495,5,FALSE)</f>
        <v>Aksesoris</v>
      </c>
      <c r="L1084" s="1"/>
    </row>
    <row r="1085" spans="1:12" ht="12" customHeight="1" x14ac:dyDescent="0.25">
      <c r="A1085" s="15">
        <v>44362</v>
      </c>
      <c r="B1085" s="16" t="s">
        <v>1130</v>
      </c>
      <c r="C1085" s="16" t="s">
        <v>312</v>
      </c>
      <c r="D1085" s="16" t="str">
        <f>VLOOKUP(C1085,[1]master_data!$A$2:$E$495,2,FALSE)</f>
        <v>BUENOS AIRES TETRA</v>
      </c>
      <c r="E1085" s="16">
        <v>6</v>
      </c>
      <c r="F1085" s="16">
        <f>VLOOKUP(C1085,[1]master_data!$A$2:$E$495,3,FALSE)</f>
        <v>800</v>
      </c>
      <c r="G1085" s="16">
        <f>VLOOKUP(C1085,[1]master_data!$A$2:$E$495,4,FALSE)</f>
        <v>2000</v>
      </c>
      <c r="H1085" s="16">
        <f>E1085*F1085</f>
        <v>4800</v>
      </c>
      <c r="I1085" s="16">
        <f>E1085*G1085</f>
        <v>12000</v>
      </c>
      <c r="J1085" s="16">
        <f>I1085-H1085</f>
        <v>7200</v>
      </c>
      <c r="K1085" s="16" t="str">
        <f>VLOOKUP(C1085,[1]master_data!$A$2:$E$495,5,FALSE)</f>
        <v>Ikan</v>
      </c>
      <c r="L1085" s="1"/>
    </row>
    <row r="1086" spans="1:12" ht="12" customHeight="1" x14ac:dyDescent="0.25">
      <c r="A1086" s="15">
        <v>44361</v>
      </c>
      <c r="B1086" s="16" t="s">
        <v>1119</v>
      </c>
      <c r="C1086" s="16" t="s">
        <v>87</v>
      </c>
      <c r="D1086" s="16" t="str">
        <f>VLOOKUP(C1086,[1]master_data!$A$2:$E$495,2,FALSE)</f>
        <v>AIRATOR AMARA LUB 1</v>
      </c>
      <c r="E1086" s="16">
        <v>2</v>
      </c>
      <c r="F1086" s="16">
        <f>VLOOKUP(C1086,[1]master_data!$A$2:$E$495,3,FALSE)</f>
        <v>17500</v>
      </c>
      <c r="G1086" s="16">
        <f>VLOOKUP(C1086,[1]master_data!$A$2:$E$495,4,FALSE)</f>
        <v>30000</v>
      </c>
      <c r="H1086" s="16">
        <f>E1086*F1086</f>
        <v>35000</v>
      </c>
      <c r="I1086" s="16">
        <f>E1086*G1086</f>
        <v>60000</v>
      </c>
      <c r="J1086" s="16">
        <f>I1086-H1086</f>
        <v>25000</v>
      </c>
      <c r="K1086" s="16" t="str">
        <f>VLOOKUP(C1086,[1]master_data!$A$2:$E$495,5,FALSE)</f>
        <v>Aksesoris</v>
      </c>
      <c r="L1086" s="1"/>
    </row>
    <row r="1087" spans="1:12" ht="12" customHeight="1" x14ac:dyDescent="0.25">
      <c r="A1087" s="15">
        <v>44361</v>
      </c>
      <c r="B1087" s="16" t="s">
        <v>1120</v>
      </c>
      <c r="C1087" s="16" t="s">
        <v>234</v>
      </c>
      <c r="D1087" s="16" t="str">
        <f>VLOOKUP(C1087,[1]master_data!$A$2:$E$495,2,FALSE)</f>
        <v>MAGNET S</v>
      </c>
      <c r="E1087" s="16">
        <v>2</v>
      </c>
      <c r="F1087" s="16">
        <f>VLOOKUP(C1087,[1]master_data!$A$2:$E$495,3,FALSE)</f>
        <v>20000</v>
      </c>
      <c r="G1087" s="16">
        <f>VLOOKUP(C1087,[1]master_data!$A$2:$E$495,4,FALSE)</f>
        <v>30000</v>
      </c>
      <c r="H1087" s="16">
        <f>E1087*F1087</f>
        <v>40000</v>
      </c>
      <c r="I1087" s="16">
        <f>E1087*G1087</f>
        <v>60000</v>
      </c>
      <c r="J1087" s="16">
        <f>I1087-H1087</f>
        <v>20000</v>
      </c>
      <c r="K1087" s="16" t="str">
        <f>VLOOKUP(C1087,[1]master_data!$A$2:$E$495,5,FALSE)</f>
        <v>Aksesoris</v>
      </c>
      <c r="L1087" s="1"/>
    </row>
    <row r="1088" spans="1:12" ht="12" customHeight="1" x14ac:dyDescent="0.25">
      <c r="A1088" s="15">
        <v>44361</v>
      </c>
      <c r="B1088" s="16" t="s">
        <v>1121</v>
      </c>
      <c r="C1088" s="16" t="s">
        <v>16</v>
      </c>
      <c r="D1088" s="16" t="str">
        <f>VLOOKUP(C1088,[1]master_data!$A$2:$E$495,2,FALSE)</f>
        <v>MESIN YANG 108</v>
      </c>
      <c r="E1088" s="16">
        <v>1</v>
      </c>
      <c r="F1088" s="16">
        <f>VLOOKUP(C1088,[1]master_data!$A$2:$E$495,3,FALSE)</f>
        <v>350000</v>
      </c>
      <c r="G1088" s="16">
        <f>VLOOKUP(C1088,[1]master_data!$A$2:$E$495,4,FALSE)</f>
        <v>420000</v>
      </c>
      <c r="H1088" s="16">
        <f>E1088*F1088</f>
        <v>350000</v>
      </c>
      <c r="I1088" s="16">
        <f>E1088*G1088</f>
        <v>420000</v>
      </c>
      <c r="J1088" s="16">
        <f>I1088-H1088</f>
        <v>70000</v>
      </c>
      <c r="K1088" s="16" t="str">
        <f>VLOOKUP(C1088,[1]master_data!$A$2:$E$495,5,FALSE)</f>
        <v>Aksesoris</v>
      </c>
      <c r="L1088" s="1"/>
    </row>
    <row r="1089" spans="1:12" ht="12" customHeight="1" x14ac:dyDescent="0.25">
      <c r="A1089" s="15">
        <v>44361</v>
      </c>
      <c r="B1089" s="16" t="s">
        <v>1122</v>
      </c>
      <c r="C1089" s="16" t="s">
        <v>370</v>
      </c>
      <c r="D1089" s="16" t="str">
        <f>VLOOKUP(C1089,[1]master_data!$A$2:$E$495,2,FALSE)</f>
        <v>ZEBRA HIJAU</v>
      </c>
      <c r="E1089" s="16">
        <v>25</v>
      </c>
      <c r="F1089" s="16">
        <f>VLOOKUP(C1089,[1]master_data!$A$2:$E$495,3,FALSE)</f>
        <v>800</v>
      </c>
      <c r="G1089" s="16">
        <f>VLOOKUP(C1089,[1]master_data!$A$2:$E$495,4,FALSE)</f>
        <v>2000</v>
      </c>
      <c r="H1089" s="16">
        <f>E1089*F1089</f>
        <v>20000</v>
      </c>
      <c r="I1089" s="16">
        <f>E1089*G1089</f>
        <v>50000</v>
      </c>
      <c r="J1089" s="16">
        <f>I1089-H1089</f>
        <v>30000</v>
      </c>
      <c r="K1089" s="16" t="str">
        <f>VLOOKUP(C1089,[1]master_data!$A$2:$E$495,5,FALSE)</f>
        <v>Ikan</v>
      </c>
      <c r="L1089" s="1"/>
    </row>
    <row r="1090" spans="1:12" ht="12" customHeight="1" x14ac:dyDescent="0.25">
      <c r="A1090" s="15">
        <v>44361</v>
      </c>
      <c r="B1090" s="16" t="s">
        <v>1123</v>
      </c>
      <c r="C1090" s="16" t="s">
        <v>318</v>
      </c>
      <c r="D1090" s="16" t="str">
        <f>VLOOKUP(C1090,[1]master_data!$A$2:$E$495,2,FALSE)</f>
        <v>KOMET BOKIM</v>
      </c>
      <c r="E1090" s="16">
        <v>15</v>
      </c>
      <c r="F1090" s="16">
        <f>VLOOKUP(C1090,[1]master_data!$A$2:$E$495,3,FALSE)</f>
        <v>1500</v>
      </c>
      <c r="G1090" s="16">
        <f>VLOOKUP(C1090,[1]master_data!$A$2:$E$495,4,FALSE)</f>
        <v>5000</v>
      </c>
      <c r="H1090" s="16">
        <f>E1090*F1090</f>
        <v>22500</v>
      </c>
      <c r="I1090" s="16">
        <f>E1090*G1090</f>
        <v>75000</v>
      </c>
      <c r="J1090" s="16">
        <f>I1090-H1090</f>
        <v>52500</v>
      </c>
      <c r="K1090" s="16" t="str">
        <f>VLOOKUP(C1090,[1]master_data!$A$2:$E$495,5,FALSE)</f>
        <v>Ikan</v>
      </c>
      <c r="L1090" s="1"/>
    </row>
    <row r="1091" spans="1:12" ht="12" customHeight="1" x14ac:dyDescent="0.25">
      <c r="A1091" s="15">
        <v>44360</v>
      </c>
      <c r="B1091" s="16" t="s">
        <v>1113</v>
      </c>
      <c r="C1091" s="16" t="s">
        <v>360</v>
      </c>
      <c r="D1091" s="16" t="str">
        <f>VLOOKUP(C1091,[1]master_data!$A$2:$E$495,2,FALSE)</f>
        <v xml:space="preserve"> CHANNA RED BARITO K</v>
      </c>
      <c r="E1091" s="16">
        <v>1</v>
      </c>
      <c r="F1091" s="16">
        <f>VLOOKUP(C1091,[1]master_data!$A$2:$E$495,3,FALSE)</f>
        <v>45000</v>
      </c>
      <c r="G1091" s="16">
        <f>VLOOKUP(C1091,[1]master_data!$A$2:$E$495,4,FALSE)</f>
        <v>100000</v>
      </c>
      <c r="H1091" s="16">
        <f>E1091*F1091</f>
        <v>45000</v>
      </c>
      <c r="I1091" s="16">
        <f>E1091*G1091</f>
        <v>100000</v>
      </c>
      <c r="J1091" s="16">
        <f>I1091-H1091</f>
        <v>55000</v>
      </c>
      <c r="K1091" s="16" t="str">
        <f>VLOOKUP(C1091,[1]master_data!$A$2:$E$495,5,FALSE)</f>
        <v>Ikan</v>
      </c>
      <c r="L1091" s="1"/>
    </row>
    <row r="1092" spans="1:12" ht="12" customHeight="1" x14ac:dyDescent="0.25">
      <c r="A1092" s="15">
        <v>44360</v>
      </c>
      <c r="B1092" s="16" t="s">
        <v>1114</v>
      </c>
      <c r="C1092" s="16" t="s">
        <v>57</v>
      </c>
      <c r="D1092" s="16" t="str">
        <f>VLOOKUP(C1092,[1]master_data!$A$2:$E$495,2,FALSE)</f>
        <v>MINI FILTER</v>
      </c>
      <c r="E1092" s="16">
        <v>2</v>
      </c>
      <c r="F1092" s="16">
        <f>VLOOKUP(C1092,[1]master_data!$A$2:$E$495,3,FALSE)</f>
        <v>13000</v>
      </c>
      <c r="G1092" s="16">
        <f>VLOOKUP(C1092,[1]master_data!$A$2:$E$495,4,FALSE)</f>
        <v>25000</v>
      </c>
      <c r="H1092" s="16">
        <f>E1092*F1092</f>
        <v>26000</v>
      </c>
      <c r="I1092" s="16">
        <f>E1092*G1092</f>
        <v>50000</v>
      </c>
      <c r="J1092" s="16">
        <f>I1092-H1092</f>
        <v>24000</v>
      </c>
      <c r="K1092" s="16" t="str">
        <f>VLOOKUP(C1092,[1]master_data!$A$2:$E$495,5,FALSE)</f>
        <v>Aksesoris</v>
      </c>
      <c r="L1092" s="1"/>
    </row>
    <row r="1093" spans="1:12" ht="12" customHeight="1" x14ac:dyDescent="0.25">
      <c r="A1093" s="15">
        <v>44360</v>
      </c>
      <c r="B1093" s="16" t="s">
        <v>1115</v>
      </c>
      <c r="C1093" s="16" t="s">
        <v>347</v>
      </c>
      <c r="D1093" s="16" t="str">
        <f>VLOOKUP(C1093,[1]master_data!$A$2:$E$495,2,FALSE)</f>
        <v>MOLI BALON</v>
      </c>
      <c r="E1093" s="16">
        <v>20</v>
      </c>
      <c r="F1093" s="16">
        <f>VLOOKUP(C1093,[1]master_data!$A$2:$E$495,3,FALSE)</f>
        <v>800</v>
      </c>
      <c r="G1093" s="16">
        <f>VLOOKUP(C1093,[1]master_data!$A$2:$E$495,4,FALSE)</f>
        <v>2000</v>
      </c>
      <c r="H1093" s="16">
        <f>E1093*F1093</f>
        <v>16000</v>
      </c>
      <c r="I1093" s="16">
        <f>E1093*G1093</f>
        <v>40000</v>
      </c>
      <c r="J1093" s="16">
        <f>I1093-H1093</f>
        <v>24000</v>
      </c>
      <c r="K1093" s="16" t="str">
        <f>VLOOKUP(C1093,[1]master_data!$A$2:$E$495,5,FALSE)</f>
        <v>Ikan</v>
      </c>
      <c r="L1093" s="1"/>
    </row>
    <row r="1094" spans="1:12" ht="12" customHeight="1" x14ac:dyDescent="0.25">
      <c r="A1094" s="15">
        <v>44360</v>
      </c>
      <c r="B1094" s="16" t="s">
        <v>1116</v>
      </c>
      <c r="C1094" s="16" t="s">
        <v>315</v>
      </c>
      <c r="D1094" s="16" t="str">
        <f>VLOOKUP(C1094,[1]master_data!$A$2:$E$495,2,FALSE)</f>
        <v>BLACK GHOST</v>
      </c>
      <c r="E1094" s="16">
        <v>10</v>
      </c>
      <c r="F1094" s="16">
        <f>VLOOKUP(C1094,[1]master_data!$A$2:$E$495,3,FALSE)</f>
        <v>4000</v>
      </c>
      <c r="G1094" s="16">
        <f>VLOOKUP(C1094,[1]master_data!$A$2:$E$495,4,FALSE)</f>
        <v>10000</v>
      </c>
      <c r="H1094" s="16">
        <f>E1094*F1094</f>
        <v>40000</v>
      </c>
      <c r="I1094" s="16">
        <f>E1094*G1094</f>
        <v>100000</v>
      </c>
      <c r="J1094" s="16">
        <f>I1094-H1094</f>
        <v>60000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44360</v>
      </c>
      <c r="B1095" s="16" t="s">
        <v>1117</v>
      </c>
      <c r="C1095" s="16" t="s">
        <v>320</v>
      </c>
      <c r="D1095" s="16" t="str">
        <f>VLOOKUP(C1095,[1]master_data!$A$2:$E$495,2,FALSE)</f>
        <v>CUPANG</v>
      </c>
      <c r="E1095" s="16">
        <v>20</v>
      </c>
      <c r="F1095" s="16">
        <f>VLOOKUP(C1095,[1]master_data!$A$2:$E$495,3,FALSE)</f>
        <v>2000</v>
      </c>
      <c r="G1095" s="16">
        <f>VLOOKUP(C1095,[1]master_data!$A$2:$E$495,4,FALSE)</f>
        <v>5000</v>
      </c>
      <c r="H1095" s="16">
        <f>E1095*F1095</f>
        <v>40000</v>
      </c>
      <c r="I1095" s="16">
        <f>E1095*G1095</f>
        <v>100000</v>
      </c>
      <c r="J1095" s="16">
        <f>I1095-H1095</f>
        <v>60000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44360</v>
      </c>
      <c r="B1096" s="16" t="s">
        <v>1118</v>
      </c>
      <c r="C1096" s="16" t="s">
        <v>333</v>
      </c>
      <c r="D1096" s="16" t="str">
        <f>VLOOKUP(C1096,[1]master_data!$A$2:$E$495,2,FALSE)</f>
        <v>KAVIAT</v>
      </c>
      <c r="E1096" s="16">
        <v>12</v>
      </c>
      <c r="F1096" s="16">
        <f>VLOOKUP(C1096,[1]master_data!$A$2:$E$495,3,FALSE)</f>
        <v>3500</v>
      </c>
      <c r="G1096" s="16">
        <f>VLOOKUP(C1096,[1]master_data!$A$2:$E$495,4,FALSE)</f>
        <v>8000</v>
      </c>
      <c r="H1096" s="16">
        <f>E1096*F1096</f>
        <v>42000</v>
      </c>
      <c r="I1096" s="16">
        <f>E1096*G1096</f>
        <v>96000</v>
      </c>
      <c r="J1096" s="16">
        <f>I1096-H1096</f>
        <v>54000</v>
      </c>
      <c r="K1096" s="16" t="str">
        <f>VLOOKUP(C1096,[1]master_data!$A$2:$E$495,5,FALSE)</f>
        <v>Ikan</v>
      </c>
      <c r="L1096" s="1"/>
    </row>
    <row r="1097" spans="1:12" ht="12" customHeight="1" x14ac:dyDescent="0.25">
      <c r="A1097" s="15">
        <v>44359</v>
      </c>
      <c r="B1097" s="16" t="s">
        <v>1110</v>
      </c>
      <c r="C1097" s="16" t="s">
        <v>343</v>
      </c>
      <c r="D1097" s="16" t="str">
        <f>VLOOKUP(C1097,[1]master_data!$A$2:$E$495,2,FALSE)</f>
        <v>MANFISH K</v>
      </c>
      <c r="E1097" s="16">
        <v>20</v>
      </c>
      <c r="F1097" s="16">
        <f>VLOOKUP(C1097,[1]master_data!$A$2:$E$495,3,FALSE)</f>
        <v>2000</v>
      </c>
      <c r="G1097" s="16">
        <f>VLOOKUP(C1097,[1]master_data!$A$2:$E$495,4,FALSE)</f>
        <v>5000</v>
      </c>
      <c r="H1097" s="16">
        <f>E1097*F1097</f>
        <v>40000</v>
      </c>
      <c r="I1097" s="16">
        <f>E1097*G1097</f>
        <v>100000</v>
      </c>
      <c r="J1097" s="16">
        <f>I1097-H1097</f>
        <v>60000</v>
      </c>
      <c r="K1097" s="16" t="str">
        <f>VLOOKUP(C1097,[1]master_data!$A$2:$E$495,5,FALSE)</f>
        <v>Ikan</v>
      </c>
      <c r="L1097" s="1"/>
    </row>
    <row r="1098" spans="1:12" ht="12" customHeight="1" x14ac:dyDescent="0.25">
      <c r="A1098" s="15">
        <v>44359</v>
      </c>
      <c r="B1098" s="16" t="s">
        <v>1111</v>
      </c>
      <c r="C1098" s="16" t="s">
        <v>356</v>
      </c>
      <c r="D1098" s="16" t="str">
        <f>VLOOKUP(C1098,[1]master_data!$A$2:$E$495,2,FALSE)</f>
        <v>PARROT</v>
      </c>
      <c r="E1098" s="16">
        <v>2</v>
      </c>
      <c r="F1098" s="16">
        <f>VLOOKUP(C1098,[1]master_data!$A$2:$E$495,3,FALSE)</f>
        <v>27000</v>
      </c>
      <c r="G1098" s="16">
        <f>VLOOKUP(C1098,[1]master_data!$A$2:$E$495,4,FALSE)</f>
        <v>60000</v>
      </c>
      <c r="H1098" s="16">
        <f>E1098*F1098</f>
        <v>54000</v>
      </c>
      <c r="I1098" s="16">
        <f>E1098*G1098</f>
        <v>120000</v>
      </c>
      <c r="J1098" s="16">
        <f>I1098-H1098</f>
        <v>66000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44359</v>
      </c>
      <c r="B1099" s="16" t="s">
        <v>1112</v>
      </c>
      <c r="C1099" s="16" t="s">
        <v>341</v>
      </c>
      <c r="D1099" s="16" t="str">
        <f>VLOOKUP(C1099,[1]master_data!$A$2:$E$495,2,FALSE)</f>
        <v>LOUHAN</v>
      </c>
      <c r="E1099" s="16">
        <v>2</v>
      </c>
      <c r="F1099" s="16">
        <f>VLOOKUP(C1099,[1]master_data!$A$2:$E$495,3,FALSE)</f>
        <v>85000</v>
      </c>
      <c r="G1099" s="16">
        <f>VLOOKUP(C1099,[1]master_data!$A$2:$E$495,4,FALSE)</f>
        <v>200000</v>
      </c>
      <c r="H1099" s="16">
        <f>E1099*F1099</f>
        <v>170000</v>
      </c>
      <c r="I1099" s="16">
        <f>E1099*G1099</f>
        <v>400000</v>
      </c>
      <c r="J1099" s="16">
        <f>I1099-H1099</f>
        <v>230000</v>
      </c>
      <c r="K1099" s="16" t="str">
        <f>VLOOKUP(C1099,[1]master_data!$A$2:$E$495,5,FALSE)</f>
        <v>Ikan</v>
      </c>
      <c r="L1099" s="1"/>
    </row>
    <row r="1100" spans="1:12" ht="12" customHeight="1" x14ac:dyDescent="0.25">
      <c r="A1100" s="15">
        <v>44358</v>
      </c>
      <c r="B1100" s="16" t="s">
        <v>1105</v>
      </c>
      <c r="C1100" s="16" t="s">
        <v>344</v>
      </c>
      <c r="D1100" s="16" t="str">
        <f>VLOOKUP(C1100,[1]master_data!$A$2:$E$495,2,FALSE)</f>
        <v>MANFISH B</v>
      </c>
      <c r="E1100" s="16">
        <v>30</v>
      </c>
      <c r="F1100" s="16">
        <f>VLOOKUP(C1100,[1]master_data!$A$2:$E$495,3,FALSE)</f>
        <v>4000</v>
      </c>
      <c r="G1100" s="16">
        <f>VLOOKUP(C1100,[1]master_data!$A$2:$E$495,4,FALSE)</f>
        <v>10000</v>
      </c>
      <c r="H1100" s="16">
        <f>E1100*F1100</f>
        <v>120000</v>
      </c>
      <c r="I1100" s="16">
        <f>E1100*G1100</f>
        <v>300000</v>
      </c>
      <c r="J1100" s="16">
        <f>I1100-H1100</f>
        <v>180000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44358</v>
      </c>
      <c r="B1101" s="16" t="s">
        <v>1106</v>
      </c>
      <c r="C1101" s="16" t="s">
        <v>73</v>
      </c>
      <c r="D1101" s="16" t="str">
        <f>VLOOKUP(C1101,[1]master_data!$A$2:$E$495,2,FALSE)</f>
        <v>MESIN KIYOSAKI 1600</v>
      </c>
      <c r="E1101" s="16">
        <v>1</v>
      </c>
      <c r="F1101" s="16">
        <f>VLOOKUP(C1101,[1]master_data!$A$2:$E$495,3,FALSE)</f>
        <v>35000</v>
      </c>
      <c r="G1101" s="16">
        <f>VLOOKUP(C1101,[1]master_data!$A$2:$E$495,4,FALSE)</f>
        <v>65000</v>
      </c>
      <c r="H1101" s="16">
        <f>E1101*F1101</f>
        <v>35000</v>
      </c>
      <c r="I1101" s="16">
        <f>E1101*G1101</f>
        <v>65000</v>
      </c>
      <c r="J1101" s="16">
        <f>I1101-H1101</f>
        <v>30000</v>
      </c>
      <c r="K1101" s="16" t="str">
        <f>VLOOKUP(C1101,[1]master_data!$A$2:$E$495,5,FALSE)</f>
        <v>Aksesoris</v>
      </c>
      <c r="L1101" s="1"/>
    </row>
    <row r="1102" spans="1:12" ht="12" customHeight="1" x14ac:dyDescent="0.25">
      <c r="A1102" s="15">
        <v>44358</v>
      </c>
      <c r="B1102" s="16" t="s">
        <v>1107</v>
      </c>
      <c r="C1102" s="16" t="s">
        <v>347</v>
      </c>
      <c r="D1102" s="16" t="str">
        <f>VLOOKUP(C1102,[1]master_data!$A$2:$E$495,2,FALSE)</f>
        <v>MOLI BALON</v>
      </c>
      <c r="E1102" s="16">
        <v>30</v>
      </c>
      <c r="F1102" s="16">
        <f>VLOOKUP(C1102,[1]master_data!$A$2:$E$495,3,FALSE)</f>
        <v>800</v>
      </c>
      <c r="G1102" s="16">
        <f>VLOOKUP(C1102,[1]master_data!$A$2:$E$495,4,FALSE)</f>
        <v>2000</v>
      </c>
      <c r="H1102" s="16">
        <f>E1102*F1102</f>
        <v>24000</v>
      </c>
      <c r="I1102" s="16">
        <f>E1102*G1102</f>
        <v>60000</v>
      </c>
      <c r="J1102" s="16">
        <f>I1102-H1102</f>
        <v>36000</v>
      </c>
      <c r="K1102" s="16" t="str">
        <f>VLOOKUP(C1102,[1]master_data!$A$2:$E$495,5,FALSE)</f>
        <v>Ikan</v>
      </c>
      <c r="L1102" s="1"/>
    </row>
    <row r="1103" spans="1:12" ht="12" customHeight="1" x14ac:dyDescent="0.25">
      <c r="A1103" s="15">
        <v>44358</v>
      </c>
      <c r="B1103" s="16" t="s">
        <v>1108</v>
      </c>
      <c r="C1103" s="16" t="s">
        <v>330</v>
      </c>
      <c r="D1103" s="16" t="str">
        <f>VLOOKUP(C1103,[1]master_data!$A$2:$E$495,2,FALSE)</f>
        <v>KOI T</v>
      </c>
      <c r="E1103" s="16">
        <v>1</v>
      </c>
      <c r="F1103" s="16">
        <f>VLOOKUP(C1103,[1]master_data!$A$2:$E$495,3,FALSE)</f>
        <v>7000</v>
      </c>
      <c r="G1103" s="16">
        <f>VLOOKUP(C1103,[1]master_data!$A$2:$E$495,4,FALSE)</f>
        <v>20000</v>
      </c>
      <c r="H1103" s="16">
        <f>E1103*F1103</f>
        <v>7000</v>
      </c>
      <c r="I1103" s="16">
        <f>E1103*G1103</f>
        <v>20000</v>
      </c>
      <c r="J1103" s="16">
        <f>I1103-H1103</f>
        <v>13000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44358</v>
      </c>
      <c r="B1104" s="16" t="s">
        <v>1109</v>
      </c>
      <c r="C1104" s="16" t="s">
        <v>192</v>
      </c>
      <c r="D1104" s="16" t="str">
        <f>VLOOKUP(C1104,[1]master_data!$A$2:$E$495,2,FALSE)</f>
        <v>PAKAN GOLD FISH HITAM</v>
      </c>
      <c r="E1104" s="16">
        <v>4</v>
      </c>
      <c r="F1104" s="16">
        <f>VLOOKUP(C1104,[1]master_data!$A$2:$E$495,3,FALSE)</f>
        <v>7000</v>
      </c>
      <c r="G1104" s="16">
        <f>VLOOKUP(C1104,[1]master_data!$A$2:$E$495,4,FALSE)</f>
        <v>12000</v>
      </c>
      <c r="H1104" s="16">
        <f>E1104*F1104</f>
        <v>28000</v>
      </c>
      <c r="I1104" s="16">
        <f>E1104*G1104</f>
        <v>48000</v>
      </c>
      <c r="J1104" s="16">
        <f>I1104-H1104</f>
        <v>20000</v>
      </c>
      <c r="K1104" s="16" t="str">
        <f>VLOOKUP(C1104,[1]master_data!$A$2:$E$495,5,FALSE)</f>
        <v>Aksesoris</v>
      </c>
      <c r="L1104" s="1"/>
    </row>
    <row r="1105" spans="1:12" ht="12" customHeight="1" x14ac:dyDescent="0.25">
      <c r="A1105" s="15">
        <v>44357</v>
      </c>
      <c r="B1105" s="16" t="s">
        <v>1099</v>
      </c>
      <c r="C1105" s="16" t="s">
        <v>19</v>
      </c>
      <c r="D1105" s="16" t="str">
        <f>VLOOKUP(C1105,[1]master_data!$A$2:$E$495,2,FALSE)</f>
        <v>MESIN YANG WAVE MAKER 200</v>
      </c>
      <c r="E1105" s="16">
        <v>1</v>
      </c>
      <c r="F1105" s="16">
        <f>VLOOKUP(C1105,[1]master_data!$A$2:$E$495,3,FALSE)</f>
        <v>118000</v>
      </c>
      <c r="G1105" s="16">
        <f>VLOOKUP(C1105,[1]master_data!$A$2:$E$495,4,FALSE)</f>
        <v>150000</v>
      </c>
      <c r="H1105" s="16">
        <f>E1105*F1105</f>
        <v>118000</v>
      </c>
      <c r="I1105" s="16">
        <f>E1105*G1105</f>
        <v>150000</v>
      </c>
      <c r="J1105" s="16">
        <f>I1105-H1105</f>
        <v>32000</v>
      </c>
      <c r="K1105" s="16" t="str">
        <f>VLOOKUP(C1105,[1]master_data!$A$2:$E$495,5,FALSE)</f>
        <v>Aksesoris</v>
      </c>
      <c r="L1105" s="1"/>
    </row>
    <row r="1106" spans="1:12" ht="12" customHeight="1" x14ac:dyDescent="0.25">
      <c r="A1106" s="15">
        <v>44357</v>
      </c>
      <c r="B1106" s="16" t="s">
        <v>1100</v>
      </c>
      <c r="C1106" s="16" t="s">
        <v>347</v>
      </c>
      <c r="D1106" s="16" t="str">
        <f>VLOOKUP(C1106,[1]master_data!$A$2:$E$495,2,FALSE)</f>
        <v>MOLI BALON</v>
      </c>
      <c r="E1106" s="16">
        <v>30</v>
      </c>
      <c r="F1106" s="16">
        <f>VLOOKUP(C1106,[1]master_data!$A$2:$E$495,3,FALSE)</f>
        <v>800</v>
      </c>
      <c r="G1106" s="16">
        <f>VLOOKUP(C1106,[1]master_data!$A$2:$E$495,4,FALSE)</f>
        <v>2000</v>
      </c>
      <c r="H1106" s="16">
        <f>E1106*F1106</f>
        <v>24000</v>
      </c>
      <c r="I1106" s="16">
        <f>E1106*G1106</f>
        <v>60000</v>
      </c>
      <c r="J1106" s="16">
        <f>I1106-H1106</f>
        <v>36000</v>
      </c>
      <c r="K1106" s="16" t="str">
        <f>VLOOKUP(C1106,[1]master_data!$A$2:$E$495,5,FALSE)</f>
        <v>Ikan</v>
      </c>
      <c r="L1106" s="1"/>
    </row>
    <row r="1107" spans="1:12" ht="12" customHeight="1" x14ac:dyDescent="0.25">
      <c r="A1107" s="15">
        <v>44357</v>
      </c>
      <c r="B1107" s="16" t="s">
        <v>1101</v>
      </c>
      <c r="C1107" s="16" t="s">
        <v>330</v>
      </c>
      <c r="D1107" s="16" t="str">
        <f>VLOOKUP(C1107,[1]master_data!$A$2:$E$495,2,FALSE)</f>
        <v>KOI T</v>
      </c>
      <c r="E1107" s="16">
        <v>1</v>
      </c>
      <c r="F1107" s="16">
        <f>VLOOKUP(C1107,[1]master_data!$A$2:$E$495,3,FALSE)</f>
        <v>7000</v>
      </c>
      <c r="G1107" s="16">
        <f>VLOOKUP(C1107,[1]master_data!$A$2:$E$495,4,FALSE)</f>
        <v>20000</v>
      </c>
      <c r="H1107" s="16">
        <f>E1107*F1107</f>
        <v>7000</v>
      </c>
      <c r="I1107" s="16">
        <f>E1107*G1107</f>
        <v>20000</v>
      </c>
      <c r="J1107" s="16">
        <f>I1107-H1107</f>
        <v>13000</v>
      </c>
      <c r="K1107" s="16" t="str">
        <f>VLOOKUP(C1107,[1]master_data!$A$2:$E$495,5,FALSE)</f>
        <v>Ikan</v>
      </c>
      <c r="L1107" s="1"/>
    </row>
    <row r="1108" spans="1:12" ht="12" customHeight="1" x14ac:dyDescent="0.25">
      <c r="A1108" s="15">
        <v>44357</v>
      </c>
      <c r="B1108" s="16" t="s">
        <v>1102</v>
      </c>
      <c r="C1108" s="16" t="s">
        <v>343</v>
      </c>
      <c r="D1108" s="16" t="str">
        <f>VLOOKUP(C1108,[1]master_data!$A$2:$E$495,2,FALSE)</f>
        <v>MANFISH K</v>
      </c>
      <c r="E1108" s="16">
        <v>30</v>
      </c>
      <c r="F1108" s="16">
        <f>VLOOKUP(C1108,[1]master_data!$A$2:$E$495,3,FALSE)</f>
        <v>2000</v>
      </c>
      <c r="G1108" s="16">
        <f>VLOOKUP(C1108,[1]master_data!$A$2:$E$495,4,FALSE)</f>
        <v>5000</v>
      </c>
      <c r="H1108" s="16">
        <f>E1108*F1108</f>
        <v>60000</v>
      </c>
      <c r="I1108" s="16">
        <f>E1108*G1108</f>
        <v>150000</v>
      </c>
      <c r="J1108" s="16">
        <f>I1108-H1108</f>
        <v>90000</v>
      </c>
      <c r="K1108" s="16" t="str">
        <f>VLOOKUP(C1108,[1]master_data!$A$2:$E$495,5,FALSE)</f>
        <v>Ikan</v>
      </c>
      <c r="L1108" s="1"/>
    </row>
    <row r="1109" spans="1:12" ht="12" customHeight="1" x14ac:dyDescent="0.25">
      <c r="A1109" s="15">
        <v>44357</v>
      </c>
      <c r="B1109" s="16" t="s">
        <v>1103</v>
      </c>
      <c r="C1109" s="16" t="s">
        <v>77</v>
      </c>
      <c r="D1109" s="16" t="str">
        <f>VLOOKUP(C1109,[1]master_data!$A$2:$E$495,2,FALSE)</f>
        <v>MESIN RECENT WV 3000</v>
      </c>
      <c r="E1109" s="16">
        <v>4</v>
      </c>
      <c r="F1109" s="16">
        <f>VLOOKUP(C1109,[1]master_data!$A$2:$E$495,3,FALSE)</f>
        <v>59000</v>
      </c>
      <c r="G1109" s="16">
        <f>VLOOKUP(C1109,[1]master_data!$A$2:$E$495,4,FALSE)</f>
        <v>85000</v>
      </c>
      <c r="H1109" s="16">
        <f>E1109*F1109</f>
        <v>236000</v>
      </c>
      <c r="I1109" s="16">
        <f>E1109*G1109</f>
        <v>340000</v>
      </c>
      <c r="J1109" s="16">
        <f>I1109-H1109</f>
        <v>104000</v>
      </c>
      <c r="K1109" s="16" t="str">
        <f>VLOOKUP(C1109,[1]master_data!$A$2:$E$495,5,FALSE)</f>
        <v>Aksesoris</v>
      </c>
      <c r="L1109" s="1"/>
    </row>
    <row r="1110" spans="1:12" ht="12" customHeight="1" x14ac:dyDescent="0.25">
      <c r="A1110" s="15">
        <v>44357</v>
      </c>
      <c r="B1110" s="16" t="s">
        <v>1104</v>
      </c>
      <c r="C1110" s="16" t="s">
        <v>319</v>
      </c>
      <c r="D1110" s="16" t="str">
        <f>VLOOKUP(C1110,[1]master_data!$A$2:$E$495,2,FALSE)</f>
        <v>BARBIR</v>
      </c>
      <c r="E1110" s="16">
        <v>10</v>
      </c>
      <c r="F1110" s="16">
        <f>VLOOKUP(C1110,[1]master_data!$A$2:$E$495,3,FALSE)</f>
        <v>800</v>
      </c>
      <c r="G1110" s="16">
        <f>VLOOKUP(C1110,[1]master_data!$A$2:$E$495,4,FALSE)</f>
        <v>2000</v>
      </c>
      <c r="H1110" s="16">
        <f>E1110*F1110</f>
        <v>8000</v>
      </c>
      <c r="I1110" s="16">
        <f>E1110*G1110</f>
        <v>20000</v>
      </c>
      <c r="J1110" s="16">
        <f>I1110-H1110</f>
        <v>12000</v>
      </c>
      <c r="K1110" s="16" t="str">
        <f>VLOOKUP(C1110,[1]master_data!$A$2:$E$495,5,FALSE)</f>
        <v>Ikan</v>
      </c>
      <c r="L1110" s="1"/>
    </row>
    <row r="1111" spans="1:12" ht="12" customHeight="1" x14ac:dyDescent="0.25">
      <c r="A1111" s="15">
        <v>44356</v>
      </c>
      <c r="B1111" s="16" t="s">
        <v>1095</v>
      </c>
      <c r="C1111" s="16" t="s">
        <v>268</v>
      </c>
      <c r="D1111" s="16" t="str">
        <f>VLOOKUP(C1111,[1]master_data!$A$2:$E$495,2,FALSE)</f>
        <v>FOOD TIMER AMARA 8431</v>
      </c>
      <c r="E1111" s="16">
        <v>1</v>
      </c>
      <c r="F1111" s="16">
        <f>VLOOKUP(C1111,[1]master_data!$A$2:$E$495,3,FALSE)</f>
        <v>45000</v>
      </c>
      <c r="G1111" s="16">
        <f>VLOOKUP(C1111,[1]master_data!$A$2:$E$495,4,FALSE)</f>
        <v>115000</v>
      </c>
      <c r="H1111" s="16">
        <f>E1111*F1111</f>
        <v>45000</v>
      </c>
      <c r="I1111" s="16">
        <f>E1111*G1111</f>
        <v>115000</v>
      </c>
      <c r="J1111" s="16">
        <f>I1111-H1111</f>
        <v>70000</v>
      </c>
      <c r="K1111" s="16" t="str">
        <f>VLOOKUP(C1111,[1]master_data!$A$2:$E$495,5,FALSE)</f>
        <v>Aksesoris</v>
      </c>
      <c r="L1111" s="1"/>
    </row>
    <row r="1112" spans="1:12" ht="12" customHeight="1" x14ac:dyDescent="0.25">
      <c r="A1112" s="15">
        <v>44356</v>
      </c>
      <c r="B1112" s="16" t="s">
        <v>1096</v>
      </c>
      <c r="C1112" s="16" t="s">
        <v>344</v>
      </c>
      <c r="D1112" s="16" t="str">
        <f>VLOOKUP(C1112,[1]master_data!$A$2:$E$495,2,FALSE)</f>
        <v>MANFISH B</v>
      </c>
      <c r="E1112" s="16">
        <v>20</v>
      </c>
      <c r="F1112" s="16">
        <f>VLOOKUP(C1112,[1]master_data!$A$2:$E$495,3,FALSE)</f>
        <v>4000</v>
      </c>
      <c r="G1112" s="16">
        <f>VLOOKUP(C1112,[1]master_data!$A$2:$E$495,4,FALSE)</f>
        <v>10000</v>
      </c>
      <c r="H1112" s="16">
        <f>E1112*F1112</f>
        <v>80000</v>
      </c>
      <c r="I1112" s="16">
        <f>E1112*G1112</f>
        <v>200000</v>
      </c>
      <c r="J1112" s="16">
        <f>I1112-H1112</f>
        <v>120000</v>
      </c>
      <c r="K1112" s="16" t="str">
        <f>VLOOKUP(C1112,[1]master_data!$A$2:$E$495,5,FALSE)</f>
        <v>Ikan</v>
      </c>
      <c r="L1112" s="1"/>
    </row>
    <row r="1113" spans="1:12" ht="12" customHeight="1" x14ac:dyDescent="0.25">
      <c r="A1113" s="15">
        <v>44356</v>
      </c>
      <c r="B1113" s="16" t="s">
        <v>1097</v>
      </c>
      <c r="C1113" s="16" t="s">
        <v>317</v>
      </c>
      <c r="D1113" s="16" t="str">
        <f>VLOOKUP(C1113,[1]master_data!$A$2:$E$495,2,FALSE)</f>
        <v>CHANNA BLUE PULCHRA B</v>
      </c>
      <c r="E1113" s="16">
        <v>2</v>
      </c>
      <c r="F1113" s="16">
        <f>VLOOKUP(C1113,[1]master_data!$A$2:$E$495,3,FALSE)</f>
        <v>125000</v>
      </c>
      <c r="G1113" s="16">
        <f>VLOOKUP(C1113,[1]master_data!$A$2:$E$495,4,FALSE)</f>
        <v>200000</v>
      </c>
      <c r="H1113" s="16">
        <f>E1113*F1113</f>
        <v>250000</v>
      </c>
      <c r="I1113" s="16">
        <f>E1113*G1113</f>
        <v>400000</v>
      </c>
      <c r="J1113" s="16">
        <f>I1113-H1113</f>
        <v>150000</v>
      </c>
      <c r="K1113" s="16" t="str">
        <f>VLOOKUP(C1113,[1]master_data!$A$2:$E$495,5,FALSE)</f>
        <v>Ikan</v>
      </c>
      <c r="L1113" s="1"/>
    </row>
    <row r="1114" spans="1:12" ht="12" customHeight="1" x14ac:dyDescent="0.25">
      <c r="A1114" s="15">
        <v>44356</v>
      </c>
      <c r="B1114" s="16" t="s">
        <v>1098</v>
      </c>
      <c r="C1114" s="16" t="s">
        <v>206</v>
      </c>
      <c r="D1114" s="16" t="str">
        <f>VLOOKUP(C1114,[1]master_data!$A$2:$E$495,2,FALSE)</f>
        <v>BACKGROUND</v>
      </c>
      <c r="E1114" s="16">
        <v>1</v>
      </c>
      <c r="F1114" s="16">
        <f>VLOOKUP(C1114,[1]master_data!$A$2:$E$495,3,FALSE)</f>
        <v>8000</v>
      </c>
      <c r="G1114" s="16">
        <f>VLOOKUP(C1114,[1]master_data!$A$2:$E$495,4,FALSE)</f>
        <v>15000</v>
      </c>
      <c r="H1114" s="16">
        <f>E1114*F1114</f>
        <v>8000</v>
      </c>
      <c r="I1114" s="16">
        <f>E1114*G1114</f>
        <v>15000</v>
      </c>
      <c r="J1114" s="16">
        <f>I1114-H1114</f>
        <v>7000</v>
      </c>
      <c r="K1114" s="16" t="str">
        <f>VLOOKUP(C1114,[1]master_data!$A$2:$E$495,5,FALSE)</f>
        <v>Aksesoris</v>
      </c>
      <c r="L1114" s="1"/>
    </row>
    <row r="1115" spans="1:12" ht="12" customHeight="1" x14ac:dyDescent="0.25">
      <c r="A1115" s="15">
        <v>44355</v>
      </c>
      <c r="B1115" s="16" t="s">
        <v>1088</v>
      </c>
      <c r="C1115" s="16" t="s">
        <v>323</v>
      </c>
      <c r="D1115" s="16" t="str">
        <f>VLOOKUP(C1115,[1]master_data!$A$2:$E$495,2,FALSE)</f>
        <v>GUPY</v>
      </c>
      <c r="E1115" s="16">
        <v>15</v>
      </c>
      <c r="F1115" s="16">
        <f>VLOOKUP(C1115,[1]master_data!$A$2:$E$495,3,FALSE)</f>
        <v>1200</v>
      </c>
      <c r="G1115" s="16">
        <f>VLOOKUP(C1115,[1]master_data!$A$2:$E$495,4,FALSE)</f>
        <v>2500</v>
      </c>
      <c r="H1115" s="16">
        <f>E1115*F1115</f>
        <v>18000</v>
      </c>
      <c r="I1115" s="16">
        <f>E1115*G1115</f>
        <v>37500</v>
      </c>
      <c r="J1115" s="16">
        <f>I1115-H1115</f>
        <v>19500</v>
      </c>
      <c r="K1115" s="16" t="str">
        <f>VLOOKUP(C1115,[1]master_data!$A$2:$E$495,5,FALSE)</f>
        <v>Ikan</v>
      </c>
      <c r="L1115" s="1"/>
    </row>
    <row r="1116" spans="1:12" ht="12" customHeight="1" x14ac:dyDescent="0.25">
      <c r="A1116" s="15">
        <v>44355</v>
      </c>
      <c r="B1116" s="16" t="s">
        <v>1089</v>
      </c>
      <c r="C1116" s="16" t="s">
        <v>330</v>
      </c>
      <c r="D1116" s="16" t="str">
        <f>VLOOKUP(C1116,[1]master_data!$A$2:$E$495,2,FALSE)</f>
        <v>KOI T</v>
      </c>
      <c r="E1116" s="16">
        <v>1</v>
      </c>
      <c r="F1116" s="16">
        <f>VLOOKUP(C1116,[1]master_data!$A$2:$E$495,3,FALSE)</f>
        <v>7000</v>
      </c>
      <c r="G1116" s="16">
        <f>VLOOKUP(C1116,[1]master_data!$A$2:$E$495,4,FALSE)</f>
        <v>20000</v>
      </c>
      <c r="H1116" s="16">
        <f>E1116*F1116</f>
        <v>7000</v>
      </c>
      <c r="I1116" s="16">
        <f>E1116*G1116</f>
        <v>20000</v>
      </c>
      <c r="J1116" s="16">
        <f>I1116-H1116</f>
        <v>13000</v>
      </c>
      <c r="K1116" s="16" t="str">
        <f>VLOOKUP(C1116,[1]master_data!$A$2:$E$495,5,FALSE)</f>
        <v>Ikan</v>
      </c>
      <c r="L1116" s="1"/>
    </row>
    <row r="1117" spans="1:12" ht="12" customHeight="1" x14ac:dyDescent="0.25">
      <c r="A1117" s="15">
        <v>44355</v>
      </c>
      <c r="B1117" s="16" t="s">
        <v>1090</v>
      </c>
      <c r="C1117" s="16" t="s">
        <v>338</v>
      </c>
      <c r="D1117" s="16" t="str">
        <f>VLOOKUP(C1117,[1]master_data!$A$2:$E$495,2,FALSE)</f>
        <v>CAROLINE</v>
      </c>
      <c r="E1117" s="16">
        <v>10</v>
      </c>
      <c r="F1117" s="16">
        <f>VLOOKUP(C1117,[1]master_data!$A$2:$E$495,3,FALSE)</f>
        <v>900</v>
      </c>
      <c r="G1117" s="16">
        <f>VLOOKUP(C1117,[1]master_data!$A$2:$E$495,4,FALSE)</f>
        <v>2000</v>
      </c>
      <c r="H1117" s="16">
        <f>E1117*F1117</f>
        <v>9000</v>
      </c>
      <c r="I1117" s="16">
        <f>E1117*G1117</f>
        <v>20000</v>
      </c>
      <c r="J1117" s="16">
        <f>I1117-H1117</f>
        <v>11000</v>
      </c>
      <c r="K1117" s="16" t="str">
        <f>VLOOKUP(C1117,[1]master_data!$A$2:$E$495,5,FALSE)</f>
        <v>Ikan</v>
      </c>
      <c r="L1117" s="1"/>
    </row>
    <row r="1118" spans="1:12" ht="12" customHeight="1" x14ac:dyDescent="0.25">
      <c r="A1118" s="15">
        <v>44355</v>
      </c>
      <c r="B1118" s="16" t="s">
        <v>1091</v>
      </c>
      <c r="C1118" s="16" t="s">
        <v>226</v>
      </c>
      <c r="D1118" s="16" t="str">
        <f>VLOOKUP(C1118,[1]master_data!$A$2:$E$495,2,FALSE)</f>
        <v>KRAN 2 W</v>
      </c>
      <c r="E1118" s="16">
        <v>10</v>
      </c>
      <c r="F1118" s="16">
        <f>VLOOKUP(C1118,[1]master_data!$A$2:$E$495,3,FALSE)</f>
        <v>4000</v>
      </c>
      <c r="G1118" s="16">
        <f>VLOOKUP(C1118,[1]master_data!$A$2:$E$495,4,FALSE)</f>
        <v>6000</v>
      </c>
      <c r="H1118" s="16">
        <f>E1118*F1118</f>
        <v>40000</v>
      </c>
      <c r="I1118" s="16">
        <f>E1118*G1118</f>
        <v>60000</v>
      </c>
      <c r="J1118" s="16">
        <f>I1118-H1118</f>
        <v>20000</v>
      </c>
      <c r="K1118" s="16" t="str">
        <f>VLOOKUP(C1118,[1]master_data!$A$2:$E$495,5,FALSE)</f>
        <v>Aksesoris</v>
      </c>
      <c r="L1118" s="1"/>
    </row>
    <row r="1119" spans="1:12" ht="12" customHeight="1" x14ac:dyDescent="0.25">
      <c r="A1119" s="15">
        <v>44355</v>
      </c>
      <c r="B1119" s="16" t="s">
        <v>1092</v>
      </c>
      <c r="C1119" s="16" t="s">
        <v>349</v>
      </c>
      <c r="D1119" s="16" t="str">
        <f>VLOOKUP(C1119,[1]master_data!$A$2:$E$495,2,FALSE)</f>
        <v>RED EYE TETRA</v>
      </c>
      <c r="E1119" s="16">
        <v>10</v>
      </c>
      <c r="F1119" s="16">
        <f>VLOOKUP(C1119,[1]master_data!$A$2:$E$495,3,FALSE)</f>
        <v>900</v>
      </c>
      <c r="G1119" s="16">
        <f>VLOOKUP(C1119,[1]master_data!$A$2:$E$495,4,FALSE)</f>
        <v>2000</v>
      </c>
      <c r="H1119" s="16">
        <f>E1119*F1119</f>
        <v>9000</v>
      </c>
      <c r="I1119" s="16">
        <f>E1119*G1119</f>
        <v>20000</v>
      </c>
      <c r="J1119" s="16">
        <f>I1119-H1119</f>
        <v>11000</v>
      </c>
      <c r="K1119" s="16" t="str">
        <f>VLOOKUP(C1119,[1]master_data!$A$2:$E$495,5,FALSE)</f>
        <v>Ikan</v>
      </c>
      <c r="L1119" s="1"/>
    </row>
    <row r="1120" spans="1:12" ht="12" customHeight="1" x14ac:dyDescent="0.25">
      <c r="A1120" s="15">
        <v>44355</v>
      </c>
      <c r="B1120" s="16" t="s">
        <v>1093</v>
      </c>
      <c r="C1120" s="16" t="s">
        <v>354</v>
      </c>
      <c r="D1120" s="16" t="str">
        <f>VLOOKUP(C1120,[1]master_data!$A$2:$E$495,2,FALSE)</f>
        <v>PEMBERSIH KACA ALBINO</v>
      </c>
      <c r="E1120" s="16">
        <v>30</v>
      </c>
      <c r="F1120" s="16">
        <f>VLOOKUP(C1120,[1]master_data!$A$2:$E$495,3,FALSE)</f>
        <v>2500</v>
      </c>
      <c r="G1120" s="16">
        <f>VLOOKUP(C1120,[1]master_data!$A$2:$E$495,4,FALSE)</f>
        <v>5000</v>
      </c>
      <c r="H1120" s="16">
        <f>E1120*F1120</f>
        <v>75000</v>
      </c>
      <c r="I1120" s="16">
        <f>E1120*G1120</f>
        <v>150000</v>
      </c>
      <c r="J1120" s="16">
        <f>I1120-H1120</f>
        <v>75000</v>
      </c>
      <c r="K1120" s="16" t="str">
        <f>VLOOKUP(C1120,[1]master_data!$A$2:$E$495,5,FALSE)</f>
        <v>Ikan</v>
      </c>
      <c r="L1120" s="1"/>
    </row>
    <row r="1121" spans="1:12" ht="12" customHeight="1" x14ac:dyDescent="0.25">
      <c r="A1121" s="15">
        <v>44355</v>
      </c>
      <c r="B1121" s="16" t="s">
        <v>1094</v>
      </c>
      <c r="C1121" s="16" t="s">
        <v>313</v>
      </c>
      <c r="D1121" s="16" t="str">
        <f>VLOOKUP(C1121,[1]master_data!$A$2:$E$495,2,FALSE)</f>
        <v>BALA BALA K</v>
      </c>
      <c r="E1121" s="16">
        <v>30</v>
      </c>
      <c r="F1121" s="16">
        <f>VLOOKUP(C1121,[1]master_data!$A$2:$E$495,3,FALSE)</f>
        <v>4000</v>
      </c>
      <c r="G1121" s="16">
        <f>VLOOKUP(C1121,[1]master_data!$A$2:$E$495,4,FALSE)</f>
        <v>8000</v>
      </c>
      <c r="H1121" s="16">
        <f>E1121*F1121</f>
        <v>120000</v>
      </c>
      <c r="I1121" s="16">
        <f>E1121*G1121</f>
        <v>240000</v>
      </c>
      <c r="J1121" s="16">
        <f>I1121-H1121</f>
        <v>120000</v>
      </c>
      <c r="K1121" s="16" t="str">
        <f>VLOOKUP(C1121,[1]master_data!$A$2:$E$495,5,FALSE)</f>
        <v>Ikan</v>
      </c>
      <c r="L1121" s="1"/>
    </row>
    <row r="1122" spans="1:12" ht="12" customHeight="1" x14ac:dyDescent="0.25">
      <c r="A1122" s="15">
        <v>44354</v>
      </c>
      <c r="B1122" s="16" t="s">
        <v>1087</v>
      </c>
      <c r="C1122" s="16" t="s">
        <v>360</v>
      </c>
      <c r="D1122" s="16" t="str">
        <f>VLOOKUP(C1122,[1]master_data!$A$2:$E$495,2,FALSE)</f>
        <v xml:space="preserve"> CHANNA RED BARITO K</v>
      </c>
      <c r="E1122" s="16">
        <v>5</v>
      </c>
      <c r="F1122" s="16">
        <f>VLOOKUP(C1122,[1]master_data!$A$2:$E$495,3,FALSE)</f>
        <v>45000</v>
      </c>
      <c r="G1122" s="16">
        <f>VLOOKUP(C1122,[1]master_data!$A$2:$E$495,4,FALSE)</f>
        <v>100000</v>
      </c>
      <c r="H1122" s="16">
        <f>E1122*F1122</f>
        <v>225000</v>
      </c>
      <c r="I1122" s="16">
        <f>E1122*G1122</f>
        <v>500000</v>
      </c>
      <c r="J1122" s="16">
        <f>I1122-H1122</f>
        <v>275000</v>
      </c>
      <c r="K1122" s="16" t="str">
        <f>VLOOKUP(C1122,[1]master_data!$A$2:$E$495,5,FALSE)</f>
        <v>Ikan</v>
      </c>
      <c r="L1122" s="1"/>
    </row>
    <row r="1123" spans="1:12" ht="12" customHeight="1" x14ac:dyDescent="0.25">
      <c r="A1123" s="15">
        <v>44353</v>
      </c>
      <c r="B1123" s="16" t="s">
        <v>1081</v>
      </c>
      <c r="C1123" s="16" t="s">
        <v>363</v>
      </c>
      <c r="D1123" s="16" t="str">
        <f>VLOOKUP(C1123,[1]master_data!$A$2:$E$495,2,FALSE)</f>
        <v>SUMATRA GOLD FISH</v>
      </c>
      <c r="E1123" s="16">
        <v>20</v>
      </c>
      <c r="F1123" s="16">
        <f>VLOOKUP(C1123,[1]master_data!$A$2:$E$495,3,FALSE)</f>
        <v>2500</v>
      </c>
      <c r="G1123" s="16">
        <f>VLOOKUP(C1123,[1]master_data!$A$2:$E$495,4,FALSE)</f>
        <v>4000</v>
      </c>
      <c r="H1123" s="16">
        <f>E1123*F1123</f>
        <v>50000</v>
      </c>
      <c r="I1123" s="16">
        <f>E1123*G1123</f>
        <v>80000</v>
      </c>
      <c r="J1123" s="16">
        <f>I1123-H1123</f>
        <v>30000</v>
      </c>
      <c r="K1123" s="16" t="str">
        <f>VLOOKUP(C1123,[1]master_data!$A$2:$E$495,5,FALSE)</f>
        <v>Ikan</v>
      </c>
      <c r="L1123" s="1"/>
    </row>
    <row r="1124" spans="1:12" ht="12" customHeight="1" x14ac:dyDescent="0.25">
      <c r="A1124" s="15">
        <v>44353</v>
      </c>
      <c r="B1124" s="16" t="s">
        <v>1082</v>
      </c>
      <c r="C1124" s="16" t="s">
        <v>288</v>
      </c>
      <c r="D1124" s="16" t="str">
        <f>VLOOKUP(C1124,[1]master_data!$A$2:$E$495,2,FALSE)</f>
        <v>SOLITER B1</v>
      </c>
      <c r="E1124" s="16">
        <v>5</v>
      </c>
      <c r="F1124" s="16">
        <f>VLOOKUP(C1124,[1]master_data!$A$2:$E$495,3,FALSE)</f>
        <v>45000</v>
      </c>
      <c r="G1124" s="16">
        <f>VLOOKUP(C1124,[1]master_data!$A$2:$E$495,4,FALSE)</f>
        <v>60000</v>
      </c>
      <c r="H1124" s="16">
        <f>E1124*F1124</f>
        <v>225000</v>
      </c>
      <c r="I1124" s="16">
        <f>E1124*G1124</f>
        <v>300000</v>
      </c>
      <c r="J1124" s="16">
        <f>I1124-H1124</f>
        <v>75000</v>
      </c>
      <c r="K1124" s="16" t="str">
        <f>VLOOKUP(C1124,[1]master_data!$A$2:$E$495,5,FALSE)</f>
        <v>Aksesoris</v>
      </c>
      <c r="L1124" s="1"/>
    </row>
    <row r="1125" spans="1:12" ht="12" customHeight="1" x14ac:dyDescent="0.25">
      <c r="A1125" s="15">
        <v>44353</v>
      </c>
      <c r="B1125" s="16" t="s">
        <v>1083</v>
      </c>
      <c r="C1125" s="16" t="s">
        <v>309</v>
      </c>
      <c r="D1125" s="16" t="str">
        <f>VLOOKUP(C1125,[1]master_data!$A$2:$E$495,2,FALSE)</f>
        <v>ALGA EATER</v>
      </c>
      <c r="E1125" s="16">
        <v>30</v>
      </c>
      <c r="F1125" s="16">
        <f>VLOOKUP(C1125,[1]master_data!$A$2:$E$495,3,FALSE)</f>
        <v>1750</v>
      </c>
      <c r="G1125" s="16">
        <f>VLOOKUP(C1125,[1]master_data!$A$2:$E$495,4,FALSE)</f>
        <v>5000</v>
      </c>
      <c r="H1125" s="16">
        <f>E1125*F1125</f>
        <v>52500</v>
      </c>
      <c r="I1125" s="16">
        <f>E1125*G1125</f>
        <v>150000</v>
      </c>
      <c r="J1125" s="16">
        <f>I1125-H1125</f>
        <v>97500</v>
      </c>
      <c r="K1125" s="16" t="str">
        <f>VLOOKUP(C1125,[1]master_data!$A$2:$E$495,5,FALSE)</f>
        <v>Ikan</v>
      </c>
      <c r="L1125" s="1"/>
    </row>
    <row r="1126" spans="1:12" ht="12" customHeight="1" x14ac:dyDescent="0.25">
      <c r="A1126" s="15">
        <v>44353</v>
      </c>
      <c r="B1126" s="16" t="s">
        <v>1084</v>
      </c>
      <c r="C1126" s="16" t="s">
        <v>363</v>
      </c>
      <c r="D1126" s="16" t="str">
        <f>VLOOKUP(C1126,[1]master_data!$A$2:$E$495,2,FALSE)</f>
        <v>SUMATRA GOLD FISH</v>
      </c>
      <c r="E1126" s="16">
        <v>15</v>
      </c>
      <c r="F1126" s="16">
        <f>VLOOKUP(C1126,[1]master_data!$A$2:$E$495,3,FALSE)</f>
        <v>2500</v>
      </c>
      <c r="G1126" s="16">
        <f>VLOOKUP(C1126,[1]master_data!$A$2:$E$495,4,FALSE)</f>
        <v>4000</v>
      </c>
      <c r="H1126" s="16">
        <f>E1126*F1126</f>
        <v>37500</v>
      </c>
      <c r="I1126" s="16">
        <f>E1126*G1126</f>
        <v>60000</v>
      </c>
      <c r="J1126" s="16">
        <f>I1126-H1126</f>
        <v>22500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44353</v>
      </c>
      <c r="B1127" s="16" t="s">
        <v>1085</v>
      </c>
      <c r="C1127" s="16" t="s">
        <v>315</v>
      </c>
      <c r="D1127" s="16" t="str">
        <f>VLOOKUP(C1127,[1]master_data!$A$2:$E$495,2,FALSE)</f>
        <v>BLACK GHOST</v>
      </c>
      <c r="E1127" s="16">
        <v>7</v>
      </c>
      <c r="F1127" s="16">
        <f>VLOOKUP(C1127,[1]master_data!$A$2:$E$495,3,FALSE)</f>
        <v>4000</v>
      </c>
      <c r="G1127" s="16">
        <f>VLOOKUP(C1127,[1]master_data!$A$2:$E$495,4,FALSE)</f>
        <v>10000</v>
      </c>
      <c r="H1127" s="16">
        <f>E1127*F1127</f>
        <v>28000</v>
      </c>
      <c r="I1127" s="16">
        <f>E1127*G1127</f>
        <v>70000</v>
      </c>
      <c r="J1127" s="16">
        <f>I1127-H1127</f>
        <v>42000</v>
      </c>
      <c r="K1127" s="16" t="str">
        <f>VLOOKUP(C1127,[1]master_data!$A$2:$E$495,5,FALSE)</f>
        <v>Ikan</v>
      </c>
      <c r="L1127" s="1"/>
    </row>
    <row r="1128" spans="1:12" ht="12" customHeight="1" x14ac:dyDescent="0.25">
      <c r="A1128" s="15">
        <v>44353</v>
      </c>
      <c r="B1128" s="16" t="s">
        <v>1086</v>
      </c>
      <c r="C1128" s="16" t="s">
        <v>337</v>
      </c>
      <c r="D1128" s="16" t="str">
        <f>VLOOKUP(C1128,[1]master_data!$A$2:$E$495,2,FALSE)</f>
        <v>KOI SLAYER B</v>
      </c>
      <c r="E1128" s="16">
        <v>1</v>
      </c>
      <c r="F1128" s="16">
        <f>VLOOKUP(C1128,[1]master_data!$A$2:$E$495,3,FALSE)</f>
        <v>8000</v>
      </c>
      <c r="G1128" s="16">
        <f>VLOOKUP(C1128,[1]master_data!$A$2:$E$495,4,FALSE)</f>
        <v>20000</v>
      </c>
      <c r="H1128" s="16">
        <f>E1128*F1128</f>
        <v>8000</v>
      </c>
      <c r="I1128" s="16">
        <f>E1128*G1128</f>
        <v>20000</v>
      </c>
      <c r="J1128" s="16">
        <f>I1128-H1128</f>
        <v>12000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44352</v>
      </c>
      <c r="B1129" s="16" t="s">
        <v>1074</v>
      </c>
      <c r="C1129" s="16" t="s">
        <v>145</v>
      </c>
      <c r="D1129" s="16" t="str">
        <f>VLOOKUP(C1129,[1]master_data!$A$2:$E$495,2,FALSE)</f>
        <v>LED KANDILA DnN 40 CM</v>
      </c>
      <c r="E1129" s="16">
        <v>1</v>
      </c>
      <c r="F1129" s="16">
        <f>VLOOKUP(C1129,[1]master_data!$A$2:$E$495,3,FALSE)</f>
        <v>30000</v>
      </c>
      <c r="G1129" s="16">
        <f>VLOOKUP(C1129,[1]master_data!$A$2:$E$495,4,FALSE)</f>
        <v>50000</v>
      </c>
      <c r="H1129" s="16">
        <f>E1129*F1129</f>
        <v>30000</v>
      </c>
      <c r="I1129" s="16">
        <f>E1129*G1129</f>
        <v>50000</v>
      </c>
      <c r="J1129" s="16">
        <f>I1129-H1129</f>
        <v>20000</v>
      </c>
      <c r="K1129" s="16" t="str">
        <f>VLOOKUP(C1129,[1]master_data!$A$2:$E$495,5,FALSE)</f>
        <v>Aksesoris</v>
      </c>
      <c r="L1129" s="1"/>
    </row>
    <row r="1130" spans="1:12" ht="12" customHeight="1" x14ac:dyDescent="0.25">
      <c r="A1130" s="15">
        <v>44352</v>
      </c>
      <c r="B1130" s="16" t="s">
        <v>1075</v>
      </c>
      <c r="C1130" s="16" t="s">
        <v>343</v>
      </c>
      <c r="D1130" s="16" t="str">
        <f>VLOOKUP(C1130,[1]master_data!$A$2:$E$495,2,FALSE)</f>
        <v>MANFISH K</v>
      </c>
      <c r="E1130" s="16">
        <v>25</v>
      </c>
      <c r="F1130" s="16">
        <f>VLOOKUP(C1130,[1]master_data!$A$2:$E$495,3,FALSE)</f>
        <v>2000</v>
      </c>
      <c r="G1130" s="16">
        <f>VLOOKUP(C1130,[1]master_data!$A$2:$E$495,4,FALSE)</f>
        <v>5000</v>
      </c>
      <c r="H1130" s="16">
        <f>E1130*F1130</f>
        <v>50000</v>
      </c>
      <c r="I1130" s="16">
        <f>E1130*G1130</f>
        <v>125000</v>
      </c>
      <c r="J1130" s="16">
        <f>I1130-H1130</f>
        <v>75000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44352</v>
      </c>
      <c r="B1131" s="16" t="s">
        <v>1076</v>
      </c>
      <c r="C1131" s="16" t="s">
        <v>343</v>
      </c>
      <c r="D1131" s="16" t="str">
        <f>VLOOKUP(C1131,[1]master_data!$A$2:$E$495,2,FALSE)</f>
        <v>MANFISH K</v>
      </c>
      <c r="E1131" s="16">
        <v>10</v>
      </c>
      <c r="F1131" s="16">
        <f>VLOOKUP(C1131,[1]master_data!$A$2:$E$495,3,FALSE)</f>
        <v>2000</v>
      </c>
      <c r="G1131" s="16">
        <f>VLOOKUP(C1131,[1]master_data!$A$2:$E$495,4,FALSE)</f>
        <v>5000</v>
      </c>
      <c r="H1131" s="16">
        <f>E1131*F1131</f>
        <v>20000</v>
      </c>
      <c r="I1131" s="16">
        <f>E1131*G1131</f>
        <v>50000</v>
      </c>
      <c r="J1131" s="16">
        <f>I1131-H1131</f>
        <v>30000</v>
      </c>
      <c r="K1131" s="16" t="str">
        <f>VLOOKUP(C1131,[1]master_data!$A$2:$E$495,5,FALSE)</f>
        <v>Ikan</v>
      </c>
      <c r="L1131" s="1"/>
    </row>
    <row r="1132" spans="1:12" ht="12" customHeight="1" x14ac:dyDescent="0.25">
      <c r="A1132" s="15">
        <v>44352</v>
      </c>
      <c r="B1132" s="16" t="s">
        <v>1077</v>
      </c>
      <c r="C1132" s="16" t="s">
        <v>303</v>
      </c>
      <c r="D1132" s="16" t="str">
        <f>VLOOKUP(C1132,[1]master_data!$A$2:$E$495,2,FALSE)</f>
        <v>CHANNA ASIATICA K</v>
      </c>
      <c r="E1132" s="16">
        <v>2</v>
      </c>
      <c r="F1132" s="16">
        <f>VLOOKUP(C1132,[1]master_data!$A$2:$E$495,3,FALSE)</f>
        <v>10000</v>
      </c>
      <c r="G1132" s="16">
        <f>VLOOKUP(C1132,[1]master_data!$A$2:$E$495,4,FALSE)</f>
        <v>40000</v>
      </c>
      <c r="H1132" s="16">
        <f>E1132*F1132</f>
        <v>20000</v>
      </c>
      <c r="I1132" s="16">
        <f>E1132*G1132</f>
        <v>80000</v>
      </c>
      <c r="J1132" s="16">
        <f>I1132-H1132</f>
        <v>60000</v>
      </c>
      <c r="K1132" s="16" t="str">
        <f>VLOOKUP(C1132,[1]master_data!$A$2:$E$495,5,FALSE)</f>
        <v>Ikan</v>
      </c>
      <c r="L1132" s="1"/>
    </row>
    <row r="1133" spans="1:12" ht="12" customHeight="1" x14ac:dyDescent="0.25">
      <c r="A1133" s="15">
        <v>44352</v>
      </c>
      <c r="B1133" s="16" t="s">
        <v>1078</v>
      </c>
      <c r="C1133" s="16" t="s">
        <v>141</v>
      </c>
      <c r="D1133" s="16" t="str">
        <f>VLOOKUP(C1133,[1]master_data!$A$2:$E$495,2,FALSE)</f>
        <v>LAMPU ARMADA UV 15W</v>
      </c>
      <c r="E1133" s="16">
        <v>2</v>
      </c>
      <c r="F1133" s="16">
        <f>VLOOKUP(C1133,[1]master_data!$A$2:$E$495,3,FALSE)</f>
        <v>88000</v>
      </c>
      <c r="G1133" s="16">
        <f>VLOOKUP(C1133,[1]master_data!$A$2:$E$495,4,FALSE)</f>
        <v>115000</v>
      </c>
      <c r="H1133" s="16">
        <f>E1133*F1133</f>
        <v>176000</v>
      </c>
      <c r="I1133" s="16">
        <f>E1133*G1133</f>
        <v>230000</v>
      </c>
      <c r="J1133" s="16">
        <f>I1133-H1133</f>
        <v>54000</v>
      </c>
      <c r="K1133" s="16" t="str">
        <f>VLOOKUP(C1133,[1]master_data!$A$2:$E$495,5,FALSE)</f>
        <v>Aksesoris</v>
      </c>
      <c r="L1133" s="1"/>
    </row>
    <row r="1134" spans="1:12" ht="12" customHeight="1" x14ac:dyDescent="0.25">
      <c r="A1134" s="15">
        <v>44352</v>
      </c>
      <c r="B1134" s="16" t="s">
        <v>1079</v>
      </c>
      <c r="C1134" s="16" t="s">
        <v>65</v>
      </c>
      <c r="D1134" s="16" t="str">
        <f>VLOOKUP(C1134,[1]master_data!$A$2:$E$495,2,FALSE)</f>
        <v>BIO FOAM L</v>
      </c>
      <c r="E1134" s="16">
        <v>1</v>
      </c>
      <c r="F1134" s="16">
        <f>VLOOKUP(C1134,[1]master_data!$A$2:$E$495,3,FALSE)</f>
        <v>22000</v>
      </c>
      <c r="G1134" s="16">
        <f>VLOOKUP(C1134,[1]master_data!$A$2:$E$495,4,FALSE)</f>
        <v>35000</v>
      </c>
      <c r="H1134" s="16">
        <f>E1134*F1134</f>
        <v>22000</v>
      </c>
      <c r="I1134" s="16">
        <f>E1134*G1134</f>
        <v>35000</v>
      </c>
      <c r="J1134" s="16">
        <f>I1134-H1134</f>
        <v>13000</v>
      </c>
      <c r="K1134" s="16" t="str">
        <f>VLOOKUP(C1134,[1]master_data!$A$2:$E$495,5,FALSE)</f>
        <v>Aksesoris</v>
      </c>
      <c r="L1134" s="1"/>
    </row>
    <row r="1135" spans="1:12" ht="12" customHeight="1" x14ac:dyDescent="0.25">
      <c r="A1135" s="15">
        <v>44352</v>
      </c>
      <c r="B1135" s="16" t="s">
        <v>1080</v>
      </c>
      <c r="C1135" s="16" t="s">
        <v>257</v>
      </c>
      <c r="D1135" s="16" t="str">
        <f>VLOOKUP(C1135,[1]master_data!$A$2:$E$495,2,FALSE)</f>
        <v>JARING PENDEK BULAT</v>
      </c>
      <c r="E1135" s="16">
        <v>1</v>
      </c>
      <c r="F1135" s="16">
        <f>VLOOKUP(C1135,[1]master_data!$A$2:$E$495,3,FALSE)</f>
        <v>15000</v>
      </c>
      <c r="G1135" s="16">
        <f>VLOOKUP(C1135,[1]master_data!$A$2:$E$495,4,FALSE)</f>
        <v>30000</v>
      </c>
      <c r="H1135" s="16">
        <f>E1135*F1135</f>
        <v>15000</v>
      </c>
      <c r="I1135" s="16">
        <f>E1135*G1135</f>
        <v>30000</v>
      </c>
      <c r="J1135" s="16">
        <f>I1135-H1135</f>
        <v>15000</v>
      </c>
      <c r="K1135" s="16" t="str">
        <f>VLOOKUP(C1135,[1]master_data!$A$2:$E$495,5,FALSE)</f>
        <v>Aksesoris</v>
      </c>
      <c r="L1135" s="1"/>
    </row>
    <row r="1136" spans="1:12" ht="12" customHeight="1" x14ac:dyDescent="0.25">
      <c r="A1136" s="15">
        <v>44351</v>
      </c>
      <c r="B1136" s="16" t="s">
        <v>1070</v>
      </c>
      <c r="C1136" s="16" t="s">
        <v>63</v>
      </c>
      <c r="D1136" s="16" t="str">
        <f>VLOOKUP(C1136,[1]master_data!$A$2:$E$495,2,FALSE)</f>
        <v>BIO FOAM S</v>
      </c>
      <c r="E1136" s="16">
        <v>10</v>
      </c>
      <c r="F1136" s="16">
        <f>VLOOKUP(C1136,[1]master_data!$A$2:$E$495,3,FALSE)</f>
        <v>12000</v>
      </c>
      <c r="G1136" s="16">
        <f>VLOOKUP(C1136,[1]master_data!$A$2:$E$495,4,FALSE)</f>
        <v>25000</v>
      </c>
      <c r="H1136" s="16">
        <f>E1136*F1136</f>
        <v>120000</v>
      </c>
      <c r="I1136" s="16">
        <f>E1136*G1136</f>
        <v>250000</v>
      </c>
      <c r="J1136" s="16">
        <f>I1136-H1136</f>
        <v>130000</v>
      </c>
      <c r="K1136" s="16" t="str">
        <f>VLOOKUP(C1136,[1]master_data!$A$2:$E$495,5,FALSE)</f>
        <v>Aksesoris</v>
      </c>
      <c r="L1136" s="1"/>
    </row>
    <row r="1137" spans="1:12" ht="12" customHeight="1" x14ac:dyDescent="0.25">
      <c r="A1137" s="15">
        <v>44351</v>
      </c>
      <c r="B1137" s="16" t="s">
        <v>1071</v>
      </c>
      <c r="C1137" s="16" t="s">
        <v>373</v>
      </c>
      <c r="D1137" s="16" t="str">
        <f>VLOOKUP(C1137,[1]master_data!$A$2:$E$495,2,FALSE)</f>
        <v>SEPAT</v>
      </c>
      <c r="E1137" s="16">
        <v>25</v>
      </c>
      <c r="F1137" s="16">
        <f>VLOOKUP(C1137,[1]master_data!$A$2:$E$495,3,FALSE)</f>
        <v>600</v>
      </c>
      <c r="G1137" s="16">
        <f>VLOOKUP(C1137,[1]master_data!$A$2:$E$495,4,FALSE)</f>
        <v>2000</v>
      </c>
      <c r="H1137" s="16">
        <f>E1137*F1137</f>
        <v>15000</v>
      </c>
      <c r="I1137" s="16">
        <f>E1137*G1137</f>
        <v>50000</v>
      </c>
      <c r="J1137" s="16">
        <f>I1137-H1137</f>
        <v>35000</v>
      </c>
      <c r="K1137" s="16" t="str">
        <f>VLOOKUP(C1137,[1]master_data!$A$2:$E$495,5,FALSE)</f>
        <v>Ikan</v>
      </c>
      <c r="L1137" s="1"/>
    </row>
    <row r="1138" spans="1:12" ht="12" customHeight="1" x14ac:dyDescent="0.25">
      <c r="A1138" s="15">
        <v>44351</v>
      </c>
      <c r="B1138" s="16" t="s">
        <v>1072</v>
      </c>
      <c r="C1138" s="16" t="s">
        <v>52</v>
      </c>
      <c r="D1138" s="16" t="str">
        <f>VLOOKUP(C1138,[1]master_data!$A$2:$E$495,2,FALSE)</f>
        <v>MESIN HIKARI 1200</v>
      </c>
      <c r="E1138" s="16">
        <v>10</v>
      </c>
      <c r="F1138" s="16">
        <f>VLOOKUP(C1138,[1]master_data!$A$2:$E$495,3,FALSE)</f>
        <v>27000</v>
      </c>
      <c r="G1138" s="16">
        <f>VLOOKUP(C1138,[1]master_data!$A$2:$E$495,4,FALSE)</f>
        <v>35000</v>
      </c>
      <c r="H1138" s="16">
        <f>E1138*F1138</f>
        <v>270000</v>
      </c>
      <c r="I1138" s="16">
        <f>E1138*G1138</f>
        <v>350000</v>
      </c>
      <c r="J1138" s="16">
        <f>I1138-H1138</f>
        <v>80000</v>
      </c>
      <c r="K1138" s="16" t="str">
        <f>VLOOKUP(C1138,[1]master_data!$A$2:$E$495,5,FALSE)</f>
        <v>Aksesoris</v>
      </c>
      <c r="L1138" s="1"/>
    </row>
    <row r="1139" spans="1:12" ht="12" customHeight="1" x14ac:dyDescent="0.25">
      <c r="A1139" s="15">
        <v>44351</v>
      </c>
      <c r="B1139" s="16" t="s">
        <v>1073</v>
      </c>
      <c r="C1139" s="16" t="s">
        <v>154</v>
      </c>
      <c r="D1139" s="16" t="str">
        <f>VLOOKUP(C1139,[1]master_data!$A$2:$E$495,2,FALSE)</f>
        <v>LED RECENT DnN 50CM</v>
      </c>
      <c r="E1139" s="16">
        <v>1</v>
      </c>
      <c r="F1139" s="16">
        <f>VLOOKUP(C1139,[1]master_data!$A$2:$E$495,3,FALSE)</f>
        <v>30000</v>
      </c>
      <c r="G1139" s="16">
        <f>VLOOKUP(C1139,[1]master_data!$A$2:$E$495,4,FALSE)</f>
        <v>60000</v>
      </c>
      <c r="H1139" s="16">
        <f>E1139*F1139</f>
        <v>30000</v>
      </c>
      <c r="I1139" s="16">
        <f>E1139*G1139</f>
        <v>60000</v>
      </c>
      <c r="J1139" s="16">
        <f>I1139-H1139</f>
        <v>30000</v>
      </c>
      <c r="K1139" s="16" t="str">
        <f>VLOOKUP(C1139,[1]master_data!$A$2:$E$495,5,FALSE)</f>
        <v>Aksesoris</v>
      </c>
      <c r="L1139" s="1"/>
    </row>
    <row r="1140" spans="1:12" ht="12" customHeight="1" x14ac:dyDescent="0.25">
      <c r="A1140" s="15">
        <v>44350</v>
      </c>
      <c r="B1140" s="16" t="s">
        <v>1064</v>
      </c>
      <c r="C1140" s="16" t="s">
        <v>27</v>
      </c>
      <c r="D1140" s="16" t="str">
        <f>VLOOKUP(C1140,[1]master_data!$A$2:$E$495,2,FALSE)</f>
        <v>TOP FILTER ROSTON 650 K</v>
      </c>
      <c r="E1140" s="16">
        <v>3</v>
      </c>
      <c r="F1140" s="16">
        <f>VLOOKUP(C1140,[1]master_data!$A$2:$E$495,3,FALSE)</f>
        <v>35000</v>
      </c>
      <c r="G1140" s="16">
        <f>VLOOKUP(C1140,[1]master_data!$A$2:$E$495,4,FALSE)</f>
        <v>50000</v>
      </c>
      <c r="H1140" s="16">
        <f>E1140*F1140</f>
        <v>105000</v>
      </c>
      <c r="I1140" s="16">
        <f>E1140*G1140</f>
        <v>150000</v>
      </c>
      <c r="J1140" s="16">
        <f>I1140-H1140</f>
        <v>45000</v>
      </c>
      <c r="K1140" s="16" t="str">
        <f>VLOOKUP(C1140,[1]master_data!$A$2:$E$495,5,FALSE)</f>
        <v>Aksesoris</v>
      </c>
      <c r="L1140" s="1"/>
    </row>
    <row r="1141" spans="1:12" ht="12" customHeight="1" x14ac:dyDescent="0.25">
      <c r="A1141" s="15">
        <v>44350</v>
      </c>
      <c r="B1141" s="16" t="s">
        <v>1065</v>
      </c>
      <c r="C1141" s="16" t="s">
        <v>340</v>
      </c>
      <c r="D1141" s="16" t="str">
        <f>VLOOKUP(C1141,[1]master_data!$A$2:$E$495,2,FALSE)</f>
        <v>LEMON</v>
      </c>
      <c r="E1141" s="16">
        <v>25</v>
      </c>
      <c r="F1141" s="16">
        <f>VLOOKUP(C1141,[1]master_data!$A$2:$E$495,3,FALSE)</f>
        <v>1000</v>
      </c>
      <c r="G1141" s="16">
        <f>VLOOKUP(C1141,[1]master_data!$A$2:$E$495,4,FALSE)</f>
        <v>2000</v>
      </c>
      <c r="H1141" s="16">
        <f>E1141*F1141</f>
        <v>25000</v>
      </c>
      <c r="I1141" s="16">
        <f>E1141*G1141</f>
        <v>50000</v>
      </c>
      <c r="J1141" s="16">
        <f>I1141-H1141</f>
        <v>25000</v>
      </c>
      <c r="K1141" s="16" t="str">
        <f>VLOOKUP(C1141,[1]master_data!$A$2:$E$495,5,FALSE)</f>
        <v>Ikan</v>
      </c>
      <c r="L1141" s="1"/>
    </row>
    <row r="1142" spans="1:12" ht="12" customHeight="1" x14ac:dyDescent="0.25">
      <c r="A1142" s="15">
        <v>44350</v>
      </c>
      <c r="B1142" s="16" t="s">
        <v>1066</v>
      </c>
      <c r="C1142" s="16" t="s">
        <v>318</v>
      </c>
      <c r="D1142" s="16" t="str">
        <f>VLOOKUP(C1142,[1]master_data!$A$2:$E$495,2,FALSE)</f>
        <v>KOMET BOKIM</v>
      </c>
      <c r="E1142" s="16">
        <v>15</v>
      </c>
      <c r="F1142" s="16">
        <f>VLOOKUP(C1142,[1]master_data!$A$2:$E$495,3,FALSE)</f>
        <v>1500</v>
      </c>
      <c r="G1142" s="16">
        <f>VLOOKUP(C1142,[1]master_data!$A$2:$E$495,4,FALSE)</f>
        <v>5000</v>
      </c>
      <c r="H1142" s="16">
        <f>E1142*F1142</f>
        <v>22500</v>
      </c>
      <c r="I1142" s="16">
        <f>E1142*G1142</f>
        <v>75000</v>
      </c>
      <c r="J1142" s="16">
        <f>I1142-H1142</f>
        <v>52500</v>
      </c>
      <c r="K1142" s="16" t="str">
        <f>VLOOKUP(C1142,[1]master_data!$A$2:$E$495,5,FALSE)</f>
        <v>Ikan</v>
      </c>
      <c r="L1142" s="1"/>
    </row>
    <row r="1143" spans="1:12" ht="12" customHeight="1" x14ac:dyDescent="0.25">
      <c r="A1143" s="15">
        <v>44350</v>
      </c>
      <c r="B1143" s="16" t="s">
        <v>1067</v>
      </c>
      <c r="C1143" s="16" t="s">
        <v>206</v>
      </c>
      <c r="D1143" s="16" t="str">
        <f>VLOOKUP(C1143,[1]master_data!$A$2:$E$495,2,FALSE)</f>
        <v>BACKGROUND</v>
      </c>
      <c r="E1143" s="16">
        <v>2</v>
      </c>
      <c r="F1143" s="16">
        <f>VLOOKUP(C1143,[1]master_data!$A$2:$E$495,3,FALSE)</f>
        <v>8000</v>
      </c>
      <c r="G1143" s="16">
        <f>VLOOKUP(C1143,[1]master_data!$A$2:$E$495,4,FALSE)</f>
        <v>15000</v>
      </c>
      <c r="H1143" s="16">
        <f>E1143*F1143</f>
        <v>16000</v>
      </c>
      <c r="I1143" s="16">
        <f>E1143*G1143</f>
        <v>30000</v>
      </c>
      <c r="J1143" s="16">
        <f>I1143-H1143</f>
        <v>14000</v>
      </c>
      <c r="K1143" s="16" t="str">
        <f>VLOOKUP(C1143,[1]master_data!$A$2:$E$495,5,FALSE)</f>
        <v>Aksesoris</v>
      </c>
      <c r="L1143" s="1"/>
    </row>
    <row r="1144" spans="1:12" ht="12" customHeight="1" x14ac:dyDescent="0.25">
      <c r="A1144" s="15">
        <v>44350</v>
      </c>
      <c r="B1144" s="16" t="s">
        <v>1068</v>
      </c>
      <c r="C1144" s="16" t="s">
        <v>226</v>
      </c>
      <c r="D1144" s="16" t="str">
        <f>VLOOKUP(C1144,[1]master_data!$A$2:$E$495,2,FALSE)</f>
        <v>KRAN 2 W</v>
      </c>
      <c r="E1144" s="16">
        <v>30</v>
      </c>
      <c r="F1144" s="16">
        <f>VLOOKUP(C1144,[1]master_data!$A$2:$E$495,3,FALSE)</f>
        <v>4000</v>
      </c>
      <c r="G1144" s="16">
        <f>VLOOKUP(C1144,[1]master_data!$A$2:$E$495,4,FALSE)</f>
        <v>6000</v>
      </c>
      <c r="H1144" s="16">
        <f>E1144*F1144</f>
        <v>120000</v>
      </c>
      <c r="I1144" s="16">
        <f>E1144*G1144</f>
        <v>180000</v>
      </c>
      <c r="J1144" s="16">
        <f>I1144-H1144</f>
        <v>60000</v>
      </c>
      <c r="K1144" s="16" t="str">
        <f>VLOOKUP(C1144,[1]master_data!$A$2:$E$495,5,FALSE)</f>
        <v>Aksesoris</v>
      </c>
      <c r="L1144" s="1"/>
    </row>
    <row r="1145" spans="1:12" ht="12" customHeight="1" x14ac:dyDescent="0.25">
      <c r="A1145" s="15">
        <v>44350</v>
      </c>
      <c r="B1145" s="16" t="s">
        <v>1069</v>
      </c>
      <c r="C1145" s="16" t="s">
        <v>336</v>
      </c>
      <c r="D1145" s="16" t="str">
        <f>VLOOKUP(C1145,[1]master_data!$A$2:$E$495,2,FALSE)</f>
        <v>KOI SLAYER K</v>
      </c>
      <c r="E1145" s="16">
        <v>9</v>
      </c>
      <c r="F1145" s="16">
        <f>VLOOKUP(C1145,[1]master_data!$A$2:$E$495,3,FALSE)</f>
        <v>3500</v>
      </c>
      <c r="G1145" s="16">
        <f>VLOOKUP(C1145,[1]master_data!$A$2:$E$495,4,FALSE)</f>
        <v>10000</v>
      </c>
      <c r="H1145" s="16">
        <f>E1145*F1145</f>
        <v>31500</v>
      </c>
      <c r="I1145" s="16">
        <f>E1145*G1145</f>
        <v>90000</v>
      </c>
      <c r="J1145" s="16">
        <f>I1145-H1145</f>
        <v>58500</v>
      </c>
      <c r="K1145" s="16" t="str">
        <f>VLOOKUP(C1145,[1]master_data!$A$2:$E$495,5,FALSE)</f>
        <v>Ikan</v>
      </c>
      <c r="L1145" s="1"/>
    </row>
    <row r="1146" spans="1:12" ht="12" customHeight="1" x14ac:dyDescent="0.25">
      <c r="A1146" s="15">
        <v>44349</v>
      </c>
      <c r="B1146" s="16" t="s">
        <v>1061</v>
      </c>
      <c r="C1146" s="16" t="s">
        <v>157</v>
      </c>
      <c r="D1146" s="16" t="str">
        <f>VLOOKUP(C1146,[1]master_data!$A$2:$E$495,2,FALSE)</f>
        <v>LED KANDILA DnN ECO 50 CM</v>
      </c>
      <c r="E1146" s="16">
        <v>1</v>
      </c>
      <c r="F1146" s="16">
        <f>VLOOKUP(C1146,[1]master_data!$A$2:$E$495,3,FALSE)</f>
        <v>56000</v>
      </c>
      <c r="G1146" s="16">
        <f>VLOOKUP(C1146,[1]master_data!$A$2:$E$495,4,FALSE)</f>
        <v>85000</v>
      </c>
      <c r="H1146" s="16">
        <f>E1146*F1146</f>
        <v>56000</v>
      </c>
      <c r="I1146" s="16">
        <f>E1146*G1146</f>
        <v>85000</v>
      </c>
      <c r="J1146" s="16">
        <f>I1146-H1146</f>
        <v>29000</v>
      </c>
      <c r="K1146" s="16" t="str">
        <f>VLOOKUP(C1146,[1]master_data!$A$2:$E$495,5,FALSE)</f>
        <v>Aksesoris</v>
      </c>
      <c r="L1146" s="1"/>
    </row>
    <row r="1147" spans="1:12" ht="12" customHeight="1" x14ac:dyDescent="0.25">
      <c r="A1147" s="15">
        <v>44349</v>
      </c>
      <c r="B1147" s="16" t="s">
        <v>1062</v>
      </c>
      <c r="C1147" s="16" t="s">
        <v>367</v>
      </c>
      <c r="D1147" s="16" t="str">
        <f>VLOOKUP(C1147,[1]master_data!$A$2:$E$495,2,FALSE)</f>
        <v>TETRA</v>
      </c>
      <c r="E1147" s="16">
        <v>1</v>
      </c>
      <c r="F1147" s="16">
        <f>VLOOKUP(C1147,[1]master_data!$A$2:$E$495,3,FALSE)</f>
        <v>800</v>
      </c>
      <c r="G1147" s="16">
        <f>VLOOKUP(C1147,[1]master_data!$A$2:$E$495,4,FALSE)</f>
        <v>2000</v>
      </c>
      <c r="H1147" s="16">
        <f>E1147*F1147</f>
        <v>800</v>
      </c>
      <c r="I1147" s="16">
        <f>E1147*G1147</f>
        <v>2000</v>
      </c>
      <c r="J1147" s="16">
        <f>I1147-H1147</f>
        <v>1200</v>
      </c>
      <c r="K1147" s="16" t="str">
        <f>VLOOKUP(C1147,[1]master_data!$A$2:$E$495,5,FALSE)</f>
        <v>Ikan</v>
      </c>
      <c r="L1147" s="1"/>
    </row>
    <row r="1148" spans="1:12" ht="12" customHeight="1" x14ac:dyDescent="0.25">
      <c r="A1148" s="15">
        <v>44349</v>
      </c>
      <c r="B1148" s="16" t="s">
        <v>1063</v>
      </c>
      <c r="C1148" s="16" t="s">
        <v>305</v>
      </c>
      <c r="D1148" s="16" t="str">
        <f>VLOOKUP(C1148,[1]master_data!$A$2:$E$495,2,FALSE)</f>
        <v>CHANNA ASIATICA B</v>
      </c>
      <c r="E1148" s="16">
        <v>2</v>
      </c>
      <c r="F1148" s="16">
        <f>VLOOKUP(C1148,[1]master_data!$A$2:$E$495,3,FALSE)</f>
        <v>40000</v>
      </c>
      <c r="G1148" s="16">
        <f>VLOOKUP(C1148,[1]master_data!$A$2:$E$495,4,FALSE)</f>
        <v>100000</v>
      </c>
      <c r="H1148" s="16">
        <f>E1148*F1148</f>
        <v>80000</v>
      </c>
      <c r="I1148" s="16">
        <f>E1148*G1148</f>
        <v>200000</v>
      </c>
      <c r="J1148" s="16">
        <f>I1148-H1148</f>
        <v>120000</v>
      </c>
      <c r="K1148" s="16" t="str">
        <f>VLOOKUP(C1148,[1]master_data!$A$2:$E$495,5,FALSE)</f>
        <v>Ikan</v>
      </c>
      <c r="L1148" s="1"/>
    </row>
    <row r="1149" spans="1:12" ht="12" customHeight="1" x14ac:dyDescent="0.25">
      <c r="A1149" s="15">
        <v>44348</v>
      </c>
      <c r="B1149" s="16" t="s">
        <v>1058</v>
      </c>
      <c r="C1149" s="16" t="s">
        <v>11</v>
      </c>
      <c r="D1149" s="16" t="str">
        <f>VLOOKUP(C1149,[1]master_data!$A$2:$E$495,2,FALSE)</f>
        <v>MESIN YANG 103</v>
      </c>
      <c r="E1149" s="16">
        <v>7</v>
      </c>
      <c r="F1149" s="16">
        <f>VLOOKUP(C1149,[1]master_data!$A$2:$E$495,3,FALSE)</f>
        <v>66000</v>
      </c>
      <c r="G1149" s="16">
        <f>VLOOKUP(C1149,[1]master_data!$A$2:$E$495,4,FALSE)</f>
        <v>95000</v>
      </c>
      <c r="H1149" s="16">
        <f>E1149*F1149</f>
        <v>462000</v>
      </c>
      <c r="I1149" s="16">
        <f>E1149*G1149</f>
        <v>665000</v>
      </c>
      <c r="J1149" s="16">
        <f>I1149-H1149</f>
        <v>203000</v>
      </c>
      <c r="K1149" s="16" t="str">
        <f>VLOOKUP(C1149,[1]master_data!$A$2:$E$495,5,FALSE)</f>
        <v>Aksesoris</v>
      </c>
      <c r="L1149" s="1"/>
    </row>
    <row r="1150" spans="1:12" ht="12" customHeight="1" x14ac:dyDescent="0.25">
      <c r="A1150" s="15">
        <v>44348</v>
      </c>
      <c r="B1150" s="16" t="s">
        <v>1059</v>
      </c>
      <c r="C1150" s="16" t="s">
        <v>319</v>
      </c>
      <c r="D1150" s="16" t="str">
        <f>VLOOKUP(C1150,[1]master_data!$A$2:$E$495,2,FALSE)</f>
        <v>BARBIR</v>
      </c>
      <c r="E1150" s="16">
        <v>14</v>
      </c>
      <c r="F1150" s="16">
        <f>VLOOKUP(C1150,[1]master_data!$A$2:$E$495,3,FALSE)</f>
        <v>800</v>
      </c>
      <c r="G1150" s="16">
        <f>VLOOKUP(C1150,[1]master_data!$A$2:$E$495,4,FALSE)</f>
        <v>2000</v>
      </c>
      <c r="H1150" s="16">
        <f>E1150*F1150</f>
        <v>11200</v>
      </c>
      <c r="I1150" s="16">
        <f>E1150*G1150</f>
        <v>28000</v>
      </c>
      <c r="J1150" s="16">
        <f>I1150-H1150</f>
        <v>16800</v>
      </c>
      <c r="K1150" s="16" t="str">
        <f>VLOOKUP(C1150,[1]master_data!$A$2:$E$495,5,FALSE)</f>
        <v>Ikan</v>
      </c>
      <c r="L1150" s="1"/>
    </row>
    <row r="1151" spans="1:12" ht="12" customHeight="1" x14ac:dyDescent="0.25">
      <c r="A1151" s="15">
        <v>44348</v>
      </c>
      <c r="B1151" s="16" t="s">
        <v>1060</v>
      </c>
      <c r="C1151" s="16" t="s">
        <v>367</v>
      </c>
      <c r="D1151" s="16" t="str">
        <f>VLOOKUP(C1151,[1]master_data!$A$2:$E$495,2,FALSE)</f>
        <v>TETRA</v>
      </c>
      <c r="E1151" s="16">
        <v>1</v>
      </c>
      <c r="F1151" s="16">
        <f>VLOOKUP(C1151,[1]master_data!$A$2:$E$495,3,FALSE)</f>
        <v>800</v>
      </c>
      <c r="G1151" s="16">
        <f>VLOOKUP(C1151,[1]master_data!$A$2:$E$495,4,FALSE)</f>
        <v>2000</v>
      </c>
      <c r="H1151" s="16">
        <f>E1151*F1151</f>
        <v>800</v>
      </c>
      <c r="I1151" s="16">
        <f>E1151*G1151</f>
        <v>2000</v>
      </c>
      <c r="J1151" s="16">
        <f>I1151-H1151</f>
        <v>1200</v>
      </c>
      <c r="K1151" s="16" t="str">
        <f>VLOOKUP(C1151,[1]master_data!$A$2:$E$495,5,FALSE)</f>
        <v>Ikan</v>
      </c>
      <c r="L1151" s="1"/>
    </row>
    <row r="1152" spans="1:12" ht="12" customHeight="1" x14ac:dyDescent="0.25">
      <c r="A1152" s="15">
        <v>44347</v>
      </c>
      <c r="B1152" s="16" t="s">
        <v>1054</v>
      </c>
      <c r="C1152" s="16" t="s">
        <v>326</v>
      </c>
      <c r="D1152" s="16" t="str">
        <f>VLOOKUP(C1152,[1]master_data!$A$2:$E$495,2,FALSE)</f>
        <v>KOKI K</v>
      </c>
      <c r="E1152" s="16">
        <v>15</v>
      </c>
      <c r="F1152" s="16">
        <f>VLOOKUP(C1152,[1]master_data!$A$2:$E$495,3,FALSE)</f>
        <v>3500</v>
      </c>
      <c r="G1152" s="16">
        <f>VLOOKUP(C1152,[1]master_data!$A$2:$E$495,4,FALSE)</f>
        <v>10000</v>
      </c>
      <c r="H1152" s="16">
        <f>E1152*F1152</f>
        <v>52500</v>
      </c>
      <c r="I1152" s="16">
        <f>E1152*G1152</f>
        <v>150000</v>
      </c>
      <c r="J1152" s="16">
        <f>I1152-H1152</f>
        <v>97500</v>
      </c>
      <c r="K1152" s="16" t="str">
        <f>VLOOKUP(C1152,[1]master_data!$A$2:$E$495,5,FALSE)</f>
        <v>Ikan</v>
      </c>
      <c r="L1152" s="1"/>
    </row>
    <row r="1153" spans="1:12" ht="12" customHeight="1" x14ac:dyDescent="0.25">
      <c r="A1153" s="15">
        <v>44347</v>
      </c>
      <c r="B1153" s="16" t="s">
        <v>1055</v>
      </c>
      <c r="C1153" s="16" t="s">
        <v>331</v>
      </c>
      <c r="D1153" s="16" t="str">
        <f>VLOOKUP(C1153,[1]master_data!$A$2:$E$495,2,FALSE)</f>
        <v>KOI B</v>
      </c>
      <c r="E1153" s="16">
        <v>4</v>
      </c>
      <c r="F1153" s="16">
        <f>VLOOKUP(C1153,[1]master_data!$A$2:$E$495,3,FALSE)</f>
        <v>9000</v>
      </c>
      <c r="G1153" s="16">
        <f>VLOOKUP(C1153,[1]master_data!$A$2:$E$495,4,FALSE)</f>
        <v>30000</v>
      </c>
      <c r="H1153" s="16">
        <f>E1153*F1153</f>
        <v>36000</v>
      </c>
      <c r="I1153" s="16">
        <f>E1153*G1153</f>
        <v>120000</v>
      </c>
      <c r="J1153" s="16">
        <f>I1153-H1153</f>
        <v>84000</v>
      </c>
      <c r="K1153" s="16" t="str">
        <f>VLOOKUP(C1153,[1]master_data!$A$2:$E$495,5,FALSE)</f>
        <v>Ikan</v>
      </c>
      <c r="L1153" s="1"/>
    </row>
    <row r="1154" spans="1:12" ht="12" customHeight="1" x14ac:dyDescent="0.25">
      <c r="A1154" s="15">
        <v>44347</v>
      </c>
      <c r="B1154" s="16" t="s">
        <v>1056</v>
      </c>
      <c r="C1154" s="16" t="s">
        <v>346</v>
      </c>
      <c r="D1154" s="16" t="str">
        <f>VLOOKUP(C1154,[1]master_data!$A$2:$E$495,2,FALSE)</f>
        <v>MOLI PAKAN</v>
      </c>
      <c r="E1154" s="16">
        <v>20</v>
      </c>
      <c r="F1154" s="16">
        <f>VLOOKUP(C1154,[1]master_data!$A$2:$E$495,3,FALSE)</f>
        <v>100</v>
      </c>
      <c r="G1154" s="16">
        <f>VLOOKUP(C1154,[1]master_data!$A$2:$E$495,4,FALSE)</f>
        <v>200</v>
      </c>
      <c r="H1154" s="16">
        <f>E1154*F1154</f>
        <v>2000</v>
      </c>
      <c r="I1154" s="16">
        <f>E1154*G1154</f>
        <v>4000</v>
      </c>
      <c r="J1154" s="16">
        <f>I1154-H1154</f>
        <v>2000</v>
      </c>
      <c r="K1154" s="16" t="str">
        <f>VLOOKUP(C1154,[1]master_data!$A$2:$E$495,5,FALSE)</f>
        <v>Ikan</v>
      </c>
      <c r="L1154" s="1"/>
    </row>
    <row r="1155" spans="1:12" ht="12" customHeight="1" x14ac:dyDescent="0.25">
      <c r="A1155" s="15">
        <v>44347</v>
      </c>
      <c r="B1155" s="16" t="s">
        <v>1057</v>
      </c>
      <c r="C1155" s="16" t="s">
        <v>174</v>
      </c>
      <c r="D1155" s="16" t="str">
        <f>VLOOKUP(C1155,[1]master_data!$A$2:$E$495,2,FALSE)</f>
        <v>AKARI PREMIUM RED PARROT</v>
      </c>
      <c r="E1155" s="16">
        <v>1</v>
      </c>
      <c r="F1155" s="16">
        <f>VLOOKUP(C1155,[1]master_data!$A$2:$E$495,3,FALSE)</f>
        <v>33000</v>
      </c>
      <c r="G1155" s="16">
        <f>VLOOKUP(C1155,[1]master_data!$A$2:$E$495,4,FALSE)</f>
        <v>50000</v>
      </c>
      <c r="H1155" s="16">
        <f>E1155*F1155</f>
        <v>33000</v>
      </c>
      <c r="I1155" s="16">
        <f>E1155*G1155</f>
        <v>50000</v>
      </c>
      <c r="J1155" s="16">
        <f>I1155-H1155</f>
        <v>17000</v>
      </c>
      <c r="K1155" s="16" t="str">
        <f>VLOOKUP(C1155,[1]master_data!$A$2:$E$495,5,FALSE)</f>
        <v>Aksesoris</v>
      </c>
      <c r="L1155" s="1"/>
    </row>
    <row r="1156" spans="1:12" ht="12" customHeight="1" x14ac:dyDescent="0.25">
      <c r="A1156" s="15">
        <v>44346</v>
      </c>
      <c r="B1156" s="16" t="s">
        <v>1048</v>
      </c>
      <c r="C1156" s="16" t="s">
        <v>260</v>
      </c>
      <c r="D1156" s="16" t="str">
        <f>VLOOKUP(C1156,[1]master_data!$A$2:$E$495,2,FALSE)</f>
        <v>AIRSONE PUTIH</v>
      </c>
      <c r="E1156" s="16">
        <v>10</v>
      </c>
      <c r="F1156" s="16">
        <f>VLOOKUP(C1156,[1]master_data!$A$2:$E$495,3,FALSE)</f>
        <v>3000</v>
      </c>
      <c r="G1156" s="16">
        <f>VLOOKUP(C1156,[1]master_data!$A$2:$E$495,4,FALSE)</f>
        <v>5000</v>
      </c>
      <c r="H1156" s="16">
        <f>E1156*F1156</f>
        <v>30000</v>
      </c>
      <c r="I1156" s="16">
        <f>E1156*G1156</f>
        <v>50000</v>
      </c>
      <c r="J1156" s="16">
        <f>I1156-H1156</f>
        <v>20000</v>
      </c>
      <c r="K1156" s="16" t="str">
        <f>VLOOKUP(C1156,[1]master_data!$A$2:$E$495,5,FALSE)</f>
        <v>Aksesoris</v>
      </c>
      <c r="L1156" s="1"/>
    </row>
    <row r="1157" spans="1:12" ht="12" customHeight="1" x14ac:dyDescent="0.25">
      <c r="A1157" s="15">
        <v>44346</v>
      </c>
      <c r="B1157" s="16" t="s">
        <v>1049</v>
      </c>
      <c r="C1157" s="16" t="s">
        <v>343</v>
      </c>
      <c r="D1157" s="16" t="str">
        <f>VLOOKUP(C1157,[1]master_data!$A$2:$E$495,2,FALSE)</f>
        <v>MANFISH K</v>
      </c>
      <c r="E1157" s="16">
        <v>25</v>
      </c>
      <c r="F1157" s="16">
        <f>VLOOKUP(C1157,[1]master_data!$A$2:$E$495,3,FALSE)</f>
        <v>2000</v>
      </c>
      <c r="G1157" s="16">
        <f>VLOOKUP(C1157,[1]master_data!$A$2:$E$495,4,FALSE)</f>
        <v>5000</v>
      </c>
      <c r="H1157" s="16">
        <f>E1157*F1157</f>
        <v>50000</v>
      </c>
      <c r="I1157" s="16">
        <f>E1157*G1157</f>
        <v>125000</v>
      </c>
      <c r="J1157" s="16">
        <f>I1157-H1157</f>
        <v>75000</v>
      </c>
      <c r="K1157" s="16" t="str">
        <f>VLOOKUP(C1157,[1]master_data!$A$2:$E$495,5,FALSE)</f>
        <v>Ikan</v>
      </c>
      <c r="L1157" s="1"/>
    </row>
    <row r="1158" spans="1:12" ht="12" customHeight="1" x14ac:dyDescent="0.25">
      <c r="A1158" s="15">
        <v>44346</v>
      </c>
      <c r="B1158" s="16" t="s">
        <v>1050</v>
      </c>
      <c r="C1158" s="16" t="s">
        <v>362</v>
      </c>
      <c r="D1158" s="16" t="str">
        <f>VLOOKUP(C1158,[1]master_data!$A$2:$E$495,2,FALSE)</f>
        <v>SUMATRA BIASA</v>
      </c>
      <c r="E1158" s="16">
        <v>30</v>
      </c>
      <c r="F1158" s="16">
        <f>VLOOKUP(C1158,[1]master_data!$A$2:$E$495,3,FALSE)</f>
        <v>800</v>
      </c>
      <c r="G1158" s="16">
        <f>VLOOKUP(C1158,[1]master_data!$A$2:$E$495,4,FALSE)</f>
        <v>2000</v>
      </c>
      <c r="H1158" s="16">
        <f>E1158*F1158</f>
        <v>24000</v>
      </c>
      <c r="I1158" s="16">
        <f>E1158*G1158</f>
        <v>60000</v>
      </c>
      <c r="J1158" s="16">
        <f>I1158-H1158</f>
        <v>36000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44346</v>
      </c>
      <c r="B1159" s="16" t="s">
        <v>1051</v>
      </c>
      <c r="C1159" s="16" t="s">
        <v>232</v>
      </c>
      <c r="D1159" s="16" t="str">
        <f>VLOOKUP(C1159,[1]master_data!$A$2:$E$495,2,FALSE)</f>
        <v>MAINAN KODOK</v>
      </c>
      <c r="E1159" s="16">
        <v>2</v>
      </c>
      <c r="F1159" s="16">
        <f>VLOOKUP(C1159,[1]master_data!$A$2:$E$495,3,FALSE)</f>
        <v>11000</v>
      </c>
      <c r="G1159" s="16">
        <f>VLOOKUP(C1159,[1]master_data!$A$2:$E$495,4,FALSE)</f>
        <v>20000</v>
      </c>
      <c r="H1159" s="16">
        <f>E1159*F1159</f>
        <v>22000</v>
      </c>
      <c r="I1159" s="16">
        <f>E1159*G1159</f>
        <v>40000</v>
      </c>
      <c r="J1159" s="16">
        <f>I1159-H1159</f>
        <v>18000</v>
      </c>
      <c r="K1159" s="16" t="str">
        <f>VLOOKUP(C1159,[1]master_data!$A$2:$E$495,5,FALSE)</f>
        <v>Aksesoris</v>
      </c>
      <c r="L1159" s="1"/>
    </row>
    <row r="1160" spans="1:12" ht="12" customHeight="1" x14ac:dyDescent="0.25">
      <c r="A1160" s="15">
        <v>44346</v>
      </c>
      <c r="B1160" s="16" t="s">
        <v>1052</v>
      </c>
      <c r="C1160" s="16" t="s">
        <v>351</v>
      </c>
      <c r="D1160" s="16" t="str">
        <f>VLOOKUP(C1160,[1]master_data!$A$2:$E$495,2,FALSE)</f>
        <v>NEON</v>
      </c>
      <c r="E1160" s="16">
        <v>8</v>
      </c>
      <c r="F1160" s="16">
        <f>VLOOKUP(C1160,[1]master_data!$A$2:$E$495,3,FALSE)</f>
        <v>1250</v>
      </c>
      <c r="G1160" s="16">
        <f>VLOOKUP(C1160,[1]master_data!$A$2:$E$495,4,FALSE)</f>
        <v>5000</v>
      </c>
      <c r="H1160" s="16">
        <f>E1160*F1160</f>
        <v>10000</v>
      </c>
      <c r="I1160" s="16">
        <f>E1160*G1160</f>
        <v>40000</v>
      </c>
      <c r="J1160" s="16">
        <f>I1160-H1160</f>
        <v>30000</v>
      </c>
      <c r="K1160" s="16" t="str">
        <f>VLOOKUP(C1160,[1]master_data!$A$2:$E$495,5,FALSE)</f>
        <v>Ikan</v>
      </c>
      <c r="L1160" s="1"/>
    </row>
    <row r="1161" spans="1:12" ht="12" customHeight="1" x14ac:dyDescent="0.25">
      <c r="A1161" s="15">
        <v>44346</v>
      </c>
      <c r="B1161" s="16" t="s">
        <v>1053</v>
      </c>
      <c r="C1161" s="16" t="s">
        <v>310</v>
      </c>
      <c r="D1161" s="16" t="str">
        <f>VLOOKUP(C1161,[1]master_data!$A$2:$E$495,2,FALSE)</f>
        <v>ALIGATOR</v>
      </c>
      <c r="E1161" s="16">
        <v>1</v>
      </c>
      <c r="F1161" s="16">
        <f>VLOOKUP(C1161,[1]master_data!$A$2:$E$495,3,FALSE)</f>
        <v>17000</v>
      </c>
      <c r="G1161" s="16">
        <f>VLOOKUP(C1161,[1]master_data!$A$2:$E$495,4,FALSE)</f>
        <v>35000</v>
      </c>
      <c r="H1161" s="16">
        <f>E1161*F1161</f>
        <v>17000</v>
      </c>
      <c r="I1161" s="16">
        <f>E1161*G1161</f>
        <v>35000</v>
      </c>
      <c r="J1161" s="16">
        <f>I1161-H1161</f>
        <v>18000</v>
      </c>
      <c r="K1161" s="16" t="str">
        <f>VLOOKUP(C1161,[1]master_data!$A$2:$E$495,5,FALSE)</f>
        <v>Ikan</v>
      </c>
      <c r="L1161" s="1"/>
    </row>
    <row r="1162" spans="1:12" ht="12" customHeight="1" x14ac:dyDescent="0.25">
      <c r="A1162" s="15">
        <v>44345</v>
      </c>
      <c r="B1162" s="16" t="s">
        <v>1044</v>
      </c>
      <c r="C1162" s="16" t="s">
        <v>218</v>
      </c>
      <c r="D1162" s="16" t="str">
        <f>VLOOKUP(C1162,[1]master_data!$A$2:$E$495,2,FALSE)</f>
        <v>HEATER KACA 75 W</v>
      </c>
      <c r="E1162" s="16">
        <v>2</v>
      </c>
      <c r="F1162" s="16">
        <f>VLOOKUP(C1162,[1]master_data!$A$2:$E$495,3,FALSE)</f>
        <v>33000</v>
      </c>
      <c r="G1162" s="16">
        <f>VLOOKUP(C1162,[1]master_data!$A$2:$E$495,4,FALSE)</f>
        <v>50000</v>
      </c>
      <c r="H1162" s="16">
        <f>E1162*F1162</f>
        <v>66000</v>
      </c>
      <c r="I1162" s="16">
        <f>E1162*G1162</f>
        <v>100000</v>
      </c>
      <c r="J1162" s="16">
        <f>I1162-H1162</f>
        <v>34000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44345</v>
      </c>
      <c r="B1163" s="16" t="s">
        <v>1045</v>
      </c>
      <c r="C1163" s="16" t="s">
        <v>359</v>
      </c>
      <c r="D1163" s="16" t="str">
        <f>VLOOKUP(C1163,[1]master_data!$A$2:$E$495,2,FALSE)</f>
        <v>REDFIN ALBINO</v>
      </c>
      <c r="E1163" s="16">
        <v>10</v>
      </c>
      <c r="F1163" s="16">
        <f>VLOOKUP(C1163,[1]master_data!$A$2:$E$495,3,FALSE)</f>
        <v>1500</v>
      </c>
      <c r="G1163" s="16">
        <f>VLOOKUP(C1163,[1]master_data!$A$2:$E$495,4,FALSE)</f>
        <v>4000</v>
      </c>
      <c r="H1163" s="16">
        <f>E1163*F1163</f>
        <v>15000</v>
      </c>
      <c r="I1163" s="16">
        <f>E1163*G1163</f>
        <v>40000</v>
      </c>
      <c r="J1163" s="16">
        <f>I1163-H1163</f>
        <v>25000</v>
      </c>
      <c r="K1163" s="16" t="str">
        <f>VLOOKUP(C1163,[1]master_data!$A$2:$E$495,5,FALSE)</f>
        <v>Ikan</v>
      </c>
      <c r="L1163" s="1"/>
    </row>
    <row r="1164" spans="1:12" ht="12" customHeight="1" x14ac:dyDescent="0.25">
      <c r="A1164" s="15">
        <v>44345</v>
      </c>
      <c r="B1164" s="16" t="s">
        <v>1046</v>
      </c>
      <c r="C1164" s="16" t="s">
        <v>374</v>
      </c>
      <c r="D1164" s="16" t="str">
        <f>VLOOKUP(C1164,[1]master_data!$A$2:$E$495,2,FALSE)</f>
        <v>SEPAT ALBINO</v>
      </c>
      <c r="E1164" s="16">
        <v>30</v>
      </c>
      <c r="F1164" s="16">
        <f>VLOOKUP(C1164,[1]master_data!$A$2:$E$495,3,FALSE)</f>
        <v>2000</v>
      </c>
      <c r="G1164" s="16">
        <f>VLOOKUP(C1164,[1]master_data!$A$2:$E$495,4,FALSE)</f>
        <v>5000</v>
      </c>
      <c r="H1164" s="16">
        <f>E1164*F1164</f>
        <v>60000</v>
      </c>
      <c r="I1164" s="16">
        <f>E1164*G1164</f>
        <v>150000</v>
      </c>
      <c r="J1164" s="16">
        <f>I1164-H1164</f>
        <v>90000</v>
      </c>
      <c r="K1164" s="16" t="str">
        <f>VLOOKUP(C1164,[1]master_data!$A$2:$E$495,5,FALSE)</f>
        <v>Ikan</v>
      </c>
      <c r="L1164" s="1"/>
    </row>
    <row r="1165" spans="1:12" ht="12" customHeight="1" x14ac:dyDescent="0.25">
      <c r="A1165" s="15">
        <v>44345</v>
      </c>
      <c r="B1165" s="16" t="s">
        <v>1047</v>
      </c>
      <c r="C1165" s="16" t="s">
        <v>45</v>
      </c>
      <c r="D1165" s="16" t="str">
        <f>VLOOKUP(C1165,[1]master_data!$A$2:$E$495,2,FALSE)</f>
        <v>MESIN NIKITA 1200</v>
      </c>
      <c r="E1165" s="16">
        <v>1</v>
      </c>
      <c r="F1165" s="16">
        <f>VLOOKUP(C1165,[1]master_data!$A$2:$E$495,3,FALSE)</f>
        <v>24000</v>
      </c>
      <c r="G1165" s="16">
        <f>VLOOKUP(C1165,[1]master_data!$A$2:$E$495,4,FALSE)</f>
        <v>35000</v>
      </c>
      <c r="H1165" s="16">
        <f>E1165*F1165</f>
        <v>24000</v>
      </c>
      <c r="I1165" s="16">
        <f>E1165*G1165</f>
        <v>35000</v>
      </c>
      <c r="J1165" s="16">
        <f>I1165-H1165</f>
        <v>11000</v>
      </c>
      <c r="K1165" s="16" t="str">
        <f>VLOOKUP(C1165,[1]master_data!$A$2:$E$495,5,FALSE)</f>
        <v>Aksesoris</v>
      </c>
      <c r="L1165" s="1"/>
    </row>
    <row r="1166" spans="1:12" ht="12" customHeight="1" x14ac:dyDescent="0.25">
      <c r="A1166" s="15">
        <v>44344</v>
      </c>
      <c r="B1166" s="16" t="s">
        <v>1042</v>
      </c>
      <c r="C1166" s="16" t="s">
        <v>339</v>
      </c>
      <c r="D1166" s="16" t="str">
        <f>VLOOKUP(C1166,[1]master_data!$A$2:$E$495,2,FALSE)</f>
        <v>DISCUS</v>
      </c>
      <c r="E1166" s="16">
        <v>2</v>
      </c>
      <c r="F1166" s="16">
        <f>VLOOKUP(C1166,[1]master_data!$A$2:$E$495,3,FALSE)</f>
        <v>50000</v>
      </c>
      <c r="G1166" s="16">
        <f>VLOOKUP(C1166,[1]master_data!$A$2:$E$495,4,FALSE)</f>
        <v>150000</v>
      </c>
      <c r="H1166" s="16">
        <f>E1166*F1166</f>
        <v>100000</v>
      </c>
      <c r="I1166" s="16">
        <f>E1166*G1166</f>
        <v>300000</v>
      </c>
      <c r="J1166" s="16">
        <f>I1166-H1166</f>
        <v>200000</v>
      </c>
      <c r="K1166" s="16" t="str">
        <f>VLOOKUP(C1166,[1]master_data!$A$2:$E$495,5,FALSE)</f>
        <v>Ikan</v>
      </c>
      <c r="L1166" s="1"/>
    </row>
    <row r="1167" spans="1:12" ht="12" customHeight="1" x14ac:dyDescent="0.25">
      <c r="A1167" s="15">
        <v>44344</v>
      </c>
      <c r="B1167" s="16" t="s">
        <v>1043</v>
      </c>
      <c r="C1167" s="16" t="s">
        <v>22</v>
      </c>
      <c r="D1167" s="16" t="str">
        <f>VLOOKUP(C1167,[1]master_data!$A$2:$E$495,2,FALSE)</f>
        <v>MESIN ROSTON 3900</v>
      </c>
      <c r="E1167" s="16">
        <v>1</v>
      </c>
      <c r="F1167" s="16">
        <f>VLOOKUP(C1167,[1]master_data!$A$2:$E$495,3,FALSE)</f>
        <v>90000</v>
      </c>
      <c r="G1167" s="16">
        <f>VLOOKUP(C1167,[1]master_data!$A$2:$E$495,4,FALSE)</f>
        <v>150000</v>
      </c>
      <c r="H1167" s="16">
        <f>E1167*F1167</f>
        <v>90000</v>
      </c>
      <c r="I1167" s="16">
        <f>E1167*G1167</f>
        <v>150000</v>
      </c>
      <c r="J1167" s="16">
        <f>I1167-H1167</f>
        <v>60000</v>
      </c>
      <c r="K1167" s="16" t="str">
        <f>VLOOKUP(C1167,[1]master_data!$A$2:$E$495,5,FALSE)</f>
        <v>Aksesoris</v>
      </c>
      <c r="L1167" s="1"/>
    </row>
    <row r="1168" spans="1:12" ht="12" customHeight="1" x14ac:dyDescent="0.25">
      <c r="A1168" s="15">
        <v>44343</v>
      </c>
      <c r="B1168" s="16" t="s">
        <v>1037</v>
      </c>
      <c r="C1168" s="16" t="s">
        <v>357</v>
      </c>
      <c r="D1168" s="16" t="str">
        <f>VLOOKUP(C1168,[1]master_data!$A$2:$E$495,2,FALSE)</f>
        <v>PESO</v>
      </c>
      <c r="E1168" s="16">
        <v>2</v>
      </c>
      <c r="F1168" s="16">
        <f>VLOOKUP(C1168,[1]master_data!$A$2:$E$495,3,FALSE)</f>
        <v>19000</v>
      </c>
      <c r="G1168" s="16">
        <f>VLOOKUP(C1168,[1]master_data!$A$2:$E$495,4,FALSE)</f>
        <v>40000</v>
      </c>
      <c r="H1168" s="16">
        <f>E1168*F1168</f>
        <v>38000</v>
      </c>
      <c r="I1168" s="16">
        <f>E1168*G1168</f>
        <v>80000</v>
      </c>
      <c r="J1168" s="16">
        <f>I1168-H1168</f>
        <v>42000</v>
      </c>
      <c r="K1168" s="16" t="str">
        <f>VLOOKUP(C1168,[1]master_data!$A$2:$E$495,5,FALSE)</f>
        <v>Ikan</v>
      </c>
      <c r="L1168" s="1"/>
    </row>
    <row r="1169" spans="1:12" ht="12" customHeight="1" x14ac:dyDescent="0.25">
      <c r="A1169" s="15">
        <v>44343</v>
      </c>
      <c r="B1169" s="16" t="s">
        <v>1038</v>
      </c>
      <c r="C1169" s="16" t="s">
        <v>370</v>
      </c>
      <c r="D1169" s="16" t="str">
        <f>VLOOKUP(C1169,[1]master_data!$A$2:$E$495,2,FALSE)</f>
        <v>ZEBRA HIJAU</v>
      </c>
      <c r="E1169" s="16">
        <v>20</v>
      </c>
      <c r="F1169" s="16">
        <f>VLOOKUP(C1169,[1]master_data!$A$2:$E$495,3,FALSE)</f>
        <v>800</v>
      </c>
      <c r="G1169" s="16">
        <f>VLOOKUP(C1169,[1]master_data!$A$2:$E$495,4,FALSE)</f>
        <v>2000</v>
      </c>
      <c r="H1169" s="16">
        <f>E1169*F1169</f>
        <v>16000</v>
      </c>
      <c r="I1169" s="16">
        <f>E1169*G1169</f>
        <v>40000</v>
      </c>
      <c r="J1169" s="16">
        <f>I1169-H1169</f>
        <v>24000</v>
      </c>
      <c r="K1169" s="16" t="str">
        <f>VLOOKUP(C1169,[1]master_data!$A$2:$E$495,5,FALSE)</f>
        <v>Ikan</v>
      </c>
      <c r="L1169" s="1"/>
    </row>
    <row r="1170" spans="1:12" ht="12" customHeight="1" x14ac:dyDescent="0.25">
      <c r="A1170" s="15">
        <v>44343</v>
      </c>
      <c r="B1170" s="16" t="s">
        <v>1039</v>
      </c>
      <c r="C1170" s="16" t="s">
        <v>143</v>
      </c>
      <c r="D1170" s="16" t="str">
        <f>VLOOKUP(C1170,[1]master_data!$A$2:$E$495,2,FALSE)</f>
        <v>LED KIYOSAKI 3 MODE 100CM</v>
      </c>
      <c r="E1170" s="16">
        <v>2</v>
      </c>
      <c r="F1170" s="16">
        <f>VLOOKUP(C1170,[1]master_data!$A$2:$E$495,3,FALSE)</f>
        <v>82000</v>
      </c>
      <c r="G1170" s="16">
        <f>VLOOKUP(C1170,[1]master_data!$A$2:$E$495,4,FALSE)</f>
        <v>120000</v>
      </c>
      <c r="H1170" s="16">
        <f>E1170*F1170</f>
        <v>164000</v>
      </c>
      <c r="I1170" s="16">
        <f>E1170*G1170</f>
        <v>240000</v>
      </c>
      <c r="J1170" s="16">
        <f>I1170-H1170</f>
        <v>76000</v>
      </c>
      <c r="K1170" s="16" t="str">
        <f>VLOOKUP(C1170,[1]master_data!$A$2:$E$495,5,FALSE)</f>
        <v>Aksesoris</v>
      </c>
      <c r="L1170" s="1"/>
    </row>
    <row r="1171" spans="1:12" ht="12" customHeight="1" x14ac:dyDescent="0.25">
      <c r="A1171" s="15">
        <v>44343</v>
      </c>
      <c r="B1171" s="16" t="s">
        <v>1040</v>
      </c>
      <c r="C1171" s="16" t="s">
        <v>322</v>
      </c>
      <c r="D1171" s="16" t="str">
        <f>VLOOKUP(C1171,[1]master_data!$A$2:$E$495,2,FALSE)</f>
        <v>GOLD FISH</v>
      </c>
      <c r="E1171" s="16">
        <v>7</v>
      </c>
      <c r="F1171" s="16">
        <f>VLOOKUP(C1171,[1]master_data!$A$2:$E$495,3,FALSE)</f>
        <v>800</v>
      </c>
      <c r="G1171" s="16">
        <f>VLOOKUP(C1171,[1]master_data!$A$2:$E$495,4,FALSE)</f>
        <v>2000</v>
      </c>
      <c r="H1171" s="16">
        <f>E1171*F1171</f>
        <v>5600</v>
      </c>
      <c r="I1171" s="16">
        <f>E1171*G1171</f>
        <v>14000</v>
      </c>
      <c r="J1171" s="16">
        <f>I1171-H1171</f>
        <v>8400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44343</v>
      </c>
      <c r="B1172" s="16" t="s">
        <v>1041</v>
      </c>
      <c r="C1172" s="16" t="s">
        <v>247</v>
      </c>
      <c r="D1172" s="16" t="str">
        <f>VLOOKUP(C1172,[1]master_data!$A$2:$E$495,2,FALSE)</f>
        <v>L PIPA</v>
      </c>
      <c r="E1172" s="16">
        <v>1</v>
      </c>
      <c r="F1172" s="16">
        <f>VLOOKUP(C1172,[1]master_data!$A$2:$E$495,3,FALSE)</f>
        <v>800</v>
      </c>
      <c r="G1172" s="16">
        <f>VLOOKUP(C1172,[1]master_data!$A$2:$E$495,4,FALSE)</f>
        <v>2000</v>
      </c>
      <c r="H1172" s="16">
        <f>E1172*F1172</f>
        <v>800</v>
      </c>
      <c r="I1172" s="16">
        <f>E1172*G1172</f>
        <v>2000</v>
      </c>
      <c r="J1172" s="16">
        <f>I1172-H1172</f>
        <v>1200</v>
      </c>
      <c r="K1172" s="16" t="str">
        <f>VLOOKUP(C1172,[1]master_data!$A$2:$E$495,5,FALSE)</f>
        <v>Aksesoris</v>
      </c>
      <c r="L1172" s="1"/>
    </row>
    <row r="1173" spans="1:12" ht="12" customHeight="1" x14ac:dyDescent="0.25">
      <c r="A1173" s="15">
        <v>44342</v>
      </c>
      <c r="B1173" s="16" t="s">
        <v>1033</v>
      </c>
      <c r="C1173" s="16" t="s">
        <v>101</v>
      </c>
      <c r="D1173" s="16" t="str">
        <f>VLOOKUP(C1173,[1]master_data!$A$2:$E$495,2,FALSE)</f>
        <v>LED KIYOSAKI 3 MODE 50 CM</v>
      </c>
      <c r="E1173" s="16">
        <v>2</v>
      </c>
      <c r="F1173" s="16">
        <f>VLOOKUP(C1173,[1]master_data!$A$2:$E$495,3,FALSE)</f>
        <v>37000</v>
      </c>
      <c r="G1173" s="16">
        <f>VLOOKUP(C1173,[1]master_data!$A$2:$E$495,4,FALSE)</f>
        <v>60000</v>
      </c>
      <c r="H1173" s="16">
        <f>E1173*F1173</f>
        <v>74000</v>
      </c>
      <c r="I1173" s="16">
        <f>E1173*G1173</f>
        <v>120000</v>
      </c>
      <c r="J1173" s="16">
        <f>I1173-H1173</f>
        <v>46000</v>
      </c>
      <c r="K1173" s="16" t="str">
        <f>VLOOKUP(C1173,[1]master_data!$A$2:$E$495,5,FALSE)</f>
        <v>Aksesoris</v>
      </c>
      <c r="L1173" s="1"/>
    </row>
    <row r="1174" spans="1:12" ht="12" customHeight="1" x14ac:dyDescent="0.25">
      <c r="A1174" s="15">
        <v>44342</v>
      </c>
      <c r="B1174" s="16" t="s">
        <v>1034</v>
      </c>
      <c r="C1174" s="16" t="s">
        <v>367</v>
      </c>
      <c r="D1174" s="16" t="str">
        <f>VLOOKUP(C1174,[1]master_data!$A$2:$E$495,2,FALSE)</f>
        <v>TETRA</v>
      </c>
      <c r="E1174" s="16">
        <v>30</v>
      </c>
      <c r="F1174" s="16">
        <f>VLOOKUP(C1174,[1]master_data!$A$2:$E$495,3,FALSE)</f>
        <v>800</v>
      </c>
      <c r="G1174" s="16">
        <f>VLOOKUP(C1174,[1]master_data!$A$2:$E$495,4,FALSE)</f>
        <v>2000</v>
      </c>
      <c r="H1174" s="16">
        <f>E1174*F1174</f>
        <v>24000</v>
      </c>
      <c r="I1174" s="16">
        <f>E1174*G1174</f>
        <v>60000</v>
      </c>
      <c r="J1174" s="16">
        <f>I1174-H1174</f>
        <v>36000</v>
      </c>
      <c r="K1174" s="16" t="str">
        <f>VLOOKUP(C1174,[1]master_data!$A$2:$E$495,5,FALSE)</f>
        <v>Ikan</v>
      </c>
      <c r="L1174" s="1"/>
    </row>
    <row r="1175" spans="1:12" ht="12" customHeight="1" x14ac:dyDescent="0.25">
      <c r="A1175" s="15">
        <v>44342</v>
      </c>
      <c r="B1175" s="16" t="s">
        <v>1035</v>
      </c>
      <c r="C1175" s="16" t="s">
        <v>177</v>
      </c>
      <c r="D1175" s="16" t="str">
        <f>VLOOKUP(C1175,[1]master_data!$A$2:$E$495,2,FALSE)</f>
        <v>CP KOI GROWTH</v>
      </c>
      <c r="E1175" s="16">
        <v>2</v>
      </c>
      <c r="F1175" s="16">
        <f>VLOOKUP(C1175,[1]master_data!$A$2:$E$495,3,FALSE)</f>
        <v>38000</v>
      </c>
      <c r="G1175" s="16">
        <f>VLOOKUP(C1175,[1]master_data!$A$2:$E$495,4,FALSE)</f>
        <v>50000</v>
      </c>
      <c r="H1175" s="16">
        <f>E1175*F1175</f>
        <v>76000</v>
      </c>
      <c r="I1175" s="16">
        <f>E1175*G1175</f>
        <v>100000</v>
      </c>
      <c r="J1175" s="16">
        <f>I1175-H1175</f>
        <v>24000</v>
      </c>
      <c r="K1175" s="16" t="str">
        <f>VLOOKUP(C1175,[1]master_data!$A$2:$E$495,5,FALSE)</f>
        <v>Aksesoris</v>
      </c>
      <c r="L1175" s="1"/>
    </row>
    <row r="1176" spans="1:12" ht="12" customHeight="1" x14ac:dyDescent="0.25">
      <c r="A1176" s="15">
        <v>44342</v>
      </c>
      <c r="B1176" s="16" t="s">
        <v>1036</v>
      </c>
      <c r="C1176" s="16" t="s">
        <v>268</v>
      </c>
      <c r="D1176" s="16" t="str">
        <f>VLOOKUP(C1176,[1]master_data!$A$2:$E$495,2,FALSE)</f>
        <v>FOOD TIMER AMARA 8431</v>
      </c>
      <c r="E1176" s="16">
        <v>1</v>
      </c>
      <c r="F1176" s="16">
        <f>VLOOKUP(C1176,[1]master_data!$A$2:$E$495,3,FALSE)</f>
        <v>45000</v>
      </c>
      <c r="G1176" s="16">
        <f>VLOOKUP(C1176,[1]master_data!$A$2:$E$495,4,FALSE)</f>
        <v>115000</v>
      </c>
      <c r="H1176" s="16">
        <f>E1176*F1176</f>
        <v>45000</v>
      </c>
      <c r="I1176" s="16">
        <f>E1176*G1176</f>
        <v>115000</v>
      </c>
      <c r="J1176" s="16">
        <f>I1176-H1176</f>
        <v>70000</v>
      </c>
      <c r="K1176" s="16" t="str">
        <f>VLOOKUP(C1176,[1]master_data!$A$2:$E$495,5,FALSE)</f>
        <v>Aksesoris</v>
      </c>
      <c r="L1176" s="1"/>
    </row>
    <row r="1177" spans="1:12" ht="12" customHeight="1" x14ac:dyDescent="0.25">
      <c r="A1177" s="15">
        <v>44341</v>
      </c>
      <c r="B1177" s="16" t="s">
        <v>1028</v>
      </c>
      <c r="C1177" s="16" t="s">
        <v>364</v>
      </c>
      <c r="D1177" s="16" t="str">
        <f>VLOOKUP(C1177,[1]master_data!$A$2:$E$495,2,FALSE)</f>
        <v>SNOW WHITE</v>
      </c>
      <c r="E1177" s="16">
        <v>15</v>
      </c>
      <c r="F1177" s="16">
        <f>VLOOKUP(C1177,[1]master_data!$A$2:$E$495,3,FALSE)</f>
        <v>1500</v>
      </c>
      <c r="G1177" s="16">
        <f>VLOOKUP(C1177,[1]master_data!$A$2:$E$495,4,FALSE)</f>
        <v>3000</v>
      </c>
      <c r="H1177" s="16">
        <f>E1177*F1177</f>
        <v>22500</v>
      </c>
      <c r="I1177" s="16">
        <f>E1177*G1177</f>
        <v>45000</v>
      </c>
      <c r="J1177" s="16">
        <f>I1177-H1177</f>
        <v>22500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44341</v>
      </c>
      <c r="B1178" s="16" t="s">
        <v>1029</v>
      </c>
      <c r="C1178" s="16" t="s">
        <v>321</v>
      </c>
      <c r="D1178" s="16" t="str">
        <f>VLOOKUP(C1178,[1]master_data!$A$2:$E$495,2,FALSE)</f>
        <v>CATFISH</v>
      </c>
      <c r="E1178" s="16">
        <v>2</v>
      </c>
      <c r="F1178" s="16">
        <f>VLOOKUP(C1178,[1]master_data!$A$2:$E$495,3,FALSE)</f>
        <v>20000</v>
      </c>
      <c r="G1178" s="16">
        <f>VLOOKUP(C1178,[1]master_data!$A$2:$E$495,4,FALSE)</f>
        <v>50000</v>
      </c>
      <c r="H1178" s="16">
        <f>E1178*F1178</f>
        <v>40000</v>
      </c>
      <c r="I1178" s="16">
        <f>E1178*G1178</f>
        <v>100000</v>
      </c>
      <c r="J1178" s="16">
        <f>I1178-H1178</f>
        <v>60000</v>
      </c>
      <c r="K1178" s="16" t="str">
        <f>VLOOKUP(C1178,[1]master_data!$A$2:$E$495,5,FALSE)</f>
        <v>Ikan</v>
      </c>
      <c r="L1178" s="1"/>
    </row>
    <row r="1179" spans="1:12" ht="12" customHeight="1" x14ac:dyDescent="0.25">
      <c r="A1179" s="15">
        <v>44341</v>
      </c>
      <c r="B1179" s="16" t="s">
        <v>1030</v>
      </c>
      <c r="C1179" s="16" t="s">
        <v>349</v>
      </c>
      <c r="D1179" s="16" t="str">
        <f>VLOOKUP(C1179,[1]master_data!$A$2:$E$495,2,FALSE)</f>
        <v>RED EYE TETRA</v>
      </c>
      <c r="E1179" s="16">
        <v>30</v>
      </c>
      <c r="F1179" s="16">
        <f>VLOOKUP(C1179,[1]master_data!$A$2:$E$495,3,FALSE)</f>
        <v>900</v>
      </c>
      <c r="G1179" s="16">
        <f>VLOOKUP(C1179,[1]master_data!$A$2:$E$495,4,FALSE)</f>
        <v>2000</v>
      </c>
      <c r="H1179" s="16">
        <f>E1179*F1179</f>
        <v>27000</v>
      </c>
      <c r="I1179" s="16">
        <f>E1179*G1179</f>
        <v>60000</v>
      </c>
      <c r="J1179" s="16">
        <f>I1179-H1179</f>
        <v>33000</v>
      </c>
      <c r="K1179" s="16" t="str">
        <f>VLOOKUP(C1179,[1]master_data!$A$2:$E$495,5,FALSE)</f>
        <v>Ikan</v>
      </c>
      <c r="L1179" s="1"/>
    </row>
    <row r="1180" spans="1:12" ht="12" customHeight="1" x14ac:dyDescent="0.25">
      <c r="A1180" s="15">
        <v>44341</v>
      </c>
      <c r="B1180" s="16" t="s">
        <v>1031</v>
      </c>
      <c r="C1180" s="16" t="s">
        <v>330</v>
      </c>
      <c r="D1180" s="16" t="str">
        <f>VLOOKUP(C1180,[1]master_data!$A$2:$E$495,2,FALSE)</f>
        <v>KOI T</v>
      </c>
      <c r="E1180" s="16">
        <v>1</v>
      </c>
      <c r="F1180" s="16">
        <f>VLOOKUP(C1180,[1]master_data!$A$2:$E$495,3,FALSE)</f>
        <v>7000</v>
      </c>
      <c r="G1180" s="16">
        <f>VLOOKUP(C1180,[1]master_data!$A$2:$E$495,4,FALSE)</f>
        <v>20000</v>
      </c>
      <c r="H1180" s="16">
        <f>E1180*F1180</f>
        <v>7000</v>
      </c>
      <c r="I1180" s="16">
        <f>E1180*G1180</f>
        <v>20000</v>
      </c>
      <c r="J1180" s="16">
        <f>I1180-H1180</f>
        <v>13000</v>
      </c>
      <c r="K1180" s="16" t="str">
        <f>VLOOKUP(C1180,[1]master_data!$A$2:$E$495,5,FALSE)</f>
        <v>Ikan</v>
      </c>
      <c r="L1180" s="1"/>
    </row>
    <row r="1181" spans="1:12" ht="12" customHeight="1" x14ac:dyDescent="0.25">
      <c r="A1181" s="15">
        <v>44341</v>
      </c>
      <c r="B1181" s="16" t="s">
        <v>1032</v>
      </c>
      <c r="C1181" s="16" t="s">
        <v>356</v>
      </c>
      <c r="D1181" s="16" t="str">
        <f>VLOOKUP(C1181,[1]master_data!$A$2:$E$495,2,FALSE)</f>
        <v>PARROT</v>
      </c>
      <c r="E1181" s="16">
        <v>1</v>
      </c>
      <c r="F1181" s="16">
        <f>VLOOKUP(C1181,[1]master_data!$A$2:$E$495,3,FALSE)</f>
        <v>27000</v>
      </c>
      <c r="G1181" s="16">
        <f>VLOOKUP(C1181,[1]master_data!$A$2:$E$495,4,FALSE)</f>
        <v>60000</v>
      </c>
      <c r="H1181" s="16">
        <f>E1181*F1181</f>
        <v>27000</v>
      </c>
      <c r="I1181" s="16">
        <f>E1181*G1181</f>
        <v>60000</v>
      </c>
      <c r="J1181" s="16">
        <f>I1181-H1181</f>
        <v>33000</v>
      </c>
      <c r="K1181" s="16" t="str">
        <f>VLOOKUP(C1181,[1]master_data!$A$2:$E$495,5,FALSE)</f>
        <v>Ikan</v>
      </c>
      <c r="L1181" s="1"/>
    </row>
    <row r="1182" spans="1:12" ht="12" customHeight="1" x14ac:dyDescent="0.25">
      <c r="A1182" s="15">
        <v>44340</v>
      </c>
      <c r="B1182" s="16" t="s">
        <v>1024</v>
      </c>
      <c r="C1182" s="16" t="s">
        <v>345</v>
      </c>
      <c r="D1182" s="16" t="str">
        <f>VLOOKUP(C1182,[1]master_data!$A$2:$E$495,2,FALSE)</f>
        <v>MARU B</v>
      </c>
      <c r="E1182" s="16">
        <v>2</v>
      </c>
      <c r="F1182" s="16">
        <f>VLOOKUP(C1182,[1]master_data!$A$2:$E$495,3,FALSE)</f>
        <v>90000</v>
      </c>
      <c r="G1182" s="16">
        <f>VLOOKUP(C1182,[1]master_data!$A$2:$E$495,4,FALSE)</f>
        <v>150000</v>
      </c>
      <c r="H1182" s="16">
        <f>E1182*F1182</f>
        <v>180000</v>
      </c>
      <c r="I1182" s="16">
        <f>E1182*G1182</f>
        <v>300000</v>
      </c>
      <c r="J1182" s="16">
        <f>I1182-H1182</f>
        <v>120000</v>
      </c>
      <c r="K1182" s="16" t="str">
        <f>VLOOKUP(C1182,[1]master_data!$A$2:$E$495,5,FALSE)</f>
        <v>Ikan</v>
      </c>
      <c r="L1182" s="1"/>
    </row>
    <row r="1183" spans="1:12" ht="12" customHeight="1" x14ac:dyDescent="0.25">
      <c r="A1183" s="15">
        <v>44340</v>
      </c>
      <c r="B1183" s="16" t="s">
        <v>1025</v>
      </c>
      <c r="C1183" s="16" t="s">
        <v>262</v>
      </c>
      <c r="D1183" s="16" t="str">
        <f>VLOOKUP(C1183,[1]master_data!$A$2:$E$495,2,FALSE)</f>
        <v>AIRSTONE D2L3</v>
      </c>
      <c r="E1183" s="16">
        <v>1</v>
      </c>
      <c r="F1183" s="16">
        <f>VLOOKUP(C1183,[1]master_data!$A$2:$E$495,3,FALSE)</f>
        <v>1100</v>
      </c>
      <c r="G1183" s="16">
        <f>VLOOKUP(C1183,[1]master_data!$A$2:$E$495,4,FALSE)</f>
        <v>4000</v>
      </c>
      <c r="H1183" s="16">
        <f>E1183*F1183</f>
        <v>1100</v>
      </c>
      <c r="I1183" s="16">
        <f>E1183*G1183</f>
        <v>4000</v>
      </c>
      <c r="J1183" s="16">
        <f>I1183-H1183</f>
        <v>2900</v>
      </c>
      <c r="K1183" s="16" t="str">
        <f>VLOOKUP(C1183,[1]master_data!$A$2:$E$495,5,FALSE)</f>
        <v>Aksesoris</v>
      </c>
      <c r="L1183" s="1"/>
    </row>
    <row r="1184" spans="1:12" ht="12" customHeight="1" x14ac:dyDescent="0.25">
      <c r="A1184" s="15">
        <v>44340</v>
      </c>
      <c r="B1184" s="16" t="s">
        <v>1026</v>
      </c>
      <c r="C1184" s="16" t="s">
        <v>209</v>
      </c>
      <c r="D1184" s="16" t="str">
        <f>VLOOKUP(C1184,[1]master_data!$A$2:$E$495,2,FALSE)</f>
        <v>BIORING</v>
      </c>
      <c r="E1184" s="16">
        <v>5</v>
      </c>
      <c r="F1184" s="16">
        <f>VLOOKUP(C1184,[1]master_data!$A$2:$E$495,3,FALSE)</f>
        <v>8000</v>
      </c>
      <c r="G1184" s="16">
        <f>VLOOKUP(C1184,[1]master_data!$A$2:$E$495,4,FALSE)</f>
        <v>15000</v>
      </c>
      <c r="H1184" s="16">
        <f>E1184*F1184</f>
        <v>40000</v>
      </c>
      <c r="I1184" s="16">
        <f>E1184*G1184</f>
        <v>75000</v>
      </c>
      <c r="J1184" s="16">
        <f>I1184-H1184</f>
        <v>35000</v>
      </c>
      <c r="K1184" s="16" t="str">
        <f>VLOOKUP(C1184,[1]master_data!$A$2:$E$495,5,FALSE)</f>
        <v>Aksesoris</v>
      </c>
      <c r="L1184" s="1"/>
    </row>
    <row r="1185" spans="1:12" ht="12" customHeight="1" x14ac:dyDescent="0.25">
      <c r="A1185" s="15">
        <v>44340</v>
      </c>
      <c r="B1185" s="16" t="s">
        <v>1027</v>
      </c>
      <c r="C1185" s="16" t="s">
        <v>341</v>
      </c>
      <c r="D1185" s="16" t="str">
        <f>VLOOKUP(C1185,[1]master_data!$A$2:$E$495,2,FALSE)</f>
        <v>LOUHAN</v>
      </c>
      <c r="E1185" s="16">
        <v>2</v>
      </c>
      <c r="F1185" s="16">
        <f>VLOOKUP(C1185,[1]master_data!$A$2:$E$495,3,FALSE)</f>
        <v>85000</v>
      </c>
      <c r="G1185" s="16">
        <f>VLOOKUP(C1185,[1]master_data!$A$2:$E$495,4,FALSE)</f>
        <v>200000</v>
      </c>
      <c r="H1185" s="16">
        <f>E1185*F1185</f>
        <v>170000</v>
      </c>
      <c r="I1185" s="16">
        <f>E1185*G1185</f>
        <v>400000</v>
      </c>
      <c r="J1185" s="16">
        <f>I1185-H1185</f>
        <v>230000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44339</v>
      </c>
      <c r="B1186" s="16" t="s">
        <v>1022</v>
      </c>
      <c r="C1186" s="16" t="s">
        <v>355</v>
      </c>
      <c r="D1186" s="16" t="str">
        <f>VLOOKUP(C1186,[1]master_data!$A$2:$E$495,2,FALSE)</f>
        <v>PALMAS</v>
      </c>
      <c r="E1186" s="16">
        <v>5</v>
      </c>
      <c r="F1186" s="16">
        <f>VLOOKUP(C1186,[1]master_data!$A$2:$E$495,3,FALSE)</f>
        <v>10000</v>
      </c>
      <c r="G1186" s="16">
        <f>VLOOKUP(C1186,[1]master_data!$A$2:$E$495,4,FALSE)</f>
        <v>25000</v>
      </c>
      <c r="H1186" s="16">
        <f>E1186*F1186</f>
        <v>50000</v>
      </c>
      <c r="I1186" s="16">
        <f>E1186*G1186</f>
        <v>125000</v>
      </c>
      <c r="J1186" s="16">
        <f>I1186-H1186</f>
        <v>75000</v>
      </c>
      <c r="K1186" s="16" t="str">
        <f>VLOOKUP(C1186,[1]master_data!$A$2:$E$495,5,FALSE)</f>
        <v>Ikan</v>
      </c>
      <c r="L1186" s="1"/>
    </row>
    <row r="1187" spans="1:12" ht="12" customHeight="1" x14ac:dyDescent="0.25">
      <c r="A1187" s="15">
        <v>44339</v>
      </c>
      <c r="B1187" s="16" t="s">
        <v>1023</v>
      </c>
      <c r="C1187" s="16" t="s">
        <v>355</v>
      </c>
      <c r="D1187" s="16" t="str">
        <f>VLOOKUP(C1187,[1]master_data!$A$2:$E$495,2,FALSE)</f>
        <v>PALMAS</v>
      </c>
      <c r="E1187" s="16">
        <v>6</v>
      </c>
      <c r="F1187" s="16">
        <f>VLOOKUP(C1187,[1]master_data!$A$2:$E$495,3,FALSE)</f>
        <v>10000</v>
      </c>
      <c r="G1187" s="16">
        <f>VLOOKUP(C1187,[1]master_data!$A$2:$E$495,4,FALSE)</f>
        <v>25000</v>
      </c>
      <c r="H1187" s="16">
        <f>E1187*F1187</f>
        <v>60000</v>
      </c>
      <c r="I1187" s="16">
        <f>E1187*G1187</f>
        <v>150000</v>
      </c>
      <c r="J1187" s="16">
        <f>I1187-H1187</f>
        <v>90000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44338</v>
      </c>
      <c r="B1188" s="16" t="s">
        <v>1020</v>
      </c>
      <c r="C1188" s="16" t="s">
        <v>248</v>
      </c>
      <c r="D1188" s="16" t="str">
        <f>VLOOKUP(C1188,[1]master_data!$A$2:$E$495,2,FALSE)</f>
        <v>T PIPA</v>
      </c>
      <c r="E1188" s="16">
        <v>50</v>
      </c>
      <c r="F1188" s="16">
        <f>VLOOKUP(C1188,[1]master_data!$A$2:$E$495,3,FALSE)</f>
        <v>800</v>
      </c>
      <c r="G1188" s="16">
        <f>VLOOKUP(C1188,[1]master_data!$A$2:$E$495,4,FALSE)</f>
        <v>2000</v>
      </c>
      <c r="H1188" s="16">
        <f>E1188*F1188</f>
        <v>40000</v>
      </c>
      <c r="I1188" s="16">
        <f>E1188*G1188</f>
        <v>100000</v>
      </c>
      <c r="J1188" s="16">
        <f>I1188-H1188</f>
        <v>60000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44338</v>
      </c>
      <c r="B1189" s="16" t="s">
        <v>1021</v>
      </c>
      <c r="C1189" s="16" t="s">
        <v>314</v>
      </c>
      <c r="D1189" s="16" t="str">
        <f>VLOOKUP(C1189,[1]master_data!$A$2:$E$495,2,FALSE)</f>
        <v>BALA BALA B</v>
      </c>
      <c r="E1189" s="16">
        <v>30</v>
      </c>
      <c r="F1189" s="16">
        <f>VLOOKUP(C1189,[1]master_data!$A$2:$E$495,3,FALSE)</f>
        <v>7000</v>
      </c>
      <c r="G1189" s="16">
        <f>VLOOKUP(C1189,[1]master_data!$A$2:$E$495,4,FALSE)</f>
        <v>15000</v>
      </c>
      <c r="H1189" s="16">
        <f>E1189*F1189</f>
        <v>210000</v>
      </c>
      <c r="I1189" s="16">
        <f>E1189*G1189</f>
        <v>450000</v>
      </c>
      <c r="J1189" s="16">
        <f>I1189-H1189</f>
        <v>240000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44337</v>
      </c>
      <c r="B1190" s="16" t="s">
        <v>1019</v>
      </c>
      <c r="C1190" s="16" t="s">
        <v>308</v>
      </c>
      <c r="D1190" s="16" t="str">
        <f>VLOOKUP(C1190,[1]master_data!$A$2:$E$495,2,FALSE)</f>
        <v>ARWANA SILVER B</v>
      </c>
      <c r="E1190" s="16">
        <v>1</v>
      </c>
      <c r="F1190" s="16">
        <f>VLOOKUP(C1190,[1]master_data!$A$2:$E$495,3,FALSE)</f>
        <v>300000</v>
      </c>
      <c r="G1190" s="16">
        <f>VLOOKUP(C1190,[1]master_data!$A$2:$E$495,4,FALSE)</f>
        <v>500000</v>
      </c>
      <c r="H1190" s="16">
        <f>E1190*F1190</f>
        <v>300000</v>
      </c>
      <c r="I1190" s="16">
        <f>E1190*G1190</f>
        <v>500000</v>
      </c>
      <c r="J1190" s="16">
        <f>I1190-H1190</f>
        <v>200000</v>
      </c>
      <c r="K1190" s="16" t="str">
        <f>VLOOKUP(C1190,[1]master_data!$A$2:$E$495,5,FALSE)</f>
        <v>Ikan</v>
      </c>
      <c r="L1190" s="1"/>
    </row>
    <row r="1191" spans="1:12" ht="12" customHeight="1" x14ac:dyDescent="0.25">
      <c r="A1191" s="15">
        <v>44336</v>
      </c>
      <c r="B1191" s="16" t="s">
        <v>1013</v>
      </c>
      <c r="C1191" s="16" t="s">
        <v>350</v>
      </c>
      <c r="D1191" s="16" t="str">
        <f>VLOOKUP(C1191,[1]master_data!$A$2:$E$495,2,FALSE)</f>
        <v>NENTINEN</v>
      </c>
      <c r="E1191" s="16">
        <v>10</v>
      </c>
      <c r="F1191" s="16">
        <f>VLOOKUP(C1191,[1]master_data!$A$2:$E$495,3,FALSE)</f>
        <v>1000</v>
      </c>
      <c r="G1191" s="16">
        <f>VLOOKUP(C1191,[1]master_data!$A$2:$E$495,4,FALSE)</f>
        <v>2500</v>
      </c>
      <c r="H1191" s="16">
        <f>E1191*F1191</f>
        <v>10000</v>
      </c>
      <c r="I1191" s="16">
        <f>E1191*G1191</f>
        <v>25000</v>
      </c>
      <c r="J1191" s="16">
        <f>I1191-H1191</f>
        <v>15000</v>
      </c>
      <c r="K1191" s="16" t="str">
        <f>VLOOKUP(C1191,[1]master_data!$A$2:$E$495,5,FALSE)</f>
        <v>Ikan</v>
      </c>
      <c r="L1191" s="1"/>
    </row>
    <row r="1192" spans="1:12" ht="12" customHeight="1" x14ac:dyDescent="0.25">
      <c r="A1192" s="15">
        <v>44336</v>
      </c>
      <c r="B1192" s="16" t="s">
        <v>1014</v>
      </c>
      <c r="C1192" s="16" t="s">
        <v>95</v>
      </c>
      <c r="D1192" s="16" t="str">
        <f>VLOOKUP(C1192,[1]master_data!$A$2:$E$495,2,FALSE)</f>
        <v>LED ROSTON 20 CM</v>
      </c>
      <c r="E1192" s="16">
        <v>10</v>
      </c>
      <c r="F1192" s="16">
        <f>VLOOKUP(C1192,[1]master_data!$A$2:$E$495,3,FALSE)</f>
        <v>21000</v>
      </c>
      <c r="G1192" s="16">
        <f>VLOOKUP(C1192,[1]master_data!$A$2:$E$495,4,FALSE)</f>
        <v>30000</v>
      </c>
      <c r="H1192" s="16">
        <f>E1192*F1192</f>
        <v>210000</v>
      </c>
      <c r="I1192" s="16">
        <f>E1192*G1192</f>
        <v>300000</v>
      </c>
      <c r="J1192" s="16">
        <f>I1192-H1192</f>
        <v>90000</v>
      </c>
      <c r="K1192" s="16" t="str">
        <f>VLOOKUP(C1192,[1]master_data!$A$2:$E$495,5,FALSE)</f>
        <v>Aksesoris</v>
      </c>
      <c r="L1192" s="1"/>
    </row>
    <row r="1193" spans="1:12" ht="12" customHeight="1" x14ac:dyDescent="0.25">
      <c r="A1193" s="15">
        <v>44336</v>
      </c>
      <c r="B1193" s="16" t="s">
        <v>1015</v>
      </c>
      <c r="C1193" s="16" t="s">
        <v>331</v>
      </c>
      <c r="D1193" s="16" t="str">
        <f>VLOOKUP(C1193,[1]master_data!$A$2:$E$495,2,FALSE)</f>
        <v>KOI B</v>
      </c>
      <c r="E1193" s="16">
        <v>2</v>
      </c>
      <c r="F1193" s="16">
        <f>VLOOKUP(C1193,[1]master_data!$A$2:$E$495,3,FALSE)</f>
        <v>9000</v>
      </c>
      <c r="G1193" s="16">
        <f>VLOOKUP(C1193,[1]master_data!$A$2:$E$495,4,FALSE)</f>
        <v>30000</v>
      </c>
      <c r="H1193" s="16">
        <f>E1193*F1193</f>
        <v>18000</v>
      </c>
      <c r="I1193" s="16">
        <f>E1193*G1193</f>
        <v>60000</v>
      </c>
      <c r="J1193" s="16">
        <f>I1193-H1193</f>
        <v>42000</v>
      </c>
      <c r="K1193" s="16" t="str">
        <f>VLOOKUP(C1193,[1]master_data!$A$2:$E$495,5,FALSE)</f>
        <v>Ikan</v>
      </c>
      <c r="L1193" s="1"/>
    </row>
    <row r="1194" spans="1:12" ht="12" customHeight="1" x14ac:dyDescent="0.25">
      <c r="A1194" s="15">
        <v>44336</v>
      </c>
      <c r="B1194" s="16" t="s">
        <v>1016</v>
      </c>
      <c r="C1194" s="16" t="s">
        <v>325</v>
      </c>
      <c r="D1194" s="16" t="str">
        <f>VLOOKUP(C1194,[1]master_data!$A$2:$E$495,2,FALSE)</f>
        <v>HIU TAWAR</v>
      </c>
      <c r="E1194" s="16">
        <v>2</v>
      </c>
      <c r="F1194" s="16">
        <f>VLOOKUP(C1194,[1]master_data!$A$2:$E$495,3,FALSE)</f>
        <v>600</v>
      </c>
      <c r="G1194" s="16">
        <f>VLOOKUP(C1194,[1]master_data!$A$2:$E$495,4,FALSE)</f>
        <v>2000</v>
      </c>
      <c r="H1194" s="16">
        <f>E1194*F1194</f>
        <v>1200</v>
      </c>
      <c r="I1194" s="16">
        <f>E1194*G1194</f>
        <v>4000</v>
      </c>
      <c r="J1194" s="16">
        <f>I1194-H1194</f>
        <v>2800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44336</v>
      </c>
      <c r="B1195" s="16" t="s">
        <v>1017</v>
      </c>
      <c r="C1195" s="16" t="s">
        <v>240</v>
      </c>
      <c r="D1195" s="16" t="str">
        <f>VLOOKUP(C1195,[1]master_data!$A$2:$E$495,2,FALSE)</f>
        <v>PIPA LONJOR 2 M</v>
      </c>
      <c r="E1195" s="16">
        <v>8</v>
      </c>
      <c r="F1195" s="16">
        <f>VLOOKUP(C1195,[1]master_data!$A$2:$E$495,3,FALSE)</f>
        <v>5000</v>
      </c>
      <c r="G1195" s="16">
        <f>VLOOKUP(C1195,[1]master_data!$A$2:$E$495,4,FALSE)</f>
        <v>10000</v>
      </c>
      <c r="H1195" s="16">
        <f>E1195*F1195</f>
        <v>40000</v>
      </c>
      <c r="I1195" s="16">
        <f>E1195*G1195</f>
        <v>80000</v>
      </c>
      <c r="J1195" s="16">
        <f>I1195-H1195</f>
        <v>40000</v>
      </c>
      <c r="K1195" s="16" t="str">
        <f>VLOOKUP(C1195,[1]master_data!$A$2:$E$495,5,FALSE)</f>
        <v>Aksesoris</v>
      </c>
      <c r="L1195" s="1"/>
    </row>
    <row r="1196" spans="1:12" ht="12" customHeight="1" x14ac:dyDescent="0.25">
      <c r="A1196" s="15">
        <v>44336</v>
      </c>
      <c r="B1196" s="16" t="s">
        <v>1018</v>
      </c>
      <c r="C1196" s="16" t="s">
        <v>359</v>
      </c>
      <c r="D1196" s="16" t="str">
        <f>VLOOKUP(C1196,[1]master_data!$A$2:$E$495,2,FALSE)</f>
        <v>REDFIN ALBINO</v>
      </c>
      <c r="E1196" s="16">
        <v>100</v>
      </c>
      <c r="F1196" s="16">
        <f>VLOOKUP(C1196,[1]master_data!$A$2:$E$495,3,FALSE)</f>
        <v>1500</v>
      </c>
      <c r="G1196" s="16">
        <f>VLOOKUP(C1196,[1]master_data!$A$2:$E$495,4,FALSE)</f>
        <v>4000</v>
      </c>
      <c r="H1196" s="16">
        <f>E1196*F1196</f>
        <v>150000</v>
      </c>
      <c r="I1196" s="16">
        <f>E1196*G1196</f>
        <v>400000</v>
      </c>
      <c r="J1196" s="16">
        <f>I1196-H1196</f>
        <v>250000</v>
      </c>
      <c r="K1196" s="16" t="str">
        <f>VLOOKUP(C1196,[1]master_data!$A$2:$E$495,5,FALSE)</f>
        <v>Ikan</v>
      </c>
      <c r="L1196" s="1"/>
    </row>
    <row r="1197" spans="1:12" ht="12" customHeight="1" x14ac:dyDescent="0.25">
      <c r="A1197" s="15">
        <v>44335</v>
      </c>
      <c r="B1197" s="16" t="s">
        <v>1011</v>
      </c>
      <c r="C1197" s="16" t="s">
        <v>354</v>
      </c>
      <c r="D1197" s="16" t="str">
        <f>VLOOKUP(C1197,[1]master_data!$A$2:$E$495,2,FALSE)</f>
        <v>PEMBERSIH KACA ALBINO</v>
      </c>
      <c r="E1197" s="16">
        <v>5</v>
      </c>
      <c r="F1197" s="16">
        <f>VLOOKUP(C1197,[1]master_data!$A$2:$E$495,3,FALSE)</f>
        <v>2500</v>
      </c>
      <c r="G1197" s="16">
        <f>VLOOKUP(C1197,[1]master_data!$A$2:$E$495,4,FALSE)</f>
        <v>5000</v>
      </c>
      <c r="H1197" s="16">
        <f>E1197*F1197</f>
        <v>12500</v>
      </c>
      <c r="I1197" s="16">
        <f>E1197*G1197</f>
        <v>25000</v>
      </c>
      <c r="J1197" s="16">
        <f>I1197-H1197</f>
        <v>12500</v>
      </c>
      <c r="K1197" s="16" t="str">
        <f>VLOOKUP(C1197,[1]master_data!$A$2:$E$495,5,FALSE)</f>
        <v>Ikan</v>
      </c>
      <c r="L1197" s="1"/>
    </row>
    <row r="1198" spans="1:12" ht="12" customHeight="1" x14ac:dyDescent="0.25">
      <c r="A1198" s="15">
        <v>44335</v>
      </c>
      <c r="B1198" s="16" t="s">
        <v>1012</v>
      </c>
      <c r="C1198" s="16" t="s">
        <v>125</v>
      </c>
      <c r="D1198" s="16" t="str">
        <f>VLOOKUP(C1198,[1]master_data!$A$2:$E$495,2,FALSE)</f>
        <v>LED VOSSO 50-60 CM</v>
      </c>
      <c r="E1198" s="16">
        <v>5</v>
      </c>
      <c r="F1198" s="16">
        <f>VLOOKUP(C1198,[1]master_data!$A$2:$E$495,3,FALSE)</f>
        <v>50000</v>
      </c>
      <c r="G1198" s="16">
        <f>VLOOKUP(C1198,[1]master_data!$A$2:$E$495,4,FALSE)</f>
        <v>75000</v>
      </c>
      <c r="H1198" s="16">
        <f>E1198*F1198</f>
        <v>250000</v>
      </c>
      <c r="I1198" s="16">
        <f>E1198*G1198</f>
        <v>375000</v>
      </c>
      <c r="J1198" s="16">
        <f>I1198-H1198</f>
        <v>125000</v>
      </c>
      <c r="K1198" s="16" t="str">
        <f>VLOOKUP(C1198,[1]master_data!$A$2:$E$495,5,FALSE)</f>
        <v>Aksesoris</v>
      </c>
      <c r="L1198" s="1"/>
    </row>
    <row r="1199" spans="1:12" ht="12" customHeight="1" x14ac:dyDescent="0.25">
      <c r="A1199" s="15">
        <v>44334</v>
      </c>
      <c r="B1199" s="16" t="s">
        <v>1010</v>
      </c>
      <c r="C1199" s="16" t="s">
        <v>303</v>
      </c>
      <c r="D1199" s="16" t="str">
        <f>VLOOKUP(C1199,[1]master_data!$A$2:$E$495,2,FALSE)</f>
        <v>CHANNA ASIATICA K</v>
      </c>
      <c r="E1199" s="16">
        <v>4</v>
      </c>
      <c r="F1199" s="16">
        <f>VLOOKUP(C1199,[1]master_data!$A$2:$E$495,3,FALSE)</f>
        <v>10000</v>
      </c>
      <c r="G1199" s="16">
        <f>VLOOKUP(C1199,[1]master_data!$A$2:$E$495,4,FALSE)</f>
        <v>40000</v>
      </c>
      <c r="H1199" s="16">
        <f>E1199*F1199</f>
        <v>40000</v>
      </c>
      <c r="I1199" s="16">
        <f>E1199*G1199</f>
        <v>160000</v>
      </c>
      <c r="J1199" s="16">
        <f>I1199-H1199</f>
        <v>120000</v>
      </c>
      <c r="K1199" s="16" t="str">
        <f>VLOOKUP(C1199,[1]master_data!$A$2:$E$495,5,FALSE)</f>
        <v>Ikan</v>
      </c>
      <c r="L1199" s="1"/>
    </row>
    <row r="1200" spans="1:12" ht="12" customHeight="1" x14ac:dyDescent="0.25">
      <c r="A1200" s="15">
        <v>44333</v>
      </c>
      <c r="B1200" s="16" t="s">
        <v>1006</v>
      </c>
      <c r="C1200" s="16" t="s">
        <v>231</v>
      </c>
      <c r="D1200" s="16" t="str">
        <f>VLOOKUP(C1200,[1]master_data!$A$2:$E$495,2,FALSE)</f>
        <v>MAINAN KINCIR DOUBEL</v>
      </c>
      <c r="E1200" s="16">
        <v>5</v>
      </c>
      <c r="F1200" s="16">
        <f>VLOOKUP(C1200,[1]master_data!$A$2:$E$495,3,FALSE)</f>
        <v>17000</v>
      </c>
      <c r="G1200" s="16">
        <f>VLOOKUP(C1200,[1]master_data!$A$2:$E$495,4,FALSE)</f>
        <v>30000</v>
      </c>
      <c r="H1200" s="16">
        <f>E1200*F1200</f>
        <v>85000</v>
      </c>
      <c r="I1200" s="16">
        <f>E1200*G1200</f>
        <v>150000</v>
      </c>
      <c r="J1200" s="16">
        <f>I1200-H1200</f>
        <v>65000</v>
      </c>
      <c r="K1200" s="16" t="str">
        <f>VLOOKUP(C1200,[1]master_data!$A$2:$E$495,5,FALSE)</f>
        <v>Aksesoris</v>
      </c>
      <c r="L1200" s="1"/>
    </row>
    <row r="1201" spans="1:12" ht="12" customHeight="1" x14ac:dyDescent="0.25">
      <c r="A1201" s="15">
        <v>44333</v>
      </c>
      <c r="B1201" s="16" t="s">
        <v>1007</v>
      </c>
      <c r="C1201" s="16" t="s">
        <v>51</v>
      </c>
      <c r="D1201" s="16" t="str">
        <f>VLOOKUP(C1201,[1]master_data!$A$2:$E$495,2,FALSE)</f>
        <v>MESIN RECENT 203</v>
      </c>
      <c r="E1201" s="16">
        <v>1</v>
      </c>
      <c r="F1201" s="16">
        <f>VLOOKUP(C1201,[1]master_data!$A$2:$E$495,3,FALSE)</f>
        <v>43500</v>
      </c>
      <c r="G1201" s="16">
        <f>VLOOKUP(C1201,[1]master_data!$A$2:$E$495,4,FALSE)</f>
        <v>70000</v>
      </c>
      <c r="H1201" s="16">
        <f>E1201*F1201</f>
        <v>43500</v>
      </c>
      <c r="I1201" s="16">
        <f>E1201*G1201</f>
        <v>70000</v>
      </c>
      <c r="J1201" s="16">
        <f>I1201-H1201</f>
        <v>26500</v>
      </c>
      <c r="K1201" s="16" t="str">
        <f>VLOOKUP(C1201,[1]master_data!$A$2:$E$495,5,FALSE)</f>
        <v>Aksesoris</v>
      </c>
      <c r="L1201" s="1"/>
    </row>
    <row r="1202" spans="1:12" ht="12" customHeight="1" x14ac:dyDescent="0.25">
      <c r="A1202" s="15">
        <v>44333</v>
      </c>
      <c r="B1202" s="16" t="s">
        <v>1008</v>
      </c>
      <c r="C1202" s="16" t="s">
        <v>332</v>
      </c>
      <c r="D1202" s="16" t="str">
        <f>VLOOKUP(C1202,[1]master_data!$A$2:$E$495,2,FALSE)</f>
        <v>KURA - KURA</v>
      </c>
      <c r="E1202" s="16">
        <v>2</v>
      </c>
      <c r="F1202" s="16">
        <f>VLOOKUP(C1202,[1]master_data!$A$2:$E$495,3,FALSE)</f>
        <v>25000</v>
      </c>
      <c r="G1202" s="16">
        <f>VLOOKUP(C1202,[1]master_data!$A$2:$E$495,4,FALSE)</f>
        <v>35000</v>
      </c>
      <c r="H1202" s="16">
        <f>E1202*F1202</f>
        <v>50000</v>
      </c>
      <c r="I1202" s="16">
        <f>E1202*G1202</f>
        <v>70000</v>
      </c>
      <c r="J1202" s="16">
        <f>I1202-H1202</f>
        <v>20000</v>
      </c>
      <c r="K1202" s="16" t="str">
        <f>VLOOKUP(C1202,[1]master_data!$A$2:$E$495,5,FALSE)</f>
        <v>Ikan</v>
      </c>
      <c r="L1202" s="1"/>
    </row>
    <row r="1203" spans="1:12" ht="12" customHeight="1" x14ac:dyDescent="0.25">
      <c r="A1203" s="15">
        <v>44333</v>
      </c>
      <c r="B1203" s="16" t="s">
        <v>1009</v>
      </c>
      <c r="C1203" s="16" t="s">
        <v>272</v>
      </c>
      <c r="D1203" s="16" t="str">
        <f>VLOOKUP(C1203,[1]master_data!$A$2:$E$495,2,FALSE)</f>
        <v>AKUARIUM NIKITA M</v>
      </c>
      <c r="E1203" s="16">
        <v>1</v>
      </c>
      <c r="F1203" s="16">
        <f>VLOOKUP(C1203,[1]master_data!$A$2:$E$495,3,FALSE)</f>
        <v>60000</v>
      </c>
      <c r="G1203" s="16">
        <f>VLOOKUP(C1203,[1]master_data!$A$2:$E$495,4,FALSE)</f>
        <v>110000</v>
      </c>
      <c r="H1203" s="16">
        <f>E1203*F1203</f>
        <v>60000</v>
      </c>
      <c r="I1203" s="16">
        <f>E1203*G1203</f>
        <v>110000</v>
      </c>
      <c r="J1203" s="16">
        <f>I1203-H1203</f>
        <v>50000</v>
      </c>
      <c r="K1203" s="16" t="str">
        <f>VLOOKUP(C1203,[1]master_data!$A$2:$E$495,5,FALSE)</f>
        <v>Aksesoris</v>
      </c>
      <c r="L1203" s="1"/>
    </row>
    <row r="1204" spans="1:12" ht="12" customHeight="1" x14ac:dyDescent="0.25">
      <c r="A1204" s="15">
        <v>44332</v>
      </c>
      <c r="B1204" s="16" t="s">
        <v>1002</v>
      </c>
      <c r="C1204" s="16" t="s">
        <v>362</v>
      </c>
      <c r="D1204" s="16" t="str">
        <f>VLOOKUP(C1204,[1]master_data!$A$2:$E$495,2,FALSE)</f>
        <v>SUMATRA BIASA</v>
      </c>
      <c r="E1204" s="16">
        <v>10</v>
      </c>
      <c r="F1204" s="16">
        <f>VLOOKUP(C1204,[1]master_data!$A$2:$E$495,3,FALSE)</f>
        <v>800</v>
      </c>
      <c r="G1204" s="16">
        <f>VLOOKUP(C1204,[1]master_data!$A$2:$E$495,4,FALSE)</f>
        <v>2000</v>
      </c>
      <c r="H1204" s="16">
        <f>E1204*F1204</f>
        <v>8000</v>
      </c>
      <c r="I1204" s="16">
        <f>E1204*G1204</f>
        <v>20000</v>
      </c>
      <c r="J1204" s="16">
        <f>I1204-H1204</f>
        <v>12000</v>
      </c>
      <c r="K1204" s="16" t="str">
        <f>VLOOKUP(C1204,[1]master_data!$A$2:$E$495,5,FALSE)</f>
        <v>Ikan</v>
      </c>
      <c r="L1204" s="1"/>
    </row>
    <row r="1205" spans="1:12" ht="12" customHeight="1" x14ac:dyDescent="0.25">
      <c r="A1205" s="15">
        <v>44332</v>
      </c>
      <c r="B1205" s="16" t="s">
        <v>1003</v>
      </c>
      <c r="C1205" s="16" t="s">
        <v>354</v>
      </c>
      <c r="D1205" s="16" t="str">
        <f>VLOOKUP(C1205,[1]master_data!$A$2:$E$495,2,FALSE)</f>
        <v>PEMBERSIH KACA ALBINO</v>
      </c>
      <c r="E1205" s="16">
        <v>30</v>
      </c>
      <c r="F1205" s="16">
        <f>VLOOKUP(C1205,[1]master_data!$A$2:$E$495,3,FALSE)</f>
        <v>2500</v>
      </c>
      <c r="G1205" s="16">
        <f>VLOOKUP(C1205,[1]master_data!$A$2:$E$495,4,FALSE)</f>
        <v>5000</v>
      </c>
      <c r="H1205" s="16">
        <f>E1205*F1205</f>
        <v>75000</v>
      </c>
      <c r="I1205" s="16">
        <f>E1205*G1205</f>
        <v>150000</v>
      </c>
      <c r="J1205" s="16">
        <f>I1205-H1205</f>
        <v>75000</v>
      </c>
      <c r="K1205" s="16" t="str">
        <f>VLOOKUP(C1205,[1]master_data!$A$2:$E$495,5,FALSE)</f>
        <v>Ikan</v>
      </c>
      <c r="L1205" s="1"/>
    </row>
    <row r="1206" spans="1:12" ht="12" customHeight="1" x14ac:dyDescent="0.25">
      <c r="A1206" s="15">
        <v>44332</v>
      </c>
      <c r="B1206" s="16" t="s">
        <v>1004</v>
      </c>
      <c r="C1206" s="16" t="s">
        <v>125</v>
      </c>
      <c r="D1206" s="16" t="str">
        <f>VLOOKUP(C1206,[1]master_data!$A$2:$E$495,2,FALSE)</f>
        <v>LED VOSSO 50-60 CM</v>
      </c>
      <c r="E1206" s="16">
        <v>1</v>
      </c>
      <c r="F1206" s="16">
        <f>VLOOKUP(C1206,[1]master_data!$A$2:$E$495,3,FALSE)</f>
        <v>50000</v>
      </c>
      <c r="G1206" s="16">
        <f>VLOOKUP(C1206,[1]master_data!$A$2:$E$495,4,FALSE)</f>
        <v>75000</v>
      </c>
      <c r="H1206" s="16">
        <f>E1206*F1206</f>
        <v>50000</v>
      </c>
      <c r="I1206" s="16">
        <f>E1206*G1206</f>
        <v>75000</v>
      </c>
      <c r="J1206" s="16">
        <f>I1206-H1206</f>
        <v>25000</v>
      </c>
      <c r="K1206" s="16" t="str">
        <f>VLOOKUP(C1206,[1]master_data!$A$2:$E$495,5,FALSE)</f>
        <v>Aksesoris</v>
      </c>
      <c r="L1206" s="1"/>
    </row>
    <row r="1207" spans="1:12" ht="12" customHeight="1" x14ac:dyDescent="0.25">
      <c r="A1207" s="15">
        <v>44332</v>
      </c>
      <c r="B1207" s="16" t="s">
        <v>1005</v>
      </c>
      <c r="C1207" s="16" t="s">
        <v>341</v>
      </c>
      <c r="D1207" s="16" t="str">
        <f>VLOOKUP(C1207,[1]master_data!$A$2:$E$495,2,FALSE)</f>
        <v>LOUHAN</v>
      </c>
      <c r="E1207" s="16">
        <v>2</v>
      </c>
      <c r="F1207" s="16">
        <f>VLOOKUP(C1207,[1]master_data!$A$2:$E$495,3,FALSE)</f>
        <v>85000</v>
      </c>
      <c r="G1207" s="16">
        <f>VLOOKUP(C1207,[1]master_data!$A$2:$E$495,4,FALSE)</f>
        <v>200000</v>
      </c>
      <c r="H1207" s="16">
        <f>E1207*F1207</f>
        <v>170000</v>
      </c>
      <c r="I1207" s="16">
        <f>E1207*G1207</f>
        <v>400000</v>
      </c>
      <c r="J1207" s="16">
        <f>I1207-H1207</f>
        <v>230000</v>
      </c>
      <c r="K1207" s="16" t="str">
        <f>VLOOKUP(C1207,[1]master_data!$A$2:$E$495,5,FALSE)</f>
        <v>Ikan</v>
      </c>
      <c r="L1207" s="1"/>
    </row>
    <row r="1208" spans="1:12" ht="12" customHeight="1" x14ac:dyDescent="0.25">
      <c r="A1208" s="15">
        <v>44331</v>
      </c>
      <c r="B1208" s="16" t="s">
        <v>997</v>
      </c>
      <c r="C1208" s="16" t="s">
        <v>362</v>
      </c>
      <c r="D1208" s="16" t="str">
        <f>VLOOKUP(C1208,[1]master_data!$A$2:$E$495,2,FALSE)</f>
        <v>SUMATRA BIASA</v>
      </c>
      <c r="E1208" s="16">
        <v>20</v>
      </c>
      <c r="F1208" s="16">
        <f>VLOOKUP(C1208,[1]master_data!$A$2:$E$495,3,FALSE)</f>
        <v>800</v>
      </c>
      <c r="G1208" s="16">
        <f>VLOOKUP(C1208,[1]master_data!$A$2:$E$495,4,FALSE)</f>
        <v>2000</v>
      </c>
      <c r="H1208" s="16">
        <f>E1208*F1208</f>
        <v>16000</v>
      </c>
      <c r="I1208" s="16">
        <f>E1208*G1208</f>
        <v>40000</v>
      </c>
      <c r="J1208" s="16">
        <f>I1208-H1208</f>
        <v>24000</v>
      </c>
      <c r="K1208" s="16" t="str">
        <f>VLOOKUP(C1208,[1]master_data!$A$2:$E$495,5,FALSE)</f>
        <v>Ikan</v>
      </c>
      <c r="L1208" s="1"/>
    </row>
    <row r="1209" spans="1:12" ht="12" customHeight="1" x14ac:dyDescent="0.25">
      <c r="A1209" s="15">
        <v>44331</v>
      </c>
      <c r="B1209" s="16" t="s">
        <v>998</v>
      </c>
      <c r="C1209" s="16" t="s">
        <v>135</v>
      </c>
      <c r="D1209" s="16" t="str">
        <f>VLOOKUP(C1209,[1]master_data!$A$2:$E$495,2,FALSE)</f>
        <v>LED KANDILA PRO RED 100 CM</v>
      </c>
      <c r="E1209" s="16">
        <v>1</v>
      </c>
      <c r="F1209" s="16">
        <f>VLOOKUP(C1209,[1]master_data!$A$2:$E$495,3,FALSE)</f>
        <v>225000</v>
      </c>
      <c r="G1209" s="16">
        <f>VLOOKUP(C1209,[1]master_data!$A$2:$E$495,4,FALSE)</f>
        <v>270000</v>
      </c>
      <c r="H1209" s="16">
        <f>E1209*F1209</f>
        <v>225000</v>
      </c>
      <c r="I1209" s="16">
        <f>E1209*G1209</f>
        <v>270000</v>
      </c>
      <c r="J1209" s="16">
        <f>I1209-H1209</f>
        <v>45000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44331</v>
      </c>
      <c r="B1210" s="16" t="s">
        <v>999</v>
      </c>
      <c r="C1210" s="16" t="s">
        <v>318</v>
      </c>
      <c r="D1210" s="16" t="str">
        <f>VLOOKUP(C1210,[1]master_data!$A$2:$E$495,2,FALSE)</f>
        <v>KOMET BOKIM</v>
      </c>
      <c r="E1210" s="16">
        <v>30</v>
      </c>
      <c r="F1210" s="16">
        <f>VLOOKUP(C1210,[1]master_data!$A$2:$E$495,3,FALSE)</f>
        <v>1500</v>
      </c>
      <c r="G1210" s="16">
        <f>VLOOKUP(C1210,[1]master_data!$A$2:$E$495,4,FALSE)</f>
        <v>5000</v>
      </c>
      <c r="H1210" s="16">
        <f>E1210*F1210</f>
        <v>45000</v>
      </c>
      <c r="I1210" s="16">
        <f>E1210*G1210</f>
        <v>150000</v>
      </c>
      <c r="J1210" s="16">
        <f>I1210-H1210</f>
        <v>105000</v>
      </c>
      <c r="K1210" s="16" t="str">
        <f>VLOOKUP(C1210,[1]master_data!$A$2:$E$495,5,FALSE)</f>
        <v>Ikan</v>
      </c>
      <c r="L1210" s="1"/>
    </row>
    <row r="1211" spans="1:12" ht="12" customHeight="1" x14ac:dyDescent="0.25">
      <c r="A1211" s="15">
        <v>44331</v>
      </c>
      <c r="B1211" s="16" t="s">
        <v>1000</v>
      </c>
      <c r="C1211" s="16" t="s">
        <v>325</v>
      </c>
      <c r="D1211" s="16" t="str">
        <f>VLOOKUP(C1211,[1]master_data!$A$2:$E$495,2,FALSE)</f>
        <v>HIU TAWAR</v>
      </c>
      <c r="E1211" s="16">
        <v>7</v>
      </c>
      <c r="F1211" s="16">
        <f>VLOOKUP(C1211,[1]master_data!$A$2:$E$495,3,FALSE)</f>
        <v>600</v>
      </c>
      <c r="G1211" s="16">
        <f>VLOOKUP(C1211,[1]master_data!$A$2:$E$495,4,FALSE)</f>
        <v>2000</v>
      </c>
      <c r="H1211" s="16">
        <f>E1211*F1211</f>
        <v>4200</v>
      </c>
      <c r="I1211" s="16">
        <f>E1211*G1211</f>
        <v>14000</v>
      </c>
      <c r="J1211" s="16">
        <f>I1211-H1211</f>
        <v>9800</v>
      </c>
      <c r="K1211" s="16" t="str">
        <f>VLOOKUP(C1211,[1]master_data!$A$2:$E$495,5,FALSE)</f>
        <v>Ikan</v>
      </c>
      <c r="L1211" s="1"/>
    </row>
    <row r="1212" spans="1:12" ht="12" customHeight="1" x14ac:dyDescent="0.25">
      <c r="A1212" s="15">
        <v>44331</v>
      </c>
      <c r="B1212" s="16" t="s">
        <v>1001</v>
      </c>
      <c r="C1212" s="16" t="s">
        <v>26</v>
      </c>
      <c r="D1212" s="16" t="str">
        <f>VLOOKUP(C1212,[1]master_data!$A$2:$E$495,2,FALSE)</f>
        <v>MESIN ROSTON 108</v>
      </c>
      <c r="E1212" s="16">
        <v>1</v>
      </c>
      <c r="F1212" s="16">
        <f>VLOOKUP(C1212,[1]master_data!$A$2:$E$495,3,FALSE)</f>
        <v>190000</v>
      </c>
      <c r="G1212" s="16">
        <f>VLOOKUP(C1212,[1]master_data!$A$2:$E$495,4,FALSE)</f>
        <v>275000</v>
      </c>
      <c r="H1212" s="16">
        <f>E1212*F1212</f>
        <v>190000</v>
      </c>
      <c r="I1212" s="16">
        <f>E1212*G1212</f>
        <v>275000</v>
      </c>
      <c r="J1212" s="16">
        <f>I1212-H1212</f>
        <v>85000</v>
      </c>
      <c r="K1212" s="16" t="str">
        <f>VLOOKUP(C1212,[1]master_data!$A$2:$E$495,5,FALSE)</f>
        <v>Aksesoris</v>
      </c>
      <c r="L1212" s="1"/>
    </row>
    <row r="1213" spans="1:12" ht="12" customHeight="1" x14ac:dyDescent="0.25">
      <c r="A1213" s="15">
        <v>44330</v>
      </c>
      <c r="B1213" s="16" t="s">
        <v>994</v>
      </c>
      <c r="C1213" s="16" t="s">
        <v>253</v>
      </c>
      <c r="D1213" s="16" t="str">
        <f>VLOOKUP(C1213,[1]master_data!$A$2:$E$495,2,FALSE)</f>
        <v>TEMPAT CACING</v>
      </c>
      <c r="E1213" s="16">
        <v>30</v>
      </c>
      <c r="F1213" s="16">
        <f>VLOOKUP(C1213,[1]master_data!$A$2:$E$495,3,FALSE)</f>
        <v>1500</v>
      </c>
      <c r="G1213" s="16">
        <f>VLOOKUP(C1213,[1]master_data!$A$2:$E$495,4,FALSE)</f>
        <v>5000</v>
      </c>
      <c r="H1213" s="16">
        <f>E1213*F1213</f>
        <v>45000</v>
      </c>
      <c r="I1213" s="16">
        <f>E1213*G1213</f>
        <v>150000</v>
      </c>
      <c r="J1213" s="16">
        <f>I1213-H1213</f>
        <v>105000</v>
      </c>
      <c r="K1213" s="16" t="str">
        <f>VLOOKUP(C1213,[1]master_data!$A$2:$E$495,5,FALSE)</f>
        <v>Aksesoris</v>
      </c>
      <c r="L1213" s="1"/>
    </row>
    <row r="1214" spans="1:12" ht="12" customHeight="1" x14ac:dyDescent="0.25">
      <c r="A1214" s="15">
        <v>44330</v>
      </c>
      <c r="B1214" s="16" t="s">
        <v>995</v>
      </c>
      <c r="C1214" s="16" t="s">
        <v>325</v>
      </c>
      <c r="D1214" s="16" t="str">
        <f>VLOOKUP(C1214,[1]master_data!$A$2:$E$495,2,FALSE)</f>
        <v>HIU TAWAR</v>
      </c>
      <c r="E1214" s="16">
        <v>20</v>
      </c>
      <c r="F1214" s="16">
        <f>VLOOKUP(C1214,[1]master_data!$A$2:$E$495,3,FALSE)</f>
        <v>600</v>
      </c>
      <c r="G1214" s="16">
        <f>VLOOKUP(C1214,[1]master_data!$A$2:$E$495,4,FALSE)</f>
        <v>2000</v>
      </c>
      <c r="H1214" s="16">
        <f>E1214*F1214</f>
        <v>12000</v>
      </c>
      <c r="I1214" s="16">
        <f>E1214*G1214</f>
        <v>40000</v>
      </c>
      <c r="J1214" s="16">
        <f>I1214-H1214</f>
        <v>28000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44330</v>
      </c>
      <c r="B1215" s="16" t="s">
        <v>996</v>
      </c>
      <c r="C1215" s="16" t="s">
        <v>356</v>
      </c>
      <c r="D1215" s="16" t="str">
        <f>VLOOKUP(C1215,[1]master_data!$A$2:$E$495,2,FALSE)</f>
        <v>PARROT</v>
      </c>
      <c r="E1215" s="16">
        <v>1</v>
      </c>
      <c r="F1215" s="16">
        <f>VLOOKUP(C1215,[1]master_data!$A$2:$E$495,3,FALSE)</f>
        <v>27000</v>
      </c>
      <c r="G1215" s="16">
        <f>VLOOKUP(C1215,[1]master_data!$A$2:$E$495,4,FALSE)</f>
        <v>60000</v>
      </c>
      <c r="H1215" s="16">
        <f>E1215*F1215</f>
        <v>27000</v>
      </c>
      <c r="I1215" s="16">
        <f>E1215*G1215</f>
        <v>60000</v>
      </c>
      <c r="J1215" s="16">
        <f>I1215-H1215</f>
        <v>33000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44329</v>
      </c>
      <c r="B1216" s="16" t="s">
        <v>991</v>
      </c>
      <c r="C1216" s="16" t="s">
        <v>253</v>
      </c>
      <c r="D1216" s="16" t="str">
        <f>VLOOKUP(C1216,[1]master_data!$A$2:$E$495,2,FALSE)</f>
        <v>TEMPAT CACING</v>
      </c>
      <c r="E1216" s="16">
        <v>15</v>
      </c>
      <c r="F1216" s="16">
        <f>VLOOKUP(C1216,[1]master_data!$A$2:$E$495,3,FALSE)</f>
        <v>1500</v>
      </c>
      <c r="G1216" s="16">
        <f>VLOOKUP(C1216,[1]master_data!$A$2:$E$495,4,FALSE)</f>
        <v>5000</v>
      </c>
      <c r="H1216" s="16">
        <f>E1216*F1216</f>
        <v>22500</v>
      </c>
      <c r="I1216" s="16">
        <f>E1216*G1216</f>
        <v>75000</v>
      </c>
      <c r="J1216" s="16">
        <f>I1216-H1216</f>
        <v>52500</v>
      </c>
      <c r="K1216" s="16" t="str">
        <f>VLOOKUP(C1216,[1]master_data!$A$2:$E$495,5,FALSE)</f>
        <v>Aksesoris</v>
      </c>
      <c r="L1216" s="1"/>
    </row>
    <row r="1217" spans="1:12" ht="12" customHeight="1" x14ac:dyDescent="0.25">
      <c r="A1217" s="15">
        <v>44329</v>
      </c>
      <c r="B1217" s="16" t="s">
        <v>992</v>
      </c>
      <c r="C1217" s="16" t="s">
        <v>373</v>
      </c>
      <c r="D1217" s="16" t="str">
        <f>VLOOKUP(C1217,[1]master_data!$A$2:$E$495,2,FALSE)</f>
        <v>SEPAT</v>
      </c>
      <c r="E1217" s="16">
        <v>5</v>
      </c>
      <c r="F1217" s="16">
        <f>VLOOKUP(C1217,[1]master_data!$A$2:$E$495,3,FALSE)</f>
        <v>600</v>
      </c>
      <c r="G1217" s="16">
        <f>VLOOKUP(C1217,[1]master_data!$A$2:$E$495,4,FALSE)</f>
        <v>2000</v>
      </c>
      <c r="H1217" s="16">
        <f>E1217*F1217</f>
        <v>3000</v>
      </c>
      <c r="I1217" s="16">
        <f>E1217*G1217</f>
        <v>10000</v>
      </c>
      <c r="J1217" s="16">
        <f>I1217-H1217</f>
        <v>7000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44329</v>
      </c>
      <c r="B1218" s="16" t="s">
        <v>993</v>
      </c>
      <c r="C1218" s="16" t="s">
        <v>26</v>
      </c>
      <c r="D1218" s="16" t="str">
        <f>VLOOKUP(C1218,[1]master_data!$A$2:$E$495,2,FALSE)</f>
        <v>MESIN ROSTON 108</v>
      </c>
      <c r="E1218" s="16">
        <v>1</v>
      </c>
      <c r="F1218" s="16">
        <f>VLOOKUP(C1218,[1]master_data!$A$2:$E$495,3,FALSE)</f>
        <v>190000</v>
      </c>
      <c r="G1218" s="16">
        <f>VLOOKUP(C1218,[1]master_data!$A$2:$E$495,4,FALSE)</f>
        <v>275000</v>
      </c>
      <c r="H1218" s="16">
        <f>E1218*F1218</f>
        <v>190000</v>
      </c>
      <c r="I1218" s="16">
        <f>E1218*G1218</f>
        <v>275000</v>
      </c>
      <c r="J1218" s="16">
        <f>I1218-H1218</f>
        <v>85000</v>
      </c>
      <c r="K1218" s="16" t="str">
        <f>VLOOKUP(C1218,[1]master_data!$A$2:$E$495,5,FALSE)</f>
        <v>Aksesoris</v>
      </c>
      <c r="L1218" s="1"/>
    </row>
    <row r="1219" spans="1:12" ht="12" customHeight="1" x14ac:dyDescent="0.25">
      <c r="A1219" s="15">
        <v>44328</v>
      </c>
      <c r="B1219" s="16" t="s">
        <v>984</v>
      </c>
      <c r="C1219" s="16" t="s">
        <v>259</v>
      </c>
      <c r="D1219" s="16" t="str">
        <f>VLOOKUP(C1219,[1]master_data!$A$2:$E$495,2,FALSE)</f>
        <v>AIRSTONE K</v>
      </c>
      <c r="E1219" s="16">
        <v>25</v>
      </c>
      <c r="F1219" s="16">
        <f>VLOOKUP(C1219,[1]master_data!$A$2:$E$495,3,FALSE)</f>
        <v>850</v>
      </c>
      <c r="G1219" s="16">
        <f>VLOOKUP(C1219,[1]master_data!$A$2:$E$495,4,FALSE)</f>
        <v>3000</v>
      </c>
      <c r="H1219" s="16">
        <f>E1219*F1219</f>
        <v>21250</v>
      </c>
      <c r="I1219" s="16">
        <f>E1219*G1219</f>
        <v>75000</v>
      </c>
      <c r="J1219" s="16">
        <f>I1219-H1219</f>
        <v>53750</v>
      </c>
      <c r="K1219" s="16" t="str">
        <f>VLOOKUP(C1219,[1]master_data!$A$2:$E$495,5,FALSE)</f>
        <v>Aksesoris</v>
      </c>
      <c r="L1219" s="1"/>
    </row>
    <row r="1220" spans="1:12" ht="12" customHeight="1" x14ac:dyDescent="0.25">
      <c r="A1220" s="15">
        <v>44328</v>
      </c>
      <c r="B1220" s="16" t="s">
        <v>985</v>
      </c>
      <c r="C1220" s="16" t="s">
        <v>285</v>
      </c>
      <c r="D1220" s="16" t="str">
        <f>VLOOKUP(C1220,[1]master_data!$A$2:$E$495,2,FALSE)</f>
        <v>AKUARIUM 50 ROBOT</v>
      </c>
      <c r="E1220" s="16">
        <v>1</v>
      </c>
      <c r="F1220" s="16">
        <f>VLOOKUP(C1220,[1]master_data!$A$2:$E$495,3,FALSE)</f>
        <v>115000</v>
      </c>
      <c r="G1220" s="16">
        <f>VLOOKUP(C1220,[1]master_data!$A$2:$E$495,4,FALSE)</f>
        <v>165000</v>
      </c>
      <c r="H1220" s="16">
        <f>E1220*F1220</f>
        <v>115000</v>
      </c>
      <c r="I1220" s="16">
        <f>E1220*G1220</f>
        <v>165000</v>
      </c>
      <c r="J1220" s="16">
        <f>I1220-H1220</f>
        <v>50000</v>
      </c>
      <c r="K1220" s="16" t="str">
        <f>VLOOKUP(C1220,[1]master_data!$A$2:$E$495,5,FALSE)</f>
        <v>Aksesoris</v>
      </c>
      <c r="L1220" s="1"/>
    </row>
    <row r="1221" spans="1:12" ht="12" customHeight="1" x14ac:dyDescent="0.25">
      <c r="A1221" s="15">
        <v>44328</v>
      </c>
      <c r="B1221" s="16" t="s">
        <v>986</v>
      </c>
      <c r="C1221" s="16" t="s">
        <v>355</v>
      </c>
      <c r="D1221" s="16" t="str">
        <f>VLOOKUP(C1221,[1]master_data!$A$2:$E$495,2,FALSE)</f>
        <v>PALMAS</v>
      </c>
      <c r="E1221" s="16">
        <v>1</v>
      </c>
      <c r="F1221" s="16">
        <f>VLOOKUP(C1221,[1]master_data!$A$2:$E$495,3,FALSE)</f>
        <v>10000</v>
      </c>
      <c r="G1221" s="16">
        <f>VLOOKUP(C1221,[1]master_data!$A$2:$E$495,4,FALSE)</f>
        <v>25000</v>
      </c>
      <c r="H1221" s="16">
        <f>E1221*F1221</f>
        <v>10000</v>
      </c>
      <c r="I1221" s="16">
        <f>E1221*G1221</f>
        <v>25000</v>
      </c>
      <c r="J1221" s="16">
        <f>I1221-H1221</f>
        <v>15000</v>
      </c>
      <c r="K1221" s="16" t="str">
        <f>VLOOKUP(C1221,[1]master_data!$A$2:$E$495,5,FALSE)</f>
        <v>Ikan</v>
      </c>
      <c r="L1221" s="1"/>
    </row>
    <row r="1222" spans="1:12" ht="12" customHeight="1" x14ac:dyDescent="0.25">
      <c r="A1222" s="15">
        <v>44328</v>
      </c>
      <c r="B1222" s="16" t="s">
        <v>987</v>
      </c>
      <c r="C1222" s="16" t="s">
        <v>352</v>
      </c>
      <c r="D1222" s="16" t="str">
        <f>VLOOKUP(C1222,[1]master_data!$A$2:$E$495,2,FALSE)</f>
        <v>OSCAR</v>
      </c>
      <c r="E1222" s="16">
        <v>3</v>
      </c>
      <c r="F1222" s="16">
        <f>VLOOKUP(C1222,[1]master_data!$A$2:$E$495,3,FALSE)</f>
        <v>25000</v>
      </c>
      <c r="G1222" s="16">
        <f>VLOOKUP(C1222,[1]master_data!$A$2:$E$495,4,FALSE)</f>
        <v>50000</v>
      </c>
      <c r="H1222" s="16">
        <f>E1222*F1222</f>
        <v>75000</v>
      </c>
      <c r="I1222" s="16">
        <f>E1222*G1222</f>
        <v>150000</v>
      </c>
      <c r="J1222" s="16">
        <f>I1222-H1222</f>
        <v>75000</v>
      </c>
      <c r="K1222" s="16" t="str">
        <f>VLOOKUP(C1222,[1]master_data!$A$2:$E$495,5,FALSE)</f>
        <v>Ikan</v>
      </c>
      <c r="L1222" s="1"/>
    </row>
    <row r="1223" spans="1:12" ht="12" customHeight="1" x14ac:dyDescent="0.25">
      <c r="A1223" s="15">
        <v>44328</v>
      </c>
      <c r="B1223" s="16" t="s">
        <v>988</v>
      </c>
      <c r="C1223" s="16" t="s">
        <v>123</v>
      </c>
      <c r="D1223" s="16" t="str">
        <f>VLOOKUP(C1223,[1]master_data!$A$2:$E$495,2,FALSE)</f>
        <v>LED KIYOSAKI 3 MODE 30 CM</v>
      </c>
      <c r="E1223" s="16">
        <v>1</v>
      </c>
      <c r="F1223" s="16">
        <f>VLOOKUP(C1223,[1]master_data!$A$2:$E$495,3,FALSE)</f>
        <v>40000</v>
      </c>
      <c r="G1223" s="16">
        <f>VLOOKUP(C1223,[1]master_data!$A$2:$E$495,4,FALSE)</f>
        <v>55000</v>
      </c>
      <c r="H1223" s="16">
        <f>E1223*F1223</f>
        <v>40000</v>
      </c>
      <c r="I1223" s="16">
        <f>E1223*G1223</f>
        <v>55000</v>
      </c>
      <c r="J1223" s="16">
        <f>I1223-H1223</f>
        <v>15000</v>
      </c>
      <c r="K1223" s="16" t="str">
        <f>VLOOKUP(C1223,[1]master_data!$A$2:$E$495,5,FALSE)</f>
        <v>Aksesoris</v>
      </c>
      <c r="L1223" s="1"/>
    </row>
    <row r="1224" spans="1:12" ht="12" customHeight="1" x14ac:dyDescent="0.25">
      <c r="A1224" s="15">
        <v>44328</v>
      </c>
      <c r="B1224" s="16" t="s">
        <v>989</v>
      </c>
      <c r="C1224" s="16" t="s">
        <v>159</v>
      </c>
      <c r="D1224" s="16" t="str">
        <f>VLOOKUP(C1224,[1]master_data!$A$2:$E$495,2,FALSE)</f>
        <v>LED KANDILA DnN ECO 30 CM</v>
      </c>
      <c r="E1224" s="16">
        <v>1</v>
      </c>
      <c r="F1224" s="16">
        <f>VLOOKUP(C1224,[1]master_data!$A$2:$E$495,3,FALSE)</f>
        <v>48000</v>
      </c>
      <c r="G1224" s="16">
        <f>VLOOKUP(C1224,[1]master_data!$A$2:$E$495,4,FALSE)</f>
        <v>70000</v>
      </c>
      <c r="H1224" s="16">
        <f>E1224*F1224</f>
        <v>48000</v>
      </c>
      <c r="I1224" s="16">
        <f>E1224*G1224</f>
        <v>70000</v>
      </c>
      <c r="J1224" s="16">
        <f>I1224-H1224</f>
        <v>22000</v>
      </c>
      <c r="K1224" s="16" t="str">
        <f>VLOOKUP(C1224,[1]master_data!$A$2:$E$495,5,FALSE)</f>
        <v>Aksesoris</v>
      </c>
      <c r="L1224" s="1"/>
    </row>
    <row r="1225" spans="1:12" ht="12" customHeight="1" x14ac:dyDescent="0.25">
      <c r="A1225" s="15">
        <v>44328</v>
      </c>
      <c r="B1225" s="16" t="s">
        <v>990</v>
      </c>
      <c r="C1225" s="16" t="s">
        <v>34</v>
      </c>
      <c r="D1225" s="16" t="str">
        <f>VLOOKUP(C1225,[1]master_data!$A$2:$E$495,2,FALSE)</f>
        <v>MESIN YAMANO ACT 5800</v>
      </c>
      <c r="E1225" s="16">
        <v>1</v>
      </c>
      <c r="F1225" s="16">
        <f>VLOOKUP(C1225,[1]master_data!$A$2:$E$495,3,FALSE)</f>
        <v>500000</v>
      </c>
      <c r="G1225" s="16">
        <f>VLOOKUP(C1225,[1]master_data!$A$2:$E$495,4,FALSE)</f>
        <v>600000</v>
      </c>
      <c r="H1225" s="16">
        <f>E1225*F1225</f>
        <v>500000</v>
      </c>
      <c r="I1225" s="16">
        <f>E1225*G1225</f>
        <v>600000</v>
      </c>
      <c r="J1225" s="16">
        <f>I1225-H1225</f>
        <v>100000</v>
      </c>
      <c r="K1225" s="16" t="str">
        <f>VLOOKUP(C1225,[1]master_data!$A$2:$E$495,5,FALSE)</f>
        <v>Aksesoris</v>
      </c>
      <c r="L1225" s="1"/>
    </row>
    <row r="1226" spans="1:12" ht="12" customHeight="1" x14ac:dyDescent="0.25">
      <c r="A1226" s="15">
        <v>44327</v>
      </c>
      <c r="B1226" s="16" t="s">
        <v>981</v>
      </c>
      <c r="C1226" s="16" t="s">
        <v>68</v>
      </c>
      <c r="D1226" s="16" t="str">
        <f>VLOOKUP(C1226,[1]master_data!$A$2:$E$495,2,FALSE)</f>
        <v>MESIN RESUN 1200</v>
      </c>
      <c r="E1226" s="16">
        <v>5</v>
      </c>
      <c r="F1226" s="16">
        <f>VLOOKUP(C1226,[1]master_data!$A$2:$E$495,3,FALSE)</f>
        <v>55000</v>
      </c>
      <c r="G1226" s="16">
        <f>VLOOKUP(C1226,[1]master_data!$A$2:$E$495,4,FALSE)</f>
        <v>75000</v>
      </c>
      <c r="H1226" s="16">
        <f>E1226*F1226</f>
        <v>275000</v>
      </c>
      <c r="I1226" s="16">
        <f>E1226*G1226</f>
        <v>375000</v>
      </c>
      <c r="J1226" s="16">
        <f>I1226-H1226</f>
        <v>100000</v>
      </c>
      <c r="K1226" s="16" t="str">
        <f>VLOOKUP(C1226,[1]master_data!$A$2:$E$495,5,FALSE)</f>
        <v>Aksesoris</v>
      </c>
      <c r="L1226" s="1"/>
    </row>
    <row r="1227" spans="1:12" ht="12" customHeight="1" x14ac:dyDescent="0.25">
      <c r="A1227" s="15">
        <v>44327</v>
      </c>
      <c r="B1227" s="16" t="s">
        <v>982</v>
      </c>
      <c r="C1227" s="16" t="s">
        <v>309</v>
      </c>
      <c r="D1227" s="16" t="str">
        <f>VLOOKUP(C1227,[1]master_data!$A$2:$E$495,2,FALSE)</f>
        <v>ALGA EATER</v>
      </c>
      <c r="E1227" s="16">
        <v>15</v>
      </c>
      <c r="F1227" s="16">
        <f>VLOOKUP(C1227,[1]master_data!$A$2:$E$495,3,FALSE)</f>
        <v>1750</v>
      </c>
      <c r="G1227" s="16">
        <f>VLOOKUP(C1227,[1]master_data!$A$2:$E$495,4,FALSE)</f>
        <v>5000</v>
      </c>
      <c r="H1227" s="16">
        <f>E1227*F1227</f>
        <v>26250</v>
      </c>
      <c r="I1227" s="16">
        <f>E1227*G1227</f>
        <v>75000</v>
      </c>
      <c r="J1227" s="16">
        <f>I1227-H1227</f>
        <v>48750</v>
      </c>
      <c r="K1227" s="16" t="str">
        <f>VLOOKUP(C1227,[1]master_data!$A$2:$E$495,5,FALSE)</f>
        <v>Ikan</v>
      </c>
      <c r="L1227" s="1"/>
    </row>
    <row r="1228" spans="1:12" ht="12" customHeight="1" x14ac:dyDescent="0.25">
      <c r="A1228" s="15">
        <v>44327</v>
      </c>
      <c r="B1228" s="16" t="s">
        <v>983</v>
      </c>
      <c r="C1228" s="16" t="s">
        <v>337</v>
      </c>
      <c r="D1228" s="16" t="str">
        <f>VLOOKUP(C1228,[1]master_data!$A$2:$E$495,2,FALSE)</f>
        <v>KOI SLAYER B</v>
      </c>
      <c r="E1228" s="16">
        <v>5</v>
      </c>
      <c r="F1228" s="16">
        <f>VLOOKUP(C1228,[1]master_data!$A$2:$E$495,3,FALSE)</f>
        <v>8000</v>
      </c>
      <c r="G1228" s="16">
        <f>VLOOKUP(C1228,[1]master_data!$A$2:$E$495,4,FALSE)</f>
        <v>20000</v>
      </c>
      <c r="H1228" s="16">
        <f>E1228*F1228</f>
        <v>40000</v>
      </c>
      <c r="I1228" s="16">
        <f>E1228*G1228</f>
        <v>100000</v>
      </c>
      <c r="J1228" s="16">
        <f>I1228-H1228</f>
        <v>60000</v>
      </c>
      <c r="K1228" s="16" t="str">
        <f>VLOOKUP(C1228,[1]master_data!$A$2:$E$495,5,FALSE)</f>
        <v>Ikan</v>
      </c>
      <c r="L1228" s="1"/>
    </row>
    <row r="1229" spans="1:12" ht="12" customHeight="1" x14ac:dyDescent="0.25">
      <c r="A1229" s="15">
        <v>44326</v>
      </c>
      <c r="B1229" s="16" t="s">
        <v>978</v>
      </c>
      <c r="C1229" s="16" t="s">
        <v>367</v>
      </c>
      <c r="D1229" s="16" t="str">
        <f>VLOOKUP(C1229,[1]master_data!$A$2:$E$495,2,FALSE)</f>
        <v>TETRA</v>
      </c>
      <c r="E1229" s="16">
        <v>15</v>
      </c>
      <c r="F1229" s="16">
        <f>VLOOKUP(C1229,[1]master_data!$A$2:$E$495,3,FALSE)</f>
        <v>800</v>
      </c>
      <c r="G1229" s="16">
        <f>VLOOKUP(C1229,[1]master_data!$A$2:$E$495,4,FALSE)</f>
        <v>2000</v>
      </c>
      <c r="H1229" s="16">
        <f>E1229*F1229</f>
        <v>12000</v>
      </c>
      <c r="I1229" s="16">
        <f>E1229*G1229</f>
        <v>30000</v>
      </c>
      <c r="J1229" s="16">
        <f>I1229-H1229</f>
        <v>18000</v>
      </c>
      <c r="K1229" s="16" t="str">
        <f>VLOOKUP(C1229,[1]master_data!$A$2:$E$495,5,FALSE)</f>
        <v>Ikan</v>
      </c>
      <c r="L1229" s="1"/>
    </row>
    <row r="1230" spans="1:12" ht="12" customHeight="1" x14ac:dyDescent="0.25">
      <c r="A1230" s="15">
        <v>44326</v>
      </c>
      <c r="B1230" s="16" t="s">
        <v>979</v>
      </c>
      <c r="C1230" s="16" t="s">
        <v>333</v>
      </c>
      <c r="D1230" s="16" t="str">
        <f>VLOOKUP(C1230,[1]master_data!$A$2:$E$495,2,FALSE)</f>
        <v>KAVIAT</v>
      </c>
      <c r="E1230" s="16">
        <v>29</v>
      </c>
      <c r="F1230" s="16">
        <f>VLOOKUP(C1230,[1]master_data!$A$2:$E$495,3,FALSE)</f>
        <v>3500</v>
      </c>
      <c r="G1230" s="16">
        <f>VLOOKUP(C1230,[1]master_data!$A$2:$E$495,4,FALSE)</f>
        <v>8000</v>
      </c>
      <c r="H1230" s="16">
        <f>E1230*F1230</f>
        <v>101500</v>
      </c>
      <c r="I1230" s="16">
        <f>E1230*G1230</f>
        <v>232000</v>
      </c>
      <c r="J1230" s="16">
        <f>I1230-H1230</f>
        <v>130500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44326</v>
      </c>
      <c r="B1231" s="16" t="s">
        <v>980</v>
      </c>
      <c r="C1231" s="16" t="s">
        <v>153</v>
      </c>
      <c r="D1231" s="16" t="str">
        <f>VLOOKUP(C1231,[1]master_data!$A$2:$E$495,2,FALSE)</f>
        <v>LED RECENT DnN 40 CM</v>
      </c>
      <c r="E1231" s="16">
        <v>1</v>
      </c>
      <c r="F1231" s="16">
        <f>VLOOKUP(C1231,[1]master_data!$A$2:$E$495,3,FALSE)</f>
        <v>29000</v>
      </c>
      <c r="G1231" s="16">
        <f>VLOOKUP(C1231,[1]master_data!$A$2:$E$495,4,FALSE)</f>
        <v>50000</v>
      </c>
      <c r="H1231" s="16">
        <f>E1231*F1231</f>
        <v>29000</v>
      </c>
      <c r="I1231" s="16">
        <f>E1231*G1231</f>
        <v>50000</v>
      </c>
      <c r="J1231" s="16">
        <f>I1231-H1231</f>
        <v>21000</v>
      </c>
      <c r="K1231" s="16" t="str">
        <f>VLOOKUP(C1231,[1]master_data!$A$2:$E$495,5,FALSE)</f>
        <v>Aksesoris</v>
      </c>
      <c r="L1231" s="1"/>
    </row>
    <row r="1232" spans="1:12" ht="12" customHeight="1" x14ac:dyDescent="0.25">
      <c r="A1232" s="15">
        <v>44325</v>
      </c>
      <c r="B1232" s="16" t="s">
        <v>972</v>
      </c>
      <c r="C1232" s="16" t="s">
        <v>68</v>
      </c>
      <c r="D1232" s="16" t="str">
        <f>VLOOKUP(C1232,[1]master_data!$A$2:$E$495,2,FALSE)</f>
        <v>MESIN RESUN 1200</v>
      </c>
      <c r="E1232" s="16">
        <v>2</v>
      </c>
      <c r="F1232" s="16">
        <f>VLOOKUP(C1232,[1]master_data!$A$2:$E$495,3,FALSE)</f>
        <v>55000</v>
      </c>
      <c r="G1232" s="16">
        <f>VLOOKUP(C1232,[1]master_data!$A$2:$E$495,4,FALSE)</f>
        <v>75000</v>
      </c>
      <c r="H1232" s="16">
        <f>E1232*F1232</f>
        <v>110000</v>
      </c>
      <c r="I1232" s="16">
        <f>E1232*G1232</f>
        <v>150000</v>
      </c>
      <c r="J1232" s="16">
        <f>I1232-H1232</f>
        <v>40000</v>
      </c>
      <c r="K1232" s="16" t="str">
        <f>VLOOKUP(C1232,[1]master_data!$A$2:$E$495,5,FALSE)</f>
        <v>Aksesoris</v>
      </c>
      <c r="L1232" s="1"/>
    </row>
    <row r="1233" spans="1:12" ht="12" customHeight="1" x14ac:dyDescent="0.25">
      <c r="A1233" s="15">
        <v>44325</v>
      </c>
      <c r="B1233" s="16" t="s">
        <v>973</v>
      </c>
      <c r="C1233" s="16" t="s">
        <v>369</v>
      </c>
      <c r="D1233" s="16" t="str">
        <f>VLOOKUP(C1233,[1]master_data!$A$2:$E$495,2,FALSE)</f>
        <v>ZEBRA PINK</v>
      </c>
      <c r="E1233" s="16">
        <v>15</v>
      </c>
      <c r="F1233" s="16">
        <f>VLOOKUP(C1233,[1]master_data!$A$2:$E$495,3,FALSE)</f>
        <v>800</v>
      </c>
      <c r="G1233" s="16">
        <f>VLOOKUP(C1233,[1]master_data!$A$2:$E$495,4,FALSE)</f>
        <v>2000</v>
      </c>
      <c r="H1233" s="16">
        <f>E1233*F1233</f>
        <v>12000</v>
      </c>
      <c r="I1233" s="16">
        <f>E1233*G1233</f>
        <v>30000</v>
      </c>
      <c r="J1233" s="16">
        <f>I1233-H1233</f>
        <v>18000</v>
      </c>
      <c r="K1233" s="16" t="str">
        <f>VLOOKUP(C1233,[1]master_data!$A$2:$E$495,5,FALSE)</f>
        <v>Ikan</v>
      </c>
      <c r="L1233" s="1"/>
    </row>
    <row r="1234" spans="1:12" ht="12" customHeight="1" x14ac:dyDescent="0.25">
      <c r="A1234" s="15">
        <v>44325</v>
      </c>
      <c r="B1234" s="16" t="s">
        <v>974</v>
      </c>
      <c r="C1234" s="16" t="s">
        <v>367</v>
      </c>
      <c r="D1234" s="16" t="str">
        <f>VLOOKUP(C1234,[1]master_data!$A$2:$E$495,2,FALSE)</f>
        <v>TETRA</v>
      </c>
      <c r="E1234" s="16">
        <v>30</v>
      </c>
      <c r="F1234" s="16">
        <f>VLOOKUP(C1234,[1]master_data!$A$2:$E$495,3,FALSE)</f>
        <v>800</v>
      </c>
      <c r="G1234" s="16">
        <f>VLOOKUP(C1234,[1]master_data!$A$2:$E$495,4,FALSE)</f>
        <v>2000</v>
      </c>
      <c r="H1234" s="16">
        <f>E1234*F1234</f>
        <v>24000</v>
      </c>
      <c r="I1234" s="16">
        <f>E1234*G1234</f>
        <v>60000</v>
      </c>
      <c r="J1234" s="16">
        <f>I1234-H1234</f>
        <v>36000</v>
      </c>
      <c r="K1234" s="16" t="str">
        <f>VLOOKUP(C1234,[1]master_data!$A$2:$E$495,5,FALSE)</f>
        <v>Ikan</v>
      </c>
      <c r="L1234" s="1"/>
    </row>
    <row r="1235" spans="1:12" ht="12" customHeight="1" x14ac:dyDescent="0.25">
      <c r="A1235" s="15">
        <v>44325</v>
      </c>
      <c r="B1235" s="16" t="s">
        <v>975</v>
      </c>
      <c r="C1235" s="16" t="s">
        <v>61</v>
      </c>
      <c r="D1235" s="16" t="str">
        <f>VLOOKUP(C1235,[1]master_data!$A$2:$E$495,2,FALSE)</f>
        <v>BOX KOSONG JUMBO</v>
      </c>
      <c r="E1235" s="16">
        <v>2</v>
      </c>
      <c r="F1235" s="16">
        <f>VLOOKUP(C1235,[1]master_data!$A$2:$E$495,3,FALSE)</f>
        <v>25000</v>
      </c>
      <c r="G1235" s="16">
        <f>VLOOKUP(C1235,[1]master_data!$A$2:$E$495,4,FALSE)</f>
        <v>45000</v>
      </c>
      <c r="H1235" s="16">
        <f>E1235*F1235</f>
        <v>50000</v>
      </c>
      <c r="I1235" s="16">
        <f>E1235*G1235</f>
        <v>90000</v>
      </c>
      <c r="J1235" s="16">
        <f>I1235-H1235</f>
        <v>40000</v>
      </c>
      <c r="K1235" s="16" t="str">
        <f>VLOOKUP(C1235,[1]master_data!$A$2:$E$495,5,FALSE)</f>
        <v>Aksesoris</v>
      </c>
      <c r="L1235" s="1"/>
    </row>
    <row r="1236" spans="1:12" ht="12" customHeight="1" x14ac:dyDescent="0.25">
      <c r="A1236" s="15">
        <v>44325</v>
      </c>
      <c r="B1236" s="16" t="s">
        <v>976</v>
      </c>
      <c r="C1236" s="16" t="s">
        <v>53</v>
      </c>
      <c r="D1236" s="16" t="str">
        <f>VLOOKUP(C1236,[1]master_data!$A$2:$E$495,2,FALSE)</f>
        <v>MESIN  ARMDA 1200</v>
      </c>
      <c r="E1236" s="16">
        <v>1</v>
      </c>
      <c r="F1236" s="16">
        <f>VLOOKUP(C1236,[1]master_data!$A$2:$E$495,3,FALSE)</f>
        <v>20000</v>
      </c>
      <c r="G1236" s="16">
        <f>VLOOKUP(C1236,[1]master_data!$A$2:$E$495,4,FALSE)</f>
        <v>30000</v>
      </c>
      <c r="H1236" s="16">
        <f>E1236*F1236</f>
        <v>20000</v>
      </c>
      <c r="I1236" s="16">
        <f>E1236*G1236</f>
        <v>30000</v>
      </c>
      <c r="J1236" s="16">
        <f>I1236-H1236</f>
        <v>10000</v>
      </c>
      <c r="K1236" s="16" t="str">
        <f>VLOOKUP(C1236,[1]master_data!$A$2:$E$495,5,FALSE)</f>
        <v>Aksesoris</v>
      </c>
      <c r="L1236" s="1"/>
    </row>
    <row r="1237" spans="1:12" ht="12" customHeight="1" x14ac:dyDescent="0.25">
      <c r="A1237" s="15">
        <v>44325</v>
      </c>
      <c r="B1237" s="16" t="s">
        <v>977</v>
      </c>
      <c r="C1237" s="16" t="s">
        <v>339</v>
      </c>
      <c r="D1237" s="16" t="str">
        <f>VLOOKUP(C1237,[1]master_data!$A$2:$E$495,2,FALSE)</f>
        <v>DISCUS</v>
      </c>
      <c r="E1237" s="16">
        <v>2</v>
      </c>
      <c r="F1237" s="16">
        <f>VLOOKUP(C1237,[1]master_data!$A$2:$E$495,3,FALSE)</f>
        <v>50000</v>
      </c>
      <c r="G1237" s="16">
        <f>VLOOKUP(C1237,[1]master_data!$A$2:$E$495,4,FALSE)</f>
        <v>150000</v>
      </c>
      <c r="H1237" s="16">
        <f>E1237*F1237</f>
        <v>100000</v>
      </c>
      <c r="I1237" s="16">
        <f>E1237*G1237</f>
        <v>300000</v>
      </c>
      <c r="J1237" s="16">
        <f>I1237-H1237</f>
        <v>200000</v>
      </c>
      <c r="K1237" s="16" t="str">
        <f>VLOOKUP(C1237,[1]master_data!$A$2:$E$495,5,FALSE)</f>
        <v>Ikan</v>
      </c>
      <c r="L1237" s="1"/>
    </row>
    <row r="1238" spans="1:12" ht="12" customHeight="1" x14ac:dyDescent="0.25">
      <c r="A1238" s="15">
        <v>44324</v>
      </c>
      <c r="B1238" s="16" t="s">
        <v>966</v>
      </c>
      <c r="C1238" s="16" t="s">
        <v>312</v>
      </c>
      <c r="D1238" s="16" t="str">
        <f>VLOOKUP(C1238,[1]master_data!$A$2:$E$495,2,FALSE)</f>
        <v>BUENOS AIRES TETRA</v>
      </c>
      <c r="E1238" s="16">
        <v>25</v>
      </c>
      <c r="F1238" s="16">
        <f>VLOOKUP(C1238,[1]master_data!$A$2:$E$495,3,FALSE)</f>
        <v>800</v>
      </c>
      <c r="G1238" s="16">
        <f>VLOOKUP(C1238,[1]master_data!$A$2:$E$495,4,FALSE)</f>
        <v>2000</v>
      </c>
      <c r="H1238" s="16">
        <f>E1238*F1238</f>
        <v>20000</v>
      </c>
      <c r="I1238" s="16">
        <f>E1238*G1238</f>
        <v>50000</v>
      </c>
      <c r="J1238" s="16">
        <f>I1238-H1238</f>
        <v>30000</v>
      </c>
      <c r="K1238" s="16" t="str">
        <f>VLOOKUP(C1238,[1]master_data!$A$2:$E$495,5,FALSE)</f>
        <v>Ikan</v>
      </c>
      <c r="L1238" s="1"/>
    </row>
    <row r="1239" spans="1:12" ht="12" customHeight="1" x14ac:dyDescent="0.25">
      <c r="A1239" s="15">
        <v>44324</v>
      </c>
      <c r="B1239" s="16" t="s">
        <v>967</v>
      </c>
      <c r="C1239" s="16" t="s">
        <v>332</v>
      </c>
      <c r="D1239" s="16" t="str">
        <f>VLOOKUP(C1239,[1]master_data!$A$2:$E$495,2,FALSE)</f>
        <v>KURA - KURA</v>
      </c>
      <c r="E1239" s="16">
        <v>2</v>
      </c>
      <c r="F1239" s="16">
        <f>VLOOKUP(C1239,[1]master_data!$A$2:$E$495,3,FALSE)</f>
        <v>25000</v>
      </c>
      <c r="G1239" s="16">
        <f>VLOOKUP(C1239,[1]master_data!$A$2:$E$495,4,FALSE)</f>
        <v>35000</v>
      </c>
      <c r="H1239" s="16">
        <f>E1239*F1239</f>
        <v>50000</v>
      </c>
      <c r="I1239" s="16">
        <f>E1239*G1239</f>
        <v>70000</v>
      </c>
      <c r="J1239" s="16">
        <f>I1239-H1239</f>
        <v>20000</v>
      </c>
      <c r="K1239" s="16" t="str">
        <f>VLOOKUP(C1239,[1]master_data!$A$2:$E$495,5,FALSE)</f>
        <v>Ikan</v>
      </c>
      <c r="L1239" s="1"/>
    </row>
    <row r="1240" spans="1:12" ht="12" customHeight="1" x14ac:dyDescent="0.25">
      <c r="A1240" s="15">
        <v>44324</v>
      </c>
      <c r="B1240" s="16" t="s">
        <v>968</v>
      </c>
      <c r="C1240" s="16" t="s">
        <v>370</v>
      </c>
      <c r="D1240" s="16" t="str">
        <f>VLOOKUP(C1240,[1]master_data!$A$2:$E$495,2,FALSE)</f>
        <v>ZEBRA HIJAU</v>
      </c>
      <c r="E1240" s="16">
        <v>15</v>
      </c>
      <c r="F1240" s="16">
        <f>VLOOKUP(C1240,[1]master_data!$A$2:$E$495,3,FALSE)</f>
        <v>800</v>
      </c>
      <c r="G1240" s="16">
        <f>VLOOKUP(C1240,[1]master_data!$A$2:$E$495,4,FALSE)</f>
        <v>2000</v>
      </c>
      <c r="H1240" s="16">
        <f>E1240*F1240</f>
        <v>12000</v>
      </c>
      <c r="I1240" s="16">
        <f>E1240*G1240</f>
        <v>30000</v>
      </c>
      <c r="J1240" s="16">
        <f>I1240-H1240</f>
        <v>18000</v>
      </c>
      <c r="K1240" s="16" t="str">
        <f>VLOOKUP(C1240,[1]master_data!$A$2:$E$495,5,FALSE)</f>
        <v>Ikan</v>
      </c>
      <c r="L1240" s="1"/>
    </row>
    <row r="1241" spans="1:12" ht="12" customHeight="1" x14ac:dyDescent="0.25">
      <c r="A1241" s="15">
        <v>44324</v>
      </c>
      <c r="B1241" s="16" t="s">
        <v>969</v>
      </c>
      <c r="C1241" s="16" t="s">
        <v>329</v>
      </c>
      <c r="D1241" s="16" t="str">
        <f>VLOOKUP(C1241,[1]master_data!$A$2:$E$495,2,FALSE)</f>
        <v>KOI K</v>
      </c>
      <c r="E1241" s="16">
        <v>10</v>
      </c>
      <c r="F1241" s="16">
        <f>VLOOKUP(C1241,[1]master_data!$A$2:$E$495,3,FALSE)</f>
        <v>2500</v>
      </c>
      <c r="G1241" s="16">
        <f>VLOOKUP(C1241,[1]master_data!$A$2:$E$495,4,FALSE)</f>
        <v>10000</v>
      </c>
      <c r="H1241" s="16">
        <f>E1241*F1241</f>
        <v>25000</v>
      </c>
      <c r="I1241" s="16">
        <f>E1241*G1241</f>
        <v>100000</v>
      </c>
      <c r="J1241" s="16">
        <f>I1241-H1241</f>
        <v>75000</v>
      </c>
      <c r="K1241" s="16" t="str">
        <f>VLOOKUP(C1241,[1]master_data!$A$2:$E$495,5,FALSE)</f>
        <v>Ikan</v>
      </c>
      <c r="L1241" s="1"/>
    </row>
    <row r="1242" spans="1:12" ht="12" customHeight="1" x14ac:dyDescent="0.25">
      <c r="A1242" s="15">
        <v>44324</v>
      </c>
      <c r="B1242" s="16" t="s">
        <v>970</v>
      </c>
      <c r="C1242" s="16" t="s">
        <v>319</v>
      </c>
      <c r="D1242" s="16" t="str">
        <f>VLOOKUP(C1242,[1]master_data!$A$2:$E$495,2,FALSE)</f>
        <v>BARBIR</v>
      </c>
      <c r="E1242" s="16">
        <v>9</v>
      </c>
      <c r="F1242" s="16">
        <f>VLOOKUP(C1242,[1]master_data!$A$2:$E$495,3,FALSE)</f>
        <v>800</v>
      </c>
      <c r="G1242" s="16">
        <f>VLOOKUP(C1242,[1]master_data!$A$2:$E$495,4,FALSE)</f>
        <v>2000</v>
      </c>
      <c r="H1242" s="16">
        <f>E1242*F1242</f>
        <v>7200</v>
      </c>
      <c r="I1242" s="16">
        <f>E1242*G1242</f>
        <v>18000</v>
      </c>
      <c r="J1242" s="16">
        <f>I1242-H1242</f>
        <v>10800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44324</v>
      </c>
      <c r="B1243" s="16" t="s">
        <v>971</v>
      </c>
      <c r="C1243" s="16" t="s">
        <v>373</v>
      </c>
      <c r="D1243" s="16" t="str">
        <f>VLOOKUP(C1243,[1]master_data!$A$2:$E$495,2,FALSE)</f>
        <v>SEPAT</v>
      </c>
      <c r="E1243" s="16">
        <v>10</v>
      </c>
      <c r="F1243" s="16">
        <f>VLOOKUP(C1243,[1]master_data!$A$2:$E$495,3,FALSE)</f>
        <v>600</v>
      </c>
      <c r="G1243" s="16">
        <f>VLOOKUP(C1243,[1]master_data!$A$2:$E$495,4,FALSE)</f>
        <v>2000</v>
      </c>
      <c r="H1243" s="16">
        <f>E1243*F1243</f>
        <v>6000</v>
      </c>
      <c r="I1243" s="16">
        <f>E1243*G1243</f>
        <v>20000</v>
      </c>
      <c r="J1243" s="16">
        <f>I1243-H1243</f>
        <v>14000</v>
      </c>
      <c r="K1243" s="16" t="str">
        <f>VLOOKUP(C1243,[1]master_data!$A$2:$E$495,5,FALSE)</f>
        <v>Ikan</v>
      </c>
      <c r="L1243" s="1"/>
    </row>
    <row r="1244" spans="1:12" ht="12" customHeight="1" x14ac:dyDescent="0.25">
      <c r="A1244" s="15">
        <v>44323</v>
      </c>
      <c r="B1244" s="16" t="s">
        <v>965</v>
      </c>
      <c r="C1244" s="16" t="s">
        <v>20</v>
      </c>
      <c r="D1244" s="16" t="str">
        <f>VLOOKUP(C1244,[1]master_data!$A$2:$E$495,2,FALSE)</f>
        <v>MESIN ROSTON 1000 L</v>
      </c>
      <c r="E1244" s="16">
        <v>8</v>
      </c>
      <c r="F1244" s="16">
        <f>VLOOKUP(C1244,[1]master_data!$A$2:$E$495,3,FALSE)</f>
        <v>30000</v>
      </c>
      <c r="G1244" s="16">
        <f>VLOOKUP(C1244,[1]master_data!$A$2:$E$495,4,FALSE)</f>
        <v>45000</v>
      </c>
      <c r="H1244" s="16">
        <f>E1244*F1244</f>
        <v>240000</v>
      </c>
      <c r="I1244" s="16">
        <f>E1244*G1244</f>
        <v>360000</v>
      </c>
      <c r="J1244" s="16">
        <f>I1244-H1244</f>
        <v>120000</v>
      </c>
      <c r="K1244" s="16" t="str">
        <f>VLOOKUP(C1244,[1]master_data!$A$2:$E$495,5,FALSE)</f>
        <v>Aksesoris</v>
      </c>
      <c r="L1244" s="1"/>
    </row>
    <row r="1245" spans="1:12" ht="12" customHeight="1" x14ac:dyDescent="0.25">
      <c r="A1245" s="15">
        <v>44322</v>
      </c>
      <c r="B1245" s="16" t="s">
        <v>961</v>
      </c>
      <c r="C1245" s="16" t="s">
        <v>319</v>
      </c>
      <c r="D1245" s="16" t="str">
        <f>VLOOKUP(C1245,[1]master_data!$A$2:$E$495,2,FALSE)</f>
        <v>BARBIR</v>
      </c>
      <c r="E1245" s="16">
        <v>10</v>
      </c>
      <c r="F1245" s="16">
        <f>VLOOKUP(C1245,[1]master_data!$A$2:$E$495,3,FALSE)</f>
        <v>800</v>
      </c>
      <c r="G1245" s="16">
        <f>VLOOKUP(C1245,[1]master_data!$A$2:$E$495,4,FALSE)</f>
        <v>2000</v>
      </c>
      <c r="H1245" s="16">
        <f>E1245*F1245</f>
        <v>8000</v>
      </c>
      <c r="I1245" s="16">
        <f>E1245*G1245</f>
        <v>20000</v>
      </c>
      <c r="J1245" s="16">
        <f>I1245-H1245</f>
        <v>12000</v>
      </c>
      <c r="K1245" s="16" t="str">
        <f>VLOOKUP(C1245,[1]master_data!$A$2:$E$495,5,FALSE)</f>
        <v>Ikan</v>
      </c>
      <c r="L1245" s="1"/>
    </row>
    <row r="1246" spans="1:12" ht="12" customHeight="1" x14ac:dyDescent="0.25">
      <c r="A1246" s="15">
        <v>44322</v>
      </c>
      <c r="B1246" s="16" t="s">
        <v>962</v>
      </c>
      <c r="C1246" s="16" t="s">
        <v>289</v>
      </c>
      <c r="D1246" s="16" t="str">
        <f>VLOOKUP(C1246,[1]master_data!$A$2:$E$495,2,FALSE)</f>
        <v>SOLITER C1</v>
      </c>
      <c r="E1246" s="16">
        <v>5</v>
      </c>
      <c r="F1246" s="16">
        <f>VLOOKUP(C1246,[1]master_data!$A$2:$E$495,3,FALSE)</f>
        <v>55000</v>
      </c>
      <c r="G1246" s="16">
        <f>VLOOKUP(C1246,[1]master_data!$A$2:$E$495,4,FALSE)</f>
        <v>75000</v>
      </c>
      <c r="H1246" s="16">
        <f>E1246*F1246</f>
        <v>275000</v>
      </c>
      <c r="I1246" s="16">
        <f>E1246*G1246</f>
        <v>375000</v>
      </c>
      <c r="J1246" s="16">
        <f>I1246-H1246</f>
        <v>100000</v>
      </c>
      <c r="K1246" s="16" t="str">
        <f>VLOOKUP(C1246,[1]master_data!$A$2:$E$495,5,FALSE)</f>
        <v>Aksesoris</v>
      </c>
      <c r="L1246" s="1"/>
    </row>
    <row r="1247" spans="1:12" ht="12" customHeight="1" x14ac:dyDescent="0.25">
      <c r="A1247" s="15">
        <v>44322</v>
      </c>
      <c r="B1247" s="16" t="s">
        <v>963</v>
      </c>
      <c r="C1247" s="16" t="s">
        <v>86</v>
      </c>
      <c r="D1247" s="16" t="str">
        <f>VLOOKUP(C1247,[1]master_data!$A$2:$E$495,2,FALSE)</f>
        <v>AIRATOR ROSTON BATERAI  101</v>
      </c>
      <c r="E1247" s="16">
        <v>2</v>
      </c>
      <c r="F1247" s="16">
        <f>VLOOKUP(C1247,[1]master_data!$A$2:$E$495,3,FALSE)</f>
        <v>35000</v>
      </c>
      <c r="G1247" s="16">
        <f>VLOOKUP(C1247,[1]master_data!$A$2:$E$495,4,FALSE)</f>
        <v>50000</v>
      </c>
      <c r="H1247" s="16">
        <f>E1247*F1247</f>
        <v>70000</v>
      </c>
      <c r="I1247" s="16">
        <f>E1247*G1247</f>
        <v>100000</v>
      </c>
      <c r="J1247" s="16">
        <f>I1247-H1247</f>
        <v>30000</v>
      </c>
      <c r="K1247" s="16" t="str">
        <f>VLOOKUP(C1247,[1]master_data!$A$2:$E$495,5,FALSE)</f>
        <v>Aksesoris</v>
      </c>
      <c r="L1247" s="1"/>
    </row>
    <row r="1248" spans="1:12" ht="12" customHeight="1" x14ac:dyDescent="0.25">
      <c r="A1248" s="15">
        <v>44322</v>
      </c>
      <c r="B1248" s="16" t="s">
        <v>964</v>
      </c>
      <c r="C1248" s="16" t="s">
        <v>158</v>
      </c>
      <c r="D1248" s="16" t="str">
        <f>VLOOKUP(C1248,[1]master_data!$A$2:$E$495,2,FALSE)</f>
        <v>LED KANDILA DnN ECO 100 CM</v>
      </c>
      <c r="E1248" s="16">
        <v>1</v>
      </c>
      <c r="F1248" s="16">
        <f>VLOOKUP(C1248,[1]master_data!$A$2:$E$495,3,FALSE)</f>
        <v>103000</v>
      </c>
      <c r="G1248" s="16">
        <f>VLOOKUP(C1248,[1]master_data!$A$2:$E$495,4,FALSE)</f>
        <v>135000</v>
      </c>
      <c r="H1248" s="16">
        <f>E1248*F1248</f>
        <v>103000</v>
      </c>
      <c r="I1248" s="16">
        <f>E1248*G1248</f>
        <v>135000</v>
      </c>
      <c r="J1248" s="16">
        <f>I1248-H1248</f>
        <v>32000</v>
      </c>
      <c r="K1248" s="16" t="str">
        <f>VLOOKUP(C1248,[1]master_data!$A$2:$E$495,5,FALSE)</f>
        <v>Aksesoris</v>
      </c>
      <c r="L1248" s="1"/>
    </row>
    <row r="1249" spans="1:12" ht="12" customHeight="1" x14ac:dyDescent="0.25">
      <c r="A1249" s="15">
        <v>44321</v>
      </c>
      <c r="B1249" s="16" t="s">
        <v>955</v>
      </c>
      <c r="C1249" s="16" t="s">
        <v>25</v>
      </c>
      <c r="D1249" s="16" t="str">
        <f>VLOOKUP(C1249,[1]master_data!$A$2:$E$495,2,FALSE)</f>
        <v>MESIN ROSTON 107</v>
      </c>
      <c r="E1249" s="16">
        <v>1</v>
      </c>
      <c r="F1249" s="16">
        <f>VLOOKUP(C1249,[1]master_data!$A$2:$E$495,3,FALSE)</f>
        <v>185000</v>
      </c>
      <c r="G1249" s="16">
        <f>VLOOKUP(C1249,[1]master_data!$A$2:$E$495,4,FALSE)</f>
        <v>260000</v>
      </c>
      <c r="H1249" s="16">
        <f>E1249*F1249</f>
        <v>185000</v>
      </c>
      <c r="I1249" s="16">
        <f>E1249*G1249</f>
        <v>260000</v>
      </c>
      <c r="J1249" s="16">
        <f>I1249-H1249</f>
        <v>75000</v>
      </c>
      <c r="K1249" s="16" t="str">
        <f>VLOOKUP(C1249,[1]master_data!$A$2:$E$495,5,FALSE)</f>
        <v>Aksesoris</v>
      </c>
      <c r="L1249" s="1"/>
    </row>
    <row r="1250" spans="1:12" ht="12" customHeight="1" x14ac:dyDescent="0.25">
      <c r="A1250" s="15">
        <v>44321</v>
      </c>
      <c r="B1250" s="16" t="s">
        <v>956</v>
      </c>
      <c r="C1250" s="16" t="s">
        <v>346</v>
      </c>
      <c r="D1250" s="16" t="str">
        <f>VLOOKUP(C1250,[1]master_data!$A$2:$E$495,2,FALSE)</f>
        <v>MOLI PAKAN</v>
      </c>
      <c r="E1250" s="16">
        <v>20</v>
      </c>
      <c r="F1250" s="16">
        <f>VLOOKUP(C1250,[1]master_data!$A$2:$E$495,3,FALSE)</f>
        <v>100</v>
      </c>
      <c r="G1250" s="16">
        <f>VLOOKUP(C1250,[1]master_data!$A$2:$E$495,4,FALSE)</f>
        <v>200</v>
      </c>
      <c r="H1250" s="16">
        <f>E1250*F1250</f>
        <v>2000</v>
      </c>
      <c r="I1250" s="16">
        <f>E1250*G1250</f>
        <v>4000</v>
      </c>
      <c r="J1250" s="16">
        <f>I1250-H1250</f>
        <v>2000</v>
      </c>
      <c r="K1250" s="16" t="str">
        <f>VLOOKUP(C1250,[1]master_data!$A$2:$E$495,5,FALSE)</f>
        <v>Ikan</v>
      </c>
      <c r="L1250" s="1"/>
    </row>
    <row r="1251" spans="1:12" ht="12" customHeight="1" x14ac:dyDescent="0.25">
      <c r="A1251" s="15">
        <v>44321</v>
      </c>
      <c r="B1251" s="16" t="s">
        <v>957</v>
      </c>
      <c r="C1251" s="16" t="s">
        <v>305</v>
      </c>
      <c r="D1251" s="16" t="str">
        <f>VLOOKUP(C1251,[1]master_data!$A$2:$E$495,2,FALSE)</f>
        <v>CHANNA ASIATICA B</v>
      </c>
      <c r="E1251" s="16">
        <v>2</v>
      </c>
      <c r="F1251" s="16">
        <f>VLOOKUP(C1251,[1]master_data!$A$2:$E$495,3,FALSE)</f>
        <v>40000</v>
      </c>
      <c r="G1251" s="16">
        <f>VLOOKUP(C1251,[1]master_data!$A$2:$E$495,4,FALSE)</f>
        <v>100000</v>
      </c>
      <c r="H1251" s="16">
        <f>E1251*F1251</f>
        <v>80000</v>
      </c>
      <c r="I1251" s="16">
        <f>E1251*G1251</f>
        <v>200000</v>
      </c>
      <c r="J1251" s="16">
        <f>I1251-H1251</f>
        <v>120000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44321</v>
      </c>
      <c r="B1252" s="16" t="s">
        <v>958</v>
      </c>
      <c r="C1252" s="16" t="s">
        <v>351</v>
      </c>
      <c r="D1252" s="16" t="str">
        <f>VLOOKUP(C1252,[1]master_data!$A$2:$E$495,2,FALSE)</f>
        <v>NEON</v>
      </c>
      <c r="E1252" s="16">
        <v>7</v>
      </c>
      <c r="F1252" s="16">
        <f>VLOOKUP(C1252,[1]master_data!$A$2:$E$495,3,FALSE)</f>
        <v>1250</v>
      </c>
      <c r="G1252" s="16">
        <f>VLOOKUP(C1252,[1]master_data!$A$2:$E$495,4,FALSE)</f>
        <v>5000</v>
      </c>
      <c r="H1252" s="16">
        <f>E1252*F1252</f>
        <v>8750</v>
      </c>
      <c r="I1252" s="16">
        <f>E1252*G1252</f>
        <v>35000</v>
      </c>
      <c r="J1252" s="16">
        <f>I1252-H1252</f>
        <v>26250</v>
      </c>
      <c r="K1252" s="16" t="str">
        <f>VLOOKUP(C1252,[1]master_data!$A$2:$E$495,5,FALSE)</f>
        <v>Ikan</v>
      </c>
      <c r="L1252" s="1"/>
    </row>
    <row r="1253" spans="1:12" ht="12" customHeight="1" x14ac:dyDescent="0.25">
      <c r="A1253" s="15">
        <v>44321</v>
      </c>
      <c r="B1253" s="16" t="s">
        <v>959</v>
      </c>
      <c r="C1253" s="16" t="s">
        <v>329</v>
      </c>
      <c r="D1253" s="16" t="str">
        <f>VLOOKUP(C1253,[1]master_data!$A$2:$E$495,2,FALSE)</f>
        <v>KOI K</v>
      </c>
      <c r="E1253" s="16">
        <v>1</v>
      </c>
      <c r="F1253" s="16">
        <f>VLOOKUP(C1253,[1]master_data!$A$2:$E$495,3,FALSE)</f>
        <v>2500</v>
      </c>
      <c r="G1253" s="16">
        <f>VLOOKUP(C1253,[1]master_data!$A$2:$E$495,4,FALSE)</f>
        <v>10000</v>
      </c>
      <c r="H1253" s="16">
        <f>E1253*F1253</f>
        <v>2500</v>
      </c>
      <c r="I1253" s="16">
        <f>E1253*G1253</f>
        <v>10000</v>
      </c>
      <c r="J1253" s="16">
        <f>I1253-H1253</f>
        <v>7500</v>
      </c>
      <c r="K1253" s="16" t="str">
        <f>VLOOKUP(C1253,[1]master_data!$A$2:$E$495,5,FALSE)</f>
        <v>Ikan</v>
      </c>
      <c r="L1253" s="1"/>
    </row>
    <row r="1254" spans="1:12" ht="12" customHeight="1" x14ac:dyDescent="0.25">
      <c r="A1254" s="15">
        <v>44321</v>
      </c>
      <c r="B1254" s="16" t="s">
        <v>960</v>
      </c>
      <c r="C1254" s="16" t="s">
        <v>359</v>
      </c>
      <c r="D1254" s="16" t="str">
        <f>VLOOKUP(C1254,[1]master_data!$A$2:$E$495,2,FALSE)</f>
        <v>REDFIN ALBINO</v>
      </c>
      <c r="E1254" s="16">
        <v>100</v>
      </c>
      <c r="F1254" s="16">
        <f>VLOOKUP(C1254,[1]master_data!$A$2:$E$495,3,FALSE)</f>
        <v>1500</v>
      </c>
      <c r="G1254" s="16">
        <f>VLOOKUP(C1254,[1]master_data!$A$2:$E$495,4,FALSE)</f>
        <v>4000</v>
      </c>
      <c r="H1254" s="16">
        <f>E1254*F1254</f>
        <v>150000</v>
      </c>
      <c r="I1254" s="16">
        <f>E1254*G1254</f>
        <v>400000</v>
      </c>
      <c r="J1254" s="16">
        <f>I1254-H1254</f>
        <v>250000</v>
      </c>
      <c r="K1254" s="16" t="str">
        <f>VLOOKUP(C1254,[1]master_data!$A$2:$E$495,5,FALSE)</f>
        <v>Ikan</v>
      </c>
      <c r="L1254" s="1"/>
    </row>
    <row r="1255" spans="1:12" ht="12" customHeight="1" x14ac:dyDescent="0.25">
      <c r="A1255" s="15">
        <v>44320</v>
      </c>
      <c r="B1255" s="16" t="s">
        <v>948</v>
      </c>
      <c r="C1255" s="16" t="s">
        <v>362</v>
      </c>
      <c r="D1255" s="16" t="str">
        <f>VLOOKUP(C1255,[1]master_data!$A$2:$E$495,2,FALSE)</f>
        <v>SUMATRA BIASA</v>
      </c>
      <c r="E1255" s="16">
        <v>20</v>
      </c>
      <c r="F1255" s="16">
        <f>VLOOKUP(C1255,[1]master_data!$A$2:$E$495,3,FALSE)</f>
        <v>800</v>
      </c>
      <c r="G1255" s="16">
        <f>VLOOKUP(C1255,[1]master_data!$A$2:$E$495,4,FALSE)</f>
        <v>2000</v>
      </c>
      <c r="H1255" s="16">
        <f>E1255*F1255</f>
        <v>16000</v>
      </c>
      <c r="I1255" s="16">
        <f>E1255*G1255</f>
        <v>40000</v>
      </c>
      <c r="J1255" s="16">
        <f>I1255-H1255</f>
        <v>24000</v>
      </c>
      <c r="K1255" s="16" t="str">
        <f>VLOOKUP(C1255,[1]master_data!$A$2:$E$495,5,FALSE)</f>
        <v>Ikan</v>
      </c>
      <c r="L1255" s="1"/>
    </row>
    <row r="1256" spans="1:12" ht="12" customHeight="1" x14ac:dyDescent="0.25">
      <c r="A1256" s="15">
        <v>44320</v>
      </c>
      <c r="B1256" s="16" t="s">
        <v>949</v>
      </c>
      <c r="C1256" s="16" t="s">
        <v>203</v>
      </c>
      <c r="D1256" s="16" t="str">
        <f>VLOOKUP(C1256,[1]master_data!$A$2:$E$495,2,FALSE)</f>
        <v>GOSOKAN STENLEES</v>
      </c>
      <c r="E1256" s="16">
        <v>10</v>
      </c>
      <c r="F1256" s="16">
        <f>VLOOKUP(C1256,[1]master_data!$A$2:$E$495,3,FALSE)</f>
        <v>15000</v>
      </c>
      <c r="G1256" s="16">
        <f>VLOOKUP(C1256,[1]master_data!$A$2:$E$495,4,FALSE)</f>
        <v>25000</v>
      </c>
      <c r="H1256" s="16">
        <f>E1256*F1256</f>
        <v>150000</v>
      </c>
      <c r="I1256" s="16">
        <f>E1256*G1256</f>
        <v>250000</v>
      </c>
      <c r="J1256" s="16">
        <f>I1256-H1256</f>
        <v>100000</v>
      </c>
      <c r="K1256" s="16" t="str">
        <f>VLOOKUP(C1256,[1]master_data!$A$2:$E$495,5,FALSE)</f>
        <v>Aksesoris</v>
      </c>
      <c r="L1256" s="1"/>
    </row>
    <row r="1257" spans="1:12" ht="12" customHeight="1" x14ac:dyDescent="0.25">
      <c r="A1257" s="15">
        <v>44320</v>
      </c>
      <c r="B1257" s="16" t="s">
        <v>950</v>
      </c>
      <c r="C1257" s="16" t="s">
        <v>322</v>
      </c>
      <c r="D1257" s="16" t="str">
        <f>VLOOKUP(C1257,[1]master_data!$A$2:$E$495,2,FALSE)</f>
        <v>GOLD FISH</v>
      </c>
      <c r="E1257" s="16">
        <v>15</v>
      </c>
      <c r="F1257" s="16">
        <f>VLOOKUP(C1257,[1]master_data!$A$2:$E$495,3,FALSE)</f>
        <v>800</v>
      </c>
      <c r="G1257" s="16">
        <f>VLOOKUP(C1257,[1]master_data!$A$2:$E$495,4,FALSE)</f>
        <v>2000</v>
      </c>
      <c r="H1257" s="16">
        <f>E1257*F1257</f>
        <v>12000</v>
      </c>
      <c r="I1257" s="16">
        <f>E1257*G1257</f>
        <v>30000</v>
      </c>
      <c r="J1257" s="16">
        <f>I1257-H1257</f>
        <v>18000</v>
      </c>
      <c r="K1257" s="16" t="str">
        <f>VLOOKUP(C1257,[1]master_data!$A$2:$E$495,5,FALSE)</f>
        <v>Ikan</v>
      </c>
      <c r="L1257" s="1"/>
    </row>
    <row r="1258" spans="1:12" ht="12" customHeight="1" x14ac:dyDescent="0.25">
      <c r="A1258" s="15">
        <v>44320</v>
      </c>
      <c r="B1258" s="16" t="s">
        <v>951</v>
      </c>
      <c r="C1258" s="16" t="s">
        <v>320</v>
      </c>
      <c r="D1258" s="16" t="str">
        <f>VLOOKUP(C1258,[1]master_data!$A$2:$E$495,2,FALSE)</f>
        <v>CUPANG</v>
      </c>
      <c r="E1258" s="16">
        <v>10</v>
      </c>
      <c r="F1258" s="16">
        <f>VLOOKUP(C1258,[1]master_data!$A$2:$E$495,3,FALSE)</f>
        <v>2000</v>
      </c>
      <c r="G1258" s="16">
        <f>VLOOKUP(C1258,[1]master_data!$A$2:$E$495,4,FALSE)</f>
        <v>5000</v>
      </c>
      <c r="H1258" s="16">
        <f>E1258*F1258</f>
        <v>20000</v>
      </c>
      <c r="I1258" s="16">
        <f>E1258*G1258</f>
        <v>50000</v>
      </c>
      <c r="J1258" s="16">
        <f>I1258-H1258</f>
        <v>30000</v>
      </c>
      <c r="K1258" s="16" t="str">
        <f>VLOOKUP(C1258,[1]master_data!$A$2:$E$495,5,FALSE)</f>
        <v>Ikan</v>
      </c>
      <c r="L1258" s="1"/>
    </row>
    <row r="1259" spans="1:12" ht="12" customHeight="1" x14ac:dyDescent="0.25">
      <c r="A1259" s="15">
        <v>44320</v>
      </c>
      <c r="B1259" s="16" t="s">
        <v>952</v>
      </c>
      <c r="C1259" s="16" t="s">
        <v>348</v>
      </c>
      <c r="D1259" s="16" t="str">
        <f>VLOOKUP(C1259,[1]master_data!$A$2:$E$495,2,FALSE)</f>
        <v>NIASA</v>
      </c>
      <c r="E1259" s="16">
        <v>2</v>
      </c>
      <c r="F1259" s="16">
        <f>VLOOKUP(C1259,[1]master_data!$A$2:$E$495,3,FALSE)</f>
        <v>900</v>
      </c>
      <c r="G1259" s="16">
        <f>VLOOKUP(C1259,[1]master_data!$A$2:$E$495,4,FALSE)</f>
        <v>2000</v>
      </c>
      <c r="H1259" s="16">
        <f>E1259*F1259</f>
        <v>1800</v>
      </c>
      <c r="I1259" s="16">
        <f>E1259*G1259</f>
        <v>4000</v>
      </c>
      <c r="J1259" s="16">
        <f>I1259-H1259</f>
        <v>2200</v>
      </c>
      <c r="K1259" s="16" t="str">
        <f>VLOOKUP(C1259,[1]master_data!$A$2:$E$495,5,FALSE)</f>
        <v>Ikan</v>
      </c>
      <c r="L1259" s="1"/>
    </row>
    <row r="1260" spans="1:12" ht="12" customHeight="1" x14ac:dyDescent="0.25">
      <c r="A1260" s="15">
        <v>44320</v>
      </c>
      <c r="B1260" s="16" t="s">
        <v>953</v>
      </c>
      <c r="C1260" s="16" t="s">
        <v>273</v>
      </c>
      <c r="D1260" s="16" t="str">
        <f>VLOOKUP(C1260,[1]master_data!$A$2:$E$495,2,FALSE)</f>
        <v>AKUARIUM NIKITA L</v>
      </c>
      <c r="E1260" s="16">
        <v>1</v>
      </c>
      <c r="F1260" s="16">
        <f>VLOOKUP(C1260,[1]master_data!$A$2:$E$495,3,FALSE)</f>
        <v>60000</v>
      </c>
      <c r="G1260" s="16">
        <f>VLOOKUP(C1260,[1]master_data!$A$2:$E$495,4,FALSE)</f>
        <v>130000</v>
      </c>
      <c r="H1260" s="16">
        <f>E1260*F1260</f>
        <v>60000</v>
      </c>
      <c r="I1260" s="16">
        <f>E1260*G1260</f>
        <v>130000</v>
      </c>
      <c r="J1260" s="16">
        <f>I1260-H1260</f>
        <v>70000</v>
      </c>
      <c r="K1260" s="16" t="str">
        <f>VLOOKUP(C1260,[1]master_data!$A$2:$E$495,5,FALSE)</f>
        <v>Aksesoris</v>
      </c>
      <c r="L1260" s="1"/>
    </row>
    <row r="1261" spans="1:12" ht="12" customHeight="1" x14ac:dyDescent="0.25">
      <c r="A1261" s="15">
        <v>44320</v>
      </c>
      <c r="B1261" s="16" t="s">
        <v>954</v>
      </c>
      <c r="C1261" s="16" t="s">
        <v>351</v>
      </c>
      <c r="D1261" s="16" t="str">
        <f>VLOOKUP(C1261,[1]master_data!$A$2:$E$495,2,FALSE)</f>
        <v>NEON</v>
      </c>
      <c r="E1261" s="16">
        <v>50</v>
      </c>
      <c r="F1261" s="16">
        <f>VLOOKUP(C1261,[1]master_data!$A$2:$E$495,3,FALSE)</f>
        <v>1250</v>
      </c>
      <c r="G1261" s="16">
        <f>VLOOKUP(C1261,[1]master_data!$A$2:$E$495,4,FALSE)</f>
        <v>5000</v>
      </c>
      <c r="H1261" s="16">
        <f>E1261*F1261</f>
        <v>62500</v>
      </c>
      <c r="I1261" s="16">
        <f>E1261*G1261</f>
        <v>250000</v>
      </c>
      <c r="J1261" s="16">
        <f>I1261-H1261</f>
        <v>187500</v>
      </c>
      <c r="K1261" s="16" t="str">
        <f>VLOOKUP(C1261,[1]master_data!$A$2:$E$495,5,FALSE)</f>
        <v>Ikan</v>
      </c>
      <c r="L1261" s="1"/>
    </row>
    <row r="1262" spans="1:12" ht="12" customHeight="1" x14ac:dyDescent="0.25">
      <c r="A1262" s="15">
        <v>44319</v>
      </c>
      <c r="B1262" s="16" t="s">
        <v>944</v>
      </c>
      <c r="C1262" s="16" t="s">
        <v>257</v>
      </c>
      <c r="D1262" s="16" t="str">
        <f>VLOOKUP(C1262,[1]master_data!$A$2:$E$495,2,FALSE)</f>
        <v>JARING PENDEK BULAT</v>
      </c>
      <c r="E1262" s="16">
        <v>10</v>
      </c>
      <c r="F1262" s="16">
        <f>VLOOKUP(C1262,[1]master_data!$A$2:$E$495,3,FALSE)</f>
        <v>15000</v>
      </c>
      <c r="G1262" s="16">
        <f>VLOOKUP(C1262,[1]master_data!$A$2:$E$495,4,FALSE)</f>
        <v>30000</v>
      </c>
      <c r="H1262" s="16">
        <f>E1262*F1262</f>
        <v>150000</v>
      </c>
      <c r="I1262" s="16">
        <f>E1262*G1262</f>
        <v>300000</v>
      </c>
      <c r="J1262" s="16">
        <f>I1262-H1262</f>
        <v>150000</v>
      </c>
      <c r="K1262" s="16" t="str">
        <f>VLOOKUP(C1262,[1]master_data!$A$2:$E$495,5,FALSE)</f>
        <v>Aksesoris</v>
      </c>
      <c r="L1262" s="1"/>
    </row>
    <row r="1263" spans="1:12" ht="12" customHeight="1" x14ac:dyDescent="0.25">
      <c r="A1263" s="15">
        <v>44319</v>
      </c>
      <c r="B1263" s="16" t="s">
        <v>945</v>
      </c>
      <c r="C1263" s="16" t="s">
        <v>368</v>
      </c>
      <c r="D1263" s="16" t="str">
        <f>VLOOKUP(C1263,[1]master_data!$A$2:$E$495,2,FALSE)</f>
        <v>TOMAN</v>
      </c>
      <c r="E1263" s="16">
        <v>2</v>
      </c>
      <c r="F1263" s="16">
        <f>VLOOKUP(C1263,[1]master_data!$A$2:$E$495,3,FALSE)</f>
        <v>10000</v>
      </c>
      <c r="G1263" s="16">
        <f>VLOOKUP(C1263,[1]master_data!$A$2:$E$495,4,FALSE)</f>
        <v>25000</v>
      </c>
      <c r="H1263" s="16">
        <f>E1263*F1263</f>
        <v>20000</v>
      </c>
      <c r="I1263" s="16">
        <f>E1263*G1263</f>
        <v>50000</v>
      </c>
      <c r="J1263" s="16">
        <f>I1263-H1263</f>
        <v>30000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44319</v>
      </c>
      <c r="B1264" s="16" t="s">
        <v>946</v>
      </c>
      <c r="C1264" s="16" t="s">
        <v>353</v>
      </c>
      <c r="D1264" s="16" t="str">
        <f>VLOOKUP(C1264,[1]master_data!$A$2:$E$495,2,FALSE)</f>
        <v>PEMBERSIH KACA BIASA</v>
      </c>
      <c r="E1264" s="16">
        <v>1</v>
      </c>
      <c r="F1264" s="16">
        <f>VLOOKUP(C1264,[1]master_data!$A$2:$E$495,3,FALSE)</f>
        <v>2000</v>
      </c>
      <c r="G1264" s="16">
        <f>VLOOKUP(C1264,[1]master_data!$A$2:$E$495,4,FALSE)</f>
        <v>5000</v>
      </c>
      <c r="H1264" s="16">
        <f>E1264*F1264</f>
        <v>2000</v>
      </c>
      <c r="I1264" s="16">
        <f>E1264*G1264</f>
        <v>5000</v>
      </c>
      <c r="J1264" s="16">
        <f>I1264-H1264</f>
        <v>3000</v>
      </c>
      <c r="K1264" s="16" t="str">
        <f>VLOOKUP(C1264,[1]master_data!$A$2:$E$495,5,FALSE)</f>
        <v>Ikan</v>
      </c>
      <c r="L1264" s="1"/>
    </row>
    <row r="1265" spans="1:12" ht="12" customHeight="1" x14ac:dyDescent="0.25">
      <c r="A1265" s="15">
        <v>44319</v>
      </c>
      <c r="B1265" s="16" t="s">
        <v>947</v>
      </c>
      <c r="C1265" s="16" t="s">
        <v>368</v>
      </c>
      <c r="D1265" s="16" t="str">
        <f>VLOOKUP(C1265,[1]master_data!$A$2:$E$495,2,FALSE)</f>
        <v>TOMAN</v>
      </c>
      <c r="E1265" s="16">
        <v>1</v>
      </c>
      <c r="F1265" s="16">
        <f>VLOOKUP(C1265,[1]master_data!$A$2:$E$495,3,FALSE)</f>
        <v>10000</v>
      </c>
      <c r="G1265" s="16">
        <f>VLOOKUP(C1265,[1]master_data!$A$2:$E$495,4,FALSE)</f>
        <v>25000</v>
      </c>
      <c r="H1265" s="16">
        <f>E1265*F1265</f>
        <v>10000</v>
      </c>
      <c r="I1265" s="16">
        <f>E1265*G1265</f>
        <v>25000</v>
      </c>
      <c r="J1265" s="16">
        <f>I1265-H1265</f>
        <v>15000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44318</v>
      </c>
      <c r="B1266" s="16" t="s">
        <v>940</v>
      </c>
      <c r="C1266" s="16" t="s">
        <v>150</v>
      </c>
      <c r="D1266" s="16" t="str">
        <f>VLOOKUP(C1266,[1]master_data!$A$2:$E$495,2,FALSE)</f>
        <v>LED ARMADA 3 MODE M50</v>
      </c>
      <c r="E1266" s="16">
        <v>5</v>
      </c>
      <c r="F1266" s="16">
        <f>VLOOKUP(C1266,[1]master_data!$A$2:$E$495,3,FALSE)</f>
        <v>26000</v>
      </c>
      <c r="G1266" s="16">
        <f>VLOOKUP(C1266,[1]master_data!$A$2:$E$495,4,FALSE)</f>
        <v>50000</v>
      </c>
      <c r="H1266" s="16">
        <f>E1266*F1266</f>
        <v>130000</v>
      </c>
      <c r="I1266" s="16">
        <f>E1266*G1266</f>
        <v>250000</v>
      </c>
      <c r="J1266" s="16">
        <f>I1266-H1266</f>
        <v>120000</v>
      </c>
      <c r="K1266" s="16" t="str">
        <f>VLOOKUP(C1266,[1]master_data!$A$2:$E$495,5,FALSE)</f>
        <v>Aksesoris</v>
      </c>
      <c r="L1266" s="1"/>
    </row>
    <row r="1267" spans="1:12" ht="12" customHeight="1" x14ac:dyDescent="0.25">
      <c r="A1267" s="15">
        <v>44318</v>
      </c>
      <c r="B1267" s="16" t="s">
        <v>941</v>
      </c>
      <c r="C1267" s="16" t="s">
        <v>53</v>
      </c>
      <c r="D1267" s="16" t="str">
        <f>VLOOKUP(C1267,[1]master_data!$A$2:$E$495,2,FALSE)</f>
        <v>MESIN  ARMDA 1200</v>
      </c>
      <c r="E1267" s="16">
        <v>2</v>
      </c>
      <c r="F1267" s="16">
        <f>VLOOKUP(C1267,[1]master_data!$A$2:$E$495,3,FALSE)</f>
        <v>20000</v>
      </c>
      <c r="G1267" s="16">
        <f>VLOOKUP(C1267,[1]master_data!$A$2:$E$495,4,FALSE)</f>
        <v>30000</v>
      </c>
      <c r="H1267" s="16">
        <f>E1267*F1267</f>
        <v>40000</v>
      </c>
      <c r="I1267" s="16">
        <f>E1267*G1267</f>
        <v>60000</v>
      </c>
      <c r="J1267" s="16">
        <f>I1267-H1267</f>
        <v>20000</v>
      </c>
      <c r="K1267" s="16" t="str">
        <f>VLOOKUP(C1267,[1]master_data!$A$2:$E$495,5,FALSE)</f>
        <v>Aksesoris</v>
      </c>
      <c r="L1267" s="1"/>
    </row>
    <row r="1268" spans="1:12" ht="12" customHeight="1" x14ac:dyDescent="0.25">
      <c r="A1268" s="15">
        <v>44318</v>
      </c>
      <c r="B1268" s="16" t="s">
        <v>942</v>
      </c>
      <c r="C1268" s="16" t="s">
        <v>183</v>
      </c>
      <c r="D1268" s="16" t="str">
        <f>VLOOKUP(C1268,[1]master_data!$A$2:$E$495,2,FALSE)</f>
        <v>OK IKO LOUHAN HIJAU</v>
      </c>
      <c r="E1268" s="16">
        <v>1</v>
      </c>
      <c r="F1268" s="16">
        <f>VLOOKUP(C1268,[1]master_data!$A$2:$E$495,3,FALSE)</f>
        <v>31500</v>
      </c>
      <c r="G1268" s="16">
        <f>VLOOKUP(C1268,[1]master_data!$A$2:$E$495,4,FALSE)</f>
        <v>50000</v>
      </c>
      <c r="H1268" s="16">
        <f>E1268*F1268</f>
        <v>31500</v>
      </c>
      <c r="I1268" s="16">
        <f>E1268*G1268</f>
        <v>50000</v>
      </c>
      <c r="J1268" s="16">
        <f>I1268-H1268</f>
        <v>18500</v>
      </c>
      <c r="K1268" s="16" t="str">
        <f>VLOOKUP(C1268,[1]master_data!$A$2:$E$495,5,FALSE)</f>
        <v>Aksesoris</v>
      </c>
      <c r="L1268" s="1"/>
    </row>
    <row r="1269" spans="1:12" ht="12" customHeight="1" x14ac:dyDescent="0.25">
      <c r="A1269" s="15">
        <v>44318</v>
      </c>
      <c r="B1269" s="16" t="s">
        <v>943</v>
      </c>
      <c r="C1269" s="16" t="s">
        <v>369</v>
      </c>
      <c r="D1269" s="16" t="str">
        <f>VLOOKUP(C1269,[1]master_data!$A$2:$E$495,2,FALSE)</f>
        <v>ZEBRA PINK</v>
      </c>
      <c r="E1269" s="16">
        <v>200</v>
      </c>
      <c r="F1269" s="16">
        <f>VLOOKUP(C1269,[1]master_data!$A$2:$E$495,3,FALSE)</f>
        <v>800</v>
      </c>
      <c r="G1269" s="16">
        <f>VLOOKUP(C1269,[1]master_data!$A$2:$E$495,4,FALSE)</f>
        <v>2000</v>
      </c>
      <c r="H1269" s="16">
        <f>E1269*F1269</f>
        <v>160000</v>
      </c>
      <c r="I1269" s="16">
        <f>E1269*G1269</f>
        <v>400000</v>
      </c>
      <c r="J1269" s="16">
        <f>I1269-H1269</f>
        <v>240000</v>
      </c>
      <c r="K1269" s="16" t="str">
        <f>VLOOKUP(C1269,[1]master_data!$A$2:$E$495,5,FALSE)</f>
        <v>Ikan</v>
      </c>
      <c r="L1269" s="1"/>
    </row>
    <row r="1270" spans="1:12" ht="12" customHeight="1" x14ac:dyDescent="0.25">
      <c r="A1270" s="15">
        <v>44317</v>
      </c>
      <c r="B1270" s="16" t="s">
        <v>937</v>
      </c>
      <c r="C1270" s="16" t="s">
        <v>365</v>
      </c>
      <c r="D1270" s="16" t="str">
        <f>VLOOKUP(C1270,[1]master_data!$A$2:$E$495,2,FALSE)</f>
        <v>SYNODONTIS K</v>
      </c>
      <c r="E1270" s="16">
        <v>30</v>
      </c>
      <c r="F1270" s="16">
        <f>VLOOKUP(C1270,[1]master_data!$A$2:$E$495,3,FALSE)</f>
        <v>1500</v>
      </c>
      <c r="G1270" s="16">
        <f>VLOOKUP(C1270,[1]master_data!$A$2:$E$495,4,FALSE)</f>
        <v>5000</v>
      </c>
      <c r="H1270" s="16">
        <f>E1270*F1270</f>
        <v>45000</v>
      </c>
      <c r="I1270" s="16">
        <f>E1270*G1270</f>
        <v>150000</v>
      </c>
      <c r="J1270" s="16">
        <f>I1270-H1270</f>
        <v>105000</v>
      </c>
      <c r="K1270" s="16" t="str">
        <f>VLOOKUP(C1270,[1]master_data!$A$2:$E$495,5,FALSE)</f>
        <v>Ikan</v>
      </c>
      <c r="L1270" s="1"/>
    </row>
    <row r="1271" spans="1:12" ht="12" customHeight="1" x14ac:dyDescent="0.25">
      <c r="A1271" s="15">
        <v>44317</v>
      </c>
      <c r="B1271" s="16" t="s">
        <v>938</v>
      </c>
      <c r="C1271" s="16" t="s">
        <v>309</v>
      </c>
      <c r="D1271" s="16" t="str">
        <f>VLOOKUP(C1271,[1]master_data!$A$2:$E$495,2,FALSE)</f>
        <v>ALGA EATER</v>
      </c>
      <c r="E1271" s="16">
        <v>25</v>
      </c>
      <c r="F1271" s="16">
        <f>VLOOKUP(C1271,[1]master_data!$A$2:$E$495,3,FALSE)</f>
        <v>1750</v>
      </c>
      <c r="G1271" s="16">
        <f>VLOOKUP(C1271,[1]master_data!$A$2:$E$495,4,FALSE)</f>
        <v>5000</v>
      </c>
      <c r="H1271" s="16">
        <f>E1271*F1271</f>
        <v>43750</v>
      </c>
      <c r="I1271" s="16">
        <f>E1271*G1271</f>
        <v>125000</v>
      </c>
      <c r="J1271" s="16">
        <f>I1271-H1271</f>
        <v>81250</v>
      </c>
      <c r="K1271" s="16" t="str">
        <f>VLOOKUP(C1271,[1]master_data!$A$2:$E$495,5,FALSE)</f>
        <v>Ikan</v>
      </c>
      <c r="L1271" s="1"/>
    </row>
    <row r="1272" spans="1:12" ht="12" customHeight="1" x14ac:dyDescent="0.25">
      <c r="A1272" s="15">
        <v>44317</v>
      </c>
      <c r="B1272" s="16" t="s">
        <v>939</v>
      </c>
      <c r="C1272" s="16" t="s">
        <v>13</v>
      </c>
      <c r="D1272" s="16" t="str">
        <f>VLOOKUP(C1272,[1]master_data!$A$2:$E$495,2,FALSE)</f>
        <v>MESIN YANG 105</v>
      </c>
      <c r="E1272" s="16">
        <v>1</v>
      </c>
      <c r="F1272" s="16">
        <f>VLOOKUP(C1272,[1]master_data!$A$2:$E$495,3,FALSE)</f>
        <v>140000</v>
      </c>
      <c r="G1272" s="16">
        <f>VLOOKUP(C1272,[1]master_data!$A$2:$E$495,4,FALSE)</f>
        <v>190000</v>
      </c>
      <c r="H1272" s="16">
        <f>E1272*F1272</f>
        <v>140000</v>
      </c>
      <c r="I1272" s="16">
        <f>E1272*G1272</f>
        <v>190000</v>
      </c>
      <c r="J1272" s="16">
        <f>I1272-H1272</f>
        <v>50000</v>
      </c>
      <c r="K1272" s="16" t="str">
        <f>VLOOKUP(C1272,[1]master_data!$A$2:$E$495,5,FALSE)</f>
        <v>Aksesoris</v>
      </c>
      <c r="L1272" s="1"/>
    </row>
    <row r="1273" spans="1:12" ht="12" customHeight="1" x14ac:dyDescent="0.25">
      <c r="A1273" s="15">
        <v>44316</v>
      </c>
      <c r="B1273" s="16" t="s">
        <v>931</v>
      </c>
      <c r="C1273" s="16" t="s">
        <v>266</v>
      </c>
      <c r="D1273" s="16" t="str">
        <f>VLOOKUP(C1273,[1]master_data!$A$2:$E$495,2,FALSE)</f>
        <v>MAGNET 09</v>
      </c>
      <c r="E1273" s="16">
        <v>5</v>
      </c>
      <c r="F1273" s="16">
        <f>VLOOKUP(C1273,[1]master_data!$A$2:$E$495,3,FALSE)</f>
        <v>58000</v>
      </c>
      <c r="G1273" s="16">
        <f>VLOOKUP(C1273,[1]master_data!$A$2:$E$495,4,FALSE)</f>
        <v>80000</v>
      </c>
      <c r="H1273" s="16">
        <f>E1273*F1273</f>
        <v>290000</v>
      </c>
      <c r="I1273" s="16">
        <f>E1273*G1273</f>
        <v>400000</v>
      </c>
      <c r="J1273" s="16">
        <f>I1273-H1273</f>
        <v>110000</v>
      </c>
      <c r="K1273" s="16" t="str">
        <f>VLOOKUP(C1273,[1]master_data!$A$2:$E$495,5,FALSE)</f>
        <v>Aksesoris</v>
      </c>
      <c r="L1273" s="1"/>
    </row>
    <row r="1274" spans="1:12" ht="12" customHeight="1" x14ac:dyDescent="0.25">
      <c r="A1274" s="15">
        <v>44316</v>
      </c>
      <c r="B1274" s="16" t="s">
        <v>932</v>
      </c>
      <c r="C1274" s="16" t="s">
        <v>233</v>
      </c>
      <c r="D1274" s="16" t="str">
        <f>VLOOKUP(C1274,[1]master_data!$A$2:$E$495,2,FALSE)</f>
        <v>JARING NELAYAN</v>
      </c>
      <c r="E1274" s="16">
        <v>5</v>
      </c>
      <c r="F1274" s="16">
        <f>VLOOKUP(C1274,[1]master_data!$A$2:$E$495,3,FALSE)</f>
        <v>15000</v>
      </c>
      <c r="G1274" s="16">
        <f>VLOOKUP(C1274,[1]master_data!$A$2:$E$495,4,FALSE)</f>
        <v>25000</v>
      </c>
      <c r="H1274" s="16">
        <f>E1274*F1274</f>
        <v>75000</v>
      </c>
      <c r="I1274" s="16">
        <f>E1274*G1274</f>
        <v>125000</v>
      </c>
      <c r="J1274" s="16">
        <f>I1274-H1274</f>
        <v>50000</v>
      </c>
      <c r="K1274" s="16" t="str">
        <f>VLOOKUP(C1274,[1]master_data!$A$2:$E$495,5,FALSE)</f>
        <v>Aksesoris</v>
      </c>
      <c r="L1274" s="1"/>
    </row>
    <row r="1275" spans="1:12" ht="12" customHeight="1" x14ac:dyDescent="0.25">
      <c r="A1275" s="15">
        <v>44316</v>
      </c>
      <c r="B1275" s="16" t="s">
        <v>933</v>
      </c>
      <c r="C1275" s="16" t="s">
        <v>362</v>
      </c>
      <c r="D1275" s="16" t="str">
        <f>VLOOKUP(C1275,[1]master_data!$A$2:$E$495,2,FALSE)</f>
        <v>SUMATRA BIASA</v>
      </c>
      <c r="E1275" s="16">
        <v>25</v>
      </c>
      <c r="F1275" s="16">
        <f>VLOOKUP(C1275,[1]master_data!$A$2:$E$495,3,FALSE)</f>
        <v>800</v>
      </c>
      <c r="G1275" s="16">
        <f>VLOOKUP(C1275,[1]master_data!$A$2:$E$495,4,FALSE)</f>
        <v>2000</v>
      </c>
      <c r="H1275" s="16">
        <f>E1275*F1275</f>
        <v>20000</v>
      </c>
      <c r="I1275" s="16">
        <f>E1275*G1275</f>
        <v>50000</v>
      </c>
      <c r="J1275" s="16">
        <f>I1275-H1275</f>
        <v>30000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44316</v>
      </c>
      <c r="B1276" s="16" t="s">
        <v>934</v>
      </c>
      <c r="C1276" s="16" t="s">
        <v>325</v>
      </c>
      <c r="D1276" s="16" t="str">
        <f>VLOOKUP(C1276,[1]master_data!$A$2:$E$495,2,FALSE)</f>
        <v>HIU TAWAR</v>
      </c>
      <c r="E1276" s="16">
        <v>15</v>
      </c>
      <c r="F1276" s="16">
        <f>VLOOKUP(C1276,[1]master_data!$A$2:$E$495,3,FALSE)</f>
        <v>600</v>
      </c>
      <c r="G1276" s="16">
        <f>VLOOKUP(C1276,[1]master_data!$A$2:$E$495,4,FALSE)</f>
        <v>2000</v>
      </c>
      <c r="H1276" s="16">
        <f>E1276*F1276</f>
        <v>9000</v>
      </c>
      <c r="I1276" s="16">
        <f>E1276*G1276</f>
        <v>30000</v>
      </c>
      <c r="J1276" s="16">
        <f>I1276-H1276</f>
        <v>21000</v>
      </c>
      <c r="K1276" s="16" t="str">
        <f>VLOOKUP(C1276,[1]master_data!$A$2:$E$495,5,FALSE)</f>
        <v>Ikan</v>
      </c>
      <c r="L1276" s="1"/>
    </row>
    <row r="1277" spans="1:12" ht="12" customHeight="1" x14ac:dyDescent="0.25">
      <c r="A1277" s="15">
        <v>44316</v>
      </c>
      <c r="B1277" s="16" t="s">
        <v>935</v>
      </c>
      <c r="C1277" s="16" t="s">
        <v>309</v>
      </c>
      <c r="D1277" s="16" t="str">
        <f>VLOOKUP(C1277,[1]master_data!$A$2:$E$495,2,FALSE)</f>
        <v>ALGA EATER</v>
      </c>
      <c r="E1277" s="16">
        <v>1</v>
      </c>
      <c r="F1277" s="16">
        <f>VLOOKUP(C1277,[1]master_data!$A$2:$E$495,3,FALSE)</f>
        <v>1750</v>
      </c>
      <c r="G1277" s="16">
        <f>VLOOKUP(C1277,[1]master_data!$A$2:$E$495,4,FALSE)</f>
        <v>5000</v>
      </c>
      <c r="H1277" s="16">
        <f>E1277*F1277</f>
        <v>1750</v>
      </c>
      <c r="I1277" s="16">
        <f>E1277*G1277</f>
        <v>5000</v>
      </c>
      <c r="J1277" s="16">
        <f>I1277-H1277</f>
        <v>3250</v>
      </c>
      <c r="K1277" s="16" t="str">
        <f>VLOOKUP(C1277,[1]master_data!$A$2:$E$495,5,FALSE)</f>
        <v>Ikan</v>
      </c>
      <c r="L1277" s="1"/>
    </row>
    <row r="1278" spans="1:12" ht="12" customHeight="1" x14ac:dyDescent="0.25">
      <c r="A1278" s="15">
        <v>44316</v>
      </c>
      <c r="B1278" s="16" t="s">
        <v>936</v>
      </c>
      <c r="C1278" s="16" t="s">
        <v>148</v>
      </c>
      <c r="D1278" s="16" t="str">
        <f>VLOOKUP(C1278,[1]master_data!$A$2:$E$495,2,FALSE)</f>
        <v>LED ARMADA 3 BRS AP 600</v>
      </c>
      <c r="E1278" s="16">
        <v>1</v>
      </c>
      <c r="F1278" s="16">
        <f>VLOOKUP(C1278,[1]master_data!$A$2:$E$495,3,FALSE)</f>
        <v>55000</v>
      </c>
      <c r="G1278" s="16">
        <f>VLOOKUP(C1278,[1]master_data!$A$2:$E$495,4,FALSE)</f>
        <v>80000</v>
      </c>
      <c r="H1278" s="16">
        <f>E1278*F1278</f>
        <v>55000</v>
      </c>
      <c r="I1278" s="16">
        <f>E1278*G1278</f>
        <v>80000</v>
      </c>
      <c r="J1278" s="16">
        <f>I1278-H1278</f>
        <v>25000</v>
      </c>
      <c r="K1278" s="16" t="str">
        <f>VLOOKUP(C1278,[1]master_data!$A$2:$E$495,5,FALSE)</f>
        <v>Aksesoris</v>
      </c>
      <c r="L1278" s="1"/>
    </row>
    <row r="1279" spans="1:12" ht="12" customHeight="1" x14ac:dyDescent="0.25">
      <c r="A1279" s="15">
        <v>44315</v>
      </c>
      <c r="B1279" s="16" t="s">
        <v>926</v>
      </c>
      <c r="C1279" s="16" t="s">
        <v>366</v>
      </c>
      <c r="D1279" s="16" t="str">
        <f>VLOOKUP(C1279,[1]master_data!$A$2:$E$495,2,FALSE)</f>
        <v>SYNODONTI B</v>
      </c>
      <c r="E1279" s="16">
        <v>15</v>
      </c>
      <c r="F1279" s="16">
        <f>VLOOKUP(C1279,[1]master_data!$A$2:$E$495,3,FALSE)</f>
        <v>4000</v>
      </c>
      <c r="G1279" s="16">
        <f>VLOOKUP(C1279,[1]master_data!$A$2:$E$495,4,FALSE)</f>
        <v>10000</v>
      </c>
      <c r="H1279" s="16">
        <f>E1279*F1279</f>
        <v>60000</v>
      </c>
      <c r="I1279" s="16">
        <f>E1279*G1279</f>
        <v>150000</v>
      </c>
      <c r="J1279" s="16">
        <f>I1279-H1279</f>
        <v>90000</v>
      </c>
      <c r="K1279" s="16" t="str">
        <f>VLOOKUP(C1279,[1]master_data!$A$2:$E$495,5,FALSE)</f>
        <v>Ikan</v>
      </c>
      <c r="L1279" s="1"/>
    </row>
    <row r="1280" spans="1:12" ht="12" customHeight="1" x14ac:dyDescent="0.25">
      <c r="A1280" s="15">
        <v>44315</v>
      </c>
      <c r="B1280" s="16" t="s">
        <v>927</v>
      </c>
      <c r="C1280" s="16" t="s">
        <v>338</v>
      </c>
      <c r="D1280" s="16" t="str">
        <f>VLOOKUP(C1280,[1]master_data!$A$2:$E$495,2,FALSE)</f>
        <v>CAROLINE</v>
      </c>
      <c r="E1280" s="16">
        <v>15</v>
      </c>
      <c r="F1280" s="16">
        <f>VLOOKUP(C1280,[1]master_data!$A$2:$E$495,3,FALSE)</f>
        <v>900</v>
      </c>
      <c r="G1280" s="16">
        <f>VLOOKUP(C1280,[1]master_data!$A$2:$E$495,4,FALSE)</f>
        <v>2000</v>
      </c>
      <c r="H1280" s="16">
        <f>E1280*F1280</f>
        <v>13500</v>
      </c>
      <c r="I1280" s="16">
        <f>E1280*G1280</f>
        <v>30000</v>
      </c>
      <c r="J1280" s="16">
        <f>I1280-H1280</f>
        <v>16500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44315</v>
      </c>
      <c r="B1281" s="16" t="s">
        <v>928</v>
      </c>
      <c r="C1281" s="16" t="s">
        <v>331</v>
      </c>
      <c r="D1281" s="16" t="str">
        <f>VLOOKUP(C1281,[1]master_data!$A$2:$E$495,2,FALSE)</f>
        <v>KOI B</v>
      </c>
      <c r="E1281" s="16">
        <v>5</v>
      </c>
      <c r="F1281" s="16">
        <f>VLOOKUP(C1281,[1]master_data!$A$2:$E$495,3,FALSE)</f>
        <v>9000</v>
      </c>
      <c r="G1281" s="16">
        <f>VLOOKUP(C1281,[1]master_data!$A$2:$E$495,4,FALSE)</f>
        <v>30000</v>
      </c>
      <c r="H1281" s="16">
        <f>E1281*F1281</f>
        <v>45000</v>
      </c>
      <c r="I1281" s="16">
        <f>E1281*G1281</f>
        <v>150000</v>
      </c>
      <c r="J1281" s="16">
        <f>I1281-H1281</f>
        <v>105000</v>
      </c>
      <c r="K1281" s="16" t="str">
        <f>VLOOKUP(C1281,[1]master_data!$A$2:$E$495,5,FALSE)</f>
        <v>Ikan</v>
      </c>
      <c r="L1281" s="1"/>
    </row>
    <row r="1282" spans="1:12" ht="12" customHeight="1" x14ac:dyDescent="0.25">
      <c r="A1282" s="15">
        <v>44315</v>
      </c>
      <c r="B1282" s="16" t="s">
        <v>929</v>
      </c>
      <c r="C1282" s="16" t="s">
        <v>372</v>
      </c>
      <c r="D1282" s="16" t="str">
        <f>VLOOKUP(C1282,[1]master_data!$A$2:$E$495,2,FALSE)</f>
        <v>ZEBRA KUNING</v>
      </c>
      <c r="E1282" s="16">
        <v>11</v>
      </c>
      <c r="F1282" s="16">
        <f>VLOOKUP(C1282,[1]master_data!$A$2:$E$495,3,FALSE)</f>
        <v>800</v>
      </c>
      <c r="G1282" s="16">
        <f>VLOOKUP(C1282,[1]master_data!$A$2:$E$495,4,FALSE)</f>
        <v>2000</v>
      </c>
      <c r="H1282" s="16">
        <f>E1282*F1282</f>
        <v>8800</v>
      </c>
      <c r="I1282" s="16">
        <f>E1282*G1282</f>
        <v>22000</v>
      </c>
      <c r="J1282" s="16">
        <f>I1282-H1282</f>
        <v>13200</v>
      </c>
      <c r="K1282" s="16" t="str">
        <f>VLOOKUP(C1282,[1]master_data!$A$2:$E$495,5,FALSE)</f>
        <v>Ikan</v>
      </c>
      <c r="L1282" s="1"/>
    </row>
    <row r="1283" spans="1:12" ht="12" customHeight="1" x14ac:dyDescent="0.25">
      <c r="A1283" s="15">
        <v>44315</v>
      </c>
      <c r="B1283" s="16" t="s">
        <v>930</v>
      </c>
      <c r="C1283" s="16" t="s">
        <v>355</v>
      </c>
      <c r="D1283" s="16" t="str">
        <f>VLOOKUP(C1283,[1]master_data!$A$2:$E$495,2,FALSE)</f>
        <v>PALMAS</v>
      </c>
      <c r="E1283" s="16">
        <v>1</v>
      </c>
      <c r="F1283" s="16">
        <f>VLOOKUP(C1283,[1]master_data!$A$2:$E$495,3,FALSE)</f>
        <v>10000</v>
      </c>
      <c r="G1283" s="16">
        <f>VLOOKUP(C1283,[1]master_data!$A$2:$E$495,4,FALSE)</f>
        <v>25000</v>
      </c>
      <c r="H1283" s="16">
        <f>E1283*F1283</f>
        <v>10000</v>
      </c>
      <c r="I1283" s="16">
        <f>E1283*G1283</f>
        <v>25000</v>
      </c>
      <c r="J1283" s="16">
        <f>I1283-H1283</f>
        <v>15000</v>
      </c>
      <c r="K1283" s="16" t="str">
        <f>VLOOKUP(C1283,[1]master_data!$A$2:$E$495,5,FALSE)</f>
        <v>Ikan</v>
      </c>
      <c r="L1283" s="1"/>
    </row>
    <row r="1284" spans="1:12" ht="12" customHeight="1" x14ac:dyDescent="0.25">
      <c r="A1284" s="15">
        <v>44314</v>
      </c>
      <c r="B1284" s="16" t="s">
        <v>921</v>
      </c>
      <c r="C1284" s="16" t="s">
        <v>10</v>
      </c>
      <c r="D1284" s="16" t="str">
        <f>VLOOKUP(C1284,[1]master_data!$A$2:$E$495,2,FALSE)</f>
        <v>MESIN YANG 2600</v>
      </c>
      <c r="E1284" s="16">
        <v>2</v>
      </c>
      <c r="F1284" s="16">
        <f>VLOOKUP(C1284,[1]master_data!$A$2:$E$495,3,FALSE)</f>
        <v>82000</v>
      </c>
      <c r="G1284" s="16">
        <f>VLOOKUP(C1284,[1]master_data!$A$2:$E$495,4,FALSE)</f>
        <v>115000</v>
      </c>
      <c r="H1284" s="16">
        <f>E1284*F1284</f>
        <v>164000</v>
      </c>
      <c r="I1284" s="16">
        <f>E1284*G1284</f>
        <v>230000</v>
      </c>
      <c r="J1284" s="16">
        <f>I1284-H1284</f>
        <v>66000</v>
      </c>
      <c r="K1284" s="16" t="str">
        <f>VLOOKUP(C1284,[1]master_data!$A$2:$E$495,5,FALSE)</f>
        <v>Aksesoris</v>
      </c>
      <c r="L1284" s="1"/>
    </row>
    <row r="1285" spans="1:12" ht="12" customHeight="1" x14ac:dyDescent="0.25">
      <c r="A1285" s="15">
        <v>44314</v>
      </c>
      <c r="B1285" s="16" t="s">
        <v>922</v>
      </c>
      <c r="C1285" s="16" t="s">
        <v>137</v>
      </c>
      <c r="D1285" s="16" t="str">
        <f>VLOOKUP(C1285,[1]master_data!$A$2:$E$495,2,FALSE)</f>
        <v>LED KANDILA VIBRANT 60 CM</v>
      </c>
      <c r="E1285" s="16">
        <v>1</v>
      </c>
      <c r="F1285" s="16">
        <f>VLOOKUP(C1285,[1]master_data!$A$2:$E$495,3,FALSE)</f>
        <v>109000</v>
      </c>
      <c r="G1285" s="16">
        <f>VLOOKUP(C1285,[1]master_data!$A$2:$E$495,4,FALSE)</f>
        <v>150000</v>
      </c>
      <c r="H1285" s="16">
        <f>E1285*F1285</f>
        <v>109000</v>
      </c>
      <c r="I1285" s="16">
        <f>E1285*G1285</f>
        <v>150000</v>
      </c>
      <c r="J1285" s="16">
        <f>I1285-H1285</f>
        <v>41000</v>
      </c>
      <c r="K1285" s="16" t="str">
        <f>VLOOKUP(C1285,[1]master_data!$A$2:$E$495,5,FALSE)</f>
        <v>Aksesoris</v>
      </c>
      <c r="L1285" s="1"/>
    </row>
    <row r="1286" spans="1:12" ht="12" customHeight="1" x14ac:dyDescent="0.25">
      <c r="A1286" s="15">
        <v>44314</v>
      </c>
      <c r="B1286" s="16" t="s">
        <v>923</v>
      </c>
      <c r="C1286" s="16" t="s">
        <v>335</v>
      </c>
      <c r="D1286" s="16" t="str">
        <f>VLOOKUP(C1286,[1]master_data!$A$2:$E$495,2,FALSE)</f>
        <v>KOMET SLAYER</v>
      </c>
      <c r="E1286" s="16">
        <v>10</v>
      </c>
      <c r="F1286" s="16">
        <f>VLOOKUP(C1286,[1]master_data!$A$2:$E$495,3,FALSE)</f>
        <v>2000</v>
      </c>
      <c r="G1286" s="16">
        <f>VLOOKUP(C1286,[1]master_data!$A$2:$E$495,4,FALSE)</f>
        <v>5000</v>
      </c>
      <c r="H1286" s="16">
        <f>E1286*F1286</f>
        <v>20000</v>
      </c>
      <c r="I1286" s="16">
        <f>E1286*G1286</f>
        <v>50000</v>
      </c>
      <c r="J1286" s="16">
        <f>I1286-H1286</f>
        <v>30000</v>
      </c>
      <c r="K1286" s="16" t="str">
        <f>VLOOKUP(C1286,[1]master_data!$A$2:$E$495,5,FALSE)</f>
        <v>Ikan</v>
      </c>
      <c r="L1286" s="1"/>
    </row>
    <row r="1287" spans="1:12" ht="12" customHeight="1" x14ac:dyDescent="0.25">
      <c r="A1287" s="15">
        <v>44314</v>
      </c>
      <c r="B1287" s="16" t="s">
        <v>924</v>
      </c>
      <c r="C1287" s="16" t="s">
        <v>172</v>
      </c>
      <c r="D1287" s="16" t="str">
        <f>VLOOKUP(C1287,[1]master_data!$A$2:$E$495,2,FALSE)</f>
        <v>MEM PRIME 10 GR</v>
      </c>
      <c r="E1287" s="16">
        <v>2</v>
      </c>
      <c r="F1287" s="16">
        <f>VLOOKUP(C1287,[1]master_data!$A$2:$E$495,3,FALSE)</f>
        <v>5000</v>
      </c>
      <c r="G1287" s="16">
        <f>VLOOKUP(C1287,[1]master_data!$A$2:$E$495,4,FALSE)</f>
        <v>10000</v>
      </c>
      <c r="H1287" s="16">
        <f>E1287*F1287</f>
        <v>10000</v>
      </c>
      <c r="I1287" s="16">
        <f>E1287*G1287</f>
        <v>20000</v>
      </c>
      <c r="J1287" s="16">
        <f>I1287-H1287</f>
        <v>10000</v>
      </c>
      <c r="K1287" s="16" t="str">
        <f>VLOOKUP(C1287,[1]master_data!$A$2:$E$495,5,FALSE)</f>
        <v>Aksesoris</v>
      </c>
      <c r="L1287" s="1"/>
    </row>
    <row r="1288" spans="1:12" ht="12" customHeight="1" x14ac:dyDescent="0.25">
      <c r="A1288" s="15">
        <v>44314</v>
      </c>
      <c r="B1288" s="16" t="s">
        <v>925</v>
      </c>
      <c r="C1288" s="16" t="s">
        <v>179</v>
      </c>
      <c r="D1288" s="16" t="str">
        <f>VLOOKUP(C1288,[1]master_data!$A$2:$E$495,2,FALSE)</f>
        <v>HIKARI FRIEND 75 GR</v>
      </c>
      <c r="E1288" s="16">
        <v>1</v>
      </c>
      <c r="F1288" s="16">
        <f>VLOOKUP(C1288,[1]master_data!$A$2:$E$495,3,FALSE)</f>
        <v>50000</v>
      </c>
      <c r="G1288" s="16">
        <f>VLOOKUP(C1288,[1]master_data!$A$2:$E$495,4,FALSE)</f>
        <v>65000</v>
      </c>
      <c r="H1288" s="16">
        <f>E1288*F1288</f>
        <v>50000</v>
      </c>
      <c r="I1288" s="16">
        <f>E1288*G1288</f>
        <v>65000</v>
      </c>
      <c r="J1288" s="16">
        <f>I1288-H1288</f>
        <v>15000</v>
      </c>
      <c r="K1288" s="16" t="str">
        <f>VLOOKUP(C1288,[1]master_data!$A$2:$E$495,5,FALSE)</f>
        <v>Aksesoris</v>
      </c>
      <c r="L1288" s="1"/>
    </row>
    <row r="1289" spans="1:12" ht="12" customHeight="1" x14ac:dyDescent="0.25">
      <c r="A1289" s="15">
        <v>44313</v>
      </c>
      <c r="B1289" s="16" t="s">
        <v>918</v>
      </c>
      <c r="C1289" s="16" t="s">
        <v>356</v>
      </c>
      <c r="D1289" s="16" t="str">
        <f>VLOOKUP(C1289,[1]master_data!$A$2:$E$495,2,FALSE)</f>
        <v>PARROT</v>
      </c>
      <c r="E1289" s="16">
        <v>1</v>
      </c>
      <c r="F1289" s="16">
        <f>VLOOKUP(C1289,[1]master_data!$A$2:$E$495,3,FALSE)</f>
        <v>27000</v>
      </c>
      <c r="G1289" s="16">
        <f>VLOOKUP(C1289,[1]master_data!$A$2:$E$495,4,FALSE)</f>
        <v>60000</v>
      </c>
      <c r="H1289" s="16">
        <f>E1289*F1289</f>
        <v>27000</v>
      </c>
      <c r="I1289" s="16">
        <f>E1289*G1289</f>
        <v>60000</v>
      </c>
      <c r="J1289" s="16">
        <f>I1289-H1289</f>
        <v>33000</v>
      </c>
      <c r="K1289" s="16" t="str">
        <f>VLOOKUP(C1289,[1]master_data!$A$2:$E$495,5,FALSE)</f>
        <v>Ikan</v>
      </c>
      <c r="L1289" s="1"/>
    </row>
    <row r="1290" spans="1:12" ht="12" customHeight="1" x14ac:dyDescent="0.25">
      <c r="A1290" s="15">
        <v>44313</v>
      </c>
      <c r="B1290" s="16" t="s">
        <v>919</v>
      </c>
      <c r="C1290" s="16" t="s">
        <v>307</v>
      </c>
      <c r="D1290" s="16" t="str">
        <f>VLOOKUP(C1290,[1]master_data!$A$2:$E$495,2,FALSE)</f>
        <v>ARWANA SILVER K</v>
      </c>
      <c r="E1290" s="16">
        <v>2</v>
      </c>
      <c r="F1290" s="16">
        <f>VLOOKUP(C1290,[1]master_data!$A$2:$E$495,3,FALSE)</f>
        <v>100000</v>
      </c>
      <c r="G1290" s="16">
        <f>VLOOKUP(C1290,[1]master_data!$A$2:$E$495,4,FALSE)</f>
        <v>200000</v>
      </c>
      <c r="H1290" s="16">
        <f>E1290*F1290</f>
        <v>200000</v>
      </c>
      <c r="I1290" s="16">
        <f>E1290*G1290</f>
        <v>400000</v>
      </c>
      <c r="J1290" s="16">
        <f>I1290-H1290</f>
        <v>200000</v>
      </c>
      <c r="K1290" s="16" t="str">
        <f>VLOOKUP(C1290,[1]master_data!$A$2:$E$495,5,FALSE)</f>
        <v>Ikan</v>
      </c>
      <c r="L1290" s="1"/>
    </row>
    <row r="1291" spans="1:12" ht="12" customHeight="1" x14ac:dyDescent="0.25">
      <c r="A1291" s="15">
        <v>44313</v>
      </c>
      <c r="B1291" s="16" t="s">
        <v>920</v>
      </c>
      <c r="C1291" s="16" t="s">
        <v>127</v>
      </c>
      <c r="D1291" s="16" t="str">
        <f>VLOOKUP(C1291,[1]master_data!$A$2:$E$495,2,FALSE)</f>
        <v>LED ROSTON 28 C</v>
      </c>
      <c r="E1291" s="16">
        <v>5</v>
      </c>
      <c r="F1291" s="16">
        <f>VLOOKUP(C1291,[1]master_data!$A$2:$E$495,3,FALSE)</f>
        <v>35000</v>
      </c>
      <c r="G1291" s="16">
        <f>VLOOKUP(C1291,[1]master_data!$A$2:$E$495,4,FALSE)</f>
        <v>55000</v>
      </c>
      <c r="H1291" s="16">
        <f>E1291*F1291</f>
        <v>175000</v>
      </c>
      <c r="I1291" s="16">
        <f>E1291*G1291</f>
        <v>275000</v>
      </c>
      <c r="J1291" s="16">
        <f>I1291-H1291</f>
        <v>100000</v>
      </c>
      <c r="K1291" s="16" t="str">
        <f>VLOOKUP(C1291,[1]master_data!$A$2:$E$495,5,FALSE)</f>
        <v>Aksesoris</v>
      </c>
      <c r="L1291" s="1"/>
    </row>
    <row r="1292" spans="1:12" ht="12" customHeight="1" x14ac:dyDescent="0.25">
      <c r="A1292" s="15">
        <v>44312</v>
      </c>
      <c r="B1292" s="16" t="s">
        <v>915</v>
      </c>
      <c r="C1292" s="16" t="s">
        <v>355</v>
      </c>
      <c r="D1292" s="16" t="str">
        <f>VLOOKUP(C1292,[1]master_data!$A$2:$E$495,2,FALSE)</f>
        <v>PALMAS</v>
      </c>
      <c r="E1292" s="16">
        <v>2</v>
      </c>
      <c r="F1292" s="16">
        <f>VLOOKUP(C1292,[1]master_data!$A$2:$E$495,3,FALSE)</f>
        <v>10000</v>
      </c>
      <c r="G1292" s="16">
        <f>VLOOKUP(C1292,[1]master_data!$A$2:$E$495,4,FALSE)</f>
        <v>25000</v>
      </c>
      <c r="H1292" s="16">
        <f>E1292*F1292</f>
        <v>20000</v>
      </c>
      <c r="I1292" s="16">
        <f>E1292*G1292</f>
        <v>50000</v>
      </c>
      <c r="J1292" s="16">
        <f>I1292-H1292</f>
        <v>30000</v>
      </c>
      <c r="K1292" s="16" t="str">
        <f>VLOOKUP(C1292,[1]master_data!$A$2:$E$495,5,FALSE)</f>
        <v>Ikan</v>
      </c>
      <c r="L1292" s="1"/>
    </row>
    <row r="1293" spans="1:12" ht="12" customHeight="1" x14ac:dyDescent="0.25">
      <c r="A1293" s="15">
        <v>44312</v>
      </c>
      <c r="B1293" s="16" t="s">
        <v>916</v>
      </c>
      <c r="C1293" s="16" t="s">
        <v>199</v>
      </c>
      <c r="D1293" s="16" t="str">
        <f>VLOOKUP(C1293,[1]master_data!$A$2:$E$495,2,FALSE)</f>
        <v>AIRSTONE 60</v>
      </c>
      <c r="E1293" s="16">
        <v>3</v>
      </c>
      <c r="F1293" s="16">
        <f>VLOOKUP(C1293,[1]master_data!$A$2:$E$495,3,FALSE)</f>
        <v>8000</v>
      </c>
      <c r="G1293" s="16">
        <f>VLOOKUP(C1293,[1]master_data!$A$2:$E$495,4,FALSE)</f>
        <v>17000</v>
      </c>
      <c r="H1293" s="16">
        <f>E1293*F1293</f>
        <v>24000</v>
      </c>
      <c r="I1293" s="16">
        <f>E1293*G1293</f>
        <v>51000</v>
      </c>
      <c r="J1293" s="16">
        <f>I1293-H1293</f>
        <v>27000</v>
      </c>
      <c r="K1293" s="16" t="str">
        <f>VLOOKUP(C1293,[1]master_data!$A$2:$E$495,5,FALSE)</f>
        <v>Aksesoris</v>
      </c>
      <c r="L1293" s="1"/>
    </row>
    <row r="1294" spans="1:12" ht="12" customHeight="1" x14ac:dyDescent="0.25">
      <c r="A1294" s="15">
        <v>44312</v>
      </c>
      <c r="B1294" s="16" t="s">
        <v>917</v>
      </c>
      <c r="C1294" s="16" t="s">
        <v>366</v>
      </c>
      <c r="D1294" s="16" t="str">
        <f>VLOOKUP(C1294,[1]master_data!$A$2:$E$495,2,FALSE)</f>
        <v>SYNODONTI B</v>
      </c>
      <c r="E1294" s="16">
        <v>30</v>
      </c>
      <c r="F1294" s="16">
        <f>VLOOKUP(C1294,[1]master_data!$A$2:$E$495,3,FALSE)</f>
        <v>4000</v>
      </c>
      <c r="G1294" s="16">
        <f>VLOOKUP(C1294,[1]master_data!$A$2:$E$495,4,FALSE)</f>
        <v>10000</v>
      </c>
      <c r="H1294" s="16">
        <f>E1294*F1294</f>
        <v>120000</v>
      </c>
      <c r="I1294" s="16">
        <f>E1294*G1294</f>
        <v>300000</v>
      </c>
      <c r="J1294" s="16">
        <f>I1294-H1294</f>
        <v>180000</v>
      </c>
      <c r="K1294" s="16" t="str">
        <f>VLOOKUP(C1294,[1]master_data!$A$2:$E$495,5,FALSE)</f>
        <v>Ikan</v>
      </c>
      <c r="L1294" s="1"/>
    </row>
    <row r="1295" spans="1:12" ht="12" customHeight="1" x14ac:dyDescent="0.25">
      <c r="A1295" s="15">
        <v>44311</v>
      </c>
      <c r="B1295" s="16" t="s">
        <v>913</v>
      </c>
      <c r="C1295" s="16" t="s">
        <v>133</v>
      </c>
      <c r="D1295" s="16" t="str">
        <f>VLOOKUP(C1295,[1]master_data!$A$2:$E$495,2,FALSE)</f>
        <v>LED KANDILA PRO RED 40 CM</v>
      </c>
      <c r="E1295" s="16">
        <v>2</v>
      </c>
      <c r="F1295" s="16">
        <f>VLOOKUP(C1295,[1]master_data!$A$2:$E$495,3,FALSE)</f>
        <v>120000</v>
      </c>
      <c r="G1295" s="16">
        <f>VLOOKUP(C1295,[1]master_data!$A$2:$E$495,4,FALSE)</f>
        <v>160000</v>
      </c>
      <c r="H1295" s="16">
        <f>E1295*F1295</f>
        <v>240000</v>
      </c>
      <c r="I1295" s="16">
        <f>E1295*G1295</f>
        <v>320000</v>
      </c>
      <c r="J1295" s="16">
        <f>I1295-H1295</f>
        <v>80000</v>
      </c>
      <c r="K1295" s="16" t="str">
        <f>VLOOKUP(C1295,[1]master_data!$A$2:$E$495,5,FALSE)</f>
        <v>Aksesoris</v>
      </c>
      <c r="L1295" s="1"/>
    </row>
    <row r="1296" spans="1:12" ht="12" customHeight="1" x14ac:dyDescent="0.25">
      <c r="A1296" s="15">
        <v>44311</v>
      </c>
      <c r="B1296" s="16" t="s">
        <v>914</v>
      </c>
      <c r="C1296" s="16" t="s">
        <v>315</v>
      </c>
      <c r="D1296" s="16" t="str">
        <f>VLOOKUP(C1296,[1]master_data!$A$2:$E$495,2,FALSE)</f>
        <v>BLACK GHOST</v>
      </c>
      <c r="E1296" s="16">
        <v>20</v>
      </c>
      <c r="F1296" s="16">
        <f>VLOOKUP(C1296,[1]master_data!$A$2:$E$495,3,FALSE)</f>
        <v>4000</v>
      </c>
      <c r="G1296" s="16">
        <f>VLOOKUP(C1296,[1]master_data!$A$2:$E$495,4,FALSE)</f>
        <v>10000</v>
      </c>
      <c r="H1296" s="16">
        <f>E1296*F1296</f>
        <v>80000</v>
      </c>
      <c r="I1296" s="16">
        <f>E1296*G1296</f>
        <v>200000</v>
      </c>
      <c r="J1296" s="16">
        <f>I1296-H1296</f>
        <v>120000</v>
      </c>
      <c r="K1296" s="16" t="str">
        <f>VLOOKUP(C1296,[1]master_data!$A$2:$E$495,5,FALSE)</f>
        <v>Ikan</v>
      </c>
      <c r="L1296" s="1"/>
    </row>
    <row r="1297" spans="1:12" ht="12" customHeight="1" x14ac:dyDescent="0.25">
      <c r="A1297" s="15">
        <v>44310</v>
      </c>
      <c r="B1297" s="16" t="s">
        <v>906</v>
      </c>
      <c r="C1297" s="16" t="s">
        <v>305</v>
      </c>
      <c r="D1297" s="16" t="str">
        <f>VLOOKUP(C1297,[1]master_data!$A$2:$E$495,2,FALSE)</f>
        <v>CHANNA ASIATICA B</v>
      </c>
      <c r="E1297" s="16">
        <v>2</v>
      </c>
      <c r="F1297" s="16">
        <f>VLOOKUP(C1297,[1]master_data!$A$2:$E$495,3,FALSE)</f>
        <v>40000</v>
      </c>
      <c r="G1297" s="16">
        <f>VLOOKUP(C1297,[1]master_data!$A$2:$E$495,4,FALSE)</f>
        <v>100000</v>
      </c>
      <c r="H1297" s="16">
        <f>E1297*F1297</f>
        <v>80000</v>
      </c>
      <c r="I1297" s="16">
        <f>E1297*G1297</f>
        <v>200000</v>
      </c>
      <c r="J1297" s="16">
        <f>I1297-H1297</f>
        <v>120000</v>
      </c>
      <c r="K1297" s="16" t="str">
        <f>VLOOKUP(C1297,[1]master_data!$A$2:$E$495,5,FALSE)</f>
        <v>Ikan</v>
      </c>
      <c r="L1297" s="1"/>
    </row>
    <row r="1298" spans="1:12" ht="12" customHeight="1" x14ac:dyDescent="0.25">
      <c r="A1298" s="15">
        <v>44310</v>
      </c>
      <c r="B1298" s="16" t="s">
        <v>907</v>
      </c>
      <c r="C1298" s="16" t="s">
        <v>89</v>
      </c>
      <c r="D1298" s="16" t="str">
        <f>VLOOKUP(C1298,[1]master_data!$A$2:$E$495,2,FALSE)</f>
        <v>AIRATOR NIKITA LUB 1</v>
      </c>
      <c r="E1298" s="16">
        <v>2</v>
      </c>
      <c r="F1298" s="16">
        <f>VLOOKUP(C1298,[1]master_data!$A$2:$E$495,3,FALSE)</f>
        <v>20500</v>
      </c>
      <c r="G1298" s="16">
        <f>VLOOKUP(C1298,[1]master_data!$A$2:$E$495,4,FALSE)</f>
        <v>30000</v>
      </c>
      <c r="H1298" s="16">
        <f>E1298*F1298</f>
        <v>41000</v>
      </c>
      <c r="I1298" s="16">
        <f>E1298*G1298</f>
        <v>60000</v>
      </c>
      <c r="J1298" s="16">
        <f>I1298-H1298</f>
        <v>19000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44310</v>
      </c>
      <c r="B1299" s="16" t="s">
        <v>908</v>
      </c>
      <c r="C1299" s="16" t="s">
        <v>355</v>
      </c>
      <c r="D1299" s="16" t="str">
        <f>VLOOKUP(C1299,[1]master_data!$A$2:$E$495,2,FALSE)</f>
        <v>PALMAS</v>
      </c>
      <c r="E1299" s="16">
        <v>1</v>
      </c>
      <c r="F1299" s="16">
        <f>VLOOKUP(C1299,[1]master_data!$A$2:$E$495,3,FALSE)</f>
        <v>10000</v>
      </c>
      <c r="G1299" s="16">
        <f>VLOOKUP(C1299,[1]master_data!$A$2:$E$495,4,FALSE)</f>
        <v>25000</v>
      </c>
      <c r="H1299" s="16">
        <f>E1299*F1299</f>
        <v>10000</v>
      </c>
      <c r="I1299" s="16">
        <f>E1299*G1299</f>
        <v>25000</v>
      </c>
      <c r="J1299" s="16">
        <f>I1299-H1299</f>
        <v>15000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44310</v>
      </c>
      <c r="B1300" s="16" t="s">
        <v>909</v>
      </c>
      <c r="C1300" s="16" t="s">
        <v>332</v>
      </c>
      <c r="D1300" s="16" t="str">
        <f>VLOOKUP(C1300,[1]master_data!$A$2:$E$495,2,FALSE)</f>
        <v>KURA - KURA</v>
      </c>
      <c r="E1300" s="16">
        <v>2</v>
      </c>
      <c r="F1300" s="16">
        <f>VLOOKUP(C1300,[1]master_data!$A$2:$E$495,3,FALSE)</f>
        <v>25000</v>
      </c>
      <c r="G1300" s="16">
        <f>VLOOKUP(C1300,[1]master_data!$A$2:$E$495,4,FALSE)</f>
        <v>35000</v>
      </c>
      <c r="H1300" s="16">
        <f>E1300*F1300</f>
        <v>50000</v>
      </c>
      <c r="I1300" s="16">
        <f>E1300*G1300</f>
        <v>70000</v>
      </c>
      <c r="J1300" s="16">
        <f>I1300-H1300</f>
        <v>20000</v>
      </c>
      <c r="K1300" s="16" t="str">
        <f>VLOOKUP(C1300,[1]master_data!$A$2:$E$495,5,FALSE)</f>
        <v>Ikan</v>
      </c>
      <c r="L1300" s="1"/>
    </row>
    <row r="1301" spans="1:12" ht="12" customHeight="1" x14ac:dyDescent="0.25">
      <c r="A1301" s="15">
        <v>44310</v>
      </c>
      <c r="B1301" s="16" t="s">
        <v>910</v>
      </c>
      <c r="C1301" s="16" t="s">
        <v>347</v>
      </c>
      <c r="D1301" s="16" t="str">
        <f>VLOOKUP(C1301,[1]master_data!$A$2:$E$495,2,FALSE)</f>
        <v>MOLI BALON</v>
      </c>
      <c r="E1301" s="16">
        <v>20</v>
      </c>
      <c r="F1301" s="16">
        <f>VLOOKUP(C1301,[1]master_data!$A$2:$E$495,3,FALSE)</f>
        <v>800</v>
      </c>
      <c r="G1301" s="16">
        <f>VLOOKUP(C1301,[1]master_data!$A$2:$E$495,4,FALSE)</f>
        <v>2000</v>
      </c>
      <c r="H1301" s="16">
        <f>E1301*F1301</f>
        <v>16000</v>
      </c>
      <c r="I1301" s="16">
        <f>E1301*G1301</f>
        <v>40000</v>
      </c>
      <c r="J1301" s="16">
        <f>I1301-H1301</f>
        <v>24000</v>
      </c>
      <c r="K1301" s="16" t="str">
        <f>VLOOKUP(C1301,[1]master_data!$A$2:$E$495,5,FALSE)</f>
        <v>Ikan</v>
      </c>
      <c r="L1301" s="1"/>
    </row>
    <row r="1302" spans="1:12" ht="12" customHeight="1" x14ac:dyDescent="0.25">
      <c r="A1302" s="15">
        <v>44310</v>
      </c>
      <c r="B1302" s="16" t="s">
        <v>911</v>
      </c>
      <c r="C1302" s="16" t="s">
        <v>313</v>
      </c>
      <c r="D1302" s="16" t="str">
        <f>VLOOKUP(C1302,[1]master_data!$A$2:$E$495,2,FALSE)</f>
        <v>BALA BALA K</v>
      </c>
      <c r="E1302" s="16">
        <v>28</v>
      </c>
      <c r="F1302" s="16">
        <f>VLOOKUP(C1302,[1]master_data!$A$2:$E$495,3,FALSE)</f>
        <v>4000</v>
      </c>
      <c r="G1302" s="16">
        <f>VLOOKUP(C1302,[1]master_data!$A$2:$E$495,4,FALSE)</f>
        <v>8000</v>
      </c>
      <c r="H1302" s="16">
        <f>E1302*F1302</f>
        <v>112000</v>
      </c>
      <c r="I1302" s="16">
        <f>E1302*G1302</f>
        <v>224000</v>
      </c>
      <c r="J1302" s="16">
        <f>I1302-H1302</f>
        <v>112000</v>
      </c>
      <c r="K1302" s="16" t="str">
        <f>VLOOKUP(C1302,[1]master_data!$A$2:$E$495,5,FALSE)</f>
        <v>Ikan</v>
      </c>
      <c r="L1302" s="1"/>
    </row>
    <row r="1303" spans="1:12" ht="12" customHeight="1" x14ac:dyDescent="0.25">
      <c r="A1303" s="15">
        <v>44310</v>
      </c>
      <c r="B1303" s="16" t="s">
        <v>912</v>
      </c>
      <c r="C1303" s="16" t="s">
        <v>359</v>
      </c>
      <c r="D1303" s="16" t="str">
        <f>VLOOKUP(C1303,[1]master_data!$A$2:$E$495,2,FALSE)</f>
        <v>REDFIN ALBINO</v>
      </c>
      <c r="E1303" s="16">
        <v>100</v>
      </c>
      <c r="F1303" s="16">
        <f>VLOOKUP(C1303,[1]master_data!$A$2:$E$495,3,FALSE)</f>
        <v>1500</v>
      </c>
      <c r="G1303" s="16">
        <f>VLOOKUP(C1303,[1]master_data!$A$2:$E$495,4,FALSE)</f>
        <v>4000</v>
      </c>
      <c r="H1303" s="16">
        <f>E1303*F1303</f>
        <v>150000</v>
      </c>
      <c r="I1303" s="16">
        <f>E1303*G1303</f>
        <v>400000</v>
      </c>
      <c r="J1303" s="16">
        <f>I1303-H1303</f>
        <v>250000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44309</v>
      </c>
      <c r="B1304" s="16" t="s">
        <v>903</v>
      </c>
      <c r="C1304" s="16" t="s">
        <v>98</v>
      </c>
      <c r="D1304" s="16" t="str">
        <f>VLOOKUP(C1304,[1]master_data!$A$2:$E$495,2,FALSE)</f>
        <v>LED ROSTON 3 MODE 30 CM</v>
      </c>
      <c r="E1304" s="16">
        <v>2</v>
      </c>
      <c r="F1304" s="16">
        <f>VLOOKUP(C1304,[1]master_data!$A$2:$E$495,3,FALSE)</f>
        <v>25000</v>
      </c>
      <c r="G1304" s="16">
        <f>VLOOKUP(C1304,[1]master_data!$A$2:$E$495,4,FALSE)</f>
        <v>45000</v>
      </c>
      <c r="H1304" s="16">
        <f>E1304*F1304</f>
        <v>50000</v>
      </c>
      <c r="I1304" s="16">
        <f>E1304*G1304</f>
        <v>90000</v>
      </c>
      <c r="J1304" s="16">
        <f>I1304-H1304</f>
        <v>40000</v>
      </c>
      <c r="K1304" s="16" t="str">
        <f>VLOOKUP(C1304,[1]master_data!$A$2:$E$495,5,FALSE)</f>
        <v>Aksesoris</v>
      </c>
      <c r="L1304" s="1"/>
    </row>
    <row r="1305" spans="1:12" ht="12" customHeight="1" x14ac:dyDescent="0.25">
      <c r="A1305" s="15">
        <v>44309</v>
      </c>
      <c r="B1305" s="16" t="s">
        <v>904</v>
      </c>
      <c r="C1305" s="16" t="s">
        <v>306</v>
      </c>
      <c r="D1305" s="16" t="str">
        <f>VLOOKUP(C1305,[1]master_data!$A$2:$E$495,2,FALSE)</f>
        <v>CHANNA ANDRAO B</v>
      </c>
      <c r="E1305" s="16">
        <v>2</v>
      </c>
      <c r="F1305" s="16">
        <f>VLOOKUP(C1305,[1]master_data!$A$2:$E$495,3,FALSE)</f>
        <v>100000</v>
      </c>
      <c r="G1305" s="16">
        <f>VLOOKUP(C1305,[1]master_data!$A$2:$E$495,4,FALSE)</f>
        <v>200000</v>
      </c>
      <c r="H1305" s="16">
        <f>E1305*F1305</f>
        <v>200000</v>
      </c>
      <c r="I1305" s="16">
        <f>E1305*G1305</f>
        <v>400000</v>
      </c>
      <c r="J1305" s="16">
        <f>I1305-H1305</f>
        <v>200000</v>
      </c>
      <c r="K1305" s="16" t="str">
        <f>VLOOKUP(C1305,[1]master_data!$A$2:$E$495,5,FALSE)</f>
        <v>Ikan</v>
      </c>
      <c r="L1305" s="1"/>
    </row>
    <row r="1306" spans="1:12" ht="12" customHeight="1" x14ac:dyDescent="0.25">
      <c r="A1306" s="15">
        <v>44309</v>
      </c>
      <c r="B1306" s="16" t="s">
        <v>905</v>
      </c>
      <c r="C1306" s="16" t="s">
        <v>324</v>
      </c>
      <c r="D1306" s="16" t="str">
        <f>VLOOKUP(C1306,[1]master_data!$A$2:$E$495,2,FALSE)</f>
        <v>GOLDEN BLACK</v>
      </c>
      <c r="E1306" s="16">
        <v>8</v>
      </c>
      <c r="F1306" s="16">
        <f>VLOOKUP(C1306,[1]master_data!$A$2:$E$495,3,FALSE)</f>
        <v>800</v>
      </c>
      <c r="G1306" s="16">
        <f>VLOOKUP(C1306,[1]master_data!$A$2:$E$495,4,FALSE)</f>
        <v>2000</v>
      </c>
      <c r="H1306" s="16">
        <f>E1306*F1306</f>
        <v>6400</v>
      </c>
      <c r="I1306" s="16">
        <f>E1306*G1306</f>
        <v>16000</v>
      </c>
      <c r="J1306" s="16">
        <f>I1306-H1306</f>
        <v>9600</v>
      </c>
      <c r="K1306" s="16" t="str">
        <f>VLOOKUP(C1306,[1]master_data!$A$2:$E$495,5,FALSE)</f>
        <v>Ikan</v>
      </c>
      <c r="L1306" s="1"/>
    </row>
    <row r="1307" spans="1:12" ht="12" customHeight="1" x14ac:dyDescent="0.25">
      <c r="A1307" s="15">
        <v>44308</v>
      </c>
      <c r="B1307" s="16" t="s">
        <v>900</v>
      </c>
      <c r="C1307" s="16" t="s">
        <v>351</v>
      </c>
      <c r="D1307" s="16" t="str">
        <f>VLOOKUP(C1307,[1]master_data!$A$2:$E$495,2,FALSE)</f>
        <v>NEON</v>
      </c>
      <c r="E1307" s="16">
        <v>30</v>
      </c>
      <c r="F1307" s="16">
        <f>VLOOKUP(C1307,[1]master_data!$A$2:$E$495,3,FALSE)</f>
        <v>1250</v>
      </c>
      <c r="G1307" s="16">
        <f>VLOOKUP(C1307,[1]master_data!$A$2:$E$495,4,FALSE)</f>
        <v>5000</v>
      </c>
      <c r="H1307" s="16">
        <f>E1307*F1307</f>
        <v>37500</v>
      </c>
      <c r="I1307" s="16">
        <f>E1307*G1307</f>
        <v>150000</v>
      </c>
      <c r="J1307" s="16">
        <f>I1307-H1307</f>
        <v>112500</v>
      </c>
      <c r="K1307" s="16" t="str">
        <f>VLOOKUP(C1307,[1]master_data!$A$2:$E$495,5,FALSE)</f>
        <v>Ikan</v>
      </c>
      <c r="L1307" s="1"/>
    </row>
    <row r="1308" spans="1:12" ht="12" customHeight="1" x14ac:dyDescent="0.25">
      <c r="A1308" s="15">
        <v>44308</v>
      </c>
      <c r="B1308" s="16" t="s">
        <v>901</v>
      </c>
      <c r="C1308" s="16" t="s">
        <v>177</v>
      </c>
      <c r="D1308" s="16" t="str">
        <f>VLOOKUP(C1308,[1]master_data!$A$2:$E$495,2,FALSE)</f>
        <v>CP KOI GROWTH</v>
      </c>
      <c r="E1308" s="16">
        <v>12</v>
      </c>
      <c r="F1308" s="16">
        <f>VLOOKUP(C1308,[1]master_data!$A$2:$E$495,3,FALSE)</f>
        <v>38000</v>
      </c>
      <c r="G1308" s="16">
        <f>VLOOKUP(C1308,[1]master_data!$A$2:$E$495,4,FALSE)</f>
        <v>50000</v>
      </c>
      <c r="H1308" s="16">
        <f>E1308*F1308</f>
        <v>456000</v>
      </c>
      <c r="I1308" s="16">
        <f>E1308*G1308</f>
        <v>600000</v>
      </c>
      <c r="J1308" s="16">
        <f>I1308-H1308</f>
        <v>144000</v>
      </c>
      <c r="K1308" s="16" t="str">
        <f>VLOOKUP(C1308,[1]master_data!$A$2:$E$495,5,FALSE)</f>
        <v>Aksesoris</v>
      </c>
      <c r="L1308" s="1"/>
    </row>
    <row r="1309" spans="1:12" ht="12" customHeight="1" x14ac:dyDescent="0.25">
      <c r="A1309" s="15">
        <v>44308</v>
      </c>
      <c r="B1309" s="16" t="s">
        <v>902</v>
      </c>
      <c r="C1309" s="16" t="s">
        <v>351</v>
      </c>
      <c r="D1309" s="16" t="str">
        <f>VLOOKUP(C1309,[1]master_data!$A$2:$E$495,2,FALSE)</f>
        <v>NEON</v>
      </c>
      <c r="E1309" s="16">
        <v>50</v>
      </c>
      <c r="F1309" s="16">
        <f>VLOOKUP(C1309,[1]master_data!$A$2:$E$495,3,FALSE)</f>
        <v>1250</v>
      </c>
      <c r="G1309" s="16">
        <f>VLOOKUP(C1309,[1]master_data!$A$2:$E$495,4,FALSE)</f>
        <v>5000</v>
      </c>
      <c r="H1309" s="16">
        <f>E1309*F1309</f>
        <v>62500</v>
      </c>
      <c r="I1309" s="16">
        <f>E1309*G1309</f>
        <v>250000</v>
      </c>
      <c r="J1309" s="16">
        <f>I1309-H1309</f>
        <v>187500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44307</v>
      </c>
      <c r="B1310" s="16" t="s">
        <v>894</v>
      </c>
      <c r="C1310" s="16" t="s">
        <v>17</v>
      </c>
      <c r="D1310" s="16" t="str">
        <f>VLOOKUP(C1310,[1]master_data!$A$2:$E$495,2,FALSE)</f>
        <v>HANG ON YANG 502</v>
      </c>
      <c r="E1310" s="16">
        <v>1</v>
      </c>
      <c r="F1310" s="16">
        <f>VLOOKUP(C1310,[1]master_data!$A$2:$E$495,3,FALSE)</f>
        <v>71000</v>
      </c>
      <c r="G1310" s="16">
        <f>VLOOKUP(C1310,[1]master_data!$A$2:$E$495,4,FALSE)</f>
        <v>95000</v>
      </c>
      <c r="H1310" s="16">
        <f>E1310*F1310</f>
        <v>71000</v>
      </c>
      <c r="I1310" s="16">
        <f>E1310*G1310</f>
        <v>95000</v>
      </c>
      <c r="J1310" s="16">
        <f>I1310-H1310</f>
        <v>24000</v>
      </c>
      <c r="K1310" s="16" t="str">
        <f>VLOOKUP(C1310,[1]master_data!$A$2:$E$495,5,FALSE)</f>
        <v>Aksesoris</v>
      </c>
      <c r="L1310" s="1"/>
    </row>
    <row r="1311" spans="1:12" ht="12" customHeight="1" x14ac:dyDescent="0.25">
      <c r="A1311" s="15">
        <v>44307</v>
      </c>
      <c r="B1311" s="16" t="s">
        <v>895</v>
      </c>
      <c r="C1311" s="16" t="s">
        <v>313</v>
      </c>
      <c r="D1311" s="16" t="str">
        <f>VLOOKUP(C1311,[1]master_data!$A$2:$E$495,2,FALSE)</f>
        <v>BALA BALA K</v>
      </c>
      <c r="E1311" s="16">
        <v>20</v>
      </c>
      <c r="F1311" s="16">
        <f>VLOOKUP(C1311,[1]master_data!$A$2:$E$495,3,FALSE)</f>
        <v>4000</v>
      </c>
      <c r="G1311" s="16">
        <f>VLOOKUP(C1311,[1]master_data!$A$2:$E$495,4,FALSE)</f>
        <v>8000</v>
      </c>
      <c r="H1311" s="16">
        <f>E1311*F1311</f>
        <v>80000</v>
      </c>
      <c r="I1311" s="16">
        <f>E1311*G1311</f>
        <v>160000</v>
      </c>
      <c r="J1311" s="16">
        <f>I1311-H1311</f>
        <v>80000</v>
      </c>
      <c r="K1311" s="16" t="str">
        <f>VLOOKUP(C1311,[1]master_data!$A$2:$E$495,5,FALSE)</f>
        <v>Ikan</v>
      </c>
      <c r="L1311" s="1"/>
    </row>
    <row r="1312" spans="1:12" ht="12" customHeight="1" x14ac:dyDescent="0.25">
      <c r="A1312" s="15">
        <v>44307</v>
      </c>
      <c r="B1312" s="16" t="s">
        <v>896</v>
      </c>
      <c r="C1312" s="16" t="s">
        <v>187</v>
      </c>
      <c r="D1312" s="16" t="str">
        <f>VLOOKUP(C1312,[1]master_data!$A$2:$E$495,2,FALSE)</f>
        <v>FISH LOVE PAKAN BURAYAK</v>
      </c>
      <c r="E1312" s="16">
        <v>30</v>
      </c>
      <c r="F1312" s="16">
        <f>VLOOKUP(C1312,[1]master_data!$A$2:$E$495,3,FALSE)</f>
        <v>2500</v>
      </c>
      <c r="G1312" s="16">
        <f>VLOOKUP(C1312,[1]master_data!$A$2:$E$495,4,FALSE)</f>
        <v>5000</v>
      </c>
      <c r="H1312" s="16">
        <f>E1312*F1312</f>
        <v>75000</v>
      </c>
      <c r="I1312" s="16">
        <f>E1312*G1312</f>
        <v>150000</v>
      </c>
      <c r="J1312" s="16">
        <f>I1312-H1312</f>
        <v>75000</v>
      </c>
      <c r="K1312" s="16" t="str">
        <f>VLOOKUP(C1312,[1]master_data!$A$2:$E$495,5,FALSE)</f>
        <v>Aksesoris</v>
      </c>
      <c r="L1312" s="1"/>
    </row>
    <row r="1313" spans="1:12" ht="12" customHeight="1" x14ac:dyDescent="0.25">
      <c r="A1313" s="15">
        <v>44307</v>
      </c>
      <c r="B1313" s="16" t="s">
        <v>897</v>
      </c>
      <c r="C1313" s="16" t="s">
        <v>359</v>
      </c>
      <c r="D1313" s="16" t="str">
        <f>VLOOKUP(C1313,[1]master_data!$A$2:$E$495,2,FALSE)</f>
        <v>REDFIN ALBINO</v>
      </c>
      <c r="E1313" s="16">
        <v>15</v>
      </c>
      <c r="F1313" s="16">
        <f>VLOOKUP(C1313,[1]master_data!$A$2:$E$495,3,FALSE)</f>
        <v>1500</v>
      </c>
      <c r="G1313" s="16">
        <f>VLOOKUP(C1313,[1]master_data!$A$2:$E$495,4,FALSE)</f>
        <v>4000</v>
      </c>
      <c r="H1313" s="16">
        <f>E1313*F1313</f>
        <v>22500</v>
      </c>
      <c r="I1313" s="16">
        <f>E1313*G1313</f>
        <v>60000</v>
      </c>
      <c r="J1313" s="16">
        <f>I1313-H1313</f>
        <v>37500</v>
      </c>
      <c r="K1313" s="16" t="str">
        <f>VLOOKUP(C1313,[1]master_data!$A$2:$E$495,5,FALSE)</f>
        <v>Ikan</v>
      </c>
      <c r="L1313" s="1"/>
    </row>
    <row r="1314" spans="1:12" ht="12" customHeight="1" x14ac:dyDescent="0.25">
      <c r="A1314" s="15">
        <v>44307</v>
      </c>
      <c r="B1314" s="16" t="s">
        <v>898</v>
      </c>
      <c r="C1314" s="16" t="s">
        <v>130</v>
      </c>
      <c r="D1314" s="16" t="str">
        <f>VLOOKUP(C1314,[1]master_data!$A$2:$E$495,2,FALSE)</f>
        <v>LED ROSTON 3 MODE 50 CM</v>
      </c>
      <c r="E1314" s="16">
        <v>1</v>
      </c>
      <c r="F1314" s="16">
        <f>VLOOKUP(C1314,[1]master_data!$A$2:$E$495,3,FALSE)</f>
        <v>30000</v>
      </c>
      <c r="G1314" s="16">
        <f>VLOOKUP(C1314,[1]master_data!$A$2:$E$495,4,FALSE)</f>
        <v>60000</v>
      </c>
      <c r="H1314" s="16">
        <f>E1314*F1314</f>
        <v>30000</v>
      </c>
      <c r="I1314" s="16">
        <f>E1314*G1314</f>
        <v>60000</v>
      </c>
      <c r="J1314" s="16">
        <f>I1314-H1314</f>
        <v>30000</v>
      </c>
      <c r="K1314" s="16" t="str">
        <f>VLOOKUP(C1314,[1]master_data!$A$2:$E$495,5,FALSE)</f>
        <v>Aksesoris</v>
      </c>
      <c r="L1314" s="1"/>
    </row>
    <row r="1315" spans="1:12" ht="12" customHeight="1" x14ac:dyDescent="0.25">
      <c r="A1315" s="15">
        <v>44307</v>
      </c>
      <c r="B1315" s="16" t="s">
        <v>899</v>
      </c>
      <c r="C1315" s="16" t="s">
        <v>369</v>
      </c>
      <c r="D1315" s="16" t="str">
        <f>VLOOKUP(C1315,[1]master_data!$A$2:$E$495,2,FALSE)</f>
        <v>ZEBRA PINK</v>
      </c>
      <c r="E1315" s="16">
        <v>14</v>
      </c>
      <c r="F1315" s="16">
        <f>VLOOKUP(C1315,[1]master_data!$A$2:$E$495,3,FALSE)</f>
        <v>800</v>
      </c>
      <c r="G1315" s="16">
        <f>VLOOKUP(C1315,[1]master_data!$A$2:$E$495,4,FALSE)</f>
        <v>2000</v>
      </c>
      <c r="H1315" s="16">
        <f>E1315*F1315</f>
        <v>11200</v>
      </c>
      <c r="I1315" s="16">
        <f>E1315*G1315</f>
        <v>28000</v>
      </c>
      <c r="J1315" s="16">
        <f>I1315-H1315</f>
        <v>16800</v>
      </c>
      <c r="K1315" s="16" t="str">
        <f>VLOOKUP(C1315,[1]master_data!$A$2:$E$495,5,FALSE)</f>
        <v>Ikan</v>
      </c>
      <c r="L1315" s="1"/>
    </row>
    <row r="1316" spans="1:12" ht="12" customHeight="1" x14ac:dyDescent="0.25">
      <c r="A1316" s="15">
        <v>44306</v>
      </c>
      <c r="B1316" s="16" t="s">
        <v>890</v>
      </c>
      <c r="C1316" s="16" t="s">
        <v>365</v>
      </c>
      <c r="D1316" s="16" t="str">
        <f>VLOOKUP(C1316,[1]master_data!$A$2:$E$495,2,FALSE)</f>
        <v>SYNODONTIS K</v>
      </c>
      <c r="E1316" s="16">
        <v>30</v>
      </c>
      <c r="F1316" s="16">
        <f>VLOOKUP(C1316,[1]master_data!$A$2:$E$495,3,FALSE)</f>
        <v>1500</v>
      </c>
      <c r="G1316" s="16">
        <f>VLOOKUP(C1316,[1]master_data!$A$2:$E$495,4,FALSE)</f>
        <v>5000</v>
      </c>
      <c r="H1316" s="16">
        <f>E1316*F1316</f>
        <v>45000</v>
      </c>
      <c r="I1316" s="16">
        <f>E1316*G1316</f>
        <v>150000</v>
      </c>
      <c r="J1316" s="16">
        <f>I1316-H1316</f>
        <v>105000</v>
      </c>
      <c r="K1316" s="16" t="str">
        <f>VLOOKUP(C1316,[1]master_data!$A$2:$E$495,5,FALSE)</f>
        <v>Ikan</v>
      </c>
      <c r="L1316" s="1"/>
    </row>
    <row r="1317" spans="1:12" ht="12" customHeight="1" x14ac:dyDescent="0.25">
      <c r="A1317" s="15">
        <v>44306</v>
      </c>
      <c r="B1317" s="16" t="s">
        <v>891</v>
      </c>
      <c r="C1317" s="16" t="s">
        <v>298</v>
      </c>
      <c r="D1317" s="16" t="str">
        <f>VLOOKUP(C1317,[1]master_data!$A$2:$E$495,2,FALSE)</f>
        <v>BATU WARNA FOSFOR B</v>
      </c>
      <c r="E1317" s="16">
        <v>10</v>
      </c>
      <c r="F1317" s="16">
        <f>VLOOKUP(C1317,[1]master_data!$A$2:$E$495,3,FALSE)</f>
        <v>8000</v>
      </c>
      <c r="G1317" s="16">
        <f>VLOOKUP(C1317,[1]master_data!$A$2:$E$495,4,FALSE)</f>
        <v>15000</v>
      </c>
      <c r="H1317" s="16">
        <f>E1317*F1317</f>
        <v>80000</v>
      </c>
      <c r="I1317" s="16">
        <f>E1317*G1317</f>
        <v>150000</v>
      </c>
      <c r="J1317" s="16">
        <f>I1317-H1317</f>
        <v>70000</v>
      </c>
      <c r="K1317" s="16" t="str">
        <f>VLOOKUP(C1317,[1]master_data!$A$2:$E$495,5,FALSE)</f>
        <v>Aksesoris</v>
      </c>
      <c r="L1317" s="1"/>
    </row>
    <row r="1318" spans="1:12" ht="12" customHeight="1" x14ac:dyDescent="0.25">
      <c r="A1318" s="15">
        <v>44306</v>
      </c>
      <c r="B1318" s="16" t="s">
        <v>892</v>
      </c>
      <c r="C1318" s="16" t="s">
        <v>173</v>
      </c>
      <c r="D1318" s="16" t="str">
        <f>VLOOKUP(C1318,[1]master_data!$A$2:$E$495,2,FALSE)</f>
        <v>HOKKY LOUHAN COLOUR</v>
      </c>
      <c r="E1318" s="16">
        <v>5</v>
      </c>
      <c r="F1318" s="16">
        <f>VLOOKUP(C1318,[1]master_data!$A$2:$E$495,3,FALSE)</f>
        <v>18000</v>
      </c>
      <c r="G1318" s="16">
        <f>VLOOKUP(C1318,[1]master_data!$A$2:$E$495,4,FALSE)</f>
        <v>25000</v>
      </c>
      <c r="H1318" s="16">
        <f>E1318*F1318</f>
        <v>90000</v>
      </c>
      <c r="I1318" s="16">
        <f>E1318*G1318</f>
        <v>125000</v>
      </c>
      <c r="J1318" s="16">
        <f>I1318-H1318</f>
        <v>35000</v>
      </c>
      <c r="K1318" s="16" t="str">
        <f>VLOOKUP(C1318,[1]master_data!$A$2:$E$495,5,FALSE)</f>
        <v>Aksesoris</v>
      </c>
      <c r="L1318" s="1"/>
    </row>
    <row r="1319" spans="1:12" ht="12" customHeight="1" x14ac:dyDescent="0.25">
      <c r="A1319" s="15">
        <v>44306</v>
      </c>
      <c r="B1319" s="16" t="s">
        <v>893</v>
      </c>
      <c r="C1319" s="16" t="s">
        <v>177</v>
      </c>
      <c r="D1319" s="16" t="str">
        <f>VLOOKUP(C1319,[1]master_data!$A$2:$E$495,2,FALSE)</f>
        <v>CP KOI GROWTH</v>
      </c>
      <c r="E1319" s="16">
        <v>1</v>
      </c>
      <c r="F1319" s="16">
        <f>VLOOKUP(C1319,[1]master_data!$A$2:$E$495,3,FALSE)</f>
        <v>38000</v>
      </c>
      <c r="G1319" s="16">
        <f>VLOOKUP(C1319,[1]master_data!$A$2:$E$495,4,FALSE)</f>
        <v>50000</v>
      </c>
      <c r="H1319" s="16">
        <f>E1319*F1319</f>
        <v>38000</v>
      </c>
      <c r="I1319" s="16">
        <f>E1319*G1319</f>
        <v>50000</v>
      </c>
      <c r="J1319" s="16">
        <f>I1319-H1319</f>
        <v>12000</v>
      </c>
      <c r="K1319" s="16" t="str">
        <f>VLOOKUP(C1319,[1]master_data!$A$2:$E$495,5,FALSE)</f>
        <v>Aksesoris</v>
      </c>
      <c r="L1319" s="1"/>
    </row>
    <row r="1320" spans="1:12" ht="12" customHeight="1" x14ac:dyDescent="0.25">
      <c r="A1320" s="15">
        <v>44305</v>
      </c>
      <c r="B1320" s="16" t="s">
        <v>887</v>
      </c>
      <c r="C1320" s="16" t="s">
        <v>241</v>
      </c>
      <c r="D1320" s="16" t="str">
        <f>VLOOKUP(C1320,[1]master_data!$A$2:$E$495,2,FALSE)</f>
        <v>PINSET KANDILA</v>
      </c>
      <c r="E1320" s="16">
        <v>2</v>
      </c>
      <c r="F1320" s="16">
        <f>VLOOKUP(C1320,[1]master_data!$A$2:$E$495,3,FALSE)</f>
        <v>18000</v>
      </c>
      <c r="G1320" s="16">
        <f>VLOOKUP(C1320,[1]master_data!$A$2:$E$495,4,FALSE)</f>
        <v>35000</v>
      </c>
      <c r="H1320" s="16">
        <f>E1320*F1320</f>
        <v>36000</v>
      </c>
      <c r="I1320" s="16">
        <f>E1320*G1320</f>
        <v>70000</v>
      </c>
      <c r="J1320" s="16">
        <f>I1320-H1320</f>
        <v>34000</v>
      </c>
      <c r="K1320" s="16" t="str">
        <f>VLOOKUP(C1320,[1]master_data!$A$2:$E$495,5,FALSE)</f>
        <v>Aksesoris</v>
      </c>
      <c r="L1320" s="1"/>
    </row>
    <row r="1321" spans="1:12" ht="12" customHeight="1" x14ac:dyDescent="0.25">
      <c r="A1321" s="15">
        <v>44305</v>
      </c>
      <c r="B1321" s="16" t="s">
        <v>888</v>
      </c>
      <c r="C1321" s="16" t="s">
        <v>342</v>
      </c>
      <c r="D1321" s="16" t="str">
        <f>VLOOKUP(C1321,[1]master_data!$A$2:$E$495,2,FALSE)</f>
        <v>LOUHAN SUPER</v>
      </c>
      <c r="E1321" s="16">
        <v>1</v>
      </c>
      <c r="F1321" s="16">
        <f>VLOOKUP(C1321,[1]master_data!$A$2:$E$495,3,FALSE)</f>
        <v>300000</v>
      </c>
      <c r="G1321" s="16">
        <f>VLOOKUP(C1321,[1]master_data!$A$2:$E$495,4,FALSE)</f>
        <v>500000</v>
      </c>
      <c r="H1321" s="16">
        <f>E1321*F1321</f>
        <v>300000</v>
      </c>
      <c r="I1321" s="16">
        <f>E1321*G1321</f>
        <v>500000</v>
      </c>
      <c r="J1321" s="16">
        <f>I1321-H1321</f>
        <v>200000</v>
      </c>
      <c r="K1321" s="16" t="str">
        <f>VLOOKUP(C1321,[1]master_data!$A$2:$E$495,5,FALSE)</f>
        <v>Ikan</v>
      </c>
      <c r="L1321" s="1"/>
    </row>
    <row r="1322" spans="1:12" ht="12" customHeight="1" x14ac:dyDescent="0.25">
      <c r="A1322" s="15">
        <v>44305</v>
      </c>
      <c r="B1322" s="16" t="s">
        <v>889</v>
      </c>
      <c r="C1322" s="16" t="s">
        <v>340</v>
      </c>
      <c r="D1322" s="16" t="str">
        <f>VLOOKUP(C1322,[1]master_data!$A$2:$E$495,2,FALSE)</f>
        <v>LEMON</v>
      </c>
      <c r="E1322" s="16">
        <v>10</v>
      </c>
      <c r="F1322" s="16">
        <f>VLOOKUP(C1322,[1]master_data!$A$2:$E$495,3,FALSE)</f>
        <v>1000</v>
      </c>
      <c r="G1322" s="16">
        <f>VLOOKUP(C1322,[1]master_data!$A$2:$E$495,4,FALSE)</f>
        <v>2000</v>
      </c>
      <c r="H1322" s="16">
        <f>E1322*F1322</f>
        <v>10000</v>
      </c>
      <c r="I1322" s="16">
        <f>E1322*G1322</f>
        <v>20000</v>
      </c>
      <c r="J1322" s="16">
        <f>I1322-H1322</f>
        <v>10000</v>
      </c>
      <c r="K1322" s="16" t="str">
        <f>VLOOKUP(C1322,[1]master_data!$A$2:$E$495,5,FALSE)</f>
        <v>Ikan</v>
      </c>
      <c r="L1322" s="1"/>
    </row>
    <row r="1323" spans="1:12" ht="12" customHeight="1" x14ac:dyDescent="0.25">
      <c r="A1323" s="15">
        <v>44304</v>
      </c>
      <c r="B1323" s="16" t="s">
        <v>880</v>
      </c>
      <c r="C1323" s="16" t="s">
        <v>359</v>
      </c>
      <c r="D1323" s="16" t="str">
        <f>VLOOKUP(C1323,[1]master_data!$A$2:$E$495,2,FALSE)</f>
        <v>REDFIN ALBINO</v>
      </c>
      <c r="E1323" s="16">
        <v>15</v>
      </c>
      <c r="F1323" s="16">
        <f>VLOOKUP(C1323,[1]master_data!$A$2:$E$495,3,FALSE)</f>
        <v>1500</v>
      </c>
      <c r="G1323" s="16">
        <f>VLOOKUP(C1323,[1]master_data!$A$2:$E$495,4,FALSE)</f>
        <v>4000</v>
      </c>
      <c r="H1323" s="16">
        <f>E1323*F1323</f>
        <v>22500</v>
      </c>
      <c r="I1323" s="16">
        <f>E1323*G1323</f>
        <v>60000</v>
      </c>
      <c r="J1323" s="16">
        <f>I1323-H1323</f>
        <v>37500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44304</v>
      </c>
      <c r="B1324" s="16" t="s">
        <v>881</v>
      </c>
      <c r="C1324" s="16" t="s">
        <v>349</v>
      </c>
      <c r="D1324" s="16" t="str">
        <f>VLOOKUP(C1324,[1]master_data!$A$2:$E$495,2,FALSE)</f>
        <v>RED EYE TETRA</v>
      </c>
      <c r="E1324" s="16">
        <v>20</v>
      </c>
      <c r="F1324" s="16">
        <f>VLOOKUP(C1324,[1]master_data!$A$2:$E$495,3,FALSE)</f>
        <v>900</v>
      </c>
      <c r="G1324" s="16">
        <f>VLOOKUP(C1324,[1]master_data!$A$2:$E$495,4,FALSE)</f>
        <v>2000</v>
      </c>
      <c r="H1324" s="16">
        <f>E1324*F1324</f>
        <v>18000</v>
      </c>
      <c r="I1324" s="16">
        <f>E1324*G1324</f>
        <v>40000</v>
      </c>
      <c r="J1324" s="16">
        <f>I1324-H1324</f>
        <v>22000</v>
      </c>
      <c r="K1324" s="16" t="str">
        <f>VLOOKUP(C1324,[1]master_data!$A$2:$E$495,5,FALSE)</f>
        <v>Ikan</v>
      </c>
      <c r="L1324" s="1"/>
    </row>
    <row r="1325" spans="1:12" ht="12" customHeight="1" x14ac:dyDescent="0.25">
      <c r="A1325" s="15">
        <v>44304</v>
      </c>
      <c r="B1325" s="16" t="s">
        <v>882</v>
      </c>
      <c r="C1325" s="16" t="s">
        <v>310</v>
      </c>
      <c r="D1325" s="16" t="str">
        <f>VLOOKUP(C1325,[1]master_data!$A$2:$E$495,2,FALSE)</f>
        <v>ALIGATOR</v>
      </c>
      <c r="E1325" s="16">
        <v>5</v>
      </c>
      <c r="F1325" s="16">
        <f>VLOOKUP(C1325,[1]master_data!$A$2:$E$495,3,FALSE)</f>
        <v>17000</v>
      </c>
      <c r="G1325" s="16">
        <f>VLOOKUP(C1325,[1]master_data!$A$2:$E$495,4,FALSE)</f>
        <v>35000</v>
      </c>
      <c r="H1325" s="16">
        <f>E1325*F1325</f>
        <v>85000</v>
      </c>
      <c r="I1325" s="16">
        <f>E1325*G1325</f>
        <v>175000</v>
      </c>
      <c r="J1325" s="16">
        <f>I1325-H1325</f>
        <v>90000</v>
      </c>
      <c r="K1325" s="16" t="str">
        <f>VLOOKUP(C1325,[1]master_data!$A$2:$E$495,5,FALSE)</f>
        <v>Ikan</v>
      </c>
      <c r="L1325" s="1"/>
    </row>
    <row r="1326" spans="1:12" ht="12" customHeight="1" x14ac:dyDescent="0.25">
      <c r="A1326" s="15">
        <v>44304</v>
      </c>
      <c r="B1326" s="16" t="s">
        <v>883</v>
      </c>
      <c r="C1326" s="16" t="s">
        <v>350</v>
      </c>
      <c r="D1326" s="16" t="str">
        <f>VLOOKUP(C1326,[1]master_data!$A$2:$E$495,2,FALSE)</f>
        <v>NENTINEN</v>
      </c>
      <c r="E1326" s="16">
        <v>10</v>
      </c>
      <c r="F1326" s="16">
        <f>VLOOKUP(C1326,[1]master_data!$A$2:$E$495,3,FALSE)</f>
        <v>1000</v>
      </c>
      <c r="G1326" s="16">
        <f>VLOOKUP(C1326,[1]master_data!$A$2:$E$495,4,FALSE)</f>
        <v>2500</v>
      </c>
      <c r="H1326" s="16">
        <f>E1326*F1326</f>
        <v>10000</v>
      </c>
      <c r="I1326" s="16">
        <f>E1326*G1326</f>
        <v>25000</v>
      </c>
      <c r="J1326" s="16">
        <f>I1326-H1326</f>
        <v>15000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44304</v>
      </c>
      <c r="B1327" s="16" t="s">
        <v>884</v>
      </c>
      <c r="C1327" s="16" t="s">
        <v>24</v>
      </c>
      <c r="D1327" s="16" t="str">
        <f>VLOOKUP(C1327,[1]master_data!$A$2:$E$495,2,FALSE)</f>
        <v>MESIN ROSTON 106</v>
      </c>
      <c r="E1327" s="16">
        <v>1</v>
      </c>
      <c r="F1327" s="16">
        <f>VLOOKUP(C1327,[1]master_data!$A$2:$E$495,3,FALSE)</f>
        <v>100000</v>
      </c>
      <c r="G1327" s="16">
        <f>VLOOKUP(C1327,[1]master_data!$A$2:$E$495,4,FALSE)</f>
        <v>150000</v>
      </c>
      <c r="H1327" s="16">
        <f>E1327*F1327</f>
        <v>100000</v>
      </c>
      <c r="I1327" s="16">
        <f>E1327*G1327</f>
        <v>150000</v>
      </c>
      <c r="J1327" s="16">
        <f>I1327-H1327</f>
        <v>50000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44304</v>
      </c>
      <c r="B1328" s="16" t="s">
        <v>885</v>
      </c>
      <c r="C1328" s="16" t="s">
        <v>337</v>
      </c>
      <c r="D1328" s="16" t="str">
        <f>VLOOKUP(C1328,[1]master_data!$A$2:$E$495,2,FALSE)</f>
        <v>KOI SLAYER B</v>
      </c>
      <c r="E1328" s="16">
        <v>1</v>
      </c>
      <c r="F1328" s="16">
        <f>VLOOKUP(C1328,[1]master_data!$A$2:$E$495,3,FALSE)</f>
        <v>8000</v>
      </c>
      <c r="G1328" s="16">
        <f>VLOOKUP(C1328,[1]master_data!$A$2:$E$495,4,FALSE)</f>
        <v>20000</v>
      </c>
      <c r="H1328" s="16">
        <f>E1328*F1328</f>
        <v>8000</v>
      </c>
      <c r="I1328" s="16">
        <f>E1328*G1328</f>
        <v>20000</v>
      </c>
      <c r="J1328" s="16">
        <f>I1328-H1328</f>
        <v>12000</v>
      </c>
      <c r="K1328" s="16" t="str">
        <f>VLOOKUP(C1328,[1]master_data!$A$2:$E$495,5,FALSE)</f>
        <v>Ikan</v>
      </c>
      <c r="L1328" s="1"/>
    </row>
    <row r="1329" spans="1:12" ht="12" customHeight="1" x14ac:dyDescent="0.25">
      <c r="A1329" s="15">
        <v>44304</v>
      </c>
      <c r="B1329" s="16" t="s">
        <v>886</v>
      </c>
      <c r="C1329" s="16" t="s">
        <v>372</v>
      </c>
      <c r="D1329" s="16" t="str">
        <f>VLOOKUP(C1329,[1]master_data!$A$2:$E$495,2,FALSE)</f>
        <v>ZEBRA KUNING</v>
      </c>
      <c r="E1329" s="16">
        <v>7</v>
      </c>
      <c r="F1329" s="16">
        <f>VLOOKUP(C1329,[1]master_data!$A$2:$E$495,3,FALSE)</f>
        <v>800</v>
      </c>
      <c r="G1329" s="16">
        <f>VLOOKUP(C1329,[1]master_data!$A$2:$E$495,4,FALSE)</f>
        <v>2000</v>
      </c>
      <c r="H1329" s="16">
        <f>E1329*F1329</f>
        <v>5600</v>
      </c>
      <c r="I1329" s="16">
        <f>E1329*G1329</f>
        <v>14000</v>
      </c>
      <c r="J1329" s="16">
        <f>I1329-H1329</f>
        <v>8400</v>
      </c>
      <c r="K1329" s="16" t="str">
        <f>VLOOKUP(C1329,[1]master_data!$A$2:$E$495,5,FALSE)</f>
        <v>Ikan</v>
      </c>
      <c r="L1329" s="1"/>
    </row>
    <row r="1330" spans="1:12" ht="12" customHeight="1" x14ac:dyDescent="0.25">
      <c r="A1330" s="15">
        <v>44303</v>
      </c>
      <c r="B1330" s="16" t="s">
        <v>879</v>
      </c>
      <c r="C1330" s="16" t="s">
        <v>366</v>
      </c>
      <c r="D1330" s="16" t="str">
        <f>VLOOKUP(C1330,[1]master_data!$A$2:$E$495,2,FALSE)</f>
        <v>SYNODONTI B</v>
      </c>
      <c r="E1330" s="16">
        <v>30</v>
      </c>
      <c r="F1330" s="16">
        <f>VLOOKUP(C1330,[1]master_data!$A$2:$E$495,3,FALSE)</f>
        <v>4000</v>
      </c>
      <c r="G1330" s="16">
        <f>VLOOKUP(C1330,[1]master_data!$A$2:$E$495,4,FALSE)</f>
        <v>10000</v>
      </c>
      <c r="H1330" s="16">
        <f>E1330*F1330</f>
        <v>120000</v>
      </c>
      <c r="I1330" s="16">
        <f>E1330*G1330</f>
        <v>300000</v>
      </c>
      <c r="J1330" s="16">
        <f>I1330-H1330</f>
        <v>180000</v>
      </c>
      <c r="K1330" s="16" t="str">
        <f>VLOOKUP(C1330,[1]master_data!$A$2:$E$495,5,FALSE)</f>
        <v>Ikan</v>
      </c>
      <c r="L1330" s="1"/>
    </row>
    <row r="1331" spans="1:12" ht="12" customHeight="1" x14ac:dyDescent="0.25">
      <c r="A1331" s="15">
        <v>44302</v>
      </c>
      <c r="B1331" s="16" t="s">
        <v>875</v>
      </c>
      <c r="C1331" s="16" t="s">
        <v>351</v>
      </c>
      <c r="D1331" s="16" t="str">
        <f>VLOOKUP(C1331,[1]master_data!$A$2:$E$495,2,FALSE)</f>
        <v>NEON</v>
      </c>
      <c r="E1331" s="16">
        <v>10</v>
      </c>
      <c r="F1331" s="16">
        <f>VLOOKUP(C1331,[1]master_data!$A$2:$E$495,3,FALSE)</f>
        <v>1250</v>
      </c>
      <c r="G1331" s="16">
        <f>VLOOKUP(C1331,[1]master_data!$A$2:$E$495,4,FALSE)</f>
        <v>5000</v>
      </c>
      <c r="H1331" s="16">
        <f>E1331*F1331</f>
        <v>12500</v>
      </c>
      <c r="I1331" s="16">
        <f>E1331*G1331</f>
        <v>50000</v>
      </c>
      <c r="J1331" s="16">
        <f>I1331-H1331</f>
        <v>37500</v>
      </c>
      <c r="K1331" s="16" t="str">
        <f>VLOOKUP(C1331,[1]master_data!$A$2:$E$495,5,FALSE)</f>
        <v>Ikan</v>
      </c>
      <c r="L1331" s="1"/>
    </row>
    <row r="1332" spans="1:12" ht="12" customHeight="1" x14ac:dyDescent="0.25">
      <c r="A1332" s="15">
        <v>44302</v>
      </c>
      <c r="B1332" s="16" t="s">
        <v>876</v>
      </c>
      <c r="C1332" s="16" t="s">
        <v>331</v>
      </c>
      <c r="D1332" s="16" t="str">
        <f>VLOOKUP(C1332,[1]master_data!$A$2:$E$495,2,FALSE)</f>
        <v>KOI B</v>
      </c>
      <c r="E1332" s="16">
        <v>5</v>
      </c>
      <c r="F1332" s="16">
        <f>VLOOKUP(C1332,[1]master_data!$A$2:$E$495,3,FALSE)</f>
        <v>9000</v>
      </c>
      <c r="G1332" s="16">
        <f>VLOOKUP(C1332,[1]master_data!$A$2:$E$495,4,FALSE)</f>
        <v>30000</v>
      </c>
      <c r="H1332" s="16">
        <f>E1332*F1332</f>
        <v>45000</v>
      </c>
      <c r="I1332" s="16">
        <f>E1332*G1332</f>
        <v>150000</v>
      </c>
      <c r="J1332" s="16">
        <f>I1332-H1332</f>
        <v>105000</v>
      </c>
      <c r="K1332" s="16" t="str">
        <f>VLOOKUP(C1332,[1]master_data!$A$2:$E$495,5,FALSE)</f>
        <v>Ikan</v>
      </c>
      <c r="L1332" s="1"/>
    </row>
    <row r="1333" spans="1:12" ht="12" customHeight="1" x14ac:dyDescent="0.25">
      <c r="A1333" s="15">
        <v>44302</v>
      </c>
      <c r="B1333" s="16" t="s">
        <v>877</v>
      </c>
      <c r="C1333" s="16" t="s">
        <v>362</v>
      </c>
      <c r="D1333" s="16" t="str">
        <f>VLOOKUP(C1333,[1]master_data!$A$2:$E$495,2,FALSE)</f>
        <v>SUMATRA BIASA</v>
      </c>
      <c r="E1333" s="16">
        <v>2</v>
      </c>
      <c r="F1333" s="16">
        <f>VLOOKUP(C1333,[1]master_data!$A$2:$E$495,3,FALSE)</f>
        <v>800</v>
      </c>
      <c r="G1333" s="16">
        <f>VLOOKUP(C1333,[1]master_data!$A$2:$E$495,4,FALSE)</f>
        <v>2000</v>
      </c>
      <c r="H1333" s="16">
        <f>E1333*F1333</f>
        <v>1600</v>
      </c>
      <c r="I1333" s="16">
        <f>E1333*G1333</f>
        <v>4000</v>
      </c>
      <c r="J1333" s="16">
        <f>I1333-H1333</f>
        <v>2400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44302</v>
      </c>
      <c r="B1334" s="16" t="s">
        <v>878</v>
      </c>
      <c r="C1334" s="16" t="s">
        <v>16</v>
      </c>
      <c r="D1334" s="16" t="str">
        <f>VLOOKUP(C1334,[1]master_data!$A$2:$E$495,2,FALSE)</f>
        <v>MESIN YANG 108</v>
      </c>
      <c r="E1334" s="16">
        <v>1</v>
      </c>
      <c r="F1334" s="16">
        <f>VLOOKUP(C1334,[1]master_data!$A$2:$E$495,3,FALSE)</f>
        <v>350000</v>
      </c>
      <c r="G1334" s="16">
        <f>VLOOKUP(C1334,[1]master_data!$A$2:$E$495,4,FALSE)</f>
        <v>420000</v>
      </c>
      <c r="H1334" s="16">
        <f>E1334*F1334</f>
        <v>350000</v>
      </c>
      <c r="I1334" s="16">
        <f>E1334*G1334</f>
        <v>420000</v>
      </c>
      <c r="J1334" s="16">
        <f>I1334-H1334</f>
        <v>70000</v>
      </c>
      <c r="K1334" s="16" t="str">
        <f>VLOOKUP(C1334,[1]master_data!$A$2:$E$495,5,FALSE)</f>
        <v>Aksesoris</v>
      </c>
      <c r="L1334" s="1"/>
    </row>
    <row r="1335" spans="1:12" ht="12" customHeight="1" x14ac:dyDescent="0.25">
      <c r="A1335" s="15">
        <v>44301</v>
      </c>
      <c r="B1335" s="16" t="s">
        <v>871</v>
      </c>
      <c r="C1335" s="16" t="s">
        <v>314</v>
      </c>
      <c r="D1335" s="16" t="str">
        <f>VLOOKUP(C1335,[1]master_data!$A$2:$E$495,2,FALSE)</f>
        <v>BALA BALA B</v>
      </c>
      <c r="E1335" s="16">
        <v>10</v>
      </c>
      <c r="F1335" s="16">
        <f>VLOOKUP(C1335,[1]master_data!$A$2:$E$495,3,FALSE)</f>
        <v>7000</v>
      </c>
      <c r="G1335" s="16">
        <f>VLOOKUP(C1335,[1]master_data!$A$2:$E$495,4,FALSE)</f>
        <v>15000</v>
      </c>
      <c r="H1335" s="16">
        <f>E1335*F1335</f>
        <v>70000</v>
      </c>
      <c r="I1335" s="16">
        <f>E1335*G1335</f>
        <v>150000</v>
      </c>
      <c r="J1335" s="16">
        <f>I1335-H1335</f>
        <v>80000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44301</v>
      </c>
      <c r="B1336" s="16" t="s">
        <v>872</v>
      </c>
      <c r="C1336" s="16" t="s">
        <v>205</v>
      </c>
      <c r="D1336" s="16" t="str">
        <f>VLOOKUP(C1336,[1]master_data!$A$2:$E$495,2,FALSE)</f>
        <v>ACRIPLAVIN</v>
      </c>
      <c r="E1336" s="16">
        <v>25</v>
      </c>
      <c r="F1336" s="16">
        <f>VLOOKUP(C1336,[1]master_data!$A$2:$E$495,3,FALSE)</f>
        <v>3000</v>
      </c>
      <c r="G1336" s="16">
        <f>VLOOKUP(C1336,[1]master_data!$A$2:$E$495,4,FALSE)</f>
        <v>8000</v>
      </c>
      <c r="H1336" s="16">
        <f>E1336*F1336</f>
        <v>75000</v>
      </c>
      <c r="I1336" s="16">
        <f>E1336*G1336</f>
        <v>200000</v>
      </c>
      <c r="J1336" s="16">
        <f>I1336-H1336</f>
        <v>125000</v>
      </c>
      <c r="K1336" s="16" t="str">
        <f>VLOOKUP(C1336,[1]master_data!$A$2:$E$495,5,FALSE)</f>
        <v>Aksesoris</v>
      </c>
      <c r="L1336" s="1"/>
    </row>
    <row r="1337" spans="1:12" ht="12" customHeight="1" x14ac:dyDescent="0.25">
      <c r="A1337" s="15">
        <v>44301</v>
      </c>
      <c r="B1337" s="16" t="s">
        <v>873</v>
      </c>
      <c r="C1337" s="16" t="s">
        <v>334</v>
      </c>
      <c r="D1337" s="16" t="str">
        <f>VLOOKUP(C1337,[1]master_data!$A$2:$E$495,2,FALSE)</f>
        <v>KOMET PAKAN</v>
      </c>
      <c r="E1337" s="16">
        <v>45</v>
      </c>
      <c r="F1337" s="16">
        <f>VLOOKUP(C1337,[1]master_data!$A$2:$E$495,3,FALSE)</f>
        <v>300</v>
      </c>
      <c r="G1337" s="16">
        <f>VLOOKUP(C1337,[1]master_data!$A$2:$E$495,4,FALSE)</f>
        <v>1000</v>
      </c>
      <c r="H1337" s="16">
        <f>E1337*F1337</f>
        <v>13500</v>
      </c>
      <c r="I1337" s="16">
        <f>E1337*G1337</f>
        <v>45000</v>
      </c>
      <c r="J1337" s="16">
        <f>I1337-H1337</f>
        <v>31500</v>
      </c>
      <c r="K1337" s="16" t="str">
        <f>VLOOKUP(C1337,[1]master_data!$A$2:$E$495,5,FALSE)</f>
        <v>Ikan</v>
      </c>
      <c r="L1337" s="1"/>
    </row>
    <row r="1338" spans="1:12" ht="12" customHeight="1" x14ac:dyDescent="0.25">
      <c r="A1338" s="15">
        <v>44301</v>
      </c>
      <c r="B1338" s="16" t="s">
        <v>874</v>
      </c>
      <c r="C1338" s="16" t="s">
        <v>44</v>
      </c>
      <c r="D1338" s="16" t="str">
        <f>VLOOKUP(C1338,[1]master_data!$A$2:$E$495,2,FALSE)</f>
        <v>TOP FILTER NIKITA K</v>
      </c>
      <c r="E1338" s="16">
        <v>1</v>
      </c>
      <c r="F1338" s="16">
        <f>VLOOKUP(C1338,[1]master_data!$A$2:$E$495,3,FALSE)</f>
        <v>36000</v>
      </c>
      <c r="G1338" s="16">
        <f>VLOOKUP(C1338,[1]master_data!$A$2:$E$495,4,FALSE)</f>
        <v>55000</v>
      </c>
      <c r="H1338" s="16">
        <f>E1338*F1338</f>
        <v>36000</v>
      </c>
      <c r="I1338" s="16">
        <f>E1338*G1338</f>
        <v>55000</v>
      </c>
      <c r="J1338" s="16">
        <f>I1338-H1338</f>
        <v>19000</v>
      </c>
      <c r="K1338" s="16" t="str">
        <f>VLOOKUP(C1338,[1]master_data!$A$2:$E$495,5,FALSE)</f>
        <v>Aksesoris</v>
      </c>
      <c r="L1338" s="1"/>
    </row>
    <row r="1339" spans="1:12" ht="12" customHeight="1" x14ac:dyDescent="0.25">
      <c r="A1339" s="15">
        <v>44300</v>
      </c>
      <c r="B1339" s="16" t="s">
        <v>868</v>
      </c>
      <c r="C1339" s="16" t="s">
        <v>8</v>
      </c>
      <c r="D1339" s="16" t="str">
        <f>VLOOKUP(C1339,[1]master_data!$A$2:$E$495,2,FALSE)</f>
        <v>MESIN YANG 1800</v>
      </c>
      <c r="E1339" s="16">
        <v>2</v>
      </c>
      <c r="F1339" s="16">
        <f>VLOOKUP(C1339,[1]master_data!$A$2:$E$495,3,FALSE)</f>
        <v>75000</v>
      </c>
      <c r="G1339" s="16">
        <f>VLOOKUP(C1339,[1]master_data!$A$2:$E$495,4,FALSE)</f>
        <v>110000</v>
      </c>
      <c r="H1339" s="16">
        <f>E1339*F1339</f>
        <v>150000</v>
      </c>
      <c r="I1339" s="16">
        <f>E1339*G1339</f>
        <v>220000</v>
      </c>
      <c r="J1339" s="16">
        <f>I1339-H1339</f>
        <v>70000</v>
      </c>
      <c r="K1339" s="16" t="str">
        <f>VLOOKUP(C1339,[1]master_data!$A$2:$E$495,5,FALSE)</f>
        <v>Aksesoris</v>
      </c>
      <c r="L1339" s="1"/>
    </row>
    <row r="1340" spans="1:12" ht="12" customHeight="1" x14ac:dyDescent="0.25">
      <c r="A1340" s="15">
        <v>44300</v>
      </c>
      <c r="B1340" s="16" t="s">
        <v>869</v>
      </c>
      <c r="C1340" s="16" t="s">
        <v>48</v>
      </c>
      <c r="D1340" s="16" t="str">
        <f>VLOOKUP(C1340,[1]master_data!$A$2:$E$495,2,FALSE)</f>
        <v>MESIN SWI 1600</v>
      </c>
      <c r="E1340" s="16">
        <v>5</v>
      </c>
      <c r="F1340" s="16">
        <f>VLOOKUP(C1340,[1]master_data!$A$2:$E$495,3,FALSE)</f>
        <v>37500</v>
      </c>
      <c r="G1340" s="16">
        <f>VLOOKUP(C1340,[1]master_data!$A$2:$E$495,4,FALSE)</f>
        <v>55000</v>
      </c>
      <c r="H1340" s="16">
        <f>E1340*F1340</f>
        <v>187500</v>
      </c>
      <c r="I1340" s="16">
        <f>E1340*G1340</f>
        <v>275000</v>
      </c>
      <c r="J1340" s="16">
        <f>I1340-H1340</f>
        <v>87500</v>
      </c>
      <c r="K1340" s="16" t="str">
        <f>VLOOKUP(C1340,[1]master_data!$A$2:$E$495,5,FALSE)</f>
        <v>Aksesoris</v>
      </c>
      <c r="L1340" s="1"/>
    </row>
    <row r="1341" spans="1:12" ht="12" customHeight="1" x14ac:dyDescent="0.25">
      <c r="A1341" s="15">
        <v>44300</v>
      </c>
      <c r="B1341" s="16" t="s">
        <v>870</v>
      </c>
      <c r="C1341" s="16" t="s">
        <v>313</v>
      </c>
      <c r="D1341" s="16" t="str">
        <f>VLOOKUP(C1341,[1]master_data!$A$2:$E$495,2,FALSE)</f>
        <v>BALA BALA K</v>
      </c>
      <c r="E1341" s="16">
        <v>23</v>
      </c>
      <c r="F1341" s="16">
        <f>VLOOKUP(C1341,[1]master_data!$A$2:$E$495,3,FALSE)</f>
        <v>4000</v>
      </c>
      <c r="G1341" s="16">
        <f>VLOOKUP(C1341,[1]master_data!$A$2:$E$495,4,FALSE)</f>
        <v>8000</v>
      </c>
      <c r="H1341" s="16">
        <f>E1341*F1341</f>
        <v>92000</v>
      </c>
      <c r="I1341" s="16">
        <f>E1341*G1341</f>
        <v>184000</v>
      </c>
      <c r="J1341" s="16">
        <f>I1341-H1341</f>
        <v>92000</v>
      </c>
      <c r="K1341" s="16" t="str">
        <f>VLOOKUP(C1341,[1]master_data!$A$2:$E$495,5,FALSE)</f>
        <v>Ikan</v>
      </c>
      <c r="L1341" s="1"/>
    </row>
    <row r="1342" spans="1:12" ht="12" customHeight="1" x14ac:dyDescent="0.25">
      <c r="A1342" s="15">
        <v>44299</v>
      </c>
      <c r="B1342" s="16" t="s">
        <v>863</v>
      </c>
      <c r="C1342" s="16" t="s">
        <v>373</v>
      </c>
      <c r="D1342" s="16" t="str">
        <f>VLOOKUP(C1342,[1]master_data!$A$2:$E$495,2,FALSE)</f>
        <v>SEPAT</v>
      </c>
      <c r="E1342" s="16">
        <v>10</v>
      </c>
      <c r="F1342" s="16">
        <f>VLOOKUP(C1342,[1]master_data!$A$2:$E$495,3,FALSE)</f>
        <v>600</v>
      </c>
      <c r="G1342" s="16">
        <f>VLOOKUP(C1342,[1]master_data!$A$2:$E$495,4,FALSE)</f>
        <v>2000</v>
      </c>
      <c r="H1342" s="16">
        <f>E1342*F1342</f>
        <v>6000</v>
      </c>
      <c r="I1342" s="16">
        <f>E1342*G1342</f>
        <v>20000</v>
      </c>
      <c r="J1342" s="16">
        <f>I1342-H1342</f>
        <v>14000</v>
      </c>
      <c r="K1342" s="16" t="str">
        <f>VLOOKUP(C1342,[1]master_data!$A$2:$E$495,5,FALSE)</f>
        <v>Ikan</v>
      </c>
      <c r="L1342" s="1"/>
    </row>
    <row r="1343" spans="1:12" ht="12" customHeight="1" x14ac:dyDescent="0.25">
      <c r="A1343" s="15">
        <v>44299</v>
      </c>
      <c r="B1343" s="16" t="s">
        <v>864</v>
      </c>
      <c r="C1343" s="16" t="s">
        <v>320</v>
      </c>
      <c r="D1343" s="16" t="str">
        <f>VLOOKUP(C1343,[1]master_data!$A$2:$E$495,2,FALSE)</f>
        <v>CUPANG</v>
      </c>
      <c r="E1343" s="16">
        <v>20</v>
      </c>
      <c r="F1343" s="16">
        <f>VLOOKUP(C1343,[1]master_data!$A$2:$E$495,3,FALSE)</f>
        <v>2000</v>
      </c>
      <c r="G1343" s="16">
        <f>VLOOKUP(C1343,[1]master_data!$A$2:$E$495,4,FALSE)</f>
        <v>5000</v>
      </c>
      <c r="H1343" s="16">
        <f>E1343*F1343</f>
        <v>40000</v>
      </c>
      <c r="I1343" s="16">
        <f>E1343*G1343</f>
        <v>100000</v>
      </c>
      <c r="J1343" s="16">
        <f>I1343-H1343</f>
        <v>60000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44299</v>
      </c>
      <c r="B1344" s="16" t="s">
        <v>865</v>
      </c>
      <c r="C1344" s="16" t="s">
        <v>327</v>
      </c>
      <c r="D1344" s="16" t="str">
        <f>VLOOKUP(C1344,[1]master_data!$A$2:$E$495,2,FALSE)</f>
        <v>KOKI T</v>
      </c>
      <c r="E1344" s="16">
        <v>5</v>
      </c>
      <c r="F1344" s="16">
        <f>VLOOKUP(C1344,[1]master_data!$A$2:$E$495,3,FALSE)</f>
        <v>8000</v>
      </c>
      <c r="G1344" s="16">
        <f>VLOOKUP(C1344,[1]master_data!$A$2:$E$495,4,FALSE)</f>
        <v>15000</v>
      </c>
      <c r="H1344" s="16">
        <f>E1344*F1344</f>
        <v>40000</v>
      </c>
      <c r="I1344" s="16">
        <f>E1344*G1344</f>
        <v>75000</v>
      </c>
      <c r="J1344" s="16">
        <f>I1344-H1344</f>
        <v>35000</v>
      </c>
      <c r="K1344" s="16" t="str">
        <f>VLOOKUP(C1344,[1]master_data!$A$2:$E$495,5,FALSE)</f>
        <v>Ikan</v>
      </c>
      <c r="L1344" s="1"/>
    </row>
    <row r="1345" spans="1:12" ht="12" customHeight="1" x14ac:dyDescent="0.25">
      <c r="A1345" s="15">
        <v>44299</v>
      </c>
      <c r="B1345" s="16" t="s">
        <v>866</v>
      </c>
      <c r="C1345" s="16" t="s">
        <v>115</v>
      </c>
      <c r="D1345" s="16" t="str">
        <f>VLOOKUP(C1345,[1]master_data!$A$2:$E$495,2,FALSE)</f>
        <v>LAMPU YAMANO UV 20W</v>
      </c>
      <c r="E1345" s="16">
        <v>2</v>
      </c>
      <c r="F1345" s="16">
        <f>VLOOKUP(C1345,[1]master_data!$A$2:$E$495,3,FALSE)</f>
        <v>184000</v>
      </c>
      <c r="G1345" s="16">
        <f>VLOOKUP(C1345,[1]master_data!$A$2:$E$495,4,FALSE)</f>
        <v>225000</v>
      </c>
      <c r="H1345" s="16">
        <f>E1345*F1345</f>
        <v>368000</v>
      </c>
      <c r="I1345" s="16">
        <f>E1345*G1345</f>
        <v>450000</v>
      </c>
      <c r="J1345" s="16">
        <f>I1345-H1345</f>
        <v>82000</v>
      </c>
      <c r="K1345" s="16" t="str">
        <f>VLOOKUP(C1345,[1]master_data!$A$2:$E$495,5,FALSE)</f>
        <v>Aksesoris</v>
      </c>
      <c r="L1345" s="1"/>
    </row>
    <row r="1346" spans="1:12" ht="12" customHeight="1" x14ac:dyDescent="0.25">
      <c r="A1346" s="15">
        <v>44299</v>
      </c>
      <c r="B1346" s="16" t="s">
        <v>867</v>
      </c>
      <c r="C1346" s="16" t="s">
        <v>363</v>
      </c>
      <c r="D1346" s="16" t="str">
        <f>VLOOKUP(C1346,[1]master_data!$A$2:$E$495,2,FALSE)</f>
        <v>SUMATRA GOLD FISH</v>
      </c>
      <c r="E1346" s="16">
        <v>30</v>
      </c>
      <c r="F1346" s="16">
        <f>VLOOKUP(C1346,[1]master_data!$A$2:$E$495,3,FALSE)</f>
        <v>2500</v>
      </c>
      <c r="G1346" s="16">
        <f>VLOOKUP(C1346,[1]master_data!$A$2:$E$495,4,FALSE)</f>
        <v>4000</v>
      </c>
      <c r="H1346" s="16">
        <f>E1346*F1346</f>
        <v>75000</v>
      </c>
      <c r="I1346" s="16">
        <f>E1346*G1346</f>
        <v>120000</v>
      </c>
      <c r="J1346" s="16">
        <f>I1346-H1346</f>
        <v>45000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44298</v>
      </c>
      <c r="B1347" s="16" t="s">
        <v>860</v>
      </c>
      <c r="C1347" s="16" t="s">
        <v>310</v>
      </c>
      <c r="D1347" s="16" t="str">
        <f>VLOOKUP(C1347,[1]master_data!$A$2:$E$495,2,FALSE)</f>
        <v>ALIGATOR</v>
      </c>
      <c r="E1347" s="16">
        <v>10</v>
      </c>
      <c r="F1347" s="16">
        <f>VLOOKUP(C1347,[1]master_data!$A$2:$E$495,3,FALSE)</f>
        <v>17000</v>
      </c>
      <c r="G1347" s="16">
        <f>VLOOKUP(C1347,[1]master_data!$A$2:$E$495,4,FALSE)</f>
        <v>35000</v>
      </c>
      <c r="H1347" s="16">
        <f>E1347*F1347</f>
        <v>170000</v>
      </c>
      <c r="I1347" s="16">
        <f>E1347*G1347</f>
        <v>350000</v>
      </c>
      <c r="J1347" s="16">
        <f>I1347-H1347</f>
        <v>180000</v>
      </c>
      <c r="K1347" s="16" t="str">
        <f>VLOOKUP(C1347,[1]master_data!$A$2:$E$495,5,FALSE)</f>
        <v>Ikan</v>
      </c>
      <c r="L1347" s="1"/>
    </row>
    <row r="1348" spans="1:12" ht="12" customHeight="1" x14ac:dyDescent="0.25">
      <c r="A1348" s="15">
        <v>44298</v>
      </c>
      <c r="B1348" s="16" t="s">
        <v>861</v>
      </c>
      <c r="C1348" s="16" t="s">
        <v>247</v>
      </c>
      <c r="D1348" s="16" t="str">
        <f>VLOOKUP(C1348,[1]master_data!$A$2:$E$495,2,FALSE)</f>
        <v>L PIPA</v>
      </c>
      <c r="E1348" s="16">
        <v>15</v>
      </c>
      <c r="F1348" s="16">
        <f>VLOOKUP(C1348,[1]master_data!$A$2:$E$495,3,FALSE)</f>
        <v>800</v>
      </c>
      <c r="G1348" s="16">
        <f>VLOOKUP(C1348,[1]master_data!$A$2:$E$495,4,FALSE)</f>
        <v>2000</v>
      </c>
      <c r="H1348" s="16">
        <f>E1348*F1348</f>
        <v>12000</v>
      </c>
      <c r="I1348" s="16">
        <f>E1348*G1348</f>
        <v>30000</v>
      </c>
      <c r="J1348" s="16">
        <f>I1348-H1348</f>
        <v>18000</v>
      </c>
      <c r="K1348" s="16" t="str">
        <f>VLOOKUP(C1348,[1]master_data!$A$2:$E$495,5,FALSE)</f>
        <v>Aksesoris</v>
      </c>
      <c r="L1348" s="1"/>
    </row>
    <row r="1349" spans="1:12" ht="12" customHeight="1" x14ac:dyDescent="0.25">
      <c r="A1349" s="15">
        <v>44298</v>
      </c>
      <c r="B1349" s="16" t="s">
        <v>862</v>
      </c>
      <c r="C1349" s="16" t="s">
        <v>172</v>
      </c>
      <c r="D1349" s="16" t="str">
        <f>VLOOKUP(C1349,[1]master_data!$A$2:$E$495,2,FALSE)</f>
        <v>MEM PRIME 10 GR</v>
      </c>
      <c r="E1349" s="16">
        <v>10</v>
      </c>
      <c r="F1349" s="16">
        <f>VLOOKUP(C1349,[1]master_data!$A$2:$E$495,3,FALSE)</f>
        <v>5000</v>
      </c>
      <c r="G1349" s="16">
        <f>VLOOKUP(C1349,[1]master_data!$A$2:$E$495,4,FALSE)</f>
        <v>10000</v>
      </c>
      <c r="H1349" s="16">
        <f>E1349*F1349</f>
        <v>50000</v>
      </c>
      <c r="I1349" s="16">
        <f>E1349*G1349</f>
        <v>100000</v>
      </c>
      <c r="J1349" s="16">
        <f>I1349-H1349</f>
        <v>50000</v>
      </c>
      <c r="K1349" s="16" t="str">
        <f>VLOOKUP(C1349,[1]master_data!$A$2:$E$495,5,FALSE)</f>
        <v>Aksesoris</v>
      </c>
      <c r="L1349" s="1"/>
    </row>
    <row r="1350" spans="1:12" ht="12" customHeight="1" x14ac:dyDescent="0.25">
      <c r="A1350" s="15">
        <v>44297</v>
      </c>
      <c r="B1350" s="16" t="s">
        <v>856</v>
      </c>
      <c r="C1350" s="16" t="s">
        <v>186</v>
      </c>
      <c r="D1350" s="16" t="str">
        <f>VLOOKUP(C1350,[1]master_data!$A$2:$E$495,2,FALSE)</f>
        <v>FISH LOVE PAKAN</v>
      </c>
      <c r="E1350" s="16">
        <v>25</v>
      </c>
      <c r="F1350" s="16">
        <f>VLOOKUP(C1350,[1]master_data!$A$2:$E$495,3,FALSE)</f>
        <v>2500</v>
      </c>
      <c r="G1350" s="16">
        <f>VLOOKUP(C1350,[1]master_data!$A$2:$E$495,4,FALSE)</f>
        <v>5000</v>
      </c>
      <c r="H1350" s="16">
        <f>E1350*F1350</f>
        <v>62500</v>
      </c>
      <c r="I1350" s="16">
        <f>E1350*G1350</f>
        <v>125000</v>
      </c>
      <c r="J1350" s="16">
        <f>I1350-H1350</f>
        <v>62500</v>
      </c>
      <c r="K1350" s="16" t="str">
        <f>VLOOKUP(C1350,[1]master_data!$A$2:$E$495,5,FALSE)</f>
        <v>Aksesoris</v>
      </c>
      <c r="L1350" s="1"/>
    </row>
    <row r="1351" spans="1:12" ht="12" customHeight="1" x14ac:dyDescent="0.25">
      <c r="A1351" s="15">
        <v>44297</v>
      </c>
      <c r="B1351" s="16" t="s">
        <v>857</v>
      </c>
      <c r="C1351" s="16" t="s">
        <v>26</v>
      </c>
      <c r="D1351" s="16" t="str">
        <f>VLOOKUP(C1351,[1]master_data!$A$2:$E$495,2,FALSE)</f>
        <v>MESIN ROSTON 108</v>
      </c>
      <c r="E1351" s="16">
        <v>1</v>
      </c>
      <c r="F1351" s="16">
        <f>VLOOKUP(C1351,[1]master_data!$A$2:$E$495,3,FALSE)</f>
        <v>190000</v>
      </c>
      <c r="G1351" s="16">
        <f>VLOOKUP(C1351,[1]master_data!$A$2:$E$495,4,FALSE)</f>
        <v>275000</v>
      </c>
      <c r="H1351" s="16">
        <f>E1351*F1351</f>
        <v>190000</v>
      </c>
      <c r="I1351" s="16">
        <f>E1351*G1351</f>
        <v>275000</v>
      </c>
      <c r="J1351" s="16">
        <f>I1351-H1351</f>
        <v>85000</v>
      </c>
      <c r="K1351" s="16" t="str">
        <f>VLOOKUP(C1351,[1]master_data!$A$2:$E$495,5,FALSE)</f>
        <v>Aksesoris</v>
      </c>
      <c r="L1351" s="1"/>
    </row>
    <row r="1352" spans="1:12" ht="12" customHeight="1" x14ac:dyDescent="0.25">
      <c r="A1352" s="15">
        <v>44297</v>
      </c>
      <c r="B1352" s="16" t="s">
        <v>858</v>
      </c>
      <c r="C1352" s="16" t="s">
        <v>336</v>
      </c>
      <c r="D1352" s="16" t="str">
        <f>VLOOKUP(C1352,[1]master_data!$A$2:$E$495,2,FALSE)</f>
        <v>KOI SLAYER K</v>
      </c>
      <c r="E1352" s="16">
        <v>15</v>
      </c>
      <c r="F1352" s="16">
        <f>VLOOKUP(C1352,[1]master_data!$A$2:$E$495,3,FALSE)</f>
        <v>3500</v>
      </c>
      <c r="G1352" s="16">
        <f>VLOOKUP(C1352,[1]master_data!$A$2:$E$495,4,FALSE)</f>
        <v>10000</v>
      </c>
      <c r="H1352" s="16">
        <f>E1352*F1352</f>
        <v>52500</v>
      </c>
      <c r="I1352" s="16">
        <f>E1352*G1352</f>
        <v>150000</v>
      </c>
      <c r="J1352" s="16">
        <f>I1352-H1352</f>
        <v>97500</v>
      </c>
      <c r="K1352" s="16" t="str">
        <f>VLOOKUP(C1352,[1]master_data!$A$2:$E$495,5,FALSE)</f>
        <v>Ikan</v>
      </c>
      <c r="L1352" s="1"/>
    </row>
    <row r="1353" spans="1:12" ht="12" customHeight="1" x14ac:dyDescent="0.25">
      <c r="A1353" s="15">
        <v>44297</v>
      </c>
      <c r="B1353" s="16" t="s">
        <v>859</v>
      </c>
      <c r="C1353" s="16" t="s">
        <v>309</v>
      </c>
      <c r="D1353" s="16" t="str">
        <f>VLOOKUP(C1353,[1]master_data!$A$2:$E$495,2,FALSE)</f>
        <v>ALGA EATER</v>
      </c>
      <c r="E1353" s="16">
        <v>5</v>
      </c>
      <c r="F1353" s="16">
        <f>VLOOKUP(C1353,[1]master_data!$A$2:$E$495,3,FALSE)</f>
        <v>1750</v>
      </c>
      <c r="G1353" s="16">
        <f>VLOOKUP(C1353,[1]master_data!$A$2:$E$495,4,FALSE)</f>
        <v>5000</v>
      </c>
      <c r="H1353" s="16">
        <f>E1353*F1353</f>
        <v>8750</v>
      </c>
      <c r="I1353" s="16">
        <f>E1353*G1353</f>
        <v>25000</v>
      </c>
      <c r="J1353" s="16">
        <f>I1353-H1353</f>
        <v>16250</v>
      </c>
      <c r="K1353" s="16" t="str">
        <f>VLOOKUP(C1353,[1]master_data!$A$2:$E$495,5,FALSE)</f>
        <v>Ikan</v>
      </c>
      <c r="L1353" s="1"/>
    </row>
    <row r="1354" spans="1:12" ht="12" customHeight="1" x14ac:dyDescent="0.25">
      <c r="A1354" s="15">
        <v>44296</v>
      </c>
      <c r="B1354" s="16" t="s">
        <v>850</v>
      </c>
      <c r="C1354" s="16" t="s">
        <v>333</v>
      </c>
      <c r="D1354" s="16" t="str">
        <f>VLOOKUP(C1354,[1]master_data!$A$2:$E$495,2,FALSE)</f>
        <v>KAVIAT</v>
      </c>
      <c r="E1354" s="16">
        <v>20</v>
      </c>
      <c r="F1354" s="16">
        <f>VLOOKUP(C1354,[1]master_data!$A$2:$E$495,3,FALSE)</f>
        <v>3500</v>
      </c>
      <c r="G1354" s="16">
        <f>VLOOKUP(C1354,[1]master_data!$A$2:$E$495,4,FALSE)</f>
        <v>8000</v>
      </c>
      <c r="H1354" s="16">
        <f>E1354*F1354</f>
        <v>70000</v>
      </c>
      <c r="I1354" s="16">
        <f>E1354*G1354</f>
        <v>160000</v>
      </c>
      <c r="J1354" s="16">
        <f>I1354-H1354</f>
        <v>90000</v>
      </c>
      <c r="K1354" s="16" t="str">
        <f>VLOOKUP(C1354,[1]master_data!$A$2:$E$495,5,FALSE)</f>
        <v>Ikan</v>
      </c>
      <c r="L1354" s="1"/>
    </row>
    <row r="1355" spans="1:12" ht="12" customHeight="1" x14ac:dyDescent="0.25">
      <c r="A1355" s="15">
        <v>44296</v>
      </c>
      <c r="B1355" s="16" t="s">
        <v>851</v>
      </c>
      <c r="C1355" s="16" t="s">
        <v>309</v>
      </c>
      <c r="D1355" s="16" t="str">
        <f>VLOOKUP(C1355,[1]master_data!$A$2:$E$495,2,FALSE)</f>
        <v>ALGA EATER</v>
      </c>
      <c r="E1355" s="16">
        <v>20</v>
      </c>
      <c r="F1355" s="16">
        <f>VLOOKUP(C1355,[1]master_data!$A$2:$E$495,3,FALSE)</f>
        <v>1750</v>
      </c>
      <c r="G1355" s="16">
        <f>VLOOKUP(C1355,[1]master_data!$A$2:$E$495,4,FALSE)</f>
        <v>5000</v>
      </c>
      <c r="H1355" s="16">
        <f>E1355*F1355</f>
        <v>35000</v>
      </c>
      <c r="I1355" s="16">
        <f>E1355*G1355</f>
        <v>100000</v>
      </c>
      <c r="J1355" s="16">
        <f>I1355-H1355</f>
        <v>65000</v>
      </c>
      <c r="K1355" s="16" t="str">
        <f>VLOOKUP(C1355,[1]master_data!$A$2:$E$495,5,FALSE)</f>
        <v>Ikan</v>
      </c>
      <c r="L1355" s="1"/>
    </row>
    <row r="1356" spans="1:12" ht="12" customHeight="1" x14ac:dyDescent="0.25">
      <c r="A1356" s="15">
        <v>44296</v>
      </c>
      <c r="B1356" s="16" t="s">
        <v>852</v>
      </c>
      <c r="C1356" s="16" t="s">
        <v>343</v>
      </c>
      <c r="D1356" s="16" t="str">
        <f>VLOOKUP(C1356,[1]master_data!$A$2:$E$495,2,FALSE)</f>
        <v>MANFISH K</v>
      </c>
      <c r="E1356" s="16">
        <v>15</v>
      </c>
      <c r="F1356" s="16">
        <f>VLOOKUP(C1356,[1]master_data!$A$2:$E$495,3,FALSE)</f>
        <v>2000</v>
      </c>
      <c r="G1356" s="16">
        <f>VLOOKUP(C1356,[1]master_data!$A$2:$E$495,4,FALSE)</f>
        <v>5000</v>
      </c>
      <c r="H1356" s="16">
        <f>E1356*F1356</f>
        <v>30000</v>
      </c>
      <c r="I1356" s="16">
        <f>E1356*G1356</f>
        <v>75000</v>
      </c>
      <c r="J1356" s="16">
        <f>I1356-H1356</f>
        <v>45000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44296</v>
      </c>
      <c r="B1357" s="16" t="s">
        <v>853</v>
      </c>
      <c r="C1357" s="16" t="s">
        <v>362</v>
      </c>
      <c r="D1357" s="16" t="str">
        <f>VLOOKUP(C1357,[1]master_data!$A$2:$E$495,2,FALSE)</f>
        <v>SUMATRA BIASA</v>
      </c>
      <c r="E1357" s="16">
        <v>10</v>
      </c>
      <c r="F1357" s="16">
        <f>VLOOKUP(C1357,[1]master_data!$A$2:$E$495,3,FALSE)</f>
        <v>800</v>
      </c>
      <c r="G1357" s="16">
        <f>VLOOKUP(C1357,[1]master_data!$A$2:$E$495,4,FALSE)</f>
        <v>2000</v>
      </c>
      <c r="H1357" s="16">
        <f>E1357*F1357</f>
        <v>8000</v>
      </c>
      <c r="I1357" s="16">
        <f>E1357*G1357</f>
        <v>20000</v>
      </c>
      <c r="J1357" s="16">
        <f>I1357-H1357</f>
        <v>12000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44296</v>
      </c>
      <c r="B1358" s="16" t="s">
        <v>854</v>
      </c>
      <c r="C1358" s="16" t="s">
        <v>346</v>
      </c>
      <c r="D1358" s="16" t="str">
        <f>VLOOKUP(C1358,[1]master_data!$A$2:$E$495,2,FALSE)</f>
        <v>MOLI PAKAN</v>
      </c>
      <c r="E1358" s="16">
        <v>20</v>
      </c>
      <c r="F1358" s="16">
        <f>VLOOKUP(C1358,[1]master_data!$A$2:$E$495,3,FALSE)</f>
        <v>100</v>
      </c>
      <c r="G1358" s="16">
        <f>VLOOKUP(C1358,[1]master_data!$A$2:$E$495,4,FALSE)</f>
        <v>200</v>
      </c>
      <c r="H1358" s="16">
        <f>E1358*F1358</f>
        <v>2000</v>
      </c>
      <c r="I1358" s="16">
        <f>E1358*G1358</f>
        <v>4000</v>
      </c>
      <c r="J1358" s="16">
        <f>I1358-H1358</f>
        <v>2000</v>
      </c>
      <c r="K1358" s="16" t="str">
        <f>VLOOKUP(C1358,[1]master_data!$A$2:$E$495,5,FALSE)</f>
        <v>Ikan</v>
      </c>
      <c r="L1358" s="1"/>
    </row>
    <row r="1359" spans="1:12" ht="12" customHeight="1" x14ac:dyDescent="0.25">
      <c r="A1359" s="15">
        <v>44296</v>
      </c>
      <c r="B1359" s="16" t="s">
        <v>855</v>
      </c>
      <c r="C1359" s="16" t="s">
        <v>192</v>
      </c>
      <c r="D1359" s="16" t="str">
        <f>VLOOKUP(C1359,[1]master_data!$A$2:$E$495,2,FALSE)</f>
        <v>PAKAN GOLD FISH HITAM</v>
      </c>
      <c r="E1359" s="16">
        <v>8</v>
      </c>
      <c r="F1359" s="16">
        <f>VLOOKUP(C1359,[1]master_data!$A$2:$E$495,3,FALSE)</f>
        <v>7000</v>
      </c>
      <c r="G1359" s="16">
        <f>VLOOKUP(C1359,[1]master_data!$A$2:$E$495,4,FALSE)</f>
        <v>12000</v>
      </c>
      <c r="H1359" s="16">
        <f>E1359*F1359</f>
        <v>56000</v>
      </c>
      <c r="I1359" s="16">
        <f>E1359*G1359</f>
        <v>96000</v>
      </c>
      <c r="J1359" s="16">
        <f>I1359-H1359</f>
        <v>40000</v>
      </c>
      <c r="K1359" s="16" t="str">
        <f>VLOOKUP(C1359,[1]master_data!$A$2:$E$495,5,FALSE)</f>
        <v>Aksesoris</v>
      </c>
      <c r="L1359" s="1"/>
    </row>
    <row r="1360" spans="1:12" ht="12" customHeight="1" x14ac:dyDescent="0.25">
      <c r="A1360" s="15">
        <v>44295</v>
      </c>
      <c r="B1360" s="16" t="s">
        <v>847</v>
      </c>
      <c r="C1360" s="16" t="s">
        <v>299</v>
      </c>
      <c r="D1360" s="16" t="str">
        <f>VLOOKUP(C1360,[1]master_data!$A$2:$E$495,2,FALSE)</f>
        <v>BATU ZELOID</v>
      </c>
      <c r="E1360" s="16">
        <v>1</v>
      </c>
      <c r="F1360" s="16">
        <f>VLOOKUP(C1360,[1]master_data!$A$2:$E$495,3,FALSE)</f>
        <v>25000</v>
      </c>
      <c r="G1360" s="16">
        <f>VLOOKUP(C1360,[1]master_data!$A$2:$E$495,4,FALSE)</f>
        <v>35000</v>
      </c>
      <c r="H1360" s="16">
        <f>E1360*F1360</f>
        <v>25000</v>
      </c>
      <c r="I1360" s="16">
        <f>E1360*G1360</f>
        <v>35000</v>
      </c>
      <c r="J1360" s="16">
        <f>I1360-H1360</f>
        <v>10000</v>
      </c>
      <c r="K1360" s="16" t="str">
        <f>VLOOKUP(C1360,[1]master_data!$A$2:$E$495,5,FALSE)</f>
        <v>Aksesoris</v>
      </c>
      <c r="L1360" s="1"/>
    </row>
    <row r="1361" spans="1:12" ht="12" customHeight="1" x14ac:dyDescent="0.25">
      <c r="A1361" s="15">
        <v>44295</v>
      </c>
      <c r="B1361" s="16" t="s">
        <v>848</v>
      </c>
      <c r="C1361" s="16" t="s">
        <v>361</v>
      </c>
      <c r="D1361" s="16" t="str">
        <f>VLOOKUP(C1361,[1]master_data!$A$2:$E$495,2,FALSE)</f>
        <v>CHANNA RED BARITO B</v>
      </c>
      <c r="E1361" s="16">
        <v>1</v>
      </c>
      <c r="F1361" s="16">
        <f>VLOOKUP(C1361,[1]master_data!$A$2:$E$495,3,FALSE)</f>
        <v>120000</v>
      </c>
      <c r="G1361" s="16">
        <f>VLOOKUP(C1361,[1]master_data!$A$2:$E$495,4,FALSE)</f>
        <v>200000</v>
      </c>
      <c r="H1361" s="16">
        <f>E1361*F1361</f>
        <v>120000</v>
      </c>
      <c r="I1361" s="16">
        <f>E1361*G1361</f>
        <v>200000</v>
      </c>
      <c r="J1361" s="16">
        <f>I1361-H1361</f>
        <v>80000</v>
      </c>
      <c r="K1361" s="16" t="str">
        <f>VLOOKUP(C1361,[1]master_data!$A$2:$E$495,5,FALSE)</f>
        <v>Ikan</v>
      </c>
      <c r="L1361" s="1"/>
    </row>
    <row r="1362" spans="1:12" ht="12" customHeight="1" x14ac:dyDescent="0.25">
      <c r="A1362" s="15">
        <v>44295</v>
      </c>
      <c r="B1362" s="16" t="s">
        <v>849</v>
      </c>
      <c r="C1362" s="16" t="s">
        <v>303</v>
      </c>
      <c r="D1362" s="16" t="str">
        <f>VLOOKUP(C1362,[1]master_data!$A$2:$E$495,2,FALSE)</f>
        <v>CHANNA ASIATICA K</v>
      </c>
      <c r="E1362" s="16">
        <v>2</v>
      </c>
      <c r="F1362" s="16">
        <f>VLOOKUP(C1362,[1]master_data!$A$2:$E$495,3,FALSE)</f>
        <v>10000</v>
      </c>
      <c r="G1362" s="16">
        <f>VLOOKUP(C1362,[1]master_data!$A$2:$E$495,4,FALSE)</f>
        <v>40000</v>
      </c>
      <c r="H1362" s="16">
        <f>E1362*F1362</f>
        <v>20000</v>
      </c>
      <c r="I1362" s="16">
        <f>E1362*G1362</f>
        <v>80000</v>
      </c>
      <c r="J1362" s="16">
        <f>I1362-H1362</f>
        <v>60000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44294</v>
      </c>
      <c r="B1363" s="16" t="s">
        <v>841</v>
      </c>
      <c r="C1363" s="16" t="s">
        <v>249</v>
      </c>
      <c r="D1363" s="16" t="str">
        <f>VLOOKUP(C1363,[1]master_data!$A$2:$E$495,2,FALSE)</f>
        <v>L SELANG</v>
      </c>
      <c r="E1363" s="16">
        <v>30</v>
      </c>
      <c r="F1363" s="16">
        <f>VLOOKUP(C1363,[1]master_data!$A$2:$E$495,3,FALSE)</f>
        <v>750</v>
      </c>
      <c r="G1363" s="16">
        <f>VLOOKUP(C1363,[1]master_data!$A$2:$E$495,4,FALSE)</f>
        <v>1500</v>
      </c>
      <c r="H1363" s="16">
        <f>E1363*F1363</f>
        <v>22500</v>
      </c>
      <c r="I1363" s="16">
        <f>E1363*G1363</f>
        <v>45000</v>
      </c>
      <c r="J1363" s="16">
        <f>I1363-H1363</f>
        <v>22500</v>
      </c>
      <c r="K1363" s="16" t="str">
        <f>VLOOKUP(C1363,[1]master_data!$A$2:$E$495,5,FALSE)</f>
        <v>Aksesoris</v>
      </c>
      <c r="L1363" s="1"/>
    </row>
    <row r="1364" spans="1:12" ht="12" customHeight="1" x14ac:dyDescent="0.25">
      <c r="A1364" s="15">
        <v>44294</v>
      </c>
      <c r="B1364" s="16" t="s">
        <v>842</v>
      </c>
      <c r="C1364" s="16" t="s">
        <v>36</v>
      </c>
      <c r="D1364" s="16" t="str">
        <f>VLOOKUP(C1364,[1]master_data!$A$2:$E$495,2,FALSE)</f>
        <v>MESIN YAMANO 105</v>
      </c>
      <c r="E1364" s="16">
        <v>3</v>
      </c>
      <c r="F1364" s="16">
        <f>VLOOKUP(C1364,[1]master_data!$A$2:$E$495,3,FALSE)</f>
        <v>125000</v>
      </c>
      <c r="G1364" s="16">
        <f>VLOOKUP(C1364,[1]master_data!$A$2:$E$495,4,FALSE)</f>
        <v>160000</v>
      </c>
      <c r="H1364" s="16">
        <f>E1364*F1364</f>
        <v>375000</v>
      </c>
      <c r="I1364" s="16">
        <f>E1364*G1364</f>
        <v>480000</v>
      </c>
      <c r="J1364" s="16">
        <f>I1364-H1364</f>
        <v>105000</v>
      </c>
      <c r="K1364" s="16" t="str">
        <f>VLOOKUP(C1364,[1]master_data!$A$2:$E$495,5,FALSE)</f>
        <v>Aksesoris</v>
      </c>
      <c r="L1364" s="1"/>
    </row>
    <row r="1365" spans="1:12" ht="12" customHeight="1" x14ac:dyDescent="0.25">
      <c r="A1365" s="15">
        <v>44294</v>
      </c>
      <c r="B1365" s="16" t="s">
        <v>843</v>
      </c>
      <c r="C1365" s="16" t="s">
        <v>346</v>
      </c>
      <c r="D1365" s="16" t="str">
        <f>VLOOKUP(C1365,[1]master_data!$A$2:$E$495,2,FALSE)</f>
        <v>MOLI PAKAN</v>
      </c>
      <c r="E1365" s="16">
        <v>25</v>
      </c>
      <c r="F1365" s="16">
        <f>VLOOKUP(C1365,[1]master_data!$A$2:$E$495,3,FALSE)</f>
        <v>100</v>
      </c>
      <c r="G1365" s="16">
        <f>VLOOKUP(C1365,[1]master_data!$A$2:$E$495,4,FALSE)</f>
        <v>200</v>
      </c>
      <c r="H1365" s="16">
        <f>E1365*F1365</f>
        <v>2500</v>
      </c>
      <c r="I1365" s="16">
        <f>E1365*G1365</f>
        <v>5000</v>
      </c>
      <c r="J1365" s="16">
        <f>I1365-H1365</f>
        <v>2500</v>
      </c>
      <c r="K1365" s="16" t="str">
        <f>VLOOKUP(C1365,[1]master_data!$A$2:$E$495,5,FALSE)</f>
        <v>Ikan</v>
      </c>
      <c r="L1365" s="1"/>
    </row>
    <row r="1366" spans="1:12" ht="12" customHeight="1" x14ac:dyDescent="0.25">
      <c r="A1366" s="15">
        <v>44294</v>
      </c>
      <c r="B1366" s="16" t="s">
        <v>844</v>
      </c>
      <c r="C1366" s="16" t="s">
        <v>333</v>
      </c>
      <c r="D1366" s="16" t="str">
        <f>VLOOKUP(C1366,[1]master_data!$A$2:$E$495,2,FALSE)</f>
        <v>KAVIAT</v>
      </c>
      <c r="E1366" s="16">
        <v>15</v>
      </c>
      <c r="F1366" s="16">
        <f>VLOOKUP(C1366,[1]master_data!$A$2:$E$495,3,FALSE)</f>
        <v>3500</v>
      </c>
      <c r="G1366" s="16">
        <f>VLOOKUP(C1366,[1]master_data!$A$2:$E$495,4,FALSE)</f>
        <v>8000</v>
      </c>
      <c r="H1366" s="16">
        <f>E1366*F1366</f>
        <v>52500</v>
      </c>
      <c r="I1366" s="16">
        <f>E1366*G1366</f>
        <v>120000</v>
      </c>
      <c r="J1366" s="16">
        <f>I1366-H1366</f>
        <v>67500</v>
      </c>
      <c r="K1366" s="16" t="str">
        <f>VLOOKUP(C1366,[1]master_data!$A$2:$E$495,5,FALSE)</f>
        <v>Ikan</v>
      </c>
      <c r="L1366" s="1"/>
    </row>
    <row r="1367" spans="1:12" ht="12" customHeight="1" x14ac:dyDescent="0.25">
      <c r="A1367" s="15">
        <v>44294</v>
      </c>
      <c r="B1367" s="16" t="s">
        <v>845</v>
      </c>
      <c r="C1367" s="16" t="s">
        <v>157</v>
      </c>
      <c r="D1367" s="16" t="str">
        <f>VLOOKUP(C1367,[1]master_data!$A$2:$E$495,2,FALSE)</f>
        <v>LED KANDILA DnN ECO 50 CM</v>
      </c>
      <c r="E1367" s="16">
        <v>4</v>
      </c>
      <c r="F1367" s="16">
        <f>VLOOKUP(C1367,[1]master_data!$A$2:$E$495,3,FALSE)</f>
        <v>56000</v>
      </c>
      <c r="G1367" s="16">
        <f>VLOOKUP(C1367,[1]master_data!$A$2:$E$495,4,FALSE)</f>
        <v>85000</v>
      </c>
      <c r="H1367" s="16">
        <f>E1367*F1367</f>
        <v>224000</v>
      </c>
      <c r="I1367" s="16">
        <f>E1367*G1367</f>
        <v>340000</v>
      </c>
      <c r="J1367" s="16">
        <f>I1367-H1367</f>
        <v>116000</v>
      </c>
      <c r="K1367" s="16" t="str">
        <f>VLOOKUP(C1367,[1]master_data!$A$2:$E$495,5,FALSE)</f>
        <v>Aksesoris</v>
      </c>
      <c r="L1367" s="1"/>
    </row>
    <row r="1368" spans="1:12" ht="12" customHeight="1" x14ac:dyDescent="0.25">
      <c r="A1368" s="15">
        <v>44294</v>
      </c>
      <c r="B1368" s="16" t="s">
        <v>846</v>
      </c>
      <c r="C1368" s="16" t="s">
        <v>336</v>
      </c>
      <c r="D1368" s="16" t="str">
        <f>VLOOKUP(C1368,[1]master_data!$A$2:$E$495,2,FALSE)</f>
        <v>KOI SLAYER K</v>
      </c>
      <c r="E1368" s="16">
        <v>1</v>
      </c>
      <c r="F1368" s="16">
        <f>VLOOKUP(C1368,[1]master_data!$A$2:$E$495,3,FALSE)</f>
        <v>3500</v>
      </c>
      <c r="G1368" s="16">
        <f>VLOOKUP(C1368,[1]master_data!$A$2:$E$495,4,FALSE)</f>
        <v>10000</v>
      </c>
      <c r="H1368" s="16">
        <f>E1368*F1368</f>
        <v>3500</v>
      </c>
      <c r="I1368" s="16">
        <f>E1368*G1368</f>
        <v>10000</v>
      </c>
      <c r="J1368" s="16">
        <f>I1368-H1368</f>
        <v>6500</v>
      </c>
      <c r="K1368" s="16" t="str">
        <f>VLOOKUP(C1368,[1]master_data!$A$2:$E$495,5,FALSE)</f>
        <v>Ikan</v>
      </c>
      <c r="L1368" s="1"/>
    </row>
    <row r="1369" spans="1:12" ht="12" customHeight="1" x14ac:dyDescent="0.25">
      <c r="A1369" s="15">
        <v>44293</v>
      </c>
      <c r="B1369" s="16" t="s">
        <v>835</v>
      </c>
      <c r="C1369" s="16" t="s">
        <v>184</v>
      </c>
      <c r="D1369" s="16" t="str">
        <f>VLOOKUP(C1369,[1]master_data!$A$2:$E$495,2,FALSE)</f>
        <v>OK IKO LOUHAN HITAM</v>
      </c>
      <c r="E1369" s="16">
        <v>1</v>
      </c>
      <c r="F1369" s="16">
        <f>VLOOKUP(C1369,[1]master_data!$A$2:$E$495,3,FALSE)</f>
        <v>31500</v>
      </c>
      <c r="G1369" s="16">
        <f>VLOOKUP(C1369,[1]master_data!$A$2:$E$495,4,FALSE)</f>
        <v>50000</v>
      </c>
      <c r="H1369" s="16">
        <f>E1369*F1369</f>
        <v>31500</v>
      </c>
      <c r="I1369" s="16">
        <f>E1369*G1369</f>
        <v>50000</v>
      </c>
      <c r="J1369" s="16">
        <f>I1369-H1369</f>
        <v>18500</v>
      </c>
      <c r="K1369" s="16" t="str">
        <f>VLOOKUP(C1369,[1]master_data!$A$2:$E$495,5,FALSE)</f>
        <v>Aksesoris</v>
      </c>
      <c r="L1369" s="1"/>
    </row>
    <row r="1370" spans="1:12" ht="12" customHeight="1" x14ac:dyDescent="0.25">
      <c r="A1370" s="15">
        <v>44293</v>
      </c>
      <c r="B1370" s="16" t="s">
        <v>836</v>
      </c>
      <c r="C1370" s="16" t="s">
        <v>64</v>
      </c>
      <c r="D1370" s="16" t="str">
        <f>VLOOKUP(C1370,[1]master_data!$A$2:$E$495,2,FALSE)</f>
        <v>BIO FOAM M</v>
      </c>
      <c r="E1370" s="16">
        <v>1</v>
      </c>
      <c r="F1370" s="16">
        <f>VLOOKUP(C1370,[1]master_data!$A$2:$E$495,3,FALSE)</f>
        <v>17000</v>
      </c>
      <c r="G1370" s="16">
        <f>VLOOKUP(C1370,[1]master_data!$A$2:$E$495,4,FALSE)</f>
        <v>30000</v>
      </c>
      <c r="H1370" s="16">
        <f>E1370*F1370</f>
        <v>17000</v>
      </c>
      <c r="I1370" s="16">
        <f>E1370*G1370</f>
        <v>30000</v>
      </c>
      <c r="J1370" s="16">
        <f>I1370-H1370</f>
        <v>13000</v>
      </c>
      <c r="K1370" s="16" t="str">
        <f>VLOOKUP(C1370,[1]master_data!$A$2:$E$495,5,FALSE)</f>
        <v>Aksesoris</v>
      </c>
      <c r="L1370" s="1"/>
    </row>
    <row r="1371" spans="1:12" ht="12" customHeight="1" x14ac:dyDescent="0.25">
      <c r="A1371" s="15">
        <v>44293</v>
      </c>
      <c r="B1371" s="16" t="s">
        <v>837</v>
      </c>
      <c r="C1371" s="16" t="s">
        <v>104</v>
      </c>
      <c r="D1371" s="16" t="str">
        <f>VLOOKUP(C1371,[1]master_data!$A$2:$E$495,2,FALSE)</f>
        <v>LAMPU YAMANO UV 7W</v>
      </c>
      <c r="E1371" s="16">
        <v>2</v>
      </c>
      <c r="F1371" s="16">
        <f>VLOOKUP(C1371,[1]master_data!$A$2:$E$495,3,FALSE)</f>
        <v>63000</v>
      </c>
      <c r="G1371" s="16">
        <f>VLOOKUP(C1371,[1]master_data!$A$2:$E$495,4,FALSE)</f>
        <v>80000</v>
      </c>
      <c r="H1371" s="16">
        <f>E1371*F1371</f>
        <v>126000</v>
      </c>
      <c r="I1371" s="16">
        <f>E1371*G1371</f>
        <v>160000</v>
      </c>
      <c r="J1371" s="16">
        <f>I1371-H1371</f>
        <v>34000</v>
      </c>
      <c r="K1371" s="16" t="str">
        <f>VLOOKUP(C1371,[1]master_data!$A$2:$E$495,5,FALSE)</f>
        <v>Aksesoris</v>
      </c>
      <c r="L1371" s="1"/>
    </row>
    <row r="1372" spans="1:12" ht="12" customHeight="1" x14ac:dyDescent="0.25">
      <c r="A1372" s="15">
        <v>44293</v>
      </c>
      <c r="B1372" s="16" t="s">
        <v>838</v>
      </c>
      <c r="C1372" s="16" t="s">
        <v>69</v>
      </c>
      <c r="D1372" s="16" t="str">
        <f>VLOOKUP(C1372,[1]master_data!$A$2:$E$495,2,FALSE)</f>
        <v>MESIN HAILONG 1600</v>
      </c>
      <c r="E1372" s="16">
        <v>4</v>
      </c>
      <c r="F1372" s="16">
        <f>VLOOKUP(C1372,[1]master_data!$A$2:$E$495,3,FALSE)</f>
        <v>58000</v>
      </c>
      <c r="G1372" s="16">
        <f>VLOOKUP(C1372,[1]master_data!$A$2:$E$495,4,FALSE)</f>
        <v>100000</v>
      </c>
      <c r="H1372" s="16">
        <f>E1372*F1372</f>
        <v>232000</v>
      </c>
      <c r="I1372" s="16">
        <f>E1372*G1372</f>
        <v>400000</v>
      </c>
      <c r="J1372" s="16">
        <f>I1372-H1372</f>
        <v>168000</v>
      </c>
      <c r="K1372" s="16" t="str">
        <f>VLOOKUP(C1372,[1]master_data!$A$2:$E$495,5,FALSE)</f>
        <v>Aksesoris</v>
      </c>
      <c r="L1372" s="1"/>
    </row>
    <row r="1373" spans="1:12" ht="12" customHeight="1" x14ac:dyDescent="0.25">
      <c r="A1373" s="15">
        <v>44293</v>
      </c>
      <c r="B1373" s="16" t="s">
        <v>839</v>
      </c>
      <c r="C1373" s="16" t="s">
        <v>353</v>
      </c>
      <c r="D1373" s="16" t="str">
        <f>VLOOKUP(C1373,[1]master_data!$A$2:$E$495,2,FALSE)</f>
        <v>PEMBERSIH KACA BIASA</v>
      </c>
      <c r="E1373" s="16">
        <v>5</v>
      </c>
      <c r="F1373" s="16">
        <f>VLOOKUP(C1373,[1]master_data!$A$2:$E$495,3,FALSE)</f>
        <v>2000</v>
      </c>
      <c r="G1373" s="16">
        <f>VLOOKUP(C1373,[1]master_data!$A$2:$E$495,4,FALSE)</f>
        <v>5000</v>
      </c>
      <c r="H1373" s="16">
        <f>E1373*F1373</f>
        <v>10000</v>
      </c>
      <c r="I1373" s="16">
        <f>E1373*G1373</f>
        <v>25000</v>
      </c>
      <c r="J1373" s="16">
        <f>I1373-H1373</f>
        <v>15000</v>
      </c>
      <c r="K1373" s="16" t="str">
        <f>VLOOKUP(C1373,[1]master_data!$A$2:$E$495,5,FALSE)</f>
        <v>Ikan</v>
      </c>
      <c r="L1373" s="1"/>
    </row>
    <row r="1374" spans="1:12" ht="12" customHeight="1" x14ac:dyDescent="0.25">
      <c r="A1374" s="15">
        <v>44293</v>
      </c>
      <c r="B1374" s="16" t="s">
        <v>840</v>
      </c>
      <c r="C1374" s="16" t="s">
        <v>372</v>
      </c>
      <c r="D1374" s="16" t="str">
        <f>VLOOKUP(C1374,[1]master_data!$A$2:$E$495,2,FALSE)</f>
        <v>ZEBRA KUNING</v>
      </c>
      <c r="E1374" s="16">
        <v>1</v>
      </c>
      <c r="F1374" s="16">
        <f>VLOOKUP(C1374,[1]master_data!$A$2:$E$495,3,FALSE)</f>
        <v>800</v>
      </c>
      <c r="G1374" s="16">
        <f>VLOOKUP(C1374,[1]master_data!$A$2:$E$495,4,FALSE)</f>
        <v>2000</v>
      </c>
      <c r="H1374" s="16">
        <f>E1374*F1374</f>
        <v>800</v>
      </c>
      <c r="I1374" s="16">
        <f>E1374*G1374</f>
        <v>2000</v>
      </c>
      <c r="J1374" s="16">
        <f>I1374-H1374</f>
        <v>1200</v>
      </c>
      <c r="K1374" s="16" t="str">
        <f>VLOOKUP(C1374,[1]master_data!$A$2:$E$495,5,FALSE)</f>
        <v>Ikan</v>
      </c>
      <c r="L1374" s="1"/>
    </row>
    <row r="1375" spans="1:12" ht="12" customHeight="1" x14ac:dyDescent="0.25">
      <c r="A1375" s="15">
        <v>44292</v>
      </c>
      <c r="B1375" s="16" t="s">
        <v>830</v>
      </c>
      <c r="C1375" s="16" t="s">
        <v>155</v>
      </c>
      <c r="D1375" s="16" t="str">
        <f>VLOOKUP(C1375,[1]master_data!$A$2:$E$495,2,FALSE)</f>
        <v>LED KANDILA PRO RED ECO 40 CM</v>
      </c>
      <c r="E1375" s="16">
        <v>2</v>
      </c>
      <c r="F1375" s="16">
        <f>VLOOKUP(C1375,[1]master_data!$A$2:$E$495,3,FALSE)</f>
        <v>45000</v>
      </c>
      <c r="G1375" s="16">
        <f>VLOOKUP(C1375,[1]master_data!$A$2:$E$495,4,FALSE)</f>
        <v>65000</v>
      </c>
      <c r="H1375" s="16">
        <f>E1375*F1375</f>
        <v>90000</v>
      </c>
      <c r="I1375" s="16">
        <f>E1375*G1375</f>
        <v>130000</v>
      </c>
      <c r="J1375" s="16">
        <f>I1375-H1375</f>
        <v>40000</v>
      </c>
      <c r="K1375" s="16" t="str">
        <f>VLOOKUP(C1375,[1]master_data!$A$2:$E$495,5,FALSE)</f>
        <v>Aksesoris</v>
      </c>
      <c r="L1375" s="1"/>
    </row>
    <row r="1376" spans="1:12" ht="12" customHeight="1" x14ac:dyDescent="0.25">
      <c r="A1376" s="15">
        <v>44292</v>
      </c>
      <c r="B1376" s="16" t="s">
        <v>831</v>
      </c>
      <c r="C1376" s="16" t="s">
        <v>75</v>
      </c>
      <c r="D1376" s="16" t="str">
        <f>VLOOKUP(C1376,[1]master_data!$A$2:$E$495,2,FALSE)</f>
        <v>MESIN KIYOSAKI 105B</v>
      </c>
      <c r="E1376" s="16">
        <v>1</v>
      </c>
      <c r="F1376" s="16">
        <f>VLOOKUP(C1376,[1]master_data!$A$2:$E$495,3,FALSE)</f>
        <v>110000</v>
      </c>
      <c r="G1376" s="16">
        <f>VLOOKUP(C1376,[1]master_data!$A$2:$E$495,4,FALSE)</f>
        <v>160000</v>
      </c>
      <c r="H1376" s="16">
        <f>E1376*F1376</f>
        <v>110000</v>
      </c>
      <c r="I1376" s="16">
        <f>E1376*G1376</f>
        <v>160000</v>
      </c>
      <c r="J1376" s="16">
        <f>I1376-H1376</f>
        <v>50000</v>
      </c>
      <c r="K1376" s="16" t="str">
        <f>VLOOKUP(C1376,[1]master_data!$A$2:$E$495,5,FALSE)</f>
        <v>Aksesoris</v>
      </c>
      <c r="L1376" s="1"/>
    </row>
    <row r="1377" spans="1:12" ht="12" customHeight="1" x14ac:dyDescent="0.25">
      <c r="A1377" s="15">
        <v>44292</v>
      </c>
      <c r="B1377" s="16" t="s">
        <v>832</v>
      </c>
      <c r="C1377" s="16" t="s">
        <v>335</v>
      </c>
      <c r="D1377" s="16" t="str">
        <f>VLOOKUP(C1377,[1]master_data!$A$2:$E$495,2,FALSE)</f>
        <v>KOMET SLAYER</v>
      </c>
      <c r="E1377" s="16">
        <v>15</v>
      </c>
      <c r="F1377" s="16">
        <f>VLOOKUP(C1377,[1]master_data!$A$2:$E$495,3,FALSE)</f>
        <v>2000</v>
      </c>
      <c r="G1377" s="16">
        <f>VLOOKUP(C1377,[1]master_data!$A$2:$E$495,4,FALSE)</f>
        <v>5000</v>
      </c>
      <c r="H1377" s="16">
        <f>E1377*F1377</f>
        <v>30000</v>
      </c>
      <c r="I1377" s="16">
        <f>E1377*G1377</f>
        <v>75000</v>
      </c>
      <c r="J1377" s="16">
        <f>I1377-H1377</f>
        <v>45000</v>
      </c>
      <c r="K1377" s="16" t="str">
        <f>VLOOKUP(C1377,[1]master_data!$A$2:$E$495,5,FALSE)</f>
        <v>Ikan</v>
      </c>
      <c r="L1377" s="1"/>
    </row>
    <row r="1378" spans="1:12" ht="12" customHeight="1" x14ac:dyDescent="0.25">
      <c r="A1378" s="15">
        <v>44292</v>
      </c>
      <c r="B1378" s="16" t="s">
        <v>833</v>
      </c>
      <c r="C1378" s="16" t="s">
        <v>351</v>
      </c>
      <c r="D1378" s="16" t="str">
        <f>VLOOKUP(C1378,[1]master_data!$A$2:$E$495,2,FALSE)</f>
        <v>NEON</v>
      </c>
      <c r="E1378" s="16">
        <v>10</v>
      </c>
      <c r="F1378" s="16">
        <f>VLOOKUP(C1378,[1]master_data!$A$2:$E$495,3,FALSE)</f>
        <v>1250</v>
      </c>
      <c r="G1378" s="16">
        <f>VLOOKUP(C1378,[1]master_data!$A$2:$E$495,4,FALSE)</f>
        <v>5000</v>
      </c>
      <c r="H1378" s="16">
        <f>E1378*F1378</f>
        <v>12500</v>
      </c>
      <c r="I1378" s="16">
        <f>E1378*G1378</f>
        <v>50000</v>
      </c>
      <c r="J1378" s="16">
        <f>I1378-H1378</f>
        <v>37500</v>
      </c>
      <c r="K1378" s="16" t="str">
        <f>VLOOKUP(C1378,[1]master_data!$A$2:$E$495,5,FALSE)</f>
        <v>Ikan</v>
      </c>
      <c r="L1378" s="1"/>
    </row>
    <row r="1379" spans="1:12" ht="12" customHeight="1" x14ac:dyDescent="0.25">
      <c r="A1379" s="15">
        <v>44292</v>
      </c>
      <c r="B1379" s="16" t="s">
        <v>834</v>
      </c>
      <c r="C1379" s="16" t="s">
        <v>374</v>
      </c>
      <c r="D1379" s="16" t="str">
        <f>VLOOKUP(C1379,[1]master_data!$A$2:$E$495,2,FALSE)</f>
        <v>SEPAT ALBINO</v>
      </c>
      <c r="E1379" s="16">
        <v>1</v>
      </c>
      <c r="F1379" s="16">
        <f>VLOOKUP(C1379,[1]master_data!$A$2:$E$495,3,FALSE)</f>
        <v>2000</v>
      </c>
      <c r="G1379" s="16">
        <f>VLOOKUP(C1379,[1]master_data!$A$2:$E$495,4,FALSE)</f>
        <v>5000</v>
      </c>
      <c r="H1379" s="16">
        <f>E1379*F1379</f>
        <v>2000</v>
      </c>
      <c r="I1379" s="16">
        <f>E1379*G1379</f>
        <v>5000</v>
      </c>
      <c r="J1379" s="16">
        <f>I1379-H1379</f>
        <v>3000</v>
      </c>
      <c r="K1379" s="16" t="str">
        <f>VLOOKUP(C1379,[1]master_data!$A$2:$E$495,5,FALSE)</f>
        <v>Ikan</v>
      </c>
      <c r="L1379" s="1"/>
    </row>
    <row r="1380" spans="1:12" ht="12" customHeight="1" x14ac:dyDescent="0.25">
      <c r="A1380" s="15">
        <v>44291</v>
      </c>
      <c r="B1380" s="16" t="s">
        <v>825</v>
      </c>
      <c r="C1380" s="16" t="s">
        <v>355</v>
      </c>
      <c r="D1380" s="16" t="str">
        <f>VLOOKUP(C1380,[1]master_data!$A$2:$E$495,2,FALSE)</f>
        <v>PALMAS</v>
      </c>
      <c r="E1380" s="16">
        <v>5</v>
      </c>
      <c r="F1380" s="16">
        <f>VLOOKUP(C1380,[1]master_data!$A$2:$E$495,3,FALSE)</f>
        <v>10000</v>
      </c>
      <c r="G1380" s="16">
        <f>VLOOKUP(C1380,[1]master_data!$A$2:$E$495,4,FALSE)</f>
        <v>25000</v>
      </c>
      <c r="H1380" s="16">
        <f>E1380*F1380</f>
        <v>50000</v>
      </c>
      <c r="I1380" s="16">
        <f>E1380*G1380</f>
        <v>125000</v>
      </c>
      <c r="J1380" s="16">
        <f>I1380-H1380</f>
        <v>75000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44291</v>
      </c>
      <c r="B1381" s="16" t="s">
        <v>826</v>
      </c>
      <c r="C1381" s="16" t="s">
        <v>368</v>
      </c>
      <c r="D1381" s="16" t="str">
        <f>VLOOKUP(C1381,[1]master_data!$A$2:$E$495,2,FALSE)</f>
        <v>TOMAN</v>
      </c>
      <c r="E1381" s="16">
        <v>5</v>
      </c>
      <c r="F1381" s="16">
        <f>VLOOKUP(C1381,[1]master_data!$A$2:$E$495,3,FALSE)</f>
        <v>10000</v>
      </c>
      <c r="G1381" s="16">
        <f>VLOOKUP(C1381,[1]master_data!$A$2:$E$495,4,FALSE)</f>
        <v>25000</v>
      </c>
      <c r="H1381" s="16">
        <f>E1381*F1381</f>
        <v>50000</v>
      </c>
      <c r="I1381" s="16">
        <f>E1381*G1381</f>
        <v>125000</v>
      </c>
      <c r="J1381" s="16">
        <f>I1381-H1381</f>
        <v>75000</v>
      </c>
      <c r="K1381" s="16" t="str">
        <f>VLOOKUP(C1381,[1]master_data!$A$2:$E$495,5,FALSE)</f>
        <v>Ikan</v>
      </c>
      <c r="L1381" s="1"/>
    </row>
    <row r="1382" spans="1:12" ht="12" customHeight="1" x14ac:dyDescent="0.25">
      <c r="A1382" s="15">
        <v>44291</v>
      </c>
      <c r="B1382" s="16" t="s">
        <v>827</v>
      </c>
      <c r="C1382" s="16" t="s">
        <v>328</v>
      </c>
      <c r="D1382" s="16" t="str">
        <f>VLOOKUP(C1382,[1]master_data!$A$2:$E$495,2,FALSE)</f>
        <v>KOKI B</v>
      </c>
      <c r="E1382" s="16">
        <v>1</v>
      </c>
      <c r="F1382" s="16">
        <f>VLOOKUP(C1382,[1]master_data!$A$2:$E$495,3,FALSE)</f>
        <v>20000</v>
      </c>
      <c r="G1382" s="16">
        <f>VLOOKUP(C1382,[1]master_data!$A$2:$E$495,4,FALSE)</f>
        <v>50000</v>
      </c>
      <c r="H1382" s="16">
        <f>E1382*F1382</f>
        <v>20000</v>
      </c>
      <c r="I1382" s="16">
        <f>E1382*G1382</f>
        <v>50000</v>
      </c>
      <c r="J1382" s="16">
        <f>I1382-H1382</f>
        <v>30000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44291</v>
      </c>
      <c r="B1383" s="16" t="s">
        <v>828</v>
      </c>
      <c r="C1383" s="16" t="s">
        <v>294</v>
      </c>
      <c r="D1383" s="16" t="str">
        <f>VLOOKUP(C1383,[1]master_data!$A$2:$E$495,2,FALSE)</f>
        <v>PASIR MEARAH B</v>
      </c>
      <c r="E1383" s="16">
        <v>4</v>
      </c>
      <c r="F1383" s="16">
        <f>VLOOKUP(C1383,[1]master_data!$A$2:$E$495,3,FALSE)</f>
        <v>8000</v>
      </c>
      <c r="G1383" s="16">
        <f>VLOOKUP(C1383,[1]master_data!$A$2:$E$495,4,FALSE)</f>
        <v>25000</v>
      </c>
      <c r="H1383" s="16">
        <f>E1383*F1383</f>
        <v>32000</v>
      </c>
      <c r="I1383" s="16">
        <f>E1383*G1383</f>
        <v>100000</v>
      </c>
      <c r="J1383" s="16">
        <f>I1383-H1383</f>
        <v>68000</v>
      </c>
      <c r="K1383" s="16" t="str">
        <f>VLOOKUP(C1383,[1]master_data!$A$2:$E$495,5,FALSE)</f>
        <v>Aksesoris</v>
      </c>
      <c r="L1383" s="1"/>
    </row>
    <row r="1384" spans="1:12" ht="12" customHeight="1" x14ac:dyDescent="0.25">
      <c r="A1384" s="15">
        <v>44291</v>
      </c>
      <c r="B1384" s="16" t="s">
        <v>829</v>
      </c>
      <c r="C1384" s="16" t="s">
        <v>332</v>
      </c>
      <c r="D1384" s="16" t="str">
        <f>VLOOKUP(C1384,[1]master_data!$A$2:$E$495,2,FALSE)</f>
        <v>KURA - KURA</v>
      </c>
      <c r="E1384" s="16">
        <v>2</v>
      </c>
      <c r="F1384" s="16">
        <f>VLOOKUP(C1384,[1]master_data!$A$2:$E$495,3,FALSE)</f>
        <v>25000</v>
      </c>
      <c r="G1384" s="16">
        <f>VLOOKUP(C1384,[1]master_data!$A$2:$E$495,4,FALSE)</f>
        <v>35000</v>
      </c>
      <c r="H1384" s="16">
        <f>E1384*F1384</f>
        <v>50000</v>
      </c>
      <c r="I1384" s="16">
        <f>E1384*G1384</f>
        <v>70000</v>
      </c>
      <c r="J1384" s="16">
        <f>I1384-H1384</f>
        <v>20000</v>
      </c>
      <c r="K1384" s="16" t="str">
        <f>VLOOKUP(C1384,[1]master_data!$A$2:$E$495,5,FALSE)</f>
        <v>Ikan</v>
      </c>
      <c r="L1384" s="1"/>
    </row>
    <row r="1385" spans="1:12" ht="12" customHeight="1" x14ac:dyDescent="0.25">
      <c r="A1385" s="15">
        <v>44290</v>
      </c>
      <c r="B1385" s="16" t="s">
        <v>823</v>
      </c>
      <c r="C1385" s="16" t="s">
        <v>368</v>
      </c>
      <c r="D1385" s="16" t="str">
        <f>VLOOKUP(C1385,[1]master_data!$A$2:$E$495,2,FALSE)</f>
        <v>TOMAN</v>
      </c>
      <c r="E1385" s="16">
        <v>10</v>
      </c>
      <c r="F1385" s="16">
        <f>VLOOKUP(C1385,[1]master_data!$A$2:$E$495,3,FALSE)</f>
        <v>10000</v>
      </c>
      <c r="G1385" s="16">
        <f>VLOOKUP(C1385,[1]master_data!$A$2:$E$495,4,FALSE)</f>
        <v>25000</v>
      </c>
      <c r="H1385" s="16">
        <f>E1385*F1385</f>
        <v>100000</v>
      </c>
      <c r="I1385" s="16">
        <f>E1385*G1385</f>
        <v>250000</v>
      </c>
      <c r="J1385" s="16">
        <f>I1385-H1385</f>
        <v>150000</v>
      </c>
      <c r="K1385" s="16" t="str">
        <f>VLOOKUP(C1385,[1]master_data!$A$2:$E$495,5,FALSE)</f>
        <v>Ikan</v>
      </c>
      <c r="L1385" s="1"/>
    </row>
    <row r="1386" spans="1:12" ht="12" customHeight="1" x14ac:dyDescent="0.25">
      <c r="A1386" s="15">
        <v>44290</v>
      </c>
      <c r="B1386" s="16" t="s">
        <v>824</v>
      </c>
      <c r="C1386" s="16" t="s">
        <v>357</v>
      </c>
      <c r="D1386" s="16" t="str">
        <f>VLOOKUP(C1386,[1]master_data!$A$2:$E$495,2,FALSE)</f>
        <v>PESO</v>
      </c>
      <c r="E1386" s="16">
        <v>2</v>
      </c>
      <c r="F1386" s="16">
        <f>VLOOKUP(C1386,[1]master_data!$A$2:$E$495,3,FALSE)</f>
        <v>19000</v>
      </c>
      <c r="G1386" s="16">
        <f>VLOOKUP(C1386,[1]master_data!$A$2:$E$495,4,FALSE)</f>
        <v>40000</v>
      </c>
      <c r="H1386" s="16">
        <f>E1386*F1386</f>
        <v>38000</v>
      </c>
      <c r="I1386" s="16">
        <f>E1386*G1386</f>
        <v>80000</v>
      </c>
      <c r="J1386" s="16">
        <f>I1386-H1386</f>
        <v>42000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44289</v>
      </c>
      <c r="B1387" s="16" t="s">
        <v>816</v>
      </c>
      <c r="C1387" s="16" t="s">
        <v>326</v>
      </c>
      <c r="D1387" s="16" t="str">
        <f>VLOOKUP(C1387,[1]master_data!$A$2:$E$495,2,FALSE)</f>
        <v>KOKI K</v>
      </c>
      <c r="E1387" s="16">
        <v>10</v>
      </c>
      <c r="F1387" s="16">
        <f>VLOOKUP(C1387,[1]master_data!$A$2:$E$495,3,FALSE)</f>
        <v>3500</v>
      </c>
      <c r="G1387" s="16">
        <f>VLOOKUP(C1387,[1]master_data!$A$2:$E$495,4,FALSE)</f>
        <v>10000</v>
      </c>
      <c r="H1387" s="16">
        <f>E1387*F1387</f>
        <v>35000</v>
      </c>
      <c r="I1387" s="16">
        <f>E1387*G1387</f>
        <v>100000</v>
      </c>
      <c r="J1387" s="16">
        <f>I1387-H1387</f>
        <v>65000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44289</v>
      </c>
      <c r="B1388" s="16" t="s">
        <v>817</v>
      </c>
      <c r="C1388" s="16" t="s">
        <v>219</v>
      </c>
      <c r="D1388" s="16" t="str">
        <f>VLOOKUP(C1388,[1]master_data!$A$2:$E$495,2,FALSE)</f>
        <v>HEATER KACA 100 W</v>
      </c>
      <c r="E1388" s="16">
        <v>1</v>
      </c>
      <c r="F1388" s="16">
        <f>VLOOKUP(C1388,[1]master_data!$A$2:$E$495,3,FALSE)</f>
        <v>33000</v>
      </c>
      <c r="G1388" s="16">
        <f>VLOOKUP(C1388,[1]master_data!$A$2:$E$495,4,FALSE)</f>
        <v>50000</v>
      </c>
      <c r="H1388" s="16">
        <f>E1388*F1388</f>
        <v>33000</v>
      </c>
      <c r="I1388" s="16">
        <f>E1388*G1388</f>
        <v>50000</v>
      </c>
      <c r="J1388" s="16">
        <f>I1388-H1388</f>
        <v>17000</v>
      </c>
      <c r="K1388" s="16" t="str">
        <f>VLOOKUP(C1388,[1]master_data!$A$2:$E$495,5,FALSE)</f>
        <v>Aksesoris</v>
      </c>
      <c r="L1388" s="1"/>
    </row>
    <row r="1389" spans="1:12" ht="12" customHeight="1" x14ac:dyDescent="0.25">
      <c r="A1389" s="15">
        <v>44289</v>
      </c>
      <c r="B1389" s="16" t="s">
        <v>818</v>
      </c>
      <c r="C1389" s="16" t="s">
        <v>334</v>
      </c>
      <c r="D1389" s="16" t="str">
        <f>VLOOKUP(C1389,[1]master_data!$A$2:$E$495,2,FALSE)</f>
        <v>KOMET PAKAN</v>
      </c>
      <c r="E1389" s="16">
        <v>60</v>
      </c>
      <c r="F1389" s="16">
        <f>VLOOKUP(C1389,[1]master_data!$A$2:$E$495,3,FALSE)</f>
        <v>300</v>
      </c>
      <c r="G1389" s="16">
        <f>VLOOKUP(C1389,[1]master_data!$A$2:$E$495,4,FALSE)</f>
        <v>1000</v>
      </c>
      <c r="H1389" s="16">
        <f>E1389*F1389</f>
        <v>18000</v>
      </c>
      <c r="I1389" s="16">
        <f>E1389*G1389</f>
        <v>60000</v>
      </c>
      <c r="J1389" s="16">
        <f>I1389-H1389</f>
        <v>42000</v>
      </c>
      <c r="K1389" s="16" t="str">
        <f>VLOOKUP(C1389,[1]master_data!$A$2:$E$495,5,FALSE)</f>
        <v>Ikan</v>
      </c>
      <c r="L1389" s="1"/>
    </row>
    <row r="1390" spans="1:12" ht="12" customHeight="1" x14ac:dyDescent="0.25">
      <c r="A1390" s="15">
        <v>44289</v>
      </c>
      <c r="B1390" s="16" t="s">
        <v>819</v>
      </c>
      <c r="C1390" s="16" t="s">
        <v>356</v>
      </c>
      <c r="D1390" s="16" t="str">
        <f>VLOOKUP(C1390,[1]master_data!$A$2:$E$495,2,FALSE)</f>
        <v>PARROT</v>
      </c>
      <c r="E1390" s="16">
        <v>3</v>
      </c>
      <c r="F1390" s="16">
        <f>VLOOKUP(C1390,[1]master_data!$A$2:$E$495,3,FALSE)</f>
        <v>27000</v>
      </c>
      <c r="G1390" s="16">
        <f>VLOOKUP(C1390,[1]master_data!$A$2:$E$495,4,FALSE)</f>
        <v>60000</v>
      </c>
      <c r="H1390" s="16">
        <f>E1390*F1390</f>
        <v>81000</v>
      </c>
      <c r="I1390" s="16">
        <f>E1390*G1390</f>
        <v>180000</v>
      </c>
      <c r="J1390" s="16">
        <f>I1390-H1390</f>
        <v>99000</v>
      </c>
      <c r="K1390" s="16" t="str">
        <f>VLOOKUP(C1390,[1]master_data!$A$2:$E$495,5,FALSE)</f>
        <v>Ikan</v>
      </c>
      <c r="L1390" s="1"/>
    </row>
    <row r="1391" spans="1:12" ht="12" customHeight="1" x14ac:dyDescent="0.25">
      <c r="A1391" s="15">
        <v>44289</v>
      </c>
      <c r="B1391" s="16" t="s">
        <v>820</v>
      </c>
      <c r="C1391" s="16" t="s">
        <v>347</v>
      </c>
      <c r="D1391" s="16" t="str">
        <f>VLOOKUP(C1391,[1]master_data!$A$2:$E$495,2,FALSE)</f>
        <v>MOLI BALON</v>
      </c>
      <c r="E1391" s="16">
        <v>21</v>
      </c>
      <c r="F1391" s="16">
        <f>VLOOKUP(C1391,[1]master_data!$A$2:$E$495,3,FALSE)</f>
        <v>800</v>
      </c>
      <c r="G1391" s="16">
        <f>VLOOKUP(C1391,[1]master_data!$A$2:$E$495,4,FALSE)</f>
        <v>2000</v>
      </c>
      <c r="H1391" s="16">
        <f>E1391*F1391</f>
        <v>16800</v>
      </c>
      <c r="I1391" s="16">
        <f>E1391*G1391</f>
        <v>42000</v>
      </c>
      <c r="J1391" s="16">
        <f>I1391-H1391</f>
        <v>25200</v>
      </c>
      <c r="K1391" s="16" t="str">
        <f>VLOOKUP(C1391,[1]master_data!$A$2:$E$495,5,FALSE)</f>
        <v>Ikan</v>
      </c>
      <c r="L1391" s="1"/>
    </row>
    <row r="1392" spans="1:12" ht="12" customHeight="1" x14ac:dyDescent="0.25">
      <c r="A1392" s="15">
        <v>44289</v>
      </c>
      <c r="B1392" s="16" t="s">
        <v>821</v>
      </c>
      <c r="C1392" s="16" t="s">
        <v>822</v>
      </c>
      <c r="D1392" s="16" t="str">
        <f>VLOOKUP(C1392,[1]master_data!$A$2:$E$495,2,FALSE)</f>
        <v>LED YAMANO 6W</v>
      </c>
      <c r="E1392" s="16">
        <v>1</v>
      </c>
      <c r="F1392" s="16">
        <f>VLOOKUP(C1392,[1]master_data!$A$2:$E$495,3,FALSE)</f>
        <v>45000</v>
      </c>
      <c r="G1392" s="16">
        <f>VLOOKUP(C1392,[1]master_data!$A$2:$E$495,4,FALSE)</f>
        <v>75000</v>
      </c>
      <c r="H1392" s="16">
        <f>E1392*F1392</f>
        <v>45000</v>
      </c>
      <c r="I1392" s="16">
        <f>E1392*G1392</f>
        <v>75000</v>
      </c>
      <c r="J1392" s="16">
        <f>I1392-H1392</f>
        <v>30000</v>
      </c>
      <c r="K1392" s="16" t="str">
        <f>VLOOKUP(C1392,[1]master_data!$A$2:$E$495,5,FALSE)</f>
        <v>Aksesoris</v>
      </c>
      <c r="L1392" s="1"/>
    </row>
    <row r="1393" spans="1:12" ht="12" customHeight="1" x14ac:dyDescent="0.25">
      <c r="A1393" s="15">
        <v>44288</v>
      </c>
      <c r="B1393" s="16" t="s">
        <v>811</v>
      </c>
      <c r="C1393" s="16" t="s">
        <v>173</v>
      </c>
      <c r="D1393" s="16" t="str">
        <f>VLOOKUP(C1393,[1]master_data!$A$2:$E$495,2,FALSE)</f>
        <v>HOKKY LOUHAN COLOUR</v>
      </c>
      <c r="E1393" s="16">
        <v>5</v>
      </c>
      <c r="F1393" s="16">
        <f>VLOOKUP(C1393,[1]master_data!$A$2:$E$495,3,FALSE)</f>
        <v>18000</v>
      </c>
      <c r="G1393" s="16">
        <f>VLOOKUP(C1393,[1]master_data!$A$2:$E$495,4,FALSE)</f>
        <v>25000</v>
      </c>
      <c r="H1393" s="16">
        <f>E1393*F1393</f>
        <v>90000</v>
      </c>
      <c r="I1393" s="16">
        <f>E1393*G1393</f>
        <v>125000</v>
      </c>
      <c r="J1393" s="16">
        <f>I1393-H1393</f>
        <v>35000</v>
      </c>
      <c r="K1393" s="16" t="str">
        <f>VLOOKUP(C1393,[1]master_data!$A$2:$E$495,5,FALSE)</f>
        <v>Aksesoris</v>
      </c>
      <c r="L1393" s="1"/>
    </row>
    <row r="1394" spans="1:12" ht="12" customHeight="1" x14ac:dyDescent="0.25">
      <c r="A1394" s="15">
        <v>44288</v>
      </c>
      <c r="B1394" s="16" t="s">
        <v>812</v>
      </c>
      <c r="C1394" s="16" t="s">
        <v>21</v>
      </c>
      <c r="D1394" s="16" t="str">
        <f>VLOOKUP(C1394,[1]master_data!$A$2:$E$495,2,FALSE)</f>
        <v>MESIN ROSTON 1200</v>
      </c>
      <c r="E1394" s="16">
        <v>5</v>
      </c>
      <c r="F1394" s="16">
        <f>VLOOKUP(C1394,[1]master_data!$A$2:$E$495,3,FALSE)</f>
        <v>23000</v>
      </c>
      <c r="G1394" s="16">
        <f>VLOOKUP(C1394,[1]master_data!$A$2:$E$495,4,FALSE)</f>
        <v>35000</v>
      </c>
      <c r="H1394" s="16">
        <f>E1394*F1394</f>
        <v>115000</v>
      </c>
      <c r="I1394" s="16">
        <f>E1394*G1394</f>
        <v>175000</v>
      </c>
      <c r="J1394" s="16">
        <f>I1394-H1394</f>
        <v>60000</v>
      </c>
      <c r="K1394" s="16" t="str">
        <f>VLOOKUP(C1394,[1]master_data!$A$2:$E$495,5,FALSE)</f>
        <v>Aksesoris</v>
      </c>
      <c r="L1394" s="1"/>
    </row>
    <row r="1395" spans="1:12" ht="12" customHeight="1" x14ac:dyDescent="0.25">
      <c r="A1395" s="15">
        <v>44288</v>
      </c>
      <c r="B1395" s="16" t="s">
        <v>813</v>
      </c>
      <c r="C1395" s="16" t="s">
        <v>57</v>
      </c>
      <c r="D1395" s="16" t="str">
        <f>VLOOKUP(C1395,[1]master_data!$A$2:$E$495,2,FALSE)</f>
        <v>MINI FILTER</v>
      </c>
      <c r="E1395" s="16">
        <v>2</v>
      </c>
      <c r="F1395" s="16">
        <f>VLOOKUP(C1395,[1]master_data!$A$2:$E$495,3,FALSE)</f>
        <v>13000</v>
      </c>
      <c r="G1395" s="16">
        <f>VLOOKUP(C1395,[1]master_data!$A$2:$E$495,4,FALSE)</f>
        <v>25000</v>
      </c>
      <c r="H1395" s="16">
        <f>E1395*F1395</f>
        <v>26000</v>
      </c>
      <c r="I1395" s="16">
        <f>E1395*G1395</f>
        <v>50000</v>
      </c>
      <c r="J1395" s="16">
        <f>I1395-H1395</f>
        <v>24000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44288</v>
      </c>
      <c r="B1396" s="16" t="s">
        <v>814</v>
      </c>
      <c r="C1396" s="16" t="s">
        <v>254</v>
      </c>
      <c r="D1396" s="16" t="str">
        <f>VLOOKUP(C1396,[1]master_data!$A$2:$E$495,2,FALSE)</f>
        <v>PIPA LONJOR 1 M</v>
      </c>
      <c r="E1396" s="16">
        <v>30</v>
      </c>
      <c r="F1396" s="16">
        <f>VLOOKUP(C1396,[1]master_data!$A$2:$E$495,3,FALSE)</f>
        <v>2500</v>
      </c>
      <c r="G1396" s="16">
        <f>VLOOKUP(C1396,[1]master_data!$A$2:$E$495,4,FALSE)</f>
        <v>5000</v>
      </c>
      <c r="H1396" s="16">
        <f>E1396*F1396</f>
        <v>75000</v>
      </c>
      <c r="I1396" s="16">
        <f>E1396*G1396</f>
        <v>150000</v>
      </c>
      <c r="J1396" s="16">
        <f>I1396-H1396</f>
        <v>75000</v>
      </c>
      <c r="K1396" s="16" t="str">
        <f>VLOOKUP(C1396,[1]master_data!$A$2:$E$495,5,FALSE)</f>
        <v>Aksesoris</v>
      </c>
      <c r="L1396" s="1"/>
    </row>
    <row r="1397" spans="1:12" ht="12" customHeight="1" x14ac:dyDescent="0.25">
      <c r="A1397" s="15">
        <v>44288</v>
      </c>
      <c r="B1397" s="16" t="s">
        <v>815</v>
      </c>
      <c r="C1397" s="16" t="s">
        <v>375</v>
      </c>
      <c r="D1397" s="16" t="str">
        <f>VLOOKUP(C1397,[1]master_data!$A$2:$E$495,2,FALSE)</f>
        <v>CHANNA STEWARTI</v>
      </c>
      <c r="E1397" s="16">
        <v>1</v>
      </c>
      <c r="F1397" s="16">
        <f>VLOOKUP(C1397,[1]master_data!$A$2:$E$495,3,FALSE)</f>
        <v>15000</v>
      </c>
      <c r="G1397" s="16">
        <f>VLOOKUP(C1397,[1]master_data!$A$2:$E$495,4,FALSE)</f>
        <v>40000</v>
      </c>
      <c r="H1397" s="16">
        <f>E1397*F1397</f>
        <v>15000</v>
      </c>
      <c r="I1397" s="16">
        <f>E1397*G1397</f>
        <v>40000</v>
      </c>
      <c r="J1397" s="16">
        <f>I1397-H1397</f>
        <v>25000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44287</v>
      </c>
      <c r="B1398" s="16" t="s">
        <v>805</v>
      </c>
      <c r="C1398" s="16" t="s">
        <v>355</v>
      </c>
      <c r="D1398" s="16" t="str">
        <f>VLOOKUP(C1398,[1]master_data!$A$2:$E$495,2,FALSE)</f>
        <v>PALMAS</v>
      </c>
      <c r="E1398" s="16">
        <v>10</v>
      </c>
      <c r="F1398" s="16">
        <f>VLOOKUP(C1398,[1]master_data!$A$2:$E$495,3,FALSE)</f>
        <v>10000</v>
      </c>
      <c r="G1398" s="16">
        <f>VLOOKUP(C1398,[1]master_data!$A$2:$E$495,4,FALSE)</f>
        <v>25000</v>
      </c>
      <c r="H1398" s="16">
        <f>E1398*F1398</f>
        <v>100000</v>
      </c>
      <c r="I1398" s="16">
        <f>E1398*G1398</f>
        <v>250000</v>
      </c>
      <c r="J1398" s="16">
        <f>I1398-H1398</f>
        <v>150000</v>
      </c>
      <c r="K1398" s="16" t="str">
        <f>VLOOKUP(C1398,[1]master_data!$A$2:$E$495,5,FALSE)</f>
        <v>Ikan</v>
      </c>
      <c r="L1398" s="1"/>
    </row>
    <row r="1399" spans="1:12" ht="12" customHeight="1" x14ac:dyDescent="0.25">
      <c r="A1399" s="15">
        <v>44287</v>
      </c>
      <c r="B1399" s="16" t="s">
        <v>806</v>
      </c>
      <c r="C1399" s="16" t="s">
        <v>187</v>
      </c>
      <c r="D1399" s="16" t="str">
        <f>VLOOKUP(C1399,[1]master_data!$A$2:$E$495,2,FALSE)</f>
        <v>FISH LOVE PAKAN BURAYAK</v>
      </c>
      <c r="E1399" s="16">
        <v>20</v>
      </c>
      <c r="F1399" s="16">
        <f>VLOOKUP(C1399,[1]master_data!$A$2:$E$495,3,FALSE)</f>
        <v>2500</v>
      </c>
      <c r="G1399" s="16">
        <f>VLOOKUP(C1399,[1]master_data!$A$2:$E$495,4,FALSE)</f>
        <v>5000</v>
      </c>
      <c r="H1399" s="16">
        <f>E1399*F1399</f>
        <v>50000</v>
      </c>
      <c r="I1399" s="16">
        <f>E1399*G1399</f>
        <v>100000</v>
      </c>
      <c r="J1399" s="16">
        <f>I1399-H1399</f>
        <v>50000</v>
      </c>
      <c r="K1399" s="16" t="str">
        <f>VLOOKUP(C1399,[1]master_data!$A$2:$E$495,5,FALSE)</f>
        <v>Aksesoris</v>
      </c>
      <c r="L1399" s="1"/>
    </row>
    <row r="1400" spans="1:12" ht="12" customHeight="1" x14ac:dyDescent="0.25">
      <c r="A1400" s="15">
        <v>44287</v>
      </c>
      <c r="B1400" s="16" t="s">
        <v>807</v>
      </c>
      <c r="C1400" s="16" t="s">
        <v>363</v>
      </c>
      <c r="D1400" s="16" t="str">
        <f>VLOOKUP(C1400,[1]master_data!$A$2:$E$495,2,FALSE)</f>
        <v>SUMATRA GOLD FISH</v>
      </c>
      <c r="E1400" s="16">
        <v>20</v>
      </c>
      <c r="F1400" s="16">
        <f>VLOOKUP(C1400,[1]master_data!$A$2:$E$495,3,FALSE)</f>
        <v>2500</v>
      </c>
      <c r="G1400" s="16">
        <f>VLOOKUP(C1400,[1]master_data!$A$2:$E$495,4,FALSE)</f>
        <v>4000</v>
      </c>
      <c r="H1400" s="16">
        <f>E1400*F1400</f>
        <v>50000</v>
      </c>
      <c r="I1400" s="16">
        <f>E1400*G1400</f>
        <v>80000</v>
      </c>
      <c r="J1400" s="16">
        <f>I1400-H1400</f>
        <v>30000</v>
      </c>
      <c r="K1400" s="16" t="str">
        <f>VLOOKUP(C1400,[1]master_data!$A$2:$E$495,5,FALSE)</f>
        <v>Ikan</v>
      </c>
      <c r="L1400" s="1"/>
    </row>
    <row r="1401" spans="1:12" ht="12" customHeight="1" x14ac:dyDescent="0.25">
      <c r="A1401" s="15">
        <v>44287</v>
      </c>
      <c r="B1401" s="16" t="s">
        <v>808</v>
      </c>
      <c r="C1401" s="16" t="s">
        <v>340</v>
      </c>
      <c r="D1401" s="16" t="str">
        <f>VLOOKUP(C1401,[1]master_data!$A$2:$E$495,2,FALSE)</f>
        <v>LEMON</v>
      </c>
      <c r="E1401" s="16">
        <v>30</v>
      </c>
      <c r="F1401" s="16">
        <f>VLOOKUP(C1401,[1]master_data!$A$2:$E$495,3,FALSE)</f>
        <v>1000</v>
      </c>
      <c r="G1401" s="16">
        <f>VLOOKUP(C1401,[1]master_data!$A$2:$E$495,4,FALSE)</f>
        <v>2000</v>
      </c>
      <c r="H1401" s="16">
        <f>E1401*F1401</f>
        <v>30000</v>
      </c>
      <c r="I1401" s="16">
        <f>E1401*G1401</f>
        <v>60000</v>
      </c>
      <c r="J1401" s="16">
        <f>I1401-H1401</f>
        <v>30000</v>
      </c>
      <c r="K1401" s="16" t="str">
        <f>VLOOKUP(C1401,[1]master_data!$A$2:$E$495,5,FALSE)</f>
        <v>Ikan</v>
      </c>
      <c r="L1401" s="1"/>
    </row>
    <row r="1402" spans="1:12" ht="12" customHeight="1" x14ac:dyDescent="0.25">
      <c r="A1402" s="15">
        <v>44287</v>
      </c>
      <c r="B1402" s="16" t="s">
        <v>809</v>
      </c>
      <c r="C1402" s="16" t="s">
        <v>325</v>
      </c>
      <c r="D1402" s="16" t="str">
        <f>VLOOKUP(C1402,[1]master_data!$A$2:$E$495,2,FALSE)</f>
        <v>HIU TAWAR</v>
      </c>
      <c r="E1402" s="16">
        <v>10</v>
      </c>
      <c r="F1402" s="16">
        <f>VLOOKUP(C1402,[1]master_data!$A$2:$E$495,3,FALSE)</f>
        <v>600</v>
      </c>
      <c r="G1402" s="16">
        <f>VLOOKUP(C1402,[1]master_data!$A$2:$E$495,4,FALSE)</f>
        <v>2000</v>
      </c>
      <c r="H1402" s="16">
        <f>E1402*F1402</f>
        <v>6000</v>
      </c>
      <c r="I1402" s="16">
        <f>E1402*G1402</f>
        <v>20000</v>
      </c>
      <c r="J1402" s="16">
        <f>I1402-H1402</f>
        <v>14000</v>
      </c>
      <c r="K1402" s="16" t="str">
        <f>VLOOKUP(C1402,[1]master_data!$A$2:$E$495,5,FALSE)</f>
        <v>Ikan</v>
      </c>
      <c r="L1402" s="1"/>
    </row>
    <row r="1403" spans="1:12" ht="12" customHeight="1" x14ac:dyDescent="0.25">
      <c r="A1403" s="15">
        <v>44287</v>
      </c>
      <c r="B1403" s="16" t="s">
        <v>810</v>
      </c>
      <c r="C1403" s="16" t="s">
        <v>349</v>
      </c>
      <c r="D1403" s="16" t="str">
        <f>VLOOKUP(C1403,[1]master_data!$A$2:$E$495,2,FALSE)</f>
        <v>RED EYE TETRA</v>
      </c>
      <c r="E1403" s="16">
        <v>1</v>
      </c>
      <c r="F1403" s="16">
        <f>VLOOKUP(C1403,[1]master_data!$A$2:$E$495,3,FALSE)</f>
        <v>900</v>
      </c>
      <c r="G1403" s="16">
        <f>VLOOKUP(C1403,[1]master_data!$A$2:$E$495,4,FALSE)</f>
        <v>2000</v>
      </c>
      <c r="H1403" s="16">
        <f>E1403*F1403</f>
        <v>900</v>
      </c>
      <c r="I1403" s="16">
        <f>E1403*G1403</f>
        <v>2000</v>
      </c>
      <c r="J1403" s="16">
        <f>I1403-H1403</f>
        <v>1100</v>
      </c>
      <c r="K1403" s="16" t="str">
        <f>VLOOKUP(C1403,[1]master_data!$A$2:$E$495,5,FALSE)</f>
        <v>Ikan</v>
      </c>
      <c r="L1403" s="1"/>
    </row>
    <row r="1404" spans="1:12" ht="12" customHeight="1" x14ac:dyDescent="0.25">
      <c r="A1404" s="15">
        <v>44286</v>
      </c>
      <c r="B1404" s="16" t="s">
        <v>800</v>
      </c>
      <c r="C1404" s="16" t="s">
        <v>351</v>
      </c>
      <c r="D1404" s="16" t="str">
        <f>VLOOKUP(C1404,[1]master_data!$A$2:$E$495,2,FALSE)</f>
        <v>NEON</v>
      </c>
      <c r="E1404" s="16">
        <v>10</v>
      </c>
      <c r="F1404" s="16">
        <f>VLOOKUP(C1404,[1]master_data!$A$2:$E$495,3,FALSE)</f>
        <v>1250</v>
      </c>
      <c r="G1404" s="16">
        <f>VLOOKUP(C1404,[1]master_data!$A$2:$E$495,4,FALSE)</f>
        <v>5000</v>
      </c>
      <c r="H1404" s="16">
        <f>E1404*F1404</f>
        <v>12500</v>
      </c>
      <c r="I1404" s="16">
        <f>E1404*G1404</f>
        <v>50000</v>
      </c>
      <c r="J1404" s="16">
        <f>I1404-H1404</f>
        <v>37500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44286</v>
      </c>
      <c r="B1405" s="16" t="s">
        <v>801</v>
      </c>
      <c r="C1405" s="16" t="s">
        <v>31</v>
      </c>
      <c r="D1405" s="16" t="str">
        <f>VLOOKUP(C1405,[1]master_data!$A$2:$E$495,2,FALSE)</f>
        <v>MESIN YAMANO 1600</v>
      </c>
      <c r="E1405" s="16">
        <v>5</v>
      </c>
      <c r="F1405" s="16">
        <f>VLOOKUP(C1405,[1]master_data!$A$2:$E$495,3,FALSE)</f>
        <v>55000</v>
      </c>
      <c r="G1405" s="16">
        <f>VLOOKUP(C1405,[1]master_data!$A$2:$E$495,4,FALSE)</f>
        <v>75000</v>
      </c>
      <c r="H1405" s="16">
        <f>E1405*F1405</f>
        <v>275000</v>
      </c>
      <c r="I1405" s="16">
        <f>E1405*G1405</f>
        <v>375000</v>
      </c>
      <c r="J1405" s="16">
        <f>I1405-H1405</f>
        <v>100000</v>
      </c>
      <c r="K1405" s="16" t="str">
        <f>VLOOKUP(C1405,[1]master_data!$A$2:$E$495,5,FALSE)</f>
        <v>Aksesoris</v>
      </c>
      <c r="L1405" s="1"/>
    </row>
    <row r="1406" spans="1:12" ht="12" customHeight="1" x14ac:dyDescent="0.25">
      <c r="A1406" s="15">
        <v>44286</v>
      </c>
      <c r="B1406" s="16" t="s">
        <v>802</v>
      </c>
      <c r="C1406" s="16" t="s">
        <v>86</v>
      </c>
      <c r="D1406" s="16" t="str">
        <f>VLOOKUP(C1406,[1]master_data!$A$2:$E$495,2,FALSE)</f>
        <v>AIRATOR ROSTON BATERAI  101</v>
      </c>
      <c r="E1406" s="16">
        <v>1</v>
      </c>
      <c r="F1406" s="16">
        <f>VLOOKUP(C1406,[1]master_data!$A$2:$E$495,3,FALSE)</f>
        <v>35000</v>
      </c>
      <c r="G1406" s="16">
        <f>VLOOKUP(C1406,[1]master_data!$A$2:$E$495,4,FALSE)</f>
        <v>50000</v>
      </c>
      <c r="H1406" s="16">
        <f>E1406*F1406</f>
        <v>35000</v>
      </c>
      <c r="I1406" s="16">
        <f>E1406*G1406</f>
        <v>50000</v>
      </c>
      <c r="J1406" s="16">
        <f>I1406-H1406</f>
        <v>15000</v>
      </c>
      <c r="K1406" s="16" t="str">
        <f>VLOOKUP(C1406,[1]master_data!$A$2:$E$495,5,FALSE)</f>
        <v>Aksesoris</v>
      </c>
      <c r="L1406" s="1"/>
    </row>
    <row r="1407" spans="1:12" ht="12" customHeight="1" x14ac:dyDescent="0.25">
      <c r="A1407" s="15">
        <v>44286</v>
      </c>
      <c r="B1407" s="16" t="s">
        <v>803</v>
      </c>
      <c r="C1407" s="16" t="s">
        <v>86</v>
      </c>
      <c r="D1407" s="16" t="str">
        <f>VLOOKUP(C1407,[1]master_data!$A$2:$E$495,2,FALSE)</f>
        <v>AIRATOR ROSTON BATERAI  101</v>
      </c>
      <c r="E1407" s="16">
        <v>1</v>
      </c>
      <c r="F1407" s="16">
        <f>VLOOKUP(C1407,[1]master_data!$A$2:$E$495,3,FALSE)</f>
        <v>35000</v>
      </c>
      <c r="G1407" s="16">
        <f>VLOOKUP(C1407,[1]master_data!$A$2:$E$495,4,FALSE)</f>
        <v>50000</v>
      </c>
      <c r="H1407" s="16">
        <f>E1407*F1407</f>
        <v>35000</v>
      </c>
      <c r="I1407" s="16">
        <f>E1407*G1407</f>
        <v>50000</v>
      </c>
      <c r="J1407" s="16">
        <f>I1407-H1407</f>
        <v>15000</v>
      </c>
      <c r="K1407" s="16" t="str">
        <f>VLOOKUP(C1407,[1]master_data!$A$2:$E$495,5,FALSE)</f>
        <v>Aksesoris</v>
      </c>
      <c r="L1407" s="1"/>
    </row>
    <row r="1408" spans="1:12" ht="12" customHeight="1" x14ac:dyDescent="0.25">
      <c r="A1408" s="15">
        <v>44286</v>
      </c>
      <c r="B1408" s="16" t="s">
        <v>804</v>
      </c>
      <c r="C1408" s="16" t="s">
        <v>305</v>
      </c>
      <c r="D1408" s="16" t="str">
        <f>VLOOKUP(C1408,[1]master_data!$A$2:$E$495,2,FALSE)</f>
        <v>CHANNA ASIATICA B</v>
      </c>
      <c r="E1408" s="16">
        <v>2</v>
      </c>
      <c r="F1408" s="16">
        <f>VLOOKUP(C1408,[1]master_data!$A$2:$E$495,3,FALSE)</f>
        <v>40000</v>
      </c>
      <c r="G1408" s="16">
        <f>VLOOKUP(C1408,[1]master_data!$A$2:$E$495,4,FALSE)</f>
        <v>100000</v>
      </c>
      <c r="H1408" s="16">
        <f>E1408*F1408</f>
        <v>80000</v>
      </c>
      <c r="I1408" s="16">
        <f>E1408*G1408</f>
        <v>200000</v>
      </c>
      <c r="J1408" s="16">
        <f>I1408-H1408</f>
        <v>120000</v>
      </c>
      <c r="K1408" s="16" t="str">
        <f>VLOOKUP(C1408,[1]master_data!$A$2:$E$495,5,FALSE)</f>
        <v>Ikan</v>
      </c>
      <c r="L1408" s="1"/>
    </row>
    <row r="1409" spans="1:12" ht="12" customHeight="1" x14ac:dyDescent="0.25">
      <c r="A1409" s="15">
        <v>44285</v>
      </c>
      <c r="B1409" s="16" t="s">
        <v>798</v>
      </c>
      <c r="C1409" s="16" t="s">
        <v>205</v>
      </c>
      <c r="D1409" s="16" t="str">
        <f>VLOOKUP(C1409,[1]master_data!$A$2:$E$495,2,FALSE)</f>
        <v>ACRIPLAVIN</v>
      </c>
      <c r="E1409" s="16">
        <v>30</v>
      </c>
      <c r="F1409" s="16">
        <f>VLOOKUP(C1409,[1]master_data!$A$2:$E$495,3,FALSE)</f>
        <v>3000</v>
      </c>
      <c r="G1409" s="16">
        <f>VLOOKUP(C1409,[1]master_data!$A$2:$E$495,4,FALSE)</f>
        <v>8000</v>
      </c>
      <c r="H1409" s="16">
        <f>E1409*F1409</f>
        <v>90000</v>
      </c>
      <c r="I1409" s="16">
        <f>E1409*G1409</f>
        <v>240000</v>
      </c>
      <c r="J1409" s="16">
        <f>I1409-H1409</f>
        <v>150000</v>
      </c>
      <c r="K1409" s="16" t="str">
        <f>VLOOKUP(C1409,[1]master_data!$A$2:$E$495,5,FALSE)</f>
        <v>Aksesoris</v>
      </c>
      <c r="L1409" s="1"/>
    </row>
    <row r="1410" spans="1:12" ht="12" customHeight="1" x14ac:dyDescent="0.25">
      <c r="A1410" s="15">
        <v>44285</v>
      </c>
      <c r="B1410" s="16" t="s">
        <v>799</v>
      </c>
      <c r="C1410" s="16" t="s">
        <v>305</v>
      </c>
      <c r="D1410" s="16" t="str">
        <f>VLOOKUP(C1410,[1]master_data!$A$2:$E$495,2,FALSE)</f>
        <v>CHANNA ASIATICA B</v>
      </c>
      <c r="E1410" s="16">
        <v>2</v>
      </c>
      <c r="F1410" s="16">
        <f>VLOOKUP(C1410,[1]master_data!$A$2:$E$495,3,FALSE)</f>
        <v>40000</v>
      </c>
      <c r="G1410" s="16">
        <f>VLOOKUP(C1410,[1]master_data!$A$2:$E$495,4,FALSE)</f>
        <v>100000</v>
      </c>
      <c r="H1410" s="16">
        <f>E1410*F1410</f>
        <v>80000</v>
      </c>
      <c r="I1410" s="16">
        <f>E1410*G1410</f>
        <v>200000</v>
      </c>
      <c r="J1410" s="16">
        <f>I1410-H1410</f>
        <v>120000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44284</v>
      </c>
      <c r="B1411" s="16" t="s">
        <v>794</v>
      </c>
      <c r="C1411" s="16" t="s">
        <v>335</v>
      </c>
      <c r="D1411" s="16" t="str">
        <f>VLOOKUP(C1411,[1]master_data!$A$2:$E$495,2,FALSE)</f>
        <v>KOMET SLAYER</v>
      </c>
      <c r="E1411" s="16">
        <v>30</v>
      </c>
      <c r="F1411" s="16">
        <f>VLOOKUP(C1411,[1]master_data!$A$2:$E$495,3,FALSE)</f>
        <v>2000</v>
      </c>
      <c r="G1411" s="16">
        <f>VLOOKUP(C1411,[1]master_data!$A$2:$E$495,4,FALSE)</f>
        <v>5000</v>
      </c>
      <c r="H1411" s="16">
        <f>E1411*F1411</f>
        <v>60000</v>
      </c>
      <c r="I1411" s="16">
        <f>E1411*G1411</f>
        <v>150000</v>
      </c>
      <c r="J1411" s="16">
        <f>I1411-H1411</f>
        <v>90000</v>
      </c>
      <c r="K1411" s="16" t="str">
        <f>VLOOKUP(C1411,[1]master_data!$A$2:$E$495,5,FALSE)</f>
        <v>Ikan</v>
      </c>
      <c r="L1411" s="1"/>
    </row>
    <row r="1412" spans="1:12" ht="12" customHeight="1" x14ac:dyDescent="0.25">
      <c r="A1412" s="15">
        <v>44284</v>
      </c>
      <c r="B1412" s="16" t="s">
        <v>795</v>
      </c>
      <c r="C1412" s="16" t="s">
        <v>369</v>
      </c>
      <c r="D1412" s="16" t="str">
        <f>VLOOKUP(C1412,[1]master_data!$A$2:$E$495,2,FALSE)</f>
        <v>ZEBRA PINK</v>
      </c>
      <c r="E1412" s="16">
        <v>50</v>
      </c>
      <c r="F1412" s="16">
        <f>VLOOKUP(C1412,[1]master_data!$A$2:$E$495,3,FALSE)</f>
        <v>800</v>
      </c>
      <c r="G1412" s="16">
        <f>VLOOKUP(C1412,[1]master_data!$A$2:$E$495,4,FALSE)</f>
        <v>2000</v>
      </c>
      <c r="H1412" s="16">
        <f>E1412*F1412</f>
        <v>40000</v>
      </c>
      <c r="I1412" s="16">
        <f>E1412*G1412</f>
        <v>100000</v>
      </c>
      <c r="J1412" s="16">
        <f>I1412-H1412</f>
        <v>60000</v>
      </c>
      <c r="K1412" s="16" t="str">
        <f>VLOOKUP(C1412,[1]master_data!$A$2:$E$495,5,FALSE)</f>
        <v>Ikan</v>
      </c>
      <c r="L1412" s="1"/>
    </row>
    <row r="1413" spans="1:12" ht="12" customHeight="1" x14ac:dyDescent="0.25">
      <c r="A1413" s="15">
        <v>44284</v>
      </c>
      <c r="B1413" s="16" t="s">
        <v>796</v>
      </c>
      <c r="C1413" s="16" t="s">
        <v>164</v>
      </c>
      <c r="D1413" s="16" t="str">
        <f>VLOOKUP(C1413,[1]master_data!$A$2:$E$495,2,FALSE)</f>
        <v>AKARI PREMIUM BLUE</v>
      </c>
      <c r="E1413" s="16">
        <v>5</v>
      </c>
      <c r="F1413" s="16">
        <f>VLOOKUP(C1413,[1]master_data!$A$2:$E$495,3,FALSE)</f>
        <v>37000</v>
      </c>
      <c r="G1413" s="16">
        <f>VLOOKUP(C1413,[1]master_data!$A$2:$E$495,4,FALSE)</f>
        <v>50000</v>
      </c>
      <c r="H1413" s="16">
        <f>E1413*F1413</f>
        <v>185000</v>
      </c>
      <c r="I1413" s="16">
        <f>E1413*G1413</f>
        <v>250000</v>
      </c>
      <c r="J1413" s="16">
        <f>I1413-H1413</f>
        <v>65000</v>
      </c>
      <c r="K1413" s="16" t="str">
        <f>VLOOKUP(C1413,[1]master_data!$A$2:$E$495,5,FALSE)</f>
        <v>Aksesoris</v>
      </c>
      <c r="L1413" s="1"/>
    </row>
    <row r="1414" spans="1:12" ht="12" customHeight="1" x14ac:dyDescent="0.25">
      <c r="A1414" s="15">
        <v>44284</v>
      </c>
      <c r="B1414" s="16" t="s">
        <v>797</v>
      </c>
      <c r="C1414" s="16" t="s">
        <v>290</v>
      </c>
      <c r="D1414" s="16" t="str">
        <f>VLOOKUP(C1414,[1]master_data!$A$2:$E$495,2,FALSE)</f>
        <v>SOLITER C2</v>
      </c>
      <c r="E1414" s="16">
        <v>1</v>
      </c>
      <c r="F1414" s="16">
        <f>VLOOKUP(C1414,[1]master_data!$A$2:$E$495,3,FALSE)</f>
        <v>60000</v>
      </c>
      <c r="G1414" s="16">
        <f>VLOOKUP(C1414,[1]master_data!$A$2:$E$495,4,FALSE)</f>
        <v>85000</v>
      </c>
      <c r="H1414" s="16">
        <f>E1414*F1414</f>
        <v>60000</v>
      </c>
      <c r="I1414" s="16">
        <f>E1414*G1414</f>
        <v>85000</v>
      </c>
      <c r="J1414" s="16">
        <f>I1414-H1414</f>
        <v>25000</v>
      </c>
      <c r="K1414" s="16" t="str">
        <f>VLOOKUP(C1414,[1]master_data!$A$2:$E$495,5,FALSE)</f>
        <v>Aksesoris</v>
      </c>
      <c r="L1414" s="1"/>
    </row>
    <row r="1415" spans="1:12" ht="12" customHeight="1" x14ac:dyDescent="0.25">
      <c r="A1415" s="15">
        <v>44283</v>
      </c>
      <c r="B1415" s="16" t="s">
        <v>792</v>
      </c>
      <c r="C1415" s="16" t="s">
        <v>308</v>
      </c>
      <c r="D1415" s="16" t="str">
        <f>VLOOKUP(C1415,[1]master_data!$A$2:$E$495,2,FALSE)</f>
        <v>ARWANA SILVER B</v>
      </c>
      <c r="E1415" s="16">
        <v>1</v>
      </c>
      <c r="F1415" s="16">
        <f>VLOOKUP(C1415,[1]master_data!$A$2:$E$495,3,FALSE)</f>
        <v>300000</v>
      </c>
      <c r="G1415" s="16">
        <f>VLOOKUP(C1415,[1]master_data!$A$2:$E$495,4,FALSE)</f>
        <v>500000</v>
      </c>
      <c r="H1415" s="16">
        <f>E1415*F1415</f>
        <v>300000</v>
      </c>
      <c r="I1415" s="16">
        <f>E1415*G1415</f>
        <v>500000</v>
      </c>
      <c r="J1415" s="16">
        <f>I1415-H1415</f>
        <v>200000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44283</v>
      </c>
      <c r="B1416" s="16" t="s">
        <v>793</v>
      </c>
      <c r="C1416" s="16" t="s">
        <v>334</v>
      </c>
      <c r="D1416" s="16" t="str">
        <f>VLOOKUP(C1416,[1]master_data!$A$2:$E$495,2,FALSE)</f>
        <v>KOMET PAKAN</v>
      </c>
      <c r="E1416" s="16">
        <v>300</v>
      </c>
      <c r="F1416" s="16">
        <f>VLOOKUP(C1416,[1]master_data!$A$2:$E$495,3,FALSE)</f>
        <v>300</v>
      </c>
      <c r="G1416" s="16">
        <f>VLOOKUP(C1416,[1]master_data!$A$2:$E$495,4,FALSE)</f>
        <v>1000</v>
      </c>
      <c r="H1416" s="16">
        <f>E1416*F1416</f>
        <v>90000</v>
      </c>
      <c r="I1416" s="16">
        <f>E1416*G1416</f>
        <v>300000</v>
      </c>
      <c r="J1416" s="16">
        <f>I1416-H1416</f>
        <v>210000</v>
      </c>
      <c r="K1416" s="16" t="str">
        <f>VLOOKUP(C1416,[1]master_data!$A$2:$E$495,5,FALSE)</f>
        <v>Ikan</v>
      </c>
      <c r="L1416" s="1"/>
    </row>
    <row r="1417" spans="1:12" ht="12" customHeight="1" x14ac:dyDescent="0.25">
      <c r="A1417" s="15">
        <v>44282</v>
      </c>
      <c r="B1417" s="16" t="s">
        <v>788</v>
      </c>
      <c r="C1417" s="16" t="s">
        <v>283</v>
      </c>
      <c r="D1417" s="16" t="str">
        <f>VLOOKUP(C1417,[1]master_data!$A$2:$E$495,2,FALSE)</f>
        <v>TEMPAT KURA KURA</v>
      </c>
      <c r="E1417" s="16">
        <v>5</v>
      </c>
      <c r="F1417" s="16">
        <f>VLOOKUP(C1417,[1]master_data!$A$2:$E$495,3,FALSE)</f>
        <v>8500</v>
      </c>
      <c r="G1417" s="16">
        <f>VLOOKUP(C1417,[1]master_data!$A$2:$E$495,4,FALSE)</f>
        <v>15000</v>
      </c>
      <c r="H1417" s="16">
        <f>E1417*F1417</f>
        <v>42500</v>
      </c>
      <c r="I1417" s="16">
        <f>E1417*G1417</f>
        <v>75000</v>
      </c>
      <c r="J1417" s="16">
        <f>I1417-H1417</f>
        <v>32500</v>
      </c>
      <c r="K1417" s="16" t="str">
        <f>VLOOKUP(C1417,[1]master_data!$A$2:$E$495,5,FALSE)</f>
        <v>Aksesoris</v>
      </c>
      <c r="L1417" s="1"/>
    </row>
    <row r="1418" spans="1:12" ht="12" customHeight="1" x14ac:dyDescent="0.25">
      <c r="A1418" s="15">
        <v>44282</v>
      </c>
      <c r="B1418" s="16" t="s">
        <v>789</v>
      </c>
      <c r="C1418" s="16" t="s">
        <v>362</v>
      </c>
      <c r="D1418" s="16" t="str">
        <f>VLOOKUP(C1418,[1]master_data!$A$2:$E$495,2,FALSE)</f>
        <v>SUMATRA BIASA</v>
      </c>
      <c r="E1418" s="16">
        <v>20</v>
      </c>
      <c r="F1418" s="16">
        <f>VLOOKUP(C1418,[1]master_data!$A$2:$E$495,3,FALSE)</f>
        <v>800</v>
      </c>
      <c r="G1418" s="16">
        <f>VLOOKUP(C1418,[1]master_data!$A$2:$E$495,4,FALSE)</f>
        <v>2000</v>
      </c>
      <c r="H1418" s="16">
        <f>E1418*F1418</f>
        <v>16000</v>
      </c>
      <c r="I1418" s="16">
        <f>E1418*G1418</f>
        <v>40000</v>
      </c>
      <c r="J1418" s="16">
        <f>I1418-H1418</f>
        <v>24000</v>
      </c>
      <c r="K1418" s="16" t="str">
        <f>VLOOKUP(C1418,[1]master_data!$A$2:$E$495,5,FALSE)</f>
        <v>Ikan</v>
      </c>
      <c r="L1418" s="1"/>
    </row>
    <row r="1419" spans="1:12" ht="12" customHeight="1" x14ac:dyDescent="0.25">
      <c r="A1419" s="15">
        <v>44282</v>
      </c>
      <c r="B1419" s="16" t="s">
        <v>790</v>
      </c>
      <c r="C1419" s="16" t="s">
        <v>306</v>
      </c>
      <c r="D1419" s="16" t="str">
        <f>VLOOKUP(C1419,[1]master_data!$A$2:$E$495,2,FALSE)</f>
        <v>CHANNA ANDRAO B</v>
      </c>
      <c r="E1419" s="16">
        <v>2</v>
      </c>
      <c r="F1419" s="16">
        <f>VLOOKUP(C1419,[1]master_data!$A$2:$E$495,3,FALSE)</f>
        <v>100000</v>
      </c>
      <c r="G1419" s="16">
        <f>VLOOKUP(C1419,[1]master_data!$A$2:$E$495,4,FALSE)</f>
        <v>200000</v>
      </c>
      <c r="H1419" s="16">
        <f>E1419*F1419</f>
        <v>200000</v>
      </c>
      <c r="I1419" s="16">
        <f>E1419*G1419</f>
        <v>400000</v>
      </c>
      <c r="J1419" s="16">
        <f>I1419-H1419</f>
        <v>200000</v>
      </c>
      <c r="K1419" s="16" t="str">
        <f>VLOOKUP(C1419,[1]master_data!$A$2:$E$495,5,FALSE)</f>
        <v>Ikan</v>
      </c>
      <c r="L1419" s="1"/>
    </row>
    <row r="1420" spans="1:12" ht="12" customHeight="1" x14ac:dyDescent="0.25">
      <c r="A1420" s="15">
        <v>44282</v>
      </c>
      <c r="B1420" s="16" t="s">
        <v>791</v>
      </c>
      <c r="C1420" s="16" t="s">
        <v>307</v>
      </c>
      <c r="D1420" s="16" t="str">
        <f>VLOOKUP(C1420,[1]master_data!$A$2:$E$495,2,FALSE)</f>
        <v>ARWANA SILVER K</v>
      </c>
      <c r="E1420" s="16">
        <v>2</v>
      </c>
      <c r="F1420" s="16">
        <f>VLOOKUP(C1420,[1]master_data!$A$2:$E$495,3,FALSE)</f>
        <v>100000</v>
      </c>
      <c r="G1420" s="16">
        <f>VLOOKUP(C1420,[1]master_data!$A$2:$E$495,4,FALSE)</f>
        <v>200000</v>
      </c>
      <c r="H1420" s="16">
        <f>E1420*F1420</f>
        <v>200000</v>
      </c>
      <c r="I1420" s="16">
        <f>E1420*G1420</f>
        <v>400000</v>
      </c>
      <c r="J1420" s="16">
        <f>I1420-H1420</f>
        <v>200000</v>
      </c>
      <c r="K1420" s="16" t="str">
        <f>VLOOKUP(C1420,[1]master_data!$A$2:$E$495,5,FALSE)</f>
        <v>Ikan</v>
      </c>
      <c r="L1420" s="1"/>
    </row>
    <row r="1421" spans="1:12" ht="12" customHeight="1" x14ac:dyDescent="0.25">
      <c r="A1421" s="15">
        <v>44281</v>
      </c>
      <c r="B1421" s="16" t="s">
        <v>783</v>
      </c>
      <c r="C1421" s="16" t="s">
        <v>300</v>
      </c>
      <c r="D1421" s="16" t="str">
        <f>VLOOKUP(C1421,[1]master_data!$A$2:$E$495,2,FALSE)</f>
        <v>BATU KARANG JAHE</v>
      </c>
      <c r="E1421" s="16">
        <v>10</v>
      </c>
      <c r="F1421" s="16">
        <f>VLOOKUP(C1421,[1]master_data!$A$2:$E$495,3,FALSE)</f>
        <v>15000</v>
      </c>
      <c r="G1421" s="16">
        <f>VLOOKUP(C1421,[1]master_data!$A$2:$E$495,4,FALSE)</f>
        <v>25000</v>
      </c>
      <c r="H1421" s="16">
        <f>E1421*F1421</f>
        <v>150000</v>
      </c>
      <c r="I1421" s="16">
        <f>E1421*G1421</f>
        <v>250000</v>
      </c>
      <c r="J1421" s="16">
        <f>I1421-H1421</f>
        <v>100000</v>
      </c>
      <c r="K1421" s="16" t="str">
        <f>VLOOKUP(C1421,[1]master_data!$A$2:$E$495,5,FALSE)</f>
        <v>Aksesoris</v>
      </c>
      <c r="L1421" s="1"/>
    </row>
    <row r="1422" spans="1:12" ht="12" customHeight="1" x14ac:dyDescent="0.25">
      <c r="A1422" s="15">
        <v>44281</v>
      </c>
      <c r="B1422" s="16" t="s">
        <v>784</v>
      </c>
      <c r="C1422" s="16" t="s">
        <v>367</v>
      </c>
      <c r="D1422" s="16" t="str">
        <f>VLOOKUP(C1422,[1]master_data!$A$2:$E$495,2,FALSE)</f>
        <v>TETRA</v>
      </c>
      <c r="E1422" s="16">
        <v>25</v>
      </c>
      <c r="F1422" s="16">
        <f>VLOOKUP(C1422,[1]master_data!$A$2:$E$495,3,FALSE)</f>
        <v>800</v>
      </c>
      <c r="G1422" s="16">
        <f>VLOOKUP(C1422,[1]master_data!$A$2:$E$495,4,FALSE)</f>
        <v>2000</v>
      </c>
      <c r="H1422" s="16">
        <f>E1422*F1422</f>
        <v>20000</v>
      </c>
      <c r="I1422" s="16">
        <f>E1422*G1422</f>
        <v>50000</v>
      </c>
      <c r="J1422" s="16">
        <f>I1422-H1422</f>
        <v>30000</v>
      </c>
      <c r="K1422" s="16" t="str">
        <f>VLOOKUP(C1422,[1]master_data!$A$2:$E$495,5,FALSE)</f>
        <v>Ikan</v>
      </c>
      <c r="L1422" s="1"/>
    </row>
    <row r="1423" spans="1:12" ht="12" customHeight="1" x14ac:dyDescent="0.25">
      <c r="A1423" s="15">
        <v>44281</v>
      </c>
      <c r="B1423" s="16" t="s">
        <v>785</v>
      </c>
      <c r="C1423" s="16" t="s">
        <v>348</v>
      </c>
      <c r="D1423" s="16" t="str">
        <f>VLOOKUP(C1423,[1]master_data!$A$2:$E$495,2,FALSE)</f>
        <v>NIASA</v>
      </c>
      <c r="E1423" s="16">
        <v>15</v>
      </c>
      <c r="F1423" s="16">
        <f>VLOOKUP(C1423,[1]master_data!$A$2:$E$495,3,FALSE)</f>
        <v>900</v>
      </c>
      <c r="G1423" s="16">
        <f>VLOOKUP(C1423,[1]master_data!$A$2:$E$495,4,FALSE)</f>
        <v>2000</v>
      </c>
      <c r="H1423" s="16">
        <f>E1423*F1423</f>
        <v>13500</v>
      </c>
      <c r="I1423" s="16">
        <f>E1423*G1423</f>
        <v>30000</v>
      </c>
      <c r="J1423" s="16">
        <f>I1423-H1423</f>
        <v>16500</v>
      </c>
      <c r="K1423" s="16" t="str">
        <f>VLOOKUP(C1423,[1]master_data!$A$2:$E$495,5,FALSE)</f>
        <v>Ikan</v>
      </c>
      <c r="L1423" s="1"/>
    </row>
    <row r="1424" spans="1:12" ht="12" customHeight="1" x14ac:dyDescent="0.25">
      <c r="A1424" s="15">
        <v>44281</v>
      </c>
      <c r="B1424" s="16" t="s">
        <v>786</v>
      </c>
      <c r="C1424" s="16" t="s">
        <v>88</v>
      </c>
      <c r="D1424" s="16" t="str">
        <f>VLOOKUP(C1424,[1]master_data!$A$2:$E$495,2,FALSE)</f>
        <v>AIRATOR JINGYE LUB 1</v>
      </c>
      <c r="E1424" s="16">
        <v>1</v>
      </c>
      <c r="F1424" s="16">
        <f>VLOOKUP(C1424,[1]master_data!$A$2:$E$495,3,FALSE)</f>
        <v>20500</v>
      </c>
      <c r="G1424" s="16">
        <f>VLOOKUP(C1424,[1]master_data!$A$2:$E$495,4,FALSE)</f>
        <v>30000</v>
      </c>
      <c r="H1424" s="16">
        <f>E1424*F1424</f>
        <v>20500</v>
      </c>
      <c r="I1424" s="16">
        <f>E1424*G1424</f>
        <v>30000</v>
      </c>
      <c r="J1424" s="16">
        <f>I1424-H1424</f>
        <v>9500</v>
      </c>
      <c r="K1424" s="16" t="str">
        <f>VLOOKUP(C1424,[1]master_data!$A$2:$E$495,5,FALSE)</f>
        <v>Aksesoris</v>
      </c>
      <c r="L1424" s="1"/>
    </row>
    <row r="1425" spans="1:12" ht="12" customHeight="1" x14ac:dyDescent="0.25">
      <c r="A1425" s="15">
        <v>44281</v>
      </c>
      <c r="B1425" s="16" t="s">
        <v>787</v>
      </c>
      <c r="C1425" s="16" t="s">
        <v>361</v>
      </c>
      <c r="D1425" s="16" t="str">
        <f>VLOOKUP(C1425,[1]master_data!$A$2:$E$495,2,FALSE)</f>
        <v>CHANNA RED BARITO B</v>
      </c>
      <c r="E1425" s="16">
        <v>1</v>
      </c>
      <c r="F1425" s="16">
        <f>VLOOKUP(C1425,[1]master_data!$A$2:$E$495,3,FALSE)</f>
        <v>120000</v>
      </c>
      <c r="G1425" s="16">
        <f>VLOOKUP(C1425,[1]master_data!$A$2:$E$495,4,FALSE)</f>
        <v>200000</v>
      </c>
      <c r="H1425" s="16">
        <f>E1425*F1425</f>
        <v>120000</v>
      </c>
      <c r="I1425" s="16">
        <f>E1425*G1425</f>
        <v>200000</v>
      </c>
      <c r="J1425" s="16">
        <f>I1425-H1425</f>
        <v>80000</v>
      </c>
      <c r="K1425" s="16" t="str">
        <f>VLOOKUP(C1425,[1]master_data!$A$2:$E$495,5,FALSE)</f>
        <v>Ikan</v>
      </c>
      <c r="L1425" s="1"/>
    </row>
    <row r="1426" spans="1:12" ht="12" customHeight="1" x14ac:dyDescent="0.25">
      <c r="A1426" s="15">
        <v>44280</v>
      </c>
      <c r="B1426" s="16" t="s">
        <v>780</v>
      </c>
      <c r="C1426" s="16" t="s">
        <v>324</v>
      </c>
      <c r="D1426" s="16" t="str">
        <f>VLOOKUP(C1426,[1]master_data!$A$2:$E$495,2,FALSE)</f>
        <v>GOLDEN BLACK</v>
      </c>
      <c r="E1426" s="16">
        <v>30</v>
      </c>
      <c r="F1426" s="16">
        <f>VLOOKUP(C1426,[1]master_data!$A$2:$E$495,3,FALSE)</f>
        <v>800</v>
      </c>
      <c r="G1426" s="16">
        <f>VLOOKUP(C1426,[1]master_data!$A$2:$E$495,4,FALSE)</f>
        <v>2000</v>
      </c>
      <c r="H1426" s="16">
        <f>E1426*F1426</f>
        <v>24000</v>
      </c>
      <c r="I1426" s="16">
        <f>E1426*G1426</f>
        <v>60000</v>
      </c>
      <c r="J1426" s="16">
        <f>I1426-H1426</f>
        <v>36000</v>
      </c>
      <c r="K1426" s="16" t="str">
        <f>VLOOKUP(C1426,[1]master_data!$A$2:$E$495,5,FALSE)</f>
        <v>Ikan</v>
      </c>
      <c r="L1426" s="1"/>
    </row>
    <row r="1427" spans="1:12" ht="12" customHeight="1" x14ac:dyDescent="0.25">
      <c r="A1427" s="15">
        <v>44280</v>
      </c>
      <c r="B1427" s="16" t="s">
        <v>781</v>
      </c>
      <c r="C1427" s="16" t="s">
        <v>6</v>
      </c>
      <c r="D1427" s="16" t="str">
        <f>VLOOKUP(C1427,[1]master_data!$A$2:$E$495,2,FALSE)</f>
        <v>MESIN YANG 1200</v>
      </c>
      <c r="E1427" s="16">
        <v>10</v>
      </c>
      <c r="F1427" s="16">
        <f>VLOOKUP(C1427,[1]master_data!$A$2:$E$495,3,FALSE)</f>
        <v>25000</v>
      </c>
      <c r="G1427" s="16">
        <f>VLOOKUP(C1427,[1]master_data!$A$2:$E$495,4,FALSE)</f>
        <v>40000</v>
      </c>
      <c r="H1427" s="16">
        <f>E1427*F1427</f>
        <v>250000</v>
      </c>
      <c r="I1427" s="16">
        <f>E1427*G1427</f>
        <v>400000</v>
      </c>
      <c r="J1427" s="16">
        <f>I1427-H1427</f>
        <v>150000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44280</v>
      </c>
      <c r="B1428" s="16" t="s">
        <v>782</v>
      </c>
      <c r="C1428" s="16" t="s">
        <v>226</v>
      </c>
      <c r="D1428" s="16" t="str">
        <f>VLOOKUP(C1428,[1]master_data!$A$2:$E$495,2,FALSE)</f>
        <v>KRAN 2 W</v>
      </c>
      <c r="E1428" s="16">
        <v>1</v>
      </c>
      <c r="F1428" s="16">
        <f>VLOOKUP(C1428,[1]master_data!$A$2:$E$495,3,FALSE)</f>
        <v>4000</v>
      </c>
      <c r="G1428" s="16">
        <f>VLOOKUP(C1428,[1]master_data!$A$2:$E$495,4,FALSE)</f>
        <v>6000</v>
      </c>
      <c r="H1428" s="16">
        <f>E1428*F1428</f>
        <v>4000</v>
      </c>
      <c r="I1428" s="16">
        <f>E1428*G1428</f>
        <v>6000</v>
      </c>
      <c r="J1428" s="16">
        <f>I1428-H1428</f>
        <v>2000</v>
      </c>
      <c r="K1428" s="16" t="str">
        <f>VLOOKUP(C1428,[1]master_data!$A$2:$E$495,5,FALSE)</f>
        <v>Aksesoris</v>
      </c>
      <c r="L1428" s="1"/>
    </row>
    <row r="1429" spans="1:12" ht="12" customHeight="1" x14ac:dyDescent="0.25">
      <c r="A1429" s="15">
        <v>44279</v>
      </c>
      <c r="B1429" s="16" t="s">
        <v>778</v>
      </c>
      <c r="C1429" s="16" t="s">
        <v>22</v>
      </c>
      <c r="D1429" s="16" t="str">
        <f>VLOOKUP(C1429,[1]master_data!$A$2:$E$495,2,FALSE)</f>
        <v>MESIN ROSTON 3900</v>
      </c>
      <c r="E1429" s="16">
        <v>2</v>
      </c>
      <c r="F1429" s="16">
        <f>VLOOKUP(C1429,[1]master_data!$A$2:$E$495,3,FALSE)</f>
        <v>90000</v>
      </c>
      <c r="G1429" s="16">
        <f>VLOOKUP(C1429,[1]master_data!$A$2:$E$495,4,FALSE)</f>
        <v>150000</v>
      </c>
      <c r="H1429" s="16">
        <f>E1429*F1429</f>
        <v>180000</v>
      </c>
      <c r="I1429" s="16">
        <f>E1429*G1429</f>
        <v>300000</v>
      </c>
      <c r="J1429" s="16">
        <f>I1429-H1429</f>
        <v>120000</v>
      </c>
      <c r="K1429" s="16" t="str">
        <f>VLOOKUP(C1429,[1]master_data!$A$2:$E$495,5,FALSE)</f>
        <v>Aksesoris</v>
      </c>
      <c r="L1429" s="1"/>
    </row>
    <row r="1430" spans="1:12" ht="12" customHeight="1" x14ac:dyDescent="0.25">
      <c r="A1430" s="15">
        <v>44279</v>
      </c>
      <c r="B1430" s="16" t="s">
        <v>779</v>
      </c>
      <c r="C1430" s="16" t="s">
        <v>345</v>
      </c>
      <c r="D1430" s="16" t="str">
        <f>VLOOKUP(C1430,[1]master_data!$A$2:$E$495,2,FALSE)</f>
        <v>MARU B</v>
      </c>
      <c r="E1430" s="16">
        <v>4</v>
      </c>
      <c r="F1430" s="16">
        <f>VLOOKUP(C1430,[1]master_data!$A$2:$E$495,3,FALSE)</f>
        <v>90000</v>
      </c>
      <c r="G1430" s="16">
        <f>VLOOKUP(C1430,[1]master_data!$A$2:$E$495,4,FALSE)</f>
        <v>150000</v>
      </c>
      <c r="H1430" s="16">
        <f>E1430*F1430</f>
        <v>360000</v>
      </c>
      <c r="I1430" s="16">
        <f>E1430*G1430</f>
        <v>600000</v>
      </c>
      <c r="J1430" s="16">
        <f>I1430-H1430</f>
        <v>240000</v>
      </c>
      <c r="K1430" s="16" t="str">
        <f>VLOOKUP(C1430,[1]master_data!$A$2:$E$495,5,FALSE)</f>
        <v>Ikan</v>
      </c>
      <c r="L1430" s="1"/>
    </row>
    <row r="1431" spans="1:12" ht="12" customHeight="1" x14ac:dyDescent="0.25">
      <c r="A1431" s="15">
        <v>44278</v>
      </c>
      <c r="B1431" s="16" t="s">
        <v>775</v>
      </c>
      <c r="C1431" s="16" t="s">
        <v>364</v>
      </c>
      <c r="D1431" s="16" t="str">
        <f>VLOOKUP(C1431,[1]master_data!$A$2:$E$495,2,FALSE)</f>
        <v>SNOW WHITE</v>
      </c>
      <c r="E1431" s="16">
        <v>20</v>
      </c>
      <c r="F1431" s="16">
        <f>VLOOKUP(C1431,[1]master_data!$A$2:$E$495,3,FALSE)</f>
        <v>1500</v>
      </c>
      <c r="G1431" s="16">
        <f>VLOOKUP(C1431,[1]master_data!$A$2:$E$495,4,FALSE)</f>
        <v>3000</v>
      </c>
      <c r="H1431" s="16">
        <f>E1431*F1431</f>
        <v>30000</v>
      </c>
      <c r="I1431" s="16">
        <f>E1431*G1431</f>
        <v>60000</v>
      </c>
      <c r="J1431" s="16">
        <f>I1431-H1431</f>
        <v>30000</v>
      </c>
      <c r="K1431" s="16" t="str">
        <f>VLOOKUP(C1431,[1]master_data!$A$2:$E$495,5,FALSE)</f>
        <v>Ikan</v>
      </c>
      <c r="L1431" s="1"/>
    </row>
    <row r="1432" spans="1:12" ht="12" customHeight="1" x14ac:dyDescent="0.25">
      <c r="A1432" s="15">
        <v>44278</v>
      </c>
      <c r="B1432" s="16" t="s">
        <v>776</v>
      </c>
      <c r="C1432" s="16" t="s">
        <v>329</v>
      </c>
      <c r="D1432" s="16" t="str">
        <f>VLOOKUP(C1432,[1]master_data!$A$2:$E$495,2,FALSE)</f>
        <v>KOI K</v>
      </c>
      <c r="E1432" s="16">
        <v>10</v>
      </c>
      <c r="F1432" s="16">
        <f>VLOOKUP(C1432,[1]master_data!$A$2:$E$495,3,FALSE)</f>
        <v>2500</v>
      </c>
      <c r="G1432" s="16">
        <f>VLOOKUP(C1432,[1]master_data!$A$2:$E$495,4,FALSE)</f>
        <v>10000</v>
      </c>
      <c r="H1432" s="16">
        <f>E1432*F1432</f>
        <v>25000</v>
      </c>
      <c r="I1432" s="16">
        <f>E1432*G1432</f>
        <v>100000</v>
      </c>
      <c r="J1432" s="16">
        <f>I1432-H1432</f>
        <v>75000</v>
      </c>
      <c r="K1432" s="16" t="str">
        <f>VLOOKUP(C1432,[1]master_data!$A$2:$E$495,5,FALSE)</f>
        <v>Ikan</v>
      </c>
      <c r="L1432" s="1"/>
    </row>
    <row r="1433" spans="1:12" ht="12" customHeight="1" x14ac:dyDescent="0.25">
      <c r="A1433" s="15">
        <v>44278</v>
      </c>
      <c r="B1433" s="16" t="s">
        <v>777</v>
      </c>
      <c r="C1433" s="16" t="s">
        <v>276</v>
      </c>
      <c r="D1433" s="16" t="str">
        <f>VLOOKUP(C1433,[1]master_data!$A$2:$E$495,2,FALSE)</f>
        <v>AKUARIUM 60 ROBOT</v>
      </c>
      <c r="E1433" s="16">
        <v>1</v>
      </c>
      <c r="F1433" s="16">
        <f>VLOOKUP(C1433,[1]master_data!$A$2:$E$495,3,FALSE)</f>
        <v>150000</v>
      </c>
      <c r="G1433" s="16">
        <f>VLOOKUP(C1433,[1]master_data!$A$2:$E$495,4,FALSE)</f>
        <v>250000</v>
      </c>
      <c r="H1433" s="16">
        <f>E1433*F1433</f>
        <v>150000</v>
      </c>
      <c r="I1433" s="16">
        <f>E1433*G1433</f>
        <v>250000</v>
      </c>
      <c r="J1433" s="16">
        <f>I1433-H1433</f>
        <v>100000</v>
      </c>
      <c r="K1433" s="16" t="str">
        <f>VLOOKUP(C1433,[1]master_data!$A$2:$E$495,5,FALSE)</f>
        <v>Aksesoris</v>
      </c>
      <c r="L1433" s="1"/>
    </row>
    <row r="1434" spans="1:12" ht="12" customHeight="1" x14ac:dyDescent="0.25">
      <c r="A1434" s="15">
        <v>44277</v>
      </c>
      <c r="B1434" s="16" t="s">
        <v>769</v>
      </c>
      <c r="C1434" s="16" t="s">
        <v>374</v>
      </c>
      <c r="D1434" s="16" t="str">
        <f>VLOOKUP(C1434,[1]master_data!$A$2:$E$495,2,FALSE)</f>
        <v>SEPAT ALBINO</v>
      </c>
      <c r="E1434" s="16">
        <v>15</v>
      </c>
      <c r="F1434" s="16">
        <f>VLOOKUP(C1434,[1]master_data!$A$2:$E$495,3,FALSE)</f>
        <v>2000</v>
      </c>
      <c r="G1434" s="16">
        <f>VLOOKUP(C1434,[1]master_data!$A$2:$E$495,4,FALSE)</f>
        <v>5000</v>
      </c>
      <c r="H1434" s="16">
        <f>E1434*F1434</f>
        <v>30000</v>
      </c>
      <c r="I1434" s="16">
        <f>E1434*G1434</f>
        <v>75000</v>
      </c>
      <c r="J1434" s="16">
        <f>I1434-H1434</f>
        <v>45000</v>
      </c>
      <c r="K1434" s="16" t="str">
        <f>VLOOKUP(C1434,[1]master_data!$A$2:$E$495,5,FALSE)</f>
        <v>Ikan</v>
      </c>
      <c r="L1434" s="1"/>
    </row>
    <row r="1435" spans="1:12" ht="12" customHeight="1" x14ac:dyDescent="0.25">
      <c r="A1435" s="15">
        <v>44277</v>
      </c>
      <c r="B1435" s="16" t="s">
        <v>770</v>
      </c>
      <c r="C1435" s="16" t="s">
        <v>349</v>
      </c>
      <c r="D1435" s="16" t="str">
        <f>VLOOKUP(C1435,[1]master_data!$A$2:$E$495,2,FALSE)</f>
        <v>RED EYE TETRA</v>
      </c>
      <c r="E1435" s="16">
        <v>30</v>
      </c>
      <c r="F1435" s="16">
        <f>VLOOKUP(C1435,[1]master_data!$A$2:$E$495,3,FALSE)</f>
        <v>900</v>
      </c>
      <c r="G1435" s="16">
        <f>VLOOKUP(C1435,[1]master_data!$A$2:$E$495,4,FALSE)</f>
        <v>2000</v>
      </c>
      <c r="H1435" s="16">
        <f>E1435*F1435</f>
        <v>27000</v>
      </c>
      <c r="I1435" s="16">
        <f>E1435*G1435</f>
        <v>60000</v>
      </c>
      <c r="J1435" s="16">
        <f>I1435-H1435</f>
        <v>33000</v>
      </c>
      <c r="K1435" s="16" t="str">
        <f>VLOOKUP(C1435,[1]master_data!$A$2:$E$495,5,FALSE)</f>
        <v>Ikan</v>
      </c>
      <c r="L1435" s="1"/>
    </row>
    <row r="1436" spans="1:12" ht="12" customHeight="1" x14ac:dyDescent="0.25">
      <c r="A1436" s="15">
        <v>44277</v>
      </c>
      <c r="B1436" s="16" t="s">
        <v>771</v>
      </c>
      <c r="C1436" s="16" t="s">
        <v>155</v>
      </c>
      <c r="D1436" s="16" t="str">
        <f>VLOOKUP(C1436,[1]master_data!$A$2:$E$495,2,FALSE)</f>
        <v>LED KANDILA PRO RED ECO 40 CM</v>
      </c>
      <c r="E1436" s="16">
        <v>1</v>
      </c>
      <c r="F1436" s="16">
        <f>VLOOKUP(C1436,[1]master_data!$A$2:$E$495,3,FALSE)</f>
        <v>45000</v>
      </c>
      <c r="G1436" s="16">
        <f>VLOOKUP(C1436,[1]master_data!$A$2:$E$495,4,FALSE)</f>
        <v>65000</v>
      </c>
      <c r="H1436" s="16">
        <f>E1436*F1436</f>
        <v>45000</v>
      </c>
      <c r="I1436" s="16">
        <f>E1436*G1436</f>
        <v>65000</v>
      </c>
      <c r="J1436" s="16">
        <f>I1436-H1436</f>
        <v>20000</v>
      </c>
      <c r="K1436" s="16" t="str">
        <f>VLOOKUP(C1436,[1]master_data!$A$2:$E$495,5,FALSE)</f>
        <v>Aksesoris</v>
      </c>
      <c r="L1436" s="1"/>
    </row>
    <row r="1437" spans="1:12" ht="12" customHeight="1" x14ac:dyDescent="0.25">
      <c r="A1437" s="15">
        <v>44277</v>
      </c>
      <c r="B1437" s="16" t="s">
        <v>772</v>
      </c>
      <c r="C1437" s="16" t="s">
        <v>237</v>
      </c>
      <c r="D1437" s="16" t="str">
        <f>VLOOKUP(C1437,[1]master_data!$A$2:$E$495,2,FALSE)</f>
        <v>MAINAN ANGEL SIMON</v>
      </c>
      <c r="E1437" s="16">
        <v>2</v>
      </c>
      <c r="F1437" s="16">
        <f>VLOOKUP(C1437,[1]master_data!$A$2:$E$495,3,FALSE)</f>
        <v>9000</v>
      </c>
      <c r="G1437" s="16">
        <f>VLOOKUP(C1437,[1]master_data!$A$2:$E$495,4,FALSE)</f>
        <v>18000</v>
      </c>
      <c r="H1437" s="16">
        <f>E1437*F1437</f>
        <v>18000</v>
      </c>
      <c r="I1437" s="16">
        <f>E1437*G1437</f>
        <v>36000</v>
      </c>
      <c r="J1437" s="16">
        <f>I1437-H1437</f>
        <v>18000</v>
      </c>
      <c r="K1437" s="16" t="str">
        <f>VLOOKUP(C1437,[1]master_data!$A$2:$E$495,5,FALSE)</f>
        <v>Aksesoris</v>
      </c>
      <c r="L1437" s="1"/>
    </row>
    <row r="1438" spans="1:12" ht="12" customHeight="1" x14ac:dyDescent="0.25">
      <c r="A1438" s="15">
        <v>44277</v>
      </c>
      <c r="B1438" s="16" t="s">
        <v>773</v>
      </c>
      <c r="C1438" s="16" t="s">
        <v>344</v>
      </c>
      <c r="D1438" s="16" t="str">
        <f>VLOOKUP(C1438,[1]master_data!$A$2:$E$495,2,FALSE)</f>
        <v>MANFISH B</v>
      </c>
      <c r="E1438" s="16">
        <v>7</v>
      </c>
      <c r="F1438" s="16">
        <f>VLOOKUP(C1438,[1]master_data!$A$2:$E$495,3,FALSE)</f>
        <v>4000</v>
      </c>
      <c r="G1438" s="16">
        <f>VLOOKUP(C1438,[1]master_data!$A$2:$E$495,4,FALSE)</f>
        <v>10000</v>
      </c>
      <c r="H1438" s="16">
        <f>E1438*F1438</f>
        <v>28000</v>
      </c>
      <c r="I1438" s="16">
        <f>E1438*G1438</f>
        <v>70000</v>
      </c>
      <c r="J1438" s="16">
        <f>I1438-H1438</f>
        <v>42000</v>
      </c>
      <c r="K1438" s="16" t="str">
        <f>VLOOKUP(C1438,[1]master_data!$A$2:$E$495,5,FALSE)</f>
        <v>Ikan</v>
      </c>
      <c r="L1438" s="1"/>
    </row>
    <row r="1439" spans="1:12" ht="12" customHeight="1" x14ac:dyDescent="0.25">
      <c r="A1439" s="15">
        <v>44277</v>
      </c>
      <c r="B1439" s="16" t="s">
        <v>774</v>
      </c>
      <c r="C1439" s="16" t="s">
        <v>140</v>
      </c>
      <c r="D1439" s="16" t="str">
        <f>VLOOKUP(C1439,[1]master_data!$A$2:$E$495,2,FALSE)</f>
        <v>LED KANDILA DnN 30 CM</v>
      </c>
      <c r="E1439" s="16">
        <v>1</v>
      </c>
      <c r="F1439" s="16">
        <f>VLOOKUP(C1439,[1]master_data!$A$2:$E$495,3,FALSE)</f>
        <v>30000</v>
      </c>
      <c r="G1439" s="16">
        <f>VLOOKUP(C1439,[1]master_data!$A$2:$E$495,4,FALSE)</f>
        <v>45000</v>
      </c>
      <c r="H1439" s="16">
        <f>E1439*F1439</f>
        <v>30000</v>
      </c>
      <c r="I1439" s="16">
        <f>E1439*G1439</f>
        <v>45000</v>
      </c>
      <c r="J1439" s="16">
        <f>I1439-H1439</f>
        <v>15000</v>
      </c>
      <c r="K1439" s="16" t="str">
        <f>VLOOKUP(C1439,[1]master_data!$A$2:$E$495,5,FALSE)</f>
        <v>Aksesoris</v>
      </c>
      <c r="L1439" s="1"/>
    </row>
    <row r="1440" spans="1:12" ht="12" customHeight="1" x14ac:dyDescent="0.25">
      <c r="A1440" s="15">
        <v>44276</v>
      </c>
      <c r="B1440" s="16" t="s">
        <v>765</v>
      </c>
      <c r="C1440" s="16" t="s">
        <v>315</v>
      </c>
      <c r="D1440" s="16" t="str">
        <f>VLOOKUP(C1440,[1]master_data!$A$2:$E$495,2,FALSE)</f>
        <v>BLACK GHOST</v>
      </c>
      <c r="E1440" s="16">
        <v>25</v>
      </c>
      <c r="F1440" s="16">
        <f>VLOOKUP(C1440,[1]master_data!$A$2:$E$495,3,FALSE)</f>
        <v>4000</v>
      </c>
      <c r="G1440" s="16">
        <f>VLOOKUP(C1440,[1]master_data!$A$2:$E$495,4,FALSE)</f>
        <v>10000</v>
      </c>
      <c r="H1440" s="16">
        <f>E1440*F1440</f>
        <v>100000</v>
      </c>
      <c r="I1440" s="16">
        <f>E1440*G1440</f>
        <v>250000</v>
      </c>
      <c r="J1440" s="16">
        <f>I1440-H1440</f>
        <v>150000</v>
      </c>
      <c r="K1440" s="16" t="str">
        <f>VLOOKUP(C1440,[1]master_data!$A$2:$E$495,5,FALSE)</f>
        <v>Ikan</v>
      </c>
      <c r="L1440" s="1"/>
    </row>
    <row r="1441" spans="1:12" ht="12" customHeight="1" x14ac:dyDescent="0.25">
      <c r="A1441" s="15">
        <v>44276</v>
      </c>
      <c r="B1441" s="16" t="s">
        <v>766</v>
      </c>
      <c r="C1441" s="16" t="s">
        <v>365</v>
      </c>
      <c r="D1441" s="16" t="str">
        <f>VLOOKUP(C1441,[1]master_data!$A$2:$E$495,2,FALSE)</f>
        <v>SYNODONTIS K</v>
      </c>
      <c r="E1441" s="16">
        <v>10</v>
      </c>
      <c r="F1441" s="16">
        <f>VLOOKUP(C1441,[1]master_data!$A$2:$E$495,3,FALSE)</f>
        <v>1500</v>
      </c>
      <c r="G1441" s="16">
        <f>VLOOKUP(C1441,[1]master_data!$A$2:$E$495,4,FALSE)</f>
        <v>5000</v>
      </c>
      <c r="H1441" s="16">
        <f>E1441*F1441</f>
        <v>15000</v>
      </c>
      <c r="I1441" s="16">
        <f>E1441*G1441</f>
        <v>50000</v>
      </c>
      <c r="J1441" s="16">
        <f>I1441-H1441</f>
        <v>35000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44276</v>
      </c>
      <c r="B1442" s="16" t="s">
        <v>767</v>
      </c>
      <c r="C1442" s="16" t="s">
        <v>373</v>
      </c>
      <c r="D1442" s="16" t="str">
        <f>VLOOKUP(C1442,[1]master_data!$A$2:$E$495,2,FALSE)</f>
        <v>SEPAT</v>
      </c>
      <c r="E1442" s="16">
        <v>1</v>
      </c>
      <c r="F1442" s="16">
        <f>VLOOKUP(C1442,[1]master_data!$A$2:$E$495,3,FALSE)</f>
        <v>600</v>
      </c>
      <c r="G1442" s="16">
        <f>VLOOKUP(C1442,[1]master_data!$A$2:$E$495,4,FALSE)</f>
        <v>2000</v>
      </c>
      <c r="H1442" s="16">
        <f>E1442*F1442</f>
        <v>600</v>
      </c>
      <c r="I1442" s="16">
        <f>E1442*G1442</f>
        <v>2000</v>
      </c>
      <c r="J1442" s="16">
        <f>I1442-H1442</f>
        <v>1400</v>
      </c>
      <c r="K1442" s="16" t="str">
        <f>VLOOKUP(C1442,[1]master_data!$A$2:$E$495,5,FALSE)</f>
        <v>Ikan</v>
      </c>
      <c r="L1442" s="1"/>
    </row>
    <row r="1443" spans="1:12" ht="12" customHeight="1" x14ac:dyDescent="0.25">
      <c r="A1443" s="15">
        <v>44276</v>
      </c>
      <c r="B1443" s="16" t="s">
        <v>768</v>
      </c>
      <c r="C1443" s="16" t="s">
        <v>332</v>
      </c>
      <c r="D1443" s="16" t="str">
        <f>VLOOKUP(C1443,[1]master_data!$A$2:$E$495,2,FALSE)</f>
        <v>KURA - KURA</v>
      </c>
      <c r="E1443" s="16">
        <v>1</v>
      </c>
      <c r="F1443" s="16">
        <f>VLOOKUP(C1443,[1]master_data!$A$2:$E$495,3,FALSE)</f>
        <v>25000</v>
      </c>
      <c r="G1443" s="16">
        <f>VLOOKUP(C1443,[1]master_data!$A$2:$E$495,4,FALSE)</f>
        <v>35000</v>
      </c>
      <c r="H1443" s="16">
        <f>E1443*F1443</f>
        <v>25000</v>
      </c>
      <c r="I1443" s="16">
        <f>E1443*G1443</f>
        <v>35000</v>
      </c>
      <c r="J1443" s="16">
        <f>I1443-H1443</f>
        <v>10000</v>
      </c>
      <c r="K1443" s="16" t="str">
        <f>VLOOKUP(C1443,[1]master_data!$A$2:$E$495,5,FALSE)</f>
        <v>Ikan</v>
      </c>
      <c r="L1443" s="1"/>
    </row>
    <row r="1444" spans="1:12" ht="12" customHeight="1" x14ac:dyDescent="0.25">
      <c r="A1444" s="15">
        <v>44275</v>
      </c>
      <c r="B1444" s="16" t="s">
        <v>763</v>
      </c>
      <c r="C1444" s="16" t="s">
        <v>352</v>
      </c>
      <c r="D1444" s="16" t="str">
        <f>VLOOKUP(C1444,[1]master_data!$A$2:$E$495,2,FALSE)</f>
        <v>OSCAR</v>
      </c>
      <c r="E1444" s="16">
        <v>5</v>
      </c>
      <c r="F1444" s="16">
        <f>VLOOKUP(C1444,[1]master_data!$A$2:$E$495,3,FALSE)</f>
        <v>25000</v>
      </c>
      <c r="G1444" s="16">
        <f>VLOOKUP(C1444,[1]master_data!$A$2:$E$495,4,FALSE)</f>
        <v>50000</v>
      </c>
      <c r="H1444" s="16">
        <f>E1444*F1444</f>
        <v>125000</v>
      </c>
      <c r="I1444" s="16">
        <f>E1444*G1444</f>
        <v>250000</v>
      </c>
      <c r="J1444" s="16">
        <f>I1444-H1444</f>
        <v>125000</v>
      </c>
      <c r="K1444" s="16" t="str">
        <f>VLOOKUP(C1444,[1]master_data!$A$2:$E$495,5,FALSE)</f>
        <v>Ikan</v>
      </c>
      <c r="L1444" s="1"/>
    </row>
    <row r="1445" spans="1:12" ht="12" customHeight="1" x14ac:dyDescent="0.25">
      <c r="A1445" s="15">
        <v>44275</v>
      </c>
      <c r="B1445" s="16" t="s">
        <v>764</v>
      </c>
      <c r="C1445" s="16" t="s">
        <v>317</v>
      </c>
      <c r="D1445" s="16" t="str">
        <f>VLOOKUP(C1445,[1]master_data!$A$2:$E$495,2,FALSE)</f>
        <v>CHANNA BLUE PULCHRA B</v>
      </c>
      <c r="E1445" s="16">
        <v>2</v>
      </c>
      <c r="F1445" s="16">
        <f>VLOOKUP(C1445,[1]master_data!$A$2:$E$495,3,FALSE)</f>
        <v>125000</v>
      </c>
      <c r="G1445" s="16">
        <f>VLOOKUP(C1445,[1]master_data!$A$2:$E$495,4,FALSE)</f>
        <v>200000</v>
      </c>
      <c r="H1445" s="16">
        <f>E1445*F1445</f>
        <v>250000</v>
      </c>
      <c r="I1445" s="16">
        <f>E1445*G1445</f>
        <v>400000</v>
      </c>
      <c r="J1445" s="16">
        <f>I1445-H1445</f>
        <v>150000</v>
      </c>
      <c r="K1445" s="16" t="str">
        <f>VLOOKUP(C1445,[1]master_data!$A$2:$E$495,5,FALSE)</f>
        <v>Ikan</v>
      </c>
      <c r="L1445" s="1"/>
    </row>
    <row r="1446" spans="1:12" ht="12" customHeight="1" x14ac:dyDescent="0.25">
      <c r="A1446" s="15">
        <v>44274</v>
      </c>
      <c r="B1446" s="16" t="s">
        <v>759</v>
      </c>
      <c r="C1446" s="16" t="s">
        <v>266</v>
      </c>
      <c r="D1446" s="16" t="str">
        <f>VLOOKUP(C1446,[1]master_data!$A$2:$E$495,2,FALSE)</f>
        <v>MAGNET 09</v>
      </c>
      <c r="E1446" s="16">
        <v>1</v>
      </c>
      <c r="F1446" s="16">
        <f>VLOOKUP(C1446,[1]master_data!$A$2:$E$495,3,FALSE)</f>
        <v>58000</v>
      </c>
      <c r="G1446" s="16">
        <f>VLOOKUP(C1446,[1]master_data!$A$2:$E$495,4,FALSE)</f>
        <v>80000</v>
      </c>
      <c r="H1446" s="16">
        <f>E1446*F1446</f>
        <v>58000</v>
      </c>
      <c r="I1446" s="16">
        <f>E1446*G1446</f>
        <v>80000</v>
      </c>
      <c r="J1446" s="16">
        <f>I1446-H1446</f>
        <v>22000</v>
      </c>
      <c r="K1446" s="16" t="str">
        <f>VLOOKUP(C1446,[1]master_data!$A$2:$E$495,5,FALSE)</f>
        <v>Aksesoris</v>
      </c>
      <c r="L1446" s="1"/>
    </row>
    <row r="1447" spans="1:12" ht="12" customHeight="1" x14ac:dyDescent="0.25">
      <c r="A1447" s="15">
        <v>44274</v>
      </c>
      <c r="B1447" s="16" t="s">
        <v>760</v>
      </c>
      <c r="C1447" s="16" t="s">
        <v>323</v>
      </c>
      <c r="D1447" s="16" t="str">
        <f>VLOOKUP(C1447,[1]master_data!$A$2:$E$495,2,FALSE)</f>
        <v>GUPY</v>
      </c>
      <c r="E1447" s="16">
        <v>25</v>
      </c>
      <c r="F1447" s="16">
        <f>VLOOKUP(C1447,[1]master_data!$A$2:$E$495,3,FALSE)</f>
        <v>1200</v>
      </c>
      <c r="G1447" s="16">
        <f>VLOOKUP(C1447,[1]master_data!$A$2:$E$495,4,FALSE)</f>
        <v>2500</v>
      </c>
      <c r="H1447" s="16">
        <f>E1447*F1447</f>
        <v>30000</v>
      </c>
      <c r="I1447" s="16">
        <f>E1447*G1447</f>
        <v>62500</v>
      </c>
      <c r="J1447" s="16">
        <f>I1447-H1447</f>
        <v>32500</v>
      </c>
      <c r="K1447" s="16" t="str">
        <f>VLOOKUP(C1447,[1]master_data!$A$2:$E$495,5,FALSE)</f>
        <v>Ikan</v>
      </c>
      <c r="L1447" s="1"/>
    </row>
    <row r="1448" spans="1:12" ht="12" customHeight="1" x14ac:dyDescent="0.25">
      <c r="A1448" s="15">
        <v>44274</v>
      </c>
      <c r="B1448" s="16" t="s">
        <v>761</v>
      </c>
      <c r="C1448" s="16" t="s">
        <v>275</v>
      </c>
      <c r="D1448" s="16" t="str">
        <f>VLOOKUP(C1448,[1]master_data!$A$2:$E$495,2,FALSE)</f>
        <v>AKUARIUM 70 ROBOT</v>
      </c>
      <c r="E1448" s="16">
        <v>1</v>
      </c>
      <c r="F1448" s="16">
        <f>VLOOKUP(C1448,[1]master_data!$A$2:$E$495,3,FALSE)</f>
        <v>260000</v>
      </c>
      <c r="G1448" s="16">
        <f>VLOOKUP(C1448,[1]master_data!$A$2:$E$495,4,FALSE)</f>
        <v>350000</v>
      </c>
      <c r="H1448" s="16">
        <f>E1448*F1448</f>
        <v>260000</v>
      </c>
      <c r="I1448" s="16">
        <f>E1448*G1448</f>
        <v>350000</v>
      </c>
      <c r="J1448" s="16">
        <f>I1448-H1448</f>
        <v>90000</v>
      </c>
      <c r="K1448" s="16" t="str">
        <f>VLOOKUP(C1448,[1]master_data!$A$2:$E$495,5,FALSE)</f>
        <v>Aksesoris</v>
      </c>
      <c r="L1448" s="1"/>
    </row>
    <row r="1449" spans="1:12" ht="12" customHeight="1" x14ac:dyDescent="0.25">
      <c r="A1449" s="15">
        <v>44274</v>
      </c>
      <c r="B1449" s="16" t="s">
        <v>762</v>
      </c>
      <c r="C1449" s="16" t="s">
        <v>307</v>
      </c>
      <c r="D1449" s="16" t="str">
        <f>VLOOKUP(C1449,[1]master_data!$A$2:$E$495,2,FALSE)</f>
        <v>ARWANA SILVER K</v>
      </c>
      <c r="E1449" s="16">
        <v>2</v>
      </c>
      <c r="F1449" s="16">
        <f>VLOOKUP(C1449,[1]master_data!$A$2:$E$495,3,FALSE)</f>
        <v>100000</v>
      </c>
      <c r="G1449" s="16">
        <f>VLOOKUP(C1449,[1]master_data!$A$2:$E$495,4,FALSE)</f>
        <v>200000</v>
      </c>
      <c r="H1449" s="16">
        <f>E1449*F1449</f>
        <v>200000</v>
      </c>
      <c r="I1449" s="16">
        <f>E1449*G1449</f>
        <v>400000</v>
      </c>
      <c r="J1449" s="16">
        <f>I1449-H1449</f>
        <v>200000</v>
      </c>
      <c r="K1449" s="16" t="str">
        <f>VLOOKUP(C1449,[1]master_data!$A$2:$E$495,5,FALSE)</f>
        <v>Ikan</v>
      </c>
      <c r="L1449" s="1"/>
    </row>
    <row r="1450" spans="1:12" ht="12" customHeight="1" x14ac:dyDescent="0.25">
      <c r="A1450" s="15">
        <v>44273</v>
      </c>
      <c r="B1450" s="16" t="s">
        <v>756</v>
      </c>
      <c r="C1450" s="16" t="s">
        <v>362</v>
      </c>
      <c r="D1450" s="16" t="str">
        <f>VLOOKUP(C1450,[1]master_data!$A$2:$E$495,2,FALSE)</f>
        <v>SUMATRA BIASA</v>
      </c>
      <c r="E1450" s="16">
        <v>10</v>
      </c>
      <c r="F1450" s="16">
        <f>VLOOKUP(C1450,[1]master_data!$A$2:$E$495,3,FALSE)</f>
        <v>800</v>
      </c>
      <c r="G1450" s="16">
        <f>VLOOKUP(C1450,[1]master_data!$A$2:$E$495,4,FALSE)</f>
        <v>2000</v>
      </c>
      <c r="H1450" s="16">
        <f>E1450*F1450</f>
        <v>8000</v>
      </c>
      <c r="I1450" s="16">
        <f>E1450*G1450</f>
        <v>20000</v>
      </c>
      <c r="J1450" s="16">
        <f>I1450-H1450</f>
        <v>12000</v>
      </c>
      <c r="K1450" s="16" t="str">
        <f>VLOOKUP(C1450,[1]master_data!$A$2:$E$495,5,FALSE)</f>
        <v>Ikan</v>
      </c>
      <c r="L1450" s="1"/>
    </row>
    <row r="1451" spans="1:12" ht="12" customHeight="1" x14ac:dyDescent="0.25">
      <c r="A1451" s="15">
        <v>44273</v>
      </c>
      <c r="B1451" s="16" t="s">
        <v>757</v>
      </c>
      <c r="C1451" s="16" t="s">
        <v>329</v>
      </c>
      <c r="D1451" s="16" t="str">
        <f>VLOOKUP(C1451,[1]master_data!$A$2:$E$495,2,FALSE)</f>
        <v>KOI K</v>
      </c>
      <c r="E1451" s="16">
        <v>21</v>
      </c>
      <c r="F1451" s="16">
        <f>VLOOKUP(C1451,[1]master_data!$A$2:$E$495,3,FALSE)</f>
        <v>2500</v>
      </c>
      <c r="G1451" s="16">
        <f>VLOOKUP(C1451,[1]master_data!$A$2:$E$495,4,FALSE)</f>
        <v>10000</v>
      </c>
      <c r="H1451" s="16">
        <f>E1451*F1451</f>
        <v>52500</v>
      </c>
      <c r="I1451" s="16">
        <f>E1451*G1451</f>
        <v>210000</v>
      </c>
      <c r="J1451" s="16">
        <f>I1451-H1451</f>
        <v>157500</v>
      </c>
      <c r="K1451" s="16" t="str">
        <f>VLOOKUP(C1451,[1]master_data!$A$2:$E$495,5,FALSE)</f>
        <v>Ikan</v>
      </c>
      <c r="L1451" s="1"/>
    </row>
    <row r="1452" spans="1:12" ht="12" customHeight="1" x14ac:dyDescent="0.25">
      <c r="A1452" s="15">
        <v>44273</v>
      </c>
      <c r="B1452" s="16" t="s">
        <v>758</v>
      </c>
      <c r="C1452" s="16" t="s">
        <v>111</v>
      </c>
      <c r="D1452" s="16" t="str">
        <f>VLOOKUP(C1452,[1]master_data!$A$2:$E$495,2,FALSE)</f>
        <v>LED YAMANO P1000</v>
      </c>
      <c r="E1452" s="16">
        <v>1</v>
      </c>
      <c r="F1452" s="16">
        <f>VLOOKUP(C1452,[1]master_data!$A$2:$E$495,3,FALSE)</f>
        <v>100000</v>
      </c>
      <c r="G1452" s="16">
        <f>VLOOKUP(C1452,[1]master_data!$A$2:$E$495,4,FALSE)</f>
        <v>130000</v>
      </c>
      <c r="H1452" s="16">
        <f>E1452*F1452</f>
        <v>100000</v>
      </c>
      <c r="I1452" s="16">
        <f>E1452*G1452</f>
        <v>130000</v>
      </c>
      <c r="J1452" s="16">
        <f>I1452-H1452</f>
        <v>30000</v>
      </c>
      <c r="K1452" s="16" t="str">
        <f>VLOOKUP(C1452,[1]master_data!$A$2:$E$495,5,FALSE)</f>
        <v>Aksesoris</v>
      </c>
      <c r="L1452" s="1"/>
    </row>
    <row r="1453" spans="1:12" ht="12" customHeight="1" x14ac:dyDescent="0.25">
      <c r="A1453" s="15">
        <v>44272</v>
      </c>
      <c r="B1453" s="16" t="s">
        <v>751</v>
      </c>
      <c r="C1453" s="16" t="s">
        <v>372</v>
      </c>
      <c r="D1453" s="16" t="str">
        <f>VLOOKUP(C1453,[1]master_data!$A$2:$E$495,2,FALSE)</f>
        <v>ZEBRA KUNING</v>
      </c>
      <c r="E1453" s="16">
        <v>15</v>
      </c>
      <c r="F1453" s="16">
        <f>VLOOKUP(C1453,[1]master_data!$A$2:$E$495,3,FALSE)</f>
        <v>800</v>
      </c>
      <c r="G1453" s="16">
        <f>VLOOKUP(C1453,[1]master_data!$A$2:$E$495,4,FALSE)</f>
        <v>2000</v>
      </c>
      <c r="H1453" s="16">
        <f>E1453*F1453</f>
        <v>12000</v>
      </c>
      <c r="I1453" s="16">
        <f>E1453*G1453</f>
        <v>30000</v>
      </c>
      <c r="J1453" s="16">
        <f>I1453-H1453</f>
        <v>18000</v>
      </c>
      <c r="K1453" s="16" t="str">
        <f>VLOOKUP(C1453,[1]master_data!$A$2:$E$495,5,FALSE)</f>
        <v>Ikan</v>
      </c>
      <c r="L1453" s="1"/>
    </row>
    <row r="1454" spans="1:12" ht="12" customHeight="1" x14ac:dyDescent="0.25">
      <c r="A1454" s="15">
        <v>44272</v>
      </c>
      <c r="B1454" s="16" t="s">
        <v>752</v>
      </c>
      <c r="C1454" s="16" t="s">
        <v>13</v>
      </c>
      <c r="D1454" s="16" t="str">
        <f>VLOOKUP(C1454,[1]master_data!$A$2:$E$495,2,FALSE)</f>
        <v>MESIN YANG 105</v>
      </c>
      <c r="E1454" s="16">
        <v>5</v>
      </c>
      <c r="F1454" s="16">
        <f>VLOOKUP(C1454,[1]master_data!$A$2:$E$495,3,FALSE)</f>
        <v>140000</v>
      </c>
      <c r="G1454" s="16">
        <f>VLOOKUP(C1454,[1]master_data!$A$2:$E$495,4,FALSE)</f>
        <v>190000</v>
      </c>
      <c r="H1454" s="16">
        <f>E1454*F1454</f>
        <v>700000</v>
      </c>
      <c r="I1454" s="16">
        <f>E1454*G1454</f>
        <v>950000</v>
      </c>
      <c r="J1454" s="16">
        <f>I1454-H1454</f>
        <v>250000</v>
      </c>
      <c r="K1454" s="16" t="str">
        <f>VLOOKUP(C1454,[1]master_data!$A$2:$E$495,5,FALSE)</f>
        <v>Aksesoris</v>
      </c>
      <c r="L1454" s="1"/>
    </row>
    <row r="1455" spans="1:12" ht="12" customHeight="1" x14ac:dyDescent="0.25">
      <c r="A1455" s="15">
        <v>44272</v>
      </c>
      <c r="B1455" s="16" t="s">
        <v>753</v>
      </c>
      <c r="C1455" s="16" t="s">
        <v>331</v>
      </c>
      <c r="D1455" s="16" t="str">
        <f>VLOOKUP(C1455,[1]master_data!$A$2:$E$495,2,FALSE)</f>
        <v>KOI B</v>
      </c>
      <c r="E1455" s="16">
        <v>4</v>
      </c>
      <c r="F1455" s="16">
        <f>VLOOKUP(C1455,[1]master_data!$A$2:$E$495,3,FALSE)</f>
        <v>9000</v>
      </c>
      <c r="G1455" s="16">
        <f>VLOOKUP(C1455,[1]master_data!$A$2:$E$495,4,FALSE)</f>
        <v>30000</v>
      </c>
      <c r="H1455" s="16">
        <f>E1455*F1455</f>
        <v>36000</v>
      </c>
      <c r="I1455" s="16">
        <f>E1455*G1455</f>
        <v>120000</v>
      </c>
      <c r="J1455" s="16">
        <f>I1455-H1455</f>
        <v>84000</v>
      </c>
      <c r="K1455" s="16" t="str">
        <f>VLOOKUP(C1455,[1]master_data!$A$2:$E$495,5,FALSE)</f>
        <v>Ikan</v>
      </c>
      <c r="L1455" s="1"/>
    </row>
    <row r="1456" spans="1:12" ht="12" customHeight="1" x14ac:dyDescent="0.25">
      <c r="A1456" s="15">
        <v>44272</v>
      </c>
      <c r="B1456" s="16" t="s">
        <v>754</v>
      </c>
      <c r="C1456" s="16" t="s">
        <v>358</v>
      </c>
      <c r="D1456" s="16" t="str">
        <f>VLOOKUP(C1456,[1]master_data!$A$2:$E$495,2,FALSE)</f>
        <v>REDFIN HITAM</v>
      </c>
      <c r="E1456" s="16">
        <v>6</v>
      </c>
      <c r="F1456" s="16">
        <f>VLOOKUP(C1456,[1]master_data!$A$2:$E$495,3,FALSE)</f>
        <v>1500</v>
      </c>
      <c r="G1456" s="16">
        <f>VLOOKUP(C1456,[1]master_data!$A$2:$E$495,4,FALSE)</f>
        <v>4000</v>
      </c>
      <c r="H1456" s="16">
        <f>E1456*F1456</f>
        <v>9000</v>
      </c>
      <c r="I1456" s="16">
        <f>E1456*G1456</f>
        <v>24000</v>
      </c>
      <c r="J1456" s="16">
        <f>I1456-H1456</f>
        <v>15000</v>
      </c>
      <c r="K1456" s="16" t="str">
        <f>VLOOKUP(C1456,[1]master_data!$A$2:$E$495,5,FALSE)</f>
        <v>Ikan</v>
      </c>
      <c r="L1456" s="1"/>
    </row>
    <row r="1457" spans="1:12" ht="12" customHeight="1" x14ac:dyDescent="0.25">
      <c r="A1457" s="15">
        <v>44272</v>
      </c>
      <c r="B1457" s="16" t="s">
        <v>755</v>
      </c>
      <c r="C1457" s="16" t="s">
        <v>41</v>
      </c>
      <c r="D1457" s="16" t="str">
        <f>VLOOKUP(C1457,[1]master_data!$A$2:$E$495,2,FALSE)</f>
        <v>MESIN YAMANO 2600</v>
      </c>
      <c r="E1457" s="16">
        <v>1</v>
      </c>
      <c r="F1457" s="16">
        <f>VLOOKUP(C1457,[1]master_data!$A$2:$E$495,3,FALSE)</f>
        <v>82500</v>
      </c>
      <c r="G1457" s="16">
        <f>VLOOKUP(C1457,[1]master_data!$A$2:$E$495,4,FALSE)</f>
        <v>115000</v>
      </c>
      <c r="H1457" s="16">
        <f>E1457*F1457</f>
        <v>82500</v>
      </c>
      <c r="I1457" s="16">
        <f>E1457*G1457</f>
        <v>115000</v>
      </c>
      <c r="J1457" s="16">
        <f>I1457-H1457</f>
        <v>32500</v>
      </c>
      <c r="K1457" s="16" t="str">
        <f>VLOOKUP(C1457,[1]master_data!$A$2:$E$495,5,FALSE)</f>
        <v>Aksesoris</v>
      </c>
      <c r="L1457" s="1"/>
    </row>
    <row r="1458" spans="1:12" ht="12" customHeight="1" x14ac:dyDescent="0.25">
      <c r="A1458" s="15">
        <v>44271</v>
      </c>
      <c r="B1458" s="16" t="s">
        <v>746</v>
      </c>
      <c r="C1458" s="16" t="s">
        <v>212</v>
      </c>
      <c r="D1458" s="16" t="str">
        <f>VLOOKUP(C1458,[1]master_data!$A$2:$E$495,2,FALSE)</f>
        <v>CORNER FILTER MULTI NAVIGATOR</v>
      </c>
      <c r="E1458" s="16">
        <v>10</v>
      </c>
      <c r="F1458" s="16">
        <f>VLOOKUP(C1458,[1]master_data!$A$2:$E$495,3,FALSE)</f>
        <v>21000</v>
      </c>
      <c r="G1458" s="16">
        <f>VLOOKUP(C1458,[1]master_data!$A$2:$E$495,4,FALSE)</f>
        <v>30000</v>
      </c>
      <c r="H1458" s="16">
        <f>E1458*F1458</f>
        <v>210000</v>
      </c>
      <c r="I1458" s="16">
        <f>E1458*G1458</f>
        <v>300000</v>
      </c>
      <c r="J1458" s="16">
        <f>I1458-H1458</f>
        <v>90000</v>
      </c>
      <c r="K1458" s="16" t="str">
        <f>VLOOKUP(C1458,[1]master_data!$A$2:$E$495,5,FALSE)</f>
        <v>Aksesoris</v>
      </c>
      <c r="L1458" s="1"/>
    </row>
    <row r="1459" spans="1:12" ht="12" customHeight="1" x14ac:dyDescent="0.25">
      <c r="A1459" s="15">
        <v>44271</v>
      </c>
      <c r="B1459" s="16" t="s">
        <v>747</v>
      </c>
      <c r="C1459" s="16" t="s">
        <v>86</v>
      </c>
      <c r="D1459" s="16" t="str">
        <f>VLOOKUP(C1459,[1]master_data!$A$2:$E$495,2,FALSE)</f>
        <v>AIRATOR ROSTON BATERAI  101</v>
      </c>
      <c r="E1459" s="16">
        <v>1</v>
      </c>
      <c r="F1459" s="16">
        <f>VLOOKUP(C1459,[1]master_data!$A$2:$E$495,3,FALSE)</f>
        <v>35000</v>
      </c>
      <c r="G1459" s="16">
        <f>VLOOKUP(C1459,[1]master_data!$A$2:$E$495,4,FALSE)</f>
        <v>50000</v>
      </c>
      <c r="H1459" s="16">
        <f>E1459*F1459</f>
        <v>35000</v>
      </c>
      <c r="I1459" s="16">
        <f>E1459*G1459</f>
        <v>50000</v>
      </c>
      <c r="J1459" s="16">
        <f>I1459-H1459</f>
        <v>15000</v>
      </c>
      <c r="K1459" s="16" t="str">
        <f>VLOOKUP(C1459,[1]master_data!$A$2:$E$495,5,FALSE)</f>
        <v>Aksesoris</v>
      </c>
      <c r="L1459" s="1"/>
    </row>
    <row r="1460" spans="1:12" ht="12" customHeight="1" x14ac:dyDescent="0.25">
      <c r="A1460" s="15">
        <v>44271</v>
      </c>
      <c r="B1460" s="16" t="s">
        <v>748</v>
      </c>
      <c r="C1460" s="16" t="s">
        <v>299</v>
      </c>
      <c r="D1460" s="16" t="str">
        <f>VLOOKUP(C1460,[1]master_data!$A$2:$E$495,2,FALSE)</f>
        <v>BATU ZELOID</v>
      </c>
      <c r="E1460" s="16">
        <v>3</v>
      </c>
      <c r="F1460" s="16">
        <f>VLOOKUP(C1460,[1]master_data!$A$2:$E$495,3,FALSE)</f>
        <v>25000</v>
      </c>
      <c r="G1460" s="16">
        <f>VLOOKUP(C1460,[1]master_data!$A$2:$E$495,4,FALSE)</f>
        <v>35000</v>
      </c>
      <c r="H1460" s="16">
        <f>E1460*F1460</f>
        <v>75000</v>
      </c>
      <c r="I1460" s="16">
        <f>E1460*G1460</f>
        <v>105000</v>
      </c>
      <c r="J1460" s="16">
        <f>I1460-H1460</f>
        <v>30000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44271</v>
      </c>
      <c r="B1461" s="16" t="s">
        <v>749</v>
      </c>
      <c r="C1461" s="16" t="s">
        <v>353</v>
      </c>
      <c r="D1461" s="16" t="str">
        <f>VLOOKUP(C1461,[1]master_data!$A$2:$E$495,2,FALSE)</f>
        <v>PEMBERSIH KACA BIASA</v>
      </c>
      <c r="E1461" s="16">
        <v>9</v>
      </c>
      <c r="F1461" s="16">
        <f>VLOOKUP(C1461,[1]master_data!$A$2:$E$495,3,FALSE)</f>
        <v>2000</v>
      </c>
      <c r="G1461" s="16">
        <f>VLOOKUP(C1461,[1]master_data!$A$2:$E$495,4,FALSE)</f>
        <v>5000</v>
      </c>
      <c r="H1461" s="16">
        <f>E1461*F1461</f>
        <v>18000</v>
      </c>
      <c r="I1461" s="16">
        <f>E1461*G1461</f>
        <v>45000</v>
      </c>
      <c r="J1461" s="16">
        <f>I1461-H1461</f>
        <v>27000</v>
      </c>
      <c r="K1461" s="16" t="str">
        <f>VLOOKUP(C1461,[1]master_data!$A$2:$E$495,5,FALSE)</f>
        <v>Ikan</v>
      </c>
      <c r="L1461" s="1"/>
    </row>
    <row r="1462" spans="1:12" ht="12" customHeight="1" x14ac:dyDescent="0.25">
      <c r="A1462" s="15">
        <v>44271</v>
      </c>
      <c r="B1462" s="16" t="s">
        <v>750</v>
      </c>
      <c r="C1462" s="16" t="s">
        <v>331</v>
      </c>
      <c r="D1462" s="16" t="str">
        <f>VLOOKUP(C1462,[1]master_data!$A$2:$E$495,2,FALSE)</f>
        <v>KOI B</v>
      </c>
      <c r="E1462" s="16">
        <v>1</v>
      </c>
      <c r="F1462" s="16">
        <f>VLOOKUP(C1462,[1]master_data!$A$2:$E$495,3,FALSE)</f>
        <v>9000</v>
      </c>
      <c r="G1462" s="16">
        <f>VLOOKUP(C1462,[1]master_data!$A$2:$E$495,4,FALSE)</f>
        <v>30000</v>
      </c>
      <c r="H1462" s="16">
        <f>E1462*F1462</f>
        <v>9000</v>
      </c>
      <c r="I1462" s="16">
        <f>E1462*G1462</f>
        <v>30000</v>
      </c>
      <c r="J1462" s="16">
        <f>I1462-H1462</f>
        <v>21000</v>
      </c>
      <c r="K1462" s="16" t="str">
        <f>VLOOKUP(C1462,[1]master_data!$A$2:$E$495,5,FALSE)</f>
        <v>Ikan</v>
      </c>
      <c r="L1462" s="1"/>
    </row>
    <row r="1463" spans="1:12" ht="12" customHeight="1" x14ac:dyDescent="0.25">
      <c r="A1463" s="15">
        <v>44270</v>
      </c>
      <c r="B1463" s="16" t="s">
        <v>744</v>
      </c>
      <c r="C1463" s="16" t="s">
        <v>299</v>
      </c>
      <c r="D1463" s="16" t="str">
        <f>VLOOKUP(C1463,[1]master_data!$A$2:$E$495,2,FALSE)</f>
        <v>BATU ZELOID</v>
      </c>
      <c r="E1463" s="16">
        <v>3</v>
      </c>
      <c r="F1463" s="16">
        <f>VLOOKUP(C1463,[1]master_data!$A$2:$E$495,3,FALSE)</f>
        <v>25000</v>
      </c>
      <c r="G1463" s="16">
        <f>VLOOKUP(C1463,[1]master_data!$A$2:$E$495,4,FALSE)</f>
        <v>35000</v>
      </c>
      <c r="H1463" s="16">
        <f>E1463*F1463</f>
        <v>75000</v>
      </c>
      <c r="I1463" s="16">
        <f>E1463*G1463</f>
        <v>105000</v>
      </c>
      <c r="J1463" s="16">
        <f>I1463-H1463</f>
        <v>30000</v>
      </c>
      <c r="K1463" s="16" t="str">
        <f>VLOOKUP(C1463,[1]master_data!$A$2:$E$495,5,FALSE)</f>
        <v>Aksesoris</v>
      </c>
      <c r="L1463" s="1"/>
    </row>
    <row r="1464" spans="1:12" ht="12" customHeight="1" x14ac:dyDescent="0.25">
      <c r="A1464" s="15">
        <v>44270</v>
      </c>
      <c r="B1464" s="16" t="s">
        <v>745</v>
      </c>
      <c r="C1464" s="16" t="s">
        <v>317</v>
      </c>
      <c r="D1464" s="16" t="str">
        <f>VLOOKUP(C1464,[1]master_data!$A$2:$E$495,2,FALSE)</f>
        <v>CHANNA BLUE PULCHRA B</v>
      </c>
      <c r="E1464" s="16">
        <v>2</v>
      </c>
      <c r="F1464" s="16">
        <f>VLOOKUP(C1464,[1]master_data!$A$2:$E$495,3,FALSE)</f>
        <v>125000</v>
      </c>
      <c r="G1464" s="16">
        <f>VLOOKUP(C1464,[1]master_data!$A$2:$E$495,4,FALSE)</f>
        <v>200000</v>
      </c>
      <c r="H1464" s="16">
        <f>E1464*F1464</f>
        <v>250000</v>
      </c>
      <c r="I1464" s="16">
        <f>E1464*G1464</f>
        <v>400000</v>
      </c>
      <c r="J1464" s="16">
        <f>I1464-H1464</f>
        <v>150000</v>
      </c>
      <c r="K1464" s="16" t="str">
        <f>VLOOKUP(C1464,[1]master_data!$A$2:$E$495,5,FALSE)</f>
        <v>Ikan</v>
      </c>
      <c r="L1464" s="1"/>
    </row>
    <row r="1465" spans="1:12" ht="12" customHeight="1" x14ac:dyDescent="0.25">
      <c r="A1465" s="15">
        <v>44269</v>
      </c>
      <c r="B1465" s="16" t="s">
        <v>738</v>
      </c>
      <c r="C1465" s="16" t="s">
        <v>319</v>
      </c>
      <c r="D1465" s="16" t="str">
        <f>VLOOKUP(C1465,[1]master_data!$A$2:$E$495,2,FALSE)</f>
        <v>BARBIR</v>
      </c>
      <c r="E1465" s="16">
        <v>1</v>
      </c>
      <c r="F1465" s="16">
        <f>VLOOKUP(C1465,[1]master_data!$A$2:$E$495,3,FALSE)</f>
        <v>800</v>
      </c>
      <c r="G1465" s="16">
        <f>VLOOKUP(C1465,[1]master_data!$A$2:$E$495,4,FALSE)</f>
        <v>2000</v>
      </c>
      <c r="H1465" s="16">
        <f>E1465*F1465</f>
        <v>800</v>
      </c>
      <c r="I1465" s="16">
        <f>E1465*G1465</f>
        <v>2000</v>
      </c>
      <c r="J1465" s="16">
        <f>I1465-H1465</f>
        <v>1200</v>
      </c>
      <c r="K1465" s="16" t="str">
        <f>VLOOKUP(C1465,[1]master_data!$A$2:$E$495,5,FALSE)</f>
        <v>Ikan</v>
      </c>
      <c r="L1465" s="1"/>
    </row>
    <row r="1466" spans="1:12" ht="12" customHeight="1" x14ac:dyDescent="0.25">
      <c r="A1466" s="15">
        <v>44269</v>
      </c>
      <c r="B1466" s="16" t="s">
        <v>739</v>
      </c>
      <c r="C1466" s="16" t="s">
        <v>78</v>
      </c>
      <c r="D1466" s="16" t="str">
        <f>VLOOKUP(C1466,[1]master_data!$A$2:$E$495,2,FALSE)</f>
        <v>MESIN KANDILA MAGURA 1200</v>
      </c>
      <c r="E1466" s="16">
        <v>5</v>
      </c>
      <c r="F1466" s="16">
        <f>VLOOKUP(C1466,[1]master_data!$A$2:$E$495,3,FALSE)</f>
        <v>52500</v>
      </c>
      <c r="G1466" s="16">
        <f>VLOOKUP(C1466,[1]master_data!$A$2:$E$495,4,FALSE)</f>
        <v>75000</v>
      </c>
      <c r="H1466" s="16">
        <f>E1466*F1466</f>
        <v>262500</v>
      </c>
      <c r="I1466" s="16">
        <f>E1466*G1466</f>
        <v>375000</v>
      </c>
      <c r="J1466" s="16">
        <f>I1466-H1466</f>
        <v>112500</v>
      </c>
      <c r="K1466" s="16" t="str">
        <f>VLOOKUP(C1466,[1]master_data!$A$2:$E$495,5,FALSE)</f>
        <v>Aksesoris</v>
      </c>
      <c r="L1466" s="1"/>
    </row>
    <row r="1467" spans="1:12" ht="12" customHeight="1" x14ac:dyDescent="0.25">
      <c r="A1467" s="15">
        <v>44269</v>
      </c>
      <c r="B1467" s="16" t="s">
        <v>740</v>
      </c>
      <c r="C1467" s="16" t="s">
        <v>112</v>
      </c>
      <c r="D1467" s="16" t="str">
        <f>VLOOKUP(C1467,[1]master_data!$A$2:$E$495,2,FALSE)</f>
        <v>LED NIKITA NS 300</v>
      </c>
      <c r="E1467" s="16">
        <v>3</v>
      </c>
      <c r="F1467" s="16">
        <f>VLOOKUP(C1467,[1]master_data!$A$2:$E$495,3,FALSE)</f>
        <v>36000</v>
      </c>
      <c r="G1467" s="16">
        <f>VLOOKUP(C1467,[1]master_data!$A$2:$E$495,4,FALSE)</f>
        <v>55000</v>
      </c>
      <c r="H1467" s="16">
        <f>E1467*F1467</f>
        <v>108000</v>
      </c>
      <c r="I1467" s="16">
        <f>E1467*G1467</f>
        <v>165000</v>
      </c>
      <c r="J1467" s="16">
        <f>I1467-H1467</f>
        <v>57000</v>
      </c>
      <c r="K1467" s="16" t="str">
        <f>VLOOKUP(C1467,[1]master_data!$A$2:$E$495,5,FALSE)</f>
        <v>Aksesoris</v>
      </c>
      <c r="L1467" s="1"/>
    </row>
    <row r="1468" spans="1:12" ht="12" customHeight="1" x14ac:dyDescent="0.25">
      <c r="A1468" s="15">
        <v>44269</v>
      </c>
      <c r="B1468" s="16" t="s">
        <v>741</v>
      </c>
      <c r="C1468" s="16" t="s">
        <v>314</v>
      </c>
      <c r="D1468" s="16" t="str">
        <f>VLOOKUP(C1468,[1]master_data!$A$2:$E$495,2,FALSE)</f>
        <v>BALA BALA B</v>
      </c>
      <c r="E1468" s="16">
        <v>1</v>
      </c>
      <c r="F1468" s="16">
        <f>VLOOKUP(C1468,[1]master_data!$A$2:$E$495,3,FALSE)</f>
        <v>7000</v>
      </c>
      <c r="G1468" s="16">
        <f>VLOOKUP(C1468,[1]master_data!$A$2:$E$495,4,FALSE)</f>
        <v>15000</v>
      </c>
      <c r="H1468" s="16">
        <f>E1468*F1468</f>
        <v>7000</v>
      </c>
      <c r="I1468" s="16">
        <f>E1468*G1468</f>
        <v>15000</v>
      </c>
      <c r="J1468" s="16">
        <f>I1468-H1468</f>
        <v>8000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44269</v>
      </c>
      <c r="B1469" s="16" t="s">
        <v>742</v>
      </c>
      <c r="C1469" s="16" t="s">
        <v>363</v>
      </c>
      <c r="D1469" s="16" t="str">
        <f>VLOOKUP(C1469,[1]master_data!$A$2:$E$495,2,FALSE)</f>
        <v>SUMATRA GOLD FISH</v>
      </c>
      <c r="E1469" s="16">
        <v>2</v>
      </c>
      <c r="F1469" s="16">
        <f>VLOOKUP(C1469,[1]master_data!$A$2:$E$495,3,FALSE)</f>
        <v>2500</v>
      </c>
      <c r="G1469" s="16">
        <f>VLOOKUP(C1469,[1]master_data!$A$2:$E$495,4,FALSE)</f>
        <v>4000</v>
      </c>
      <c r="H1469" s="16">
        <f>E1469*F1469</f>
        <v>5000</v>
      </c>
      <c r="I1469" s="16">
        <f>E1469*G1469</f>
        <v>8000</v>
      </c>
      <c r="J1469" s="16">
        <f>I1469-H1469</f>
        <v>3000</v>
      </c>
      <c r="K1469" s="16" t="str">
        <f>VLOOKUP(C1469,[1]master_data!$A$2:$E$495,5,FALSE)</f>
        <v>Ikan</v>
      </c>
      <c r="L1469" s="1"/>
    </row>
    <row r="1470" spans="1:12" ht="12" customHeight="1" x14ac:dyDescent="0.25">
      <c r="A1470" s="15">
        <v>44269</v>
      </c>
      <c r="B1470" s="16" t="s">
        <v>743</v>
      </c>
      <c r="C1470" s="16" t="s">
        <v>363</v>
      </c>
      <c r="D1470" s="16" t="str">
        <f>VLOOKUP(C1470,[1]master_data!$A$2:$E$495,2,FALSE)</f>
        <v>SUMATRA GOLD FISH</v>
      </c>
      <c r="E1470" s="16">
        <v>2</v>
      </c>
      <c r="F1470" s="16">
        <f>VLOOKUP(C1470,[1]master_data!$A$2:$E$495,3,FALSE)</f>
        <v>2500</v>
      </c>
      <c r="G1470" s="16">
        <f>VLOOKUP(C1470,[1]master_data!$A$2:$E$495,4,FALSE)</f>
        <v>4000</v>
      </c>
      <c r="H1470" s="16">
        <f>E1470*F1470</f>
        <v>5000</v>
      </c>
      <c r="I1470" s="16">
        <f>E1470*G1470</f>
        <v>8000</v>
      </c>
      <c r="J1470" s="16">
        <f>I1470-H1470</f>
        <v>3000</v>
      </c>
      <c r="K1470" s="16" t="str">
        <f>VLOOKUP(C1470,[1]master_data!$A$2:$E$495,5,FALSE)</f>
        <v>Ikan</v>
      </c>
      <c r="L1470" s="1"/>
    </row>
    <row r="1471" spans="1:12" ht="12" customHeight="1" x14ac:dyDescent="0.25">
      <c r="A1471" s="15">
        <v>44268</v>
      </c>
      <c r="B1471" s="16" t="s">
        <v>735</v>
      </c>
      <c r="C1471" s="16" t="s">
        <v>336</v>
      </c>
      <c r="D1471" s="16" t="str">
        <f>VLOOKUP(C1471,[1]master_data!$A$2:$E$495,2,FALSE)</f>
        <v>KOI SLAYER K</v>
      </c>
      <c r="E1471" s="16">
        <v>26</v>
      </c>
      <c r="F1471" s="16">
        <f>VLOOKUP(C1471,[1]master_data!$A$2:$E$495,3,FALSE)</f>
        <v>3500</v>
      </c>
      <c r="G1471" s="16">
        <f>VLOOKUP(C1471,[1]master_data!$A$2:$E$495,4,FALSE)</f>
        <v>10000</v>
      </c>
      <c r="H1471" s="16">
        <f>E1471*F1471</f>
        <v>91000</v>
      </c>
      <c r="I1471" s="16">
        <f>E1471*G1471</f>
        <v>260000</v>
      </c>
      <c r="J1471" s="16">
        <f>I1471-H1471</f>
        <v>169000</v>
      </c>
      <c r="K1471" s="16" t="str">
        <f>VLOOKUP(C1471,[1]master_data!$A$2:$E$495,5,FALSE)</f>
        <v>Ikan</v>
      </c>
      <c r="L1471" s="1"/>
    </row>
    <row r="1472" spans="1:12" ht="12" customHeight="1" x14ac:dyDescent="0.25">
      <c r="A1472" s="15">
        <v>44268</v>
      </c>
      <c r="B1472" s="16" t="s">
        <v>736</v>
      </c>
      <c r="C1472" s="16" t="s">
        <v>319</v>
      </c>
      <c r="D1472" s="16" t="str">
        <f>VLOOKUP(C1472,[1]master_data!$A$2:$E$495,2,FALSE)</f>
        <v>BARBIR</v>
      </c>
      <c r="E1472" s="16">
        <v>1</v>
      </c>
      <c r="F1472" s="16">
        <f>VLOOKUP(C1472,[1]master_data!$A$2:$E$495,3,FALSE)</f>
        <v>800</v>
      </c>
      <c r="G1472" s="16">
        <f>VLOOKUP(C1472,[1]master_data!$A$2:$E$495,4,FALSE)</f>
        <v>2000</v>
      </c>
      <c r="H1472" s="16">
        <f>E1472*F1472</f>
        <v>800</v>
      </c>
      <c r="I1472" s="16">
        <f>E1472*G1472</f>
        <v>2000</v>
      </c>
      <c r="J1472" s="16">
        <f>I1472-H1472</f>
        <v>1200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44268</v>
      </c>
      <c r="B1473" s="16" t="s">
        <v>737</v>
      </c>
      <c r="C1473" s="16" t="s">
        <v>17</v>
      </c>
      <c r="D1473" s="16" t="str">
        <f>VLOOKUP(C1473,[1]master_data!$A$2:$E$495,2,FALSE)</f>
        <v>HANG ON YANG 502</v>
      </c>
      <c r="E1473" s="16">
        <v>2</v>
      </c>
      <c r="F1473" s="16">
        <f>VLOOKUP(C1473,[1]master_data!$A$2:$E$495,3,FALSE)</f>
        <v>71000</v>
      </c>
      <c r="G1473" s="16">
        <f>VLOOKUP(C1473,[1]master_data!$A$2:$E$495,4,FALSE)</f>
        <v>95000</v>
      </c>
      <c r="H1473" s="16">
        <f>E1473*F1473</f>
        <v>142000</v>
      </c>
      <c r="I1473" s="16">
        <f>E1473*G1473</f>
        <v>190000</v>
      </c>
      <c r="J1473" s="16">
        <f>I1473-H1473</f>
        <v>48000</v>
      </c>
      <c r="K1473" s="16" t="str">
        <f>VLOOKUP(C1473,[1]master_data!$A$2:$E$495,5,FALSE)</f>
        <v>Aksesoris</v>
      </c>
      <c r="L1473" s="1"/>
    </row>
    <row r="1474" spans="1:12" ht="12" customHeight="1" x14ac:dyDescent="0.25">
      <c r="A1474" s="15">
        <v>44267</v>
      </c>
      <c r="B1474" s="16" t="s">
        <v>732</v>
      </c>
      <c r="C1474" s="16" t="s">
        <v>172</v>
      </c>
      <c r="D1474" s="16" t="str">
        <f>VLOOKUP(C1474,[1]master_data!$A$2:$E$495,2,FALSE)</f>
        <v>MEM PRIME 10 GR</v>
      </c>
      <c r="E1474" s="16">
        <v>15</v>
      </c>
      <c r="F1474" s="16">
        <f>VLOOKUP(C1474,[1]master_data!$A$2:$E$495,3,FALSE)</f>
        <v>5000</v>
      </c>
      <c r="G1474" s="16">
        <f>VLOOKUP(C1474,[1]master_data!$A$2:$E$495,4,FALSE)</f>
        <v>10000</v>
      </c>
      <c r="H1474" s="16">
        <f>E1474*F1474</f>
        <v>75000</v>
      </c>
      <c r="I1474" s="16">
        <f>E1474*G1474</f>
        <v>150000</v>
      </c>
      <c r="J1474" s="16">
        <f>I1474-H1474</f>
        <v>75000</v>
      </c>
      <c r="K1474" s="16" t="str">
        <f>VLOOKUP(C1474,[1]master_data!$A$2:$E$495,5,FALSE)</f>
        <v>Aksesoris</v>
      </c>
      <c r="L1474" s="1"/>
    </row>
    <row r="1475" spans="1:12" ht="12" customHeight="1" x14ac:dyDescent="0.25">
      <c r="A1475" s="15">
        <v>44267</v>
      </c>
      <c r="B1475" s="16" t="s">
        <v>733</v>
      </c>
      <c r="C1475" s="16" t="s">
        <v>157</v>
      </c>
      <c r="D1475" s="16" t="str">
        <f>VLOOKUP(C1475,[1]master_data!$A$2:$E$495,2,FALSE)</f>
        <v>LED KANDILA DnN ECO 50 CM</v>
      </c>
      <c r="E1475" s="16">
        <v>1</v>
      </c>
      <c r="F1475" s="16">
        <f>VLOOKUP(C1475,[1]master_data!$A$2:$E$495,3,FALSE)</f>
        <v>56000</v>
      </c>
      <c r="G1475" s="16">
        <f>VLOOKUP(C1475,[1]master_data!$A$2:$E$495,4,FALSE)</f>
        <v>85000</v>
      </c>
      <c r="H1475" s="16">
        <f>E1475*F1475</f>
        <v>56000</v>
      </c>
      <c r="I1475" s="16">
        <f>E1475*G1475</f>
        <v>85000</v>
      </c>
      <c r="J1475" s="16">
        <f>I1475-H1475</f>
        <v>29000</v>
      </c>
      <c r="K1475" s="16" t="str">
        <f>VLOOKUP(C1475,[1]master_data!$A$2:$E$495,5,FALSE)</f>
        <v>Aksesoris</v>
      </c>
      <c r="L1475" s="1"/>
    </row>
    <row r="1476" spans="1:12" ht="12" customHeight="1" x14ac:dyDescent="0.25">
      <c r="A1476" s="15">
        <v>44267</v>
      </c>
      <c r="B1476" s="16" t="s">
        <v>734</v>
      </c>
      <c r="C1476" s="16" t="s">
        <v>339</v>
      </c>
      <c r="D1476" s="16" t="str">
        <f>VLOOKUP(C1476,[1]master_data!$A$2:$E$495,2,FALSE)</f>
        <v>DISCUS</v>
      </c>
      <c r="E1476" s="16">
        <v>2</v>
      </c>
      <c r="F1476" s="16">
        <f>VLOOKUP(C1476,[1]master_data!$A$2:$E$495,3,FALSE)</f>
        <v>50000</v>
      </c>
      <c r="G1476" s="16">
        <f>VLOOKUP(C1476,[1]master_data!$A$2:$E$495,4,FALSE)</f>
        <v>150000</v>
      </c>
      <c r="H1476" s="16">
        <f>E1476*F1476</f>
        <v>100000</v>
      </c>
      <c r="I1476" s="16">
        <f>E1476*G1476</f>
        <v>300000</v>
      </c>
      <c r="J1476" s="16">
        <f>I1476-H1476</f>
        <v>200000</v>
      </c>
      <c r="K1476" s="16" t="str">
        <f>VLOOKUP(C1476,[1]master_data!$A$2:$E$495,5,FALSE)</f>
        <v>Ikan</v>
      </c>
      <c r="L1476" s="1"/>
    </row>
    <row r="1477" spans="1:12" ht="12" customHeight="1" x14ac:dyDescent="0.25">
      <c r="A1477" s="15">
        <v>44266</v>
      </c>
      <c r="B1477" s="16" t="s">
        <v>729</v>
      </c>
      <c r="C1477" s="16" t="s">
        <v>303</v>
      </c>
      <c r="D1477" s="16" t="str">
        <f>VLOOKUP(C1477,[1]master_data!$A$2:$E$495,2,FALSE)</f>
        <v>CHANNA ASIATICA K</v>
      </c>
      <c r="E1477" s="16">
        <v>2</v>
      </c>
      <c r="F1477" s="16">
        <f>VLOOKUP(C1477,[1]master_data!$A$2:$E$495,3,FALSE)</f>
        <v>10000</v>
      </c>
      <c r="G1477" s="16">
        <f>VLOOKUP(C1477,[1]master_data!$A$2:$E$495,4,FALSE)</f>
        <v>40000</v>
      </c>
      <c r="H1477" s="16">
        <f>E1477*F1477</f>
        <v>20000</v>
      </c>
      <c r="I1477" s="16">
        <f>E1477*G1477</f>
        <v>80000</v>
      </c>
      <c r="J1477" s="16">
        <f>I1477-H1477</f>
        <v>60000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44266</v>
      </c>
      <c r="B1478" s="16" t="s">
        <v>730</v>
      </c>
      <c r="C1478" s="16" t="s">
        <v>316</v>
      </c>
      <c r="D1478" s="16" t="str">
        <f>VLOOKUP(C1478,[1]master_data!$A$2:$E$495,2,FALSE)</f>
        <v>CHANNA BLUE PULCHRA K</v>
      </c>
      <c r="E1478" s="16">
        <v>4</v>
      </c>
      <c r="F1478" s="16">
        <f>VLOOKUP(C1478,[1]master_data!$A$2:$E$495,3,FALSE)</f>
        <v>25000</v>
      </c>
      <c r="G1478" s="16">
        <f>VLOOKUP(C1478,[1]master_data!$A$2:$E$495,4,FALSE)</f>
        <v>50000</v>
      </c>
      <c r="H1478" s="16">
        <f>E1478*F1478</f>
        <v>100000</v>
      </c>
      <c r="I1478" s="16">
        <f>E1478*G1478</f>
        <v>200000</v>
      </c>
      <c r="J1478" s="16">
        <f>I1478-H1478</f>
        <v>100000</v>
      </c>
      <c r="K1478" s="16" t="str">
        <f>VLOOKUP(C1478,[1]master_data!$A$2:$E$495,5,FALSE)</f>
        <v>Ikan</v>
      </c>
      <c r="L1478" s="1"/>
    </row>
    <row r="1479" spans="1:12" ht="12" customHeight="1" x14ac:dyDescent="0.25">
      <c r="A1479" s="15">
        <v>44266</v>
      </c>
      <c r="B1479" s="16" t="s">
        <v>731</v>
      </c>
      <c r="C1479" s="16" t="s">
        <v>172</v>
      </c>
      <c r="D1479" s="16" t="str">
        <f>VLOOKUP(C1479,[1]master_data!$A$2:$E$495,2,FALSE)</f>
        <v>MEM PRIME 10 GR</v>
      </c>
      <c r="E1479" s="16">
        <v>1</v>
      </c>
      <c r="F1479" s="16">
        <f>VLOOKUP(C1479,[1]master_data!$A$2:$E$495,3,FALSE)</f>
        <v>5000</v>
      </c>
      <c r="G1479" s="16">
        <f>VLOOKUP(C1479,[1]master_data!$A$2:$E$495,4,FALSE)</f>
        <v>10000</v>
      </c>
      <c r="H1479" s="16">
        <f>E1479*F1479</f>
        <v>5000</v>
      </c>
      <c r="I1479" s="16">
        <f>E1479*G1479</f>
        <v>10000</v>
      </c>
      <c r="J1479" s="16">
        <f>I1479-H1479</f>
        <v>5000</v>
      </c>
      <c r="K1479" s="16" t="str">
        <f>VLOOKUP(C1479,[1]master_data!$A$2:$E$495,5,FALSE)</f>
        <v>Aksesoris</v>
      </c>
      <c r="L1479" s="1"/>
    </row>
    <row r="1480" spans="1:12" ht="12" customHeight="1" x14ac:dyDescent="0.25">
      <c r="A1480" s="15">
        <v>44265</v>
      </c>
      <c r="B1480" s="16" t="s">
        <v>724</v>
      </c>
      <c r="C1480" s="16" t="s">
        <v>235</v>
      </c>
      <c r="D1480" s="16" t="str">
        <f>VLOOKUP(C1480,[1]master_data!$A$2:$E$495,2,FALSE)</f>
        <v>MAGNET M</v>
      </c>
      <c r="E1480" s="16">
        <v>2</v>
      </c>
      <c r="F1480" s="16">
        <f>VLOOKUP(C1480,[1]master_data!$A$2:$E$495,3,FALSE)</f>
        <v>36000</v>
      </c>
      <c r="G1480" s="16">
        <f>VLOOKUP(C1480,[1]master_data!$A$2:$E$495,4,FALSE)</f>
        <v>50000</v>
      </c>
      <c r="H1480" s="16">
        <f>E1480*F1480</f>
        <v>72000</v>
      </c>
      <c r="I1480" s="16">
        <f>E1480*G1480</f>
        <v>100000</v>
      </c>
      <c r="J1480" s="16">
        <f>I1480-H1480</f>
        <v>28000</v>
      </c>
      <c r="K1480" s="16" t="str">
        <f>VLOOKUP(C1480,[1]master_data!$A$2:$E$495,5,FALSE)</f>
        <v>Aksesoris</v>
      </c>
      <c r="L1480" s="1"/>
    </row>
    <row r="1481" spans="1:12" ht="12" customHeight="1" x14ac:dyDescent="0.25">
      <c r="A1481" s="15">
        <v>44265</v>
      </c>
      <c r="B1481" s="16" t="s">
        <v>725</v>
      </c>
      <c r="C1481" s="16" t="s">
        <v>319</v>
      </c>
      <c r="D1481" s="16" t="str">
        <f>VLOOKUP(C1481,[1]master_data!$A$2:$E$495,2,FALSE)</f>
        <v>BARBIR</v>
      </c>
      <c r="E1481" s="16">
        <v>15</v>
      </c>
      <c r="F1481" s="16">
        <f>VLOOKUP(C1481,[1]master_data!$A$2:$E$495,3,FALSE)</f>
        <v>800</v>
      </c>
      <c r="G1481" s="16">
        <f>VLOOKUP(C1481,[1]master_data!$A$2:$E$495,4,FALSE)</f>
        <v>2000</v>
      </c>
      <c r="H1481" s="16">
        <f>E1481*F1481</f>
        <v>12000</v>
      </c>
      <c r="I1481" s="16">
        <f>E1481*G1481</f>
        <v>30000</v>
      </c>
      <c r="J1481" s="16">
        <f>I1481-H1481</f>
        <v>18000</v>
      </c>
      <c r="K1481" s="16" t="str">
        <f>VLOOKUP(C1481,[1]master_data!$A$2:$E$495,5,FALSE)</f>
        <v>Ikan</v>
      </c>
      <c r="L1481" s="1"/>
    </row>
    <row r="1482" spans="1:12" ht="12" customHeight="1" x14ac:dyDescent="0.25">
      <c r="A1482" s="15">
        <v>44265</v>
      </c>
      <c r="B1482" s="16" t="s">
        <v>726</v>
      </c>
      <c r="C1482" s="16" t="s">
        <v>221</v>
      </c>
      <c r="D1482" s="16" t="str">
        <f>VLOOKUP(C1482,[1]master_data!$A$2:$E$495,2,FALSE)</f>
        <v>JARING 12</v>
      </c>
      <c r="E1482" s="16">
        <v>15</v>
      </c>
      <c r="F1482" s="16">
        <f>VLOOKUP(C1482,[1]master_data!$A$2:$E$495,3,FALSE)</f>
        <v>4000</v>
      </c>
      <c r="G1482" s="16">
        <f>VLOOKUP(C1482,[1]master_data!$A$2:$E$495,4,FALSE)</f>
        <v>7000</v>
      </c>
      <c r="H1482" s="16">
        <f>E1482*F1482</f>
        <v>60000</v>
      </c>
      <c r="I1482" s="16">
        <f>E1482*G1482</f>
        <v>105000</v>
      </c>
      <c r="J1482" s="16">
        <f>I1482-H1482</f>
        <v>45000</v>
      </c>
      <c r="K1482" s="16" t="str">
        <f>VLOOKUP(C1482,[1]master_data!$A$2:$E$495,5,FALSE)</f>
        <v>Aksesoris</v>
      </c>
      <c r="L1482" s="1"/>
    </row>
    <row r="1483" spans="1:12" ht="12" customHeight="1" x14ac:dyDescent="0.25">
      <c r="A1483" s="15">
        <v>44265</v>
      </c>
      <c r="B1483" s="16" t="s">
        <v>727</v>
      </c>
      <c r="C1483" s="16" t="s">
        <v>107</v>
      </c>
      <c r="D1483" s="16" t="str">
        <f>VLOOKUP(C1483,[1]master_data!$A$2:$E$495,2,FALSE)</f>
        <v>LED YAMANO 3W</v>
      </c>
      <c r="E1483" s="16">
        <v>3</v>
      </c>
      <c r="F1483" s="16">
        <f>VLOOKUP(C1483,[1]master_data!$A$2:$E$495,3,FALSE)</f>
        <v>37000</v>
      </c>
      <c r="G1483" s="16">
        <f>VLOOKUP(C1483,[1]master_data!$A$2:$E$495,4,FALSE)</f>
        <v>60000</v>
      </c>
      <c r="H1483" s="16">
        <f>E1483*F1483</f>
        <v>111000</v>
      </c>
      <c r="I1483" s="16">
        <f>E1483*G1483</f>
        <v>180000</v>
      </c>
      <c r="J1483" s="16">
        <f>I1483-H1483</f>
        <v>69000</v>
      </c>
      <c r="K1483" s="16" t="str">
        <f>VLOOKUP(C1483,[1]master_data!$A$2:$E$495,5,FALSE)</f>
        <v>Aksesoris</v>
      </c>
      <c r="L1483" s="1"/>
    </row>
    <row r="1484" spans="1:12" ht="12" customHeight="1" x14ac:dyDescent="0.25">
      <c r="A1484" s="15">
        <v>44265</v>
      </c>
      <c r="B1484" s="16" t="s">
        <v>728</v>
      </c>
      <c r="C1484" s="16" t="s">
        <v>192</v>
      </c>
      <c r="D1484" s="16" t="str">
        <f>VLOOKUP(C1484,[1]master_data!$A$2:$E$495,2,FALSE)</f>
        <v>PAKAN GOLD FISH HITAM</v>
      </c>
      <c r="E1484" s="16">
        <v>2</v>
      </c>
      <c r="F1484" s="16">
        <f>VLOOKUP(C1484,[1]master_data!$A$2:$E$495,3,FALSE)</f>
        <v>7000</v>
      </c>
      <c r="G1484" s="16">
        <f>VLOOKUP(C1484,[1]master_data!$A$2:$E$495,4,FALSE)</f>
        <v>12000</v>
      </c>
      <c r="H1484" s="16">
        <f>E1484*F1484</f>
        <v>14000</v>
      </c>
      <c r="I1484" s="16">
        <f>E1484*G1484</f>
        <v>24000</v>
      </c>
      <c r="J1484" s="16">
        <f>I1484-H1484</f>
        <v>10000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44264</v>
      </c>
      <c r="B1485" s="16" t="s">
        <v>721</v>
      </c>
      <c r="C1485" s="16" t="s">
        <v>197</v>
      </c>
      <c r="D1485" s="16" t="str">
        <f>VLOOKUP(C1485,[1]master_data!$A$2:$E$495,2,FALSE)</f>
        <v>AIRSTONE BAKSO B</v>
      </c>
      <c r="E1485" s="16">
        <v>5</v>
      </c>
      <c r="F1485" s="16">
        <f>VLOOKUP(C1485,[1]master_data!$A$2:$E$495,3,FALSE)</f>
        <v>7700</v>
      </c>
      <c r="G1485" s="16">
        <f>VLOOKUP(C1485,[1]master_data!$A$2:$E$495,4,FALSE)</f>
        <v>10000</v>
      </c>
      <c r="H1485" s="16">
        <f>E1485*F1485</f>
        <v>38500</v>
      </c>
      <c r="I1485" s="16">
        <f>E1485*G1485</f>
        <v>50000</v>
      </c>
      <c r="J1485" s="16">
        <f>I1485-H1485</f>
        <v>11500</v>
      </c>
      <c r="K1485" s="16" t="str">
        <f>VLOOKUP(C1485,[1]master_data!$A$2:$E$495,5,FALSE)</f>
        <v>Aksesoris</v>
      </c>
      <c r="L1485" s="1"/>
    </row>
    <row r="1486" spans="1:12" ht="12" customHeight="1" x14ac:dyDescent="0.25">
      <c r="A1486" s="15">
        <v>44264</v>
      </c>
      <c r="B1486" s="16" t="s">
        <v>722</v>
      </c>
      <c r="C1486" s="16" t="s">
        <v>315</v>
      </c>
      <c r="D1486" s="16" t="str">
        <f>VLOOKUP(C1486,[1]master_data!$A$2:$E$495,2,FALSE)</f>
        <v>BLACK GHOST</v>
      </c>
      <c r="E1486" s="16">
        <v>1</v>
      </c>
      <c r="F1486" s="16">
        <f>VLOOKUP(C1486,[1]master_data!$A$2:$E$495,3,FALSE)</f>
        <v>4000</v>
      </c>
      <c r="G1486" s="16">
        <f>VLOOKUP(C1486,[1]master_data!$A$2:$E$495,4,FALSE)</f>
        <v>10000</v>
      </c>
      <c r="H1486" s="16">
        <f>E1486*F1486</f>
        <v>4000</v>
      </c>
      <c r="I1486" s="16">
        <f>E1486*G1486</f>
        <v>10000</v>
      </c>
      <c r="J1486" s="16">
        <f>I1486-H1486</f>
        <v>6000</v>
      </c>
      <c r="K1486" s="16" t="str">
        <f>VLOOKUP(C1486,[1]master_data!$A$2:$E$495,5,FALSE)</f>
        <v>Ikan</v>
      </c>
      <c r="L1486" s="1"/>
    </row>
    <row r="1487" spans="1:12" ht="12" customHeight="1" x14ac:dyDescent="0.25">
      <c r="A1487" s="15">
        <v>44264</v>
      </c>
      <c r="B1487" s="16" t="s">
        <v>723</v>
      </c>
      <c r="C1487" s="16" t="s">
        <v>368</v>
      </c>
      <c r="D1487" s="16" t="str">
        <f>VLOOKUP(C1487,[1]master_data!$A$2:$E$495,2,FALSE)</f>
        <v>TOMAN</v>
      </c>
      <c r="E1487" s="16">
        <v>1</v>
      </c>
      <c r="F1487" s="16">
        <f>VLOOKUP(C1487,[1]master_data!$A$2:$E$495,3,FALSE)</f>
        <v>10000</v>
      </c>
      <c r="G1487" s="16">
        <f>VLOOKUP(C1487,[1]master_data!$A$2:$E$495,4,FALSE)</f>
        <v>25000</v>
      </c>
      <c r="H1487" s="16">
        <f>E1487*F1487</f>
        <v>10000</v>
      </c>
      <c r="I1487" s="16">
        <f>E1487*G1487</f>
        <v>25000</v>
      </c>
      <c r="J1487" s="16">
        <f>I1487-H1487</f>
        <v>15000</v>
      </c>
      <c r="K1487" s="16" t="str">
        <f>VLOOKUP(C1487,[1]master_data!$A$2:$E$495,5,FALSE)</f>
        <v>Ikan</v>
      </c>
      <c r="L1487" s="1"/>
    </row>
    <row r="1488" spans="1:12" ht="12" customHeight="1" x14ac:dyDescent="0.25">
      <c r="A1488" s="15">
        <v>44263</v>
      </c>
      <c r="B1488" s="16" t="s">
        <v>717</v>
      </c>
      <c r="C1488" s="16" t="s">
        <v>366</v>
      </c>
      <c r="D1488" s="16" t="str">
        <f>VLOOKUP(C1488,[1]master_data!$A$2:$E$495,2,FALSE)</f>
        <v>SYNODONTI B</v>
      </c>
      <c r="E1488" s="16">
        <v>20</v>
      </c>
      <c r="F1488" s="16">
        <f>VLOOKUP(C1488,[1]master_data!$A$2:$E$495,3,FALSE)</f>
        <v>4000</v>
      </c>
      <c r="G1488" s="16">
        <f>VLOOKUP(C1488,[1]master_data!$A$2:$E$495,4,FALSE)</f>
        <v>10000</v>
      </c>
      <c r="H1488" s="16">
        <f>E1488*F1488</f>
        <v>80000</v>
      </c>
      <c r="I1488" s="16">
        <f>E1488*G1488</f>
        <v>200000</v>
      </c>
      <c r="J1488" s="16">
        <f>I1488-H1488</f>
        <v>120000</v>
      </c>
      <c r="K1488" s="16" t="str">
        <f>VLOOKUP(C1488,[1]master_data!$A$2:$E$495,5,FALSE)</f>
        <v>Ikan</v>
      </c>
      <c r="L1488" s="1"/>
    </row>
    <row r="1489" spans="1:12" ht="12" customHeight="1" x14ac:dyDescent="0.25">
      <c r="A1489" s="15">
        <v>44263</v>
      </c>
      <c r="B1489" s="16" t="s">
        <v>718</v>
      </c>
      <c r="C1489" s="16" t="s">
        <v>354</v>
      </c>
      <c r="D1489" s="16" t="str">
        <f>VLOOKUP(C1489,[1]master_data!$A$2:$E$495,2,FALSE)</f>
        <v>PEMBERSIH KACA ALBINO</v>
      </c>
      <c r="E1489" s="16">
        <v>20</v>
      </c>
      <c r="F1489" s="16">
        <f>VLOOKUP(C1489,[1]master_data!$A$2:$E$495,3,FALSE)</f>
        <v>2500</v>
      </c>
      <c r="G1489" s="16">
        <f>VLOOKUP(C1489,[1]master_data!$A$2:$E$495,4,FALSE)</f>
        <v>5000</v>
      </c>
      <c r="H1489" s="16">
        <f>E1489*F1489</f>
        <v>50000</v>
      </c>
      <c r="I1489" s="16">
        <f>E1489*G1489</f>
        <v>100000</v>
      </c>
      <c r="J1489" s="16">
        <f>I1489-H1489</f>
        <v>50000</v>
      </c>
      <c r="K1489" s="16" t="str">
        <f>VLOOKUP(C1489,[1]master_data!$A$2:$E$495,5,FALSE)</f>
        <v>Ikan</v>
      </c>
      <c r="L1489" s="1"/>
    </row>
    <row r="1490" spans="1:12" ht="12" customHeight="1" x14ac:dyDescent="0.25">
      <c r="A1490" s="15">
        <v>44263</v>
      </c>
      <c r="B1490" s="16" t="s">
        <v>719</v>
      </c>
      <c r="C1490" s="16" t="s">
        <v>321</v>
      </c>
      <c r="D1490" s="16" t="str">
        <f>VLOOKUP(C1490,[1]master_data!$A$2:$E$495,2,FALSE)</f>
        <v>CATFISH</v>
      </c>
      <c r="E1490" s="16">
        <v>2</v>
      </c>
      <c r="F1490" s="16">
        <f>VLOOKUP(C1490,[1]master_data!$A$2:$E$495,3,FALSE)</f>
        <v>20000</v>
      </c>
      <c r="G1490" s="16">
        <f>VLOOKUP(C1490,[1]master_data!$A$2:$E$495,4,FALSE)</f>
        <v>50000</v>
      </c>
      <c r="H1490" s="16">
        <f>E1490*F1490</f>
        <v>40000</v>
      </c>
      <c r="I1490" s="16">
        <f>E1490*G1490</f>
        <v>100000</v>
      </c>
      <c r="J1490" s="16">
        <f>I1490-H1490</f>
        <v>60000</v>
      </c>
      <c r="K1490" s="16" t="str">
        <f>VLOOKUP(C1490,[1]master_data!$A$2:$E$495,5,FALSE)</f>
        <v>Ikan</v>
      </c>
      <c r="L1490" s="1"/>
    </row>
    <row r="1491" spans="1:12" ht="12" customHeight="1" x14ac:dyDescent="0.25">
      <c r="A1491" s="15">
        <v>44263</v>
      </c>
      <c r="B1491" s="16" t="s">
        <v>720</v>
      </c>
      <c r="C1491" s="16" t="s">
        <v>329</v>
      </c>
      <c r="D1491" s="16" t="str">
        <f>VLOOKUP(C1491,[1]master_data!$A$2:$E$495,2,FALSE)</f>
        <v>KOI K</v>
      </c>
      <c r="E1491" s="16">
        <v>4</v>
      </c>
      <c r="F1491" s="16">
        <f>VLOOKUP(C1491,[1]master_data!$A$2:$E$495,3,FALSE)</f>
        <v>2500</v>
      </c>
      <c r="G1491" s="16">
        <f>VLOOKUP(C1491,[1]master_data!$A$2:$E$495,4,FALSE)</f>
        <v>10000</v>
      </c>
      <c r="H1491" s="16">
        <f>E1491*F1491</f>
        <v>10000</v>
      </c>
      <c r="I1491" s="16">
        <f>E1491*G1491</f>
        <v>40000</v>
      </c>
      <c r="J1491" s="16">
        <f>I1491-H1491</f>
        <v>30000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44262</v>
      </c>
      <c r="B1492" s="16" t="s">
        <v>713</v>
      </c>
      <c r="C1492" s="16" t="s">
        <v>357</v>
      </c>
      <c r="D1492" s="16" t="str">
        <f>VLOOKUP(C1492,[1]master_data!$A$2:$E$495,2,FALSE)</f>
        <v>PESO</v>
      </c>
      <c r="E1492" s="16">
        <v>1</v>
      </c>
      <c r="F1492" s="16">
        <f>VLOOKUP(C1492,[1]master_data!$A$2:$E$495,3,FALSE)</f>
        <v>19000</v>
      </c>
      <c r="G1492" s="16">
        <f>VLOOKUP(C1492,[1]master_data!$A$2:$E$495,4,FALSE)</f>
        <v>40000</v>
      </c>
      <c r="H1492" s="16">
        <f>E1492*F1492</f>
        <v>19000</v>
      </c>
      <c r="I1492" s="16">
        <f>E1492*G1492</f>
        <v>40000</v>
      </c>
      <c r="J1492" s="16">
        <f>I1492-H1492</f>
        <v>21000</v>
      </c>
      <c r="K1492" s="16" t="str">
        <f>VLOOKUP(C1492,[1]master_data!$A$2:$E$495,5,FALSE)</f>
        <v>Ikan</v>
      </c>
      <c r="L1492" s="1"/>
    </row>
    <row r="1493" spans="1:12" ht="12" customHeight="1" x14ac:dyDescent="0.25">
      <c r="A1493" s="15">
        <v>44262</v>
      </c>
      <c r="B1493" s="16" t="s">
        <v>714</v>
      </c>
      <c r="C1493" s="16" t="s">
        <v>18</v>
      </c>
      <c r="D1493" s="16" t="str">
        <f>VLOOKUP(C1493,[1]master_data!$A$2:$E$495,2,FALSE)</f>
        <v>MESIN YANG WAVE MAKER 100</v>
      </c>
      <c r="E1493" s="16">
        <v>5</v>
      </c>
      <c r="F1493" s="16">
        <f>VLOOKUP(C1493,[1]master_data!$A$2:$E$495,3,FALSE)</f>
        <v>67500</v>
      </c>
      <c r="G1493" s="16">
        <f>VLOOKUP(C1493,[1]master_data!$A$2:$E$495,4,FALSE)</f>
        <v>85000</v>
      </c>
      <c r="H1493" s="16">
        <f>E1493*F1493</f>
        <v>337500</v>
      </c>
      <c r="I1493" s="16">
        <f>E1493*G1493</f>
        <v>425000</v>
      </c>
      <c r="J1493" s="16">
        <f>I1493-H1493</f>
        <v>87500</v>
      </c>
      <c r="K1493" s="16" t="str">
        <f>VLOOKUP(C1493,[1]master_data!$A$2:$E$495,5,FALSE)</f>
        <v>Aksesoris</v>
      </c>
      <c r="L1493" s="1"/>
    </row>
    <row r="1494" spans="1:12" ht="12" customHeight="1" x14ac:dyDescent="0.25">
      <c r="A1494" s="15">
        <v>44262</v>
      </c>
      <c r="B1494" s="16" t="s">
        <v>715</v>
      </c>
      <c r="C1494" s="16" t="s">
        <v>353</v>
      </c>
      <c r="D1494" s="16" t="str">
        <f>VLOOKUP(C1494,[1]master_data!$A$2:$E$495,2,FALSE)</f>
        <v>PEMBERSIH KACA BIASA</v>
      </c>
      <c r="E1494" s="16">
        <v>21</v>
      </c>
      <c r="F1494" s="16">
        <f>VLOOKUP(C1494,[1]master_data!$A$2:$E$495,3,FALSE)</f>
        <v>2000</v>
      </c>
      <c r="G1494" s="16">
        <f>VLOOKUP(C1494,[1]master_data!$A$2:$E$495,4,FALSE)</f>
        <v>5000</v>
      </c>
      <c r="H1494" s="16">
        <f>E1494*F1494</f>
        <v>42000</v>
      </c>
      <c r="I1494" s="16">
        <f>E1494*G1494</f>
        <v>105000</v>
      </c>
      <c r="J1494" s="16">
        <f>I1494-H1494</f>
        <v>63000</v>
      </c>
      <c r="K1494" s="16" t="str">
        <f>VLOOKUP(C1494,[1]master_data!$A$2:$E$495,5,FALSE)</f>
        <v>Ikan</v>
      </c>
      <c r="L1494" s="1"/>
    </row>
    <row r="1495" spans="1:12" ht="12" customHeight="1" x14ac:dyDescent="0.25">
      <c r="A1495" s="15">
        <v>44262</v>
      </c>
      <c r="B1495" s="16" t="s">
        <v>716</v>
      </c>
      <c r="C1495" s="16" t="s">
        <v>93</v>
      </c>
      <c r="D1495" s="16" t="str">
        <f>VLOOKUP(C1495,[1]master_data!$A$2:$E$495,2,FALSE)</f>
        <v>AIRATOR  YANG LUB 2</v>
      </c>
      <c r="E1495" s="16">
        <v>1</v>
      </c>
      <c r="F1495" s="16">
        <f>VLOOKUP(C1495,[1]master_data!$A$2:$E$495,3,FALSE)</f>
        <v>26500</v>
      </c>
      <c r="G1495" s="16">
        <f>VLOOKUP(C1495,[1]master_data!$A$2:$E$495,4,FALSE)</f>
        <v>50000</v>
      </c>
      <c r="H1495" s="16">
        <f>E1495*F1495</f>
        <v>26500</v>
      </c>
      <c r="I1495" s="16">
        <f>E1495*G1495</f>
        <v>50000</v>
      </c>
      <c r="J1495" s="16">
        <f>I1495-H1495</f>
        <v>23500</v>
      </c>
      <c r="K1495" s="16" t="str">
        <f>VLOOKUP(C1495,[1]master_data!$A$2:$E$495,5,FALSE)</f>
        <v>Aksesoris</v>
      </c>
      <c r="L1495" s="1"/>
    </row>
    <row r="1496" spans="1:12" ht="12" customHeight="1" x14ac:dyDescent="0.25">
      <c r="A1496" s="15">
        <v>44261</v>
      </c>
      <c r="B1496" s="16" t="s">
        <v>710</v>
      </c>
      <c r="C1496" s="16" t="s">
        <v>306</v>
      </c>
      <c r="D1496" s="16" t="str">
        <f>VLOOKUP(C1496,[1]master_data!$A$2:$E$495,2,FALSE)</f>
        <v>CHANNA ANDRAO B</v>
      </c>
      <c r="E1496" s="16">
        <v>2</v>
      </c>
      <c r="F1496" s="16">
        <f>VLOOKUP(C1496,[1]master_data!$A$2:$E$495,3,FALSE)</f>
        <v>100000</v>
      </c>
      <c r="G1496" s="16">
        <f>VLOOKUP(C1496,[1]master_data!$A$2:$E$495,4,FALSE)</f>
        <v>200000</v>
      </c>
      <c r="H1496" s="16">
        <f>E1496*F1496</f>
        <v>200000</v>
      </c>
      <c r="I1496" s="16">
        <f>E1496*G1496</f>
        <v>400000</v>
      </c>
      <c r="J1496" s="16">
        <f>I1496-H1496</f>
        <v>200000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44261</v>
      </c>
      <c r="B1497" s="16" t="s">
        <v>711</v>
      </c>
      <c r="C1497" s="16" t="s">
        <v>206</v>
      </c>
      <c r="D1497" s="16" t="str">
        <f>VLOOKUP(C1497,[1]master_data!$A$2:$E$495,2,FALSE)</f>
        <v>BACKGROUND</v>
      </c>
      <c r="E1497" s="16">
        <v>6</v>
      </c>
      <c r="F1497" s="16">
        <f>VLOOKUP(C1497,[1]master_data!$A$2:$E$495,3,FALSE)</f>
        <v>8000</v>
      </c>
      <c r="G1497" s="16">
        <f>VLOOKUP(C1497,[1]master_data!$A$2:$E$495,4,FALSE)</f>
        <v>15000</v>
      </c>
      <c r="H1497" s="16">
        <f>E1497*F1497</f>
        <v>48000</v>
      </c>
      <c r="I1497" s="16">
        <f>E1497*G1497</f>
        <v>90000</v>
      </c>
      <c r="J1497" s="16">
        <f>I1497-H1497</f>
        <v>42000</v>
      </c>
      <c r="K1497" s="16" t="str">
        <f>VLOOKUP(C1497,[1]master_data!$A$2:$E$495,5,FALSE)</f>
        <v>Aksesoris</v>
      </c>
      <c r="L1497" s="1"/>
    </row>
    <row r="1498" spans="1:12" ht="12" customHeight="1" x14ac:dyDescent="0.25">
      <c r="A1498" s="15">
        <v>44261</v>
      </c>
      <c r="B1498" s="16" t="s">
        <v>712</v>
      </c>
      <c r="C1498" s="16" t="s">
        <v>351</v>
      </c>
      <c r="D1498" s="16" t="str">
        <f>VLOOKUP(C1498,[1]master_data!$A$2:$E$495,2,FALSE)</f>
        <v>NEON</v>
      </c>
      <c r="E1498" s="16">
        <v>1</v>
      </c>
      <c r="F1498" s="16">
        <f>VLOOKUP(C1498,[1]master_data!$A$2:$E$495,3,FALSE)</f>
        <v>1250</v>
      </c>
      <c r="G1498" s="16">
        <f>VLOOKUP(C1498,[1]master_data!$A$2:$E$495,4,FALSE)</f>
        <v>5000</v>
      </c>
      <c r="H1498" s="16">
        <f>E1498*F1498</f>
        <v>1250</v>
      </c>
      <c r="I1498" s="16">
        <f>E1498*G1498</f>
        <v>5000</v>
      </c>
      <c r="J1498" s="16">
        <f>I1498-H1498</f>
        <v>3750</v>
      </c>
      <c r="K1498" s="16" t="str">
        <f>VLOOKUP(C1498,[1]master_data!$A$2:$E$495,5,FALSE)</f>
        <v>Ikan</v>
      </c>
      <c r="L1498" s="1"/>
    </row>
    <row r="1499" spans="1:12" ht="12" customHeight="1" x14ac:dyDescent="0.25">
      <c r="A1499" s="15">
        <v>44260</v>
      </c>
      <c r="B1499" s="16" t="s">
        <v>704</v>
      </c>
      <c r="C1499" s="16" t="s">
        <v>375</v>
      </c>
      <c r="D1499" s="16" t="str">
        <f>VLOOKUP(C1499,[1]master_data!$A$2:$E$495,2,FALSE)</f>
        <v>CHANNA STEWARTI</v>
      </c>
      <c r="E1499" s="16">
        <v>2</v>
      </c>
      <c r="F1499" s="16">
        <f>VLOOKUP(C1499,[1]master_data!$A$2:$E$495,3,FALSE)</f>
        <v>15000</v>
      </c>
      <c r="G1499" s="16">
        <f>VLOOKUP(C1499,[1]master_data!$A$2:$E$495,4,FALSE)</f>
        <v>40000</v>
      </c>
      <c r="H1499" s="16">
        <f>E1499*F1499</f>
        <v>30000</v>
      </c>
      <c r="I1499" s="16">
        <f>E1499*G1499</f>
        <v>80000</v>
      </c>
      <c r="J1499" s="16">
        <f>I1499-H1499</f>
        <v>50000</v>
      </c>
      <c r="K1499" s="16" t="str">
        <f>VLOOKUP(C1499,[1]master_data!$A$2:$E$495,5,FALSE)</f>
        <v>Ikan</v>
      </c>
      <c r="L1499" s="1"/>
    </row>
    <row r="1500" spans="1:12" ht="12" customHeight="1" x14ac:dyDescent="0.25">
      <c r="A1500" s="15">
        <v>44260</v>
      </c>
      <c r="B1500" s="16" t="s">
        <v>705</v>
      </c>
      <c r="C1500" s="16" t="s">
        <v>375</v>
      </c>
      <c r="D1500" s="16" t="str">
        <f>VLOOKUP(C1500,[1]master_data!$A$2:$E$495,2,FALSE)</f>
        <v>CHANNA STEWARTI</v>
      </c>
      <c r="E1500" s="16">
        <v>2</v>
      </c>
      <c r="F1500" s="16">
        <f>VLOOKUP(C1500,[1]master_data!$A$2:$E$495,3,FALSE)</f>
        <v>15000</v>
      </c>
      <c r="G1500" s="16">
        <f>VLOOKUP(C1500,[1]master_data!$A$2:$E$495,4,FALSE)</f>
        <v>40000</v>
      </c>
      <c r="H1500" s="16">
        <f>E1500*F1500</f>
        <v>30000</v>
      </c>
      <c r="I1500" s="16">
        <f>E1500*G1500</f>
        <v>80000</v>
      </c>
      <c r="J1500" s="16">
        <f>I1500-H1500</f>
        <v>50000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44260</v>
      </c>
      <c r="B1501" s="16" t="s">
        <v>706</v>
      </c>
      <c r="C1501" s="16" t="s">
        <v>350</v>
      </c>
      <c r="D1501" s="16" t="str">
        <f>VLOOKUP(C1501,[1]master_data!$A$2:$E$495,2,FALSE)</f>
        <v>NENTINEN</v>
      </c>
      <c r="E1501" s="16">
        <v>25</v>
      </c>
      <c r="F1501" s="16">
        <f>VLOOKUP(C1501,[1]master_data!$A$2:$E$495,3,FALSE)</f>
        <v>1000</v>
      </c>
      <c r="G1501" s="16">
        <f>VLOOKUP(C1501,[1]master_data!$A$2:$E$495,4,FALSE)</f>
        <v>2500</v>
      </c>
      <c r="H1501" s="16">
        <f>E1501*F1501</f>
        <v>25000</v>
      </c>
      <c r="I1501" s="16">
        <f>E1501*G1501</f>
        <v>62500</v>
      </c>
      <c r="J1501" s="16">
        <f>I1501-H1501</f>
        <v>37500</v>
      </c>
      <c r="K1501" s="16" t="str">
        <f>VLOOKUP(C1501,[1]master_data!$A$2:$E$495,5,FALSE)</f>
        <v>Ikan</v>
      </c>
      <c r="L1501" s="1"/>
    </row>
    <row r="1502" spans="1:12" ht="12" customHeight="1" x14ac:dyDescent="0.25">
      <c r="A1502" s="15">
        <v>44260</v>
      </c>
      <c r="B1502" s="16" t="s">
        <v>707</v>
      </c>
      <c r="C1502" s="16" t="s">
        <v>118</v>
      </c>
      <c r="D1502" s="16" t="str">
        <f>VLOOKUP(C1502,[1]master_data!$A$2:$E$495,2,FALSE)</f>
        <v>LED NIKITA 3 MODE 80 CM</v>
      </c>
      <c r="E1502" s="16">
        <v>2</v>
      </c>
      <c r="F1502" s="16">
        <f>VLOOKUP(C1502,[1]master_data!$A$2:$E$495,3,FALSE)</f>
        <v>53000</v>
      </c>
      <c r="G1502" s="16">
        <f>VLOOKUP(C1502,[1]master_data!$A$2:$E$495,4,FALSE)</f>
        <v>80000</v>
      </c>
      <c r="H1502" s="16">
        <f>E1502*F1502</f>
        <v>106000</v>
      </c>
      <c r="I1502" s="16">
        <f>E1502*G1502</f>
        <v>160000</v>
      </c>
      <c r="J1502" s="16">
        <f>I1502-H1502</f>
        <v>54000</v>
      </c>
      <c r="K1502" s="16" t="str">
        <f>VLOOKUP(C1502,[1]master_data!$A$2:$E$495,5,FALSE)</f>
        <v>Aksesoris</v>
      </c>
      <c r="L1502" s="1"/>
    </row>
    <row r="1503" spans="1:12" ht="12" customHeight="1" x14ac:dyDescent="0.25">
      <c r="A1503" s="15">
        <v>44260</v>
      </c>
      <c r="B1503" s="16" t="s">
        <v>708</v>
      </c>
      <c r="C1503" s="16" t="s">
        <v>362</v>
      </c>
      <c r="D1503" s="16" t="str">
        <f>VLOOKUP(C1503,[1]master_data!$A$2:$E$495,2,FALSE)</f>
        <v>SUMATRA BIASA</v>
      </c>
      <c r="E1503" s="16">
        <v>1</v>
      </c>
      <c r="F1503" s="16">
        <f>VLOOKUP(C1503,[1]master_data!$A$2:$E$495,3,FALSE)</f>
        <v>800</v>
      </c>
      <c r="G1503" s="16">
        <f>VLOOKUP(C1503,[1]master_data!$A$2:$E$495,4,FALSE)</f>
        <v>2000</v>
      </c>
      <c r="H1503" s="16">
        <f>E1503*F1503</f>
        <v>800</v>
      </c>
      <c r="I1503" s="16">
        <f>E1503*G1503</f>
        <v>2000</v>
      </c>
      <c r="J1503" s="16">
        <f>I1503-H1503</f>
        <v>1200</v>
      </c>
      <c r="K1503" s="16" t="str">
        <f>VLOOKUP(C1503,[1]master_data!$A$2:$E$495,5,FALSE)</f>
        <v>Ikan</v>
      </c>
      <c r="L1503" s="1"/>
    </row>
    <row r="1504" spans="1:12" ht="12" customHeight="1" x14ac:dyDescent="0.25">
      <c r="A1504" s="15">
        <v>44260</v>
      </c>
      <c r="B1504" s="16" t="s">
        <v>709</v>
      </c>
      <c r="C1504" s="16" t="s">
        <v>164</v>
      </c>
      <c r="D1504" s="16" t="str">
        <f>VLOOKUP(C1504,[1]master_data!$A$2:$E$495,2,FALSE)</f>
        <v>AKARI PREMIUM BLUE</v>
      </c>
      <c r="E1504" s="16">
        <v>1</v>
      </c>
      <c r="F1504" s="16">
        <f>VLOOKUP(C1504,[1]master_data!$A$2:$E$495,3,FALSE)</f>
        <v>37000</v>
      </c>
      <c r="G1504" s="16">
        <f>VLOOKUP(C1504,[1]master_data!$A$2:$E$495,4,FALSE)</f>
        <v>50000</v>
      </c>
      <c r="H1504" s="16">
        <f>E1504*F1504</f>
        <v>37000</v>
      </c>
      <c r="I1504" s="16">
        <f>E1504*G1504</f>
        <v>50000</v>
      </c>
      <c r="J1504" s="16">
        <f>I1504-H1504</f>
        <v>13000</v>
      </c>
      <c r="K1504" s="16" t="str">
        <f>VLOOKUP(C1504,[1]master_data!$A$2:$E$495,5,FALSE)</f>
        <v>Aksesoris</v>
      </c>
      <c r="L1504" s="1"/>
    </row>
    <row r="1505" spans="1:12" ht="12" customHeight="1" x14ac:dyDescent="0.25">
      <c r="A1505" s="15">
        <v>44259</v>
      </c>
      <c r="B1505" s="16" t="s">
        <v>696</v>
      </c>
      <c r="C1505" s="16" t="s">
        <v>697</v>
      </c>
      <c r="D1505" s="16" t="str">
        <f>VLOOKUP(C1505,[1]master_data!$A$2:$E$495,2,FALSE)</f>
        <v>LED HIKARI 3 MODE 80 CM</v>
      </c>
      <c r="E1505" s="16">
        <v>1</v>
      </c>
      <c r="F1505" s="16">
        <f>VLOOKUP(C1505,[1]master_data!$A$2:$E$495,3,FALSE)</f>
        <v>89000</v>
      </c>
      <c r="G1505" s="16">
        <f>VLOOKUP(C1505,[1]master_data!$A$2:$E$495,4,FALSE)</f>
        <v>140000</v>
      </c>
      <c r="H1505" s="16">
        <f>E1505*F1505</f>
        <v>89000</v>
      </c>
      <c r="I1505" s="16">
        <f>E1505*G1505</f>
        <v>140000</v>
      </c>
      <c r="J1505" s="16">
        <f>I1505-H1505</f>
        <v>51000</v>
      </c>
      <c r="K1505" s="16" t="str">
        <f>VLOOKUP(C1505,[1]master_data!$A$2:$E$495,5,FALSE)</f>
        <v>Aksesoris</v>
      </c>
      <c r="L1505" s="1"/>
    </row>
    <row r="1506" spans="1:12" ht="12" customHeight="1" x14ac:dyDescent="0.25">
      <c r="A1506" s="15">
        <v>44259</v>
      </c>
      <c r="B1506" s="16" t="s">
        <v>698</v>
      </c>
      <c r="C1506" s="16" t="s">
        <v>257</v>
      </c>
      <c r="D1506" s="16" t="str">
        <f>VLOOKUP(C1506,[1]master_data!$A$2:$E$495,2,FALSE)</f>
        <v>JARING PENDEK BULAT</v>
      </c>
      <c r="E1506" s="16">
        <v>1</v>
      </c>
      <c r="F1506" s="16">
        <f>VLOOKUP(C1506,[1]master_data!$A$2:$E$495,3,FALSE)</f>
        <v>15000</v>
      </c>
      <c r="G1506" s="16">
        <f>VLOOKUP(C1506,[1]master_data!$A$2:$E$495,4,FALSE)</f>
        <v>30000</v>
      </c>
      <c r="H1506" s="16">
        <f>E1506*F1506</f>
        <v>15000</v>
      </c>
      <c r="I1506" s="16">
        <f>E1506*G1506</f>
        <v>30000</v>
      </c>
      <c r="J1506" s="16">
        <f>I1506-H1506</f>
        <v>15000</v>
      </c>
      <c r="K1506" s="16" t="str">
        <f>VLOOKUP(C1506,[1]master_data!$A$2:$E$495,5,FALSE)</f>
        <v>Aksesoris</v>
      </c>
      <c r="L1506" s="1"/>
    </row>
    <row r="1507" spans="1:12" ht="12" customHeight="1" x14ac:dyDescent="0.25">
      <c r="A1507" s="15">
        <v>44259</v>
      </c>
      <c r="B1507" s="16" t="s">
        <v>699</v>
      </c>
      <c r="C1507" s="16" t="s">
        <v>368</v>
      </c>
      <c r="D1507" s="16" t="str">
        <f>VLOOKUP(C1507,[1]master_data!$A$2:$E$495,2,FALSE)</f>
        <v>TOMAN</v>
      </c>
      <c r="E1507" s="16">
        <v>2</v>
      </c>
      <c r="F1507" s="16">
        <f>VLOOKUP(C1507,[1]master_data!$A$2:$E$495,3,FALSE)</f>
        <v>10000</v>
      </c>
      <c r="G1507" s="16">
        <f>VLOOKUP(C1507,[1]master_data!$A$2:$E$495,4,FALSE)</f>
        <v>25000</v>
      </c>
      <c r="H1507" s="16">
        <f>E1507*F1507</f>
        <v>20000</v>
      </c>
      <c r="I1507" s="16">
        <f>E1507*G1507</f>
        <v>50000</v>
      </c>
      <c r="J1507" s="16">
        <f>I1507-H1507</f>
        <v>30000</v>
      </c>
      <c r="K1507" s="16" t="str">
        <f>VLOOKUP(C1507,[1]master_data!$A$2:$E$495,5,FALSE)</f>
        <v>Ikan</v>
      </c>
      <c r="L1507" s="1"/>
    </row>
    <row r="1508" spans="1:12" ht="12" customHeight="1" x14ac:dyDescent="0.25">
      <c r="A1508" s="15">
        <v>44259</v>
      </c>
      <c r="B1508" s="16" t="s">
        <v>700</v>
      </c>
      <c r="C1508" s="16" t="s">
        <v>370</v>
      </c>
      <c r="D1508" s="16" t="str">
        <f>VLOOKUP(C1508,[1]master_data!$A$2:$E$495,2,FALSE)</f>
        <v>ZEBRA HIJAU</v>
      </c>
      <c r="E1508" s="16">
        <v>25</v>
      </c>
      <c r="F1508" s="16">
        <f>VLOOKUP(C1508,[1]master_data!$A$2:$E$495,3,FALSE)</f>
        <v>800</v>
      </c>
      <c r="G1508" s="16">
        <f>VLOOKUP(C1508,[1]master_data!$A$2:$E$495,4,FALSE)</f>
        <v>2000</v>
      </c>
      <c r="H1508" s="16">
        <f>E1508*F1508</f>
        <v>20000</v>
      </c>
      <c r="I1508" s="16">
        <f>E1508*G1508</f>
        <v>50000</v>
      </c>
      <c r="J1508" s="16">
        <f>I1508-H1508</f>
        <v>30000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44259</v>
      </c>
      <c r="B1509" s="16" t="s">
        <v>701</v>
      </c>
      <c r="C1509" s="16" t="s">
        <v>347</v>
      </c>
      <c r="D1509" s="16" t="str">
        <f>VLOOKUP(C1509,[1]master_data!$A$2:$E$495,2,FALSE)</f>
        <v>MOLI BALON</v>
      </c>
      <c r="E1509" s="16">
        <v>15</v>
      </c>
      <c r="F1509" s="16">
        <f>VLOOKUP(C1509,[1]master_data!$A$2:$E$495,3,FALSE)</f>
        <v>800</v>
      </c>
      <c r="G1509" s="16">
        <f>VLOOKUP(C1509,[1]master_data!$A$2:$E$495,4,FALSE)</f>
        <v>2000</v>
      </c>
      <c r="H1509" s="16">
        <f>E1509*F1509</f>
        <v>12000</v>
      </c>
      <c r="I1509" s="16">
        <f>E1509*G1509</f>
        <v>30000</v>
      </c>
      <c r="J1509" s="16">
        <f>I1509-H1509</f>
        <v>18000</v>
      </c>
      <c r="K1509" s="16" t="str">
        <f>VLOOKUP(C1509,[1]master_data!$A$2:$E$495,5,FALSE)</f>
        <v>Ikan</v>
      </c>
      <c r="L1509" s="1"/>
    </row>
    <row r="1510" spans="1:12" ht="12" customHeight="1" x14ac:dyDescent="0.25">
      <c r="A1510" s="15">
        <v>44259</v>
      </c>
      <c r="B1510" s="16" t="s">
        <v>702</v>
      </c>
      <c r="C1510" s="16" t="s">
        <v>268</v>
      </c>
      <c r="D1510" s="16" t="str">
        <f>VLOOKUP(C1510,[1]master_data!$A$2:$E$495,2,FALSE)</f>
        <v>FOOD TIMER AMARA 8431</v>
      </c>
      <c r="E1510" s="16">
        <v>1</v>
      </c>
      <c r="F1510" s="16">
        <f>VLOOKUP(C1510,[1]master_data!$A$2:$E$495,3,FALSE)</f>
        <v>45000</v>
      </c>
      <c r="G1510" s="16">
        <f>VLOOKUP(C1510,[1]master_data!$A$2:$E$495,4,FALSE)</f>
        <v>115000</v>
      </c>
      <c r="H1510" s="16">
        <f>E1510*F1510</f>
        <v>45000</v>
      </c>
      <c r="I1510" s="16">
        <f>E1510*G1510</f>
        <v>115000</v>
      </c>
      <c r="J1510" s="16">
        <f>I1510-H1510</f>
        <v>70000</v>
      </c>
      <c r="K1510" s="16" t="str">
        <f>VLOOKUP(C1510,[1]master_data!$A$2:$E$495,5,FALSE)</f>
        <v>Aksesoris</v>
      </c>
      <c r="L1510" s="1"/>
    </row>
    <row r="1511" spans="1:12" ht="12" customHeight="1" x14ac:dyDescent="0.25">
      <c r="A1511" s="15">
        <v>44259</v>
      </c>
      <c r="B1511" s="16" t="s">
        <v>703</v>
      </c>
      <c r="C1511" s="16" t="s">
        <v>141</v>
      </c>
      <c r="D1511" s="16" t="str">
        <f>VLOOKUP(C1511,[1]master_data!$A$2:$E$495,2,FALSE)</f>
        <v>LAMPU ARMADA UV 15W</v>
      </c>
      <c r="E1511" s="16">
        <v>1</v>
      </c>
      <c r="F1511" s="16">
        <f>VLOOKUP(C1511,[1]master_data!$A$2:$E$495,3,FALSE)</f>
        <v>88000</v>
      </c>
      <c r="G1511" s="16">
        <f>VLOOKUP(C1511,[1]master_data!$A$2:$E$495,4,FALSE)</f>
        <v>115000</v>
      </c>
      <c r="H1511" s="16">
        <f>E1511*F1511</f>
        <v>88000</v>
      </c>
      <c r="I1511" s="16">
        <f>E1511*G1511</f>
        <v>115000</v>
      </c>
      <c r="J1511" s="16">
        <f>I1511-H1511</f>
        <v>27000</v>
      </c>
      <c r="K1511" s="16" t="str">
        <f>VLOOKUP(C1511,[1]master_data!$A$2:$E$495,5,FALSE)</f>
        <v>Aksesoris</v>
      </c>
      <c r="L1511" s="1"/>
    </row>
    <row r="1512" spans="1:12" ht="12" customHeight="1" x14ac:dyDescent="0.25">
      <c r="A1512" s="15">
        <v>44258</v>
      </c>
      <c r="B1512" s="16" t="s">
        <v>691</v>
      </c>
      <c r="C1512" s="16" t="s">
        <v>162</v>
      </c>
      <c r="D1512" s="16" t="str">
        <f>VLOOKUP(C1512,[1]master_data!$A$2:$E$495,2,FALSE)</f>
        <v>AKARI LOUHAN BOTOL</v>
      </c>
      <c r="E1512" s="16">
        <v>2</v>
      </c>
      <c r="F1512" s="16">
        <f>VLOOKUP(C1512,[1]master_data!$A$2:$E$495,3,FALSE)</f>
        <v>12000</v>
      </c>
      <c r="G1512" s="16">
        <f>VLOOKUP(C1512,[1]master_data!$A$2:$E$495,4,FALSE)</f>
        <v>20000</v>
      </c>
      <c r="H1512" s="16">
        <f>E1512*F1512</f>
        <v>24000</v>
      </c>
      <c r="I1512" s="16">
        <f>E1512*G1512</f>
        <v>40000</v>
      </c>
      <c r="J1512" s="16">
        <f>I1512-H1512</f>
        <v>16000</v>
      </c>
      <c r="K1512" s="16" t="str">
        <f>VLOOKUP(C1512,[1]master_data!$A$2:$E$495,5,FALSE)</f>
        <v>Aksesoris</v>
      </c>
      <c r="L1512" s="1"/>
    </row>
    <row r="1513" spans="1:12" ht="12" customHeight="1" x14ac:dyDescent="0.25">
      <c r="A1513" s="15">
        <v>44258</v>
      </c>
      <c r="B1513" s="16" t="s">
        <v>692</v>
      </c>
      <c r="C1513" s="16" t="s">
        <v>345</v>
      </c>
      <c r="D1513" s="16" t="str">
        <f>VLOOKUP(C1513,[1]master_data!$A$2:$E$495,2,FALSE)</f>
        <v>MARU B</v>
      </c>
      <c r="E1513" s="16">
        <v>4</v>
      </c>
      <c r="F1513" s="16">
        <f>VLOOKUP(C1513,[1]master_data!$A$2:$E$495,3,FALSE)</f>
        <v>90000</v>
      </c>
      <c r="G1513" s="16">
        <f>VLOOKUP(C1513,[1]master_data!$A$2:$E$495,4,FALSE)</f>
        <v>150000</v>
      </c>
      <c r="H1513" s="16">
        <f>E1513*F1513</f>
        <v>360000</v>
      </c>
      <c r="I1513" s="16">
        <f>E1513*G1513</f>
        <v>600000</v>
      </c>
      <c r="J1513" s="16">
        <f>I1513-H1513</f>
        <v>240000</v>
      </c>
      <c r="K1513" s="16" t="str">
        <f>VLOOKUP(C1513,[1]master_data!$A$2:$E$495,5,FALSE)</f>
        <v>Ikan</v>
      </c>
      <c r="L1513" s="1"/>
    </row>
    <row r="1514" spans="1:12" ht="12" customHeight="1" x14ac:dyDescent="0.25">
      <c r="A1514" s="15">
        <v>44258</v>
      </c>
      <c r="B1514" s="16" t="s">
        <v>693</v>
      </c>
      <c r="C1514" s="16" t="s">
        <v>116</v>
      </c>
      <c r="D1514" s="16" t="str">
        <f>VLOOKUP(C1514,[1]master_data!$A$2:$E$495,2,FALSE)</f>
        <v>LAMPU ARMADA UV 20W</v>
      </c>
      <c r="E1514" s="16">
        <v>2</v>
      </c>
      <c r="F1514" s="16">
        <f>VLOOKUP(C1514,[1]master_data!$A$2:$E$495,3,FALSE)</f>
        <v>99000</v>
      </c>
      <c r="G1514" s="16">
        <f>VLOOKUP(C1514,[1]master_data!$A$2:$E$495,4,FALSE)</f>
        <v>125000</v>
      </c>
      <c r="H1514" s="16">
        <f>E1514*F1514</f>
        <v>198000</v>
      </c>
      <c r="I1514" s="16">
        <f>E1514*G1514</f>
        <v>250000</v>
      </c>
      <c r="J1514" s="16">
        <f>I1514-H1514</f>
        <v>52000</v>
      </c>
      <c r="K1514" s="16" t="str">
        <f>VLOOKUP(C1514,[1]master_data!$A$2:$E$495,5,FALSE)</f>
        <v>Aksesoris</v>
      </c>
      <c r="L1514" s="1"/>
    </row>
    <row r="1515" spans="1:12" ht="12" customHeight="1" x14ac:dyDescent="0.25">
      <c r="A1515" s="15">
        <v>44258</v>
      </c>
      <c r="B1515" s="16" t="s">
        <v>694</v>
      </c>
      <c r="C1515" s="16" t="s">
        <v>314</v>
      </c>
      <c r="D1515" s="16" t="str">
        <f>VLOOKUP(C1515,[1]master_data!$A$2:$E$495,2,FALSE)</f>
        <v>BALA BALA B</v>
      </c>
      <c r="E1515" s="16">
        <v>3</v>
      </c>
      <c r="F1515" s="16">
        <f>VLOOKUP(C1515,[1]master_data!$A$2:$E$495,3,FALSE)</f>
        <v>7000</v>
      </c>
      <c r="G1515" s="16">
        <f>VLOOKUP(C1515,[1]master_data!$A$2:$E$495,4,FALSE)</f>
        <v>15000</v>
      </c>
      <c r="H1515" s="16">
        <f>E1515*F1515</f>
        <v>21000</v>
      </c>
      <c r="I1515" s="16">
        <f>E1515*G1515</f>
        <v>45000</v>
      </c>
      <c r="J1515" s="16">
        <f>I1515-H1515</f>
        <v>24000</v>
      </c>
      <c r="K1515" s="16" t="str">
        <f>VLOOKUP(C1515,[1]master_data!$A$2:$E$495,5,FALSE)</f>
        <v>Ikan</v>
      </c>
      <c r="L1515" s="1"/>
    </row>
    <row r="1516" spans="1:12" ht="12" customHeight="1" x14ac:dyDescent="0.25">
      <c r="A1516" s="15">
        <v>44258</v>
      </c>
      <c r="B1516" s="16" t="s">
        <v>695</v>
      </c>
      <c r="C1516" s="16" t="s">
        <v>9</v>
      </c>
      <c r="D1516" s="16" t="str">
        <f>VLOOKUP(C1516,[1]master_data!$A$2:$E$495,2,FALSE)</f>
        <v>TOP FILTER YANG 910</v>
      </c>
      <c r="E1516" s="16">
        <v>1</v>
      </c>
      <c r="F1516" s="16">
        <f>VLOOKUP(C1516,[1]master_data!$A$2:$E$495,3,FALSE)</f>
        <v>41000</v>
      </c>
      <c r="G1516" s="16">
        <f>VLOOKUP(C1516,[1]master_data!$A$2:$E$495,4,FALSE)</f>
        <v>65000</v>
      </c>
      <c r="H1516" s="16">
        <f>E1516*F1516</f>
        <v>41000</v>
      </c>
      <c r="I1516" s="16">
        <f>E1516*G1516</f>
        <v>65000</v>
      </c>
      <c r="J1516" s="16">
        <f>I1516-H1516</f>
        <v>24000</v>
      </c>
      <c r="K1516" s="16" t="str">
        <f>VLOOKUP(C1516,[1]master_data!$A$2:$E$495,5,FALSE)</f>
        <v>Aksesoris</v>
      </c>
      <c r="L1516" s="1"/>
    </row>
    <row r="1517" spans="1:12" ht="12" customHeight="1" x14ac:dyDescent="0.25">
      <c r="A1517" s="15">
        <v>44257</v>
      </c>
      <c r="B1517" s="16" t="s">
        <v>685</v>
      </c>
      <c r="C1517" s="16" t="s">
        <v>21</v>
      </c>
      <c r="D1517" s="16" t="str">
        <f>VLOOKUP(C1517,[1]master_data!$A$2:$E$495,2,FALSE)</f>
        <v>MESIN ROSTON 1200</v>
      </c>
      <c r="E1517" s="16">
        <v>1</v>
      </c>
      <c r="F1517" s="16">
        <f>VLOOKUP(C1517,[1]master_data!$A$2:$E$495,3,FALSE)</f>
        <v>23000</v>
      </c>
      <c r="G1517" s="16">
        <f>VLOOKUP(C1517,[1]master_data!$A$2:$E$495,4,FALSE)</f>
        <v>35000</v>
      </c>
      <c r="H1517" s="16">
        <f>E1517*F1517</f>
        <v>23000</v>
      </c>
      <c r="I1517" s="16">
        <f>E1517*G1517</f>
        <v>35000</v>
      </c>
      <c r="J1517" s="16">
        <f>I1517-H1517</f>
        <v>12000</v>
      </c>
      <c r="K1517" s="16" t="str">
        <f>VLOOKUP(C1517,[1]master_data!$A$2:$E$495,5,FALSE)</f>
        <v>Aksesoris</v>
      </c>
      <c r="L1517" s="1"/>
    </row>
    <row r="1518" spans="1:12" ht="12" customHeight="1" x14ac:dyDescent="0.25">
      <c r="A1518" s="15">
        <v>44257</v>
      </c>
      <c r="B1518" s="16" t="s">
        <v>686</v>
      </c>
      <c r="C1518" s="16" t="s">
        <v>336</v>
      </c>
      <c r="D1518" s="16" t="str">
        <f>VLOOKUP(C1518,[1]master_data!$A$2:$E$495,2,FALSE)</f>
        <v>KOI SLAYER K</v>
      </c>
      <c r="E1518" s="16">
        <v>20</v>
      </c>
      <c r="F1518" s="16">
        <f>VLOOKUP(C1518,[1]master_data!$A$2:$E$495,3,FALSE)</f>
        <v>3500</v>
      </c>
      <c r="G1518" s="16">
        <f>VLOOKUP(C1518,[1]master_data!$A$2:$E$495,4,FALSE)</f>
        <v>10000</v>
      </c>
      <c r="H1518" s="16">
        <f>E1518*F1518</f>
        <v>70000</v>
      </c>
      <c r="I1518" s="16">
        <f>E1518*G1518</f>
        <v>200000</v>
      </c>
      <c r="J1518" s="16">
        <f>I1518-H1518</f>
        <v>130000</v>
      </c>
      <c r="K1518" s="16" t="str">
        <f>VLOOKUP(C1518,[1]master_data!$A$2:$E$495,5,FALSE)</f>
        <v>Ikan</v>
      </c>
      <c r="L1518" s="1"/>
    </row>
    <row r="1519" spans="1:12" ht="12" customHeight="1" x14ac:dyDescent="0.25">
      <c r="A1519" s="15">
        <v>44257</v>
      </c>
      <c r="B1519" s="16" t="s">
        <v>687</v>
      </c>
      <c r="C1519" s="16" t="s">
        <v>295</v>
      </c>
      <c r="D1519" s="16" t="str">
        <f>VLOOKUP(C1519,[1]master_data!$A$2:$E$495,2,FALSE)</f>
        <v>PASIR BALI</v>
      </c>
      <c r="E1519" s="16">
        <v>4</v>
      </c>
      <c r="F1519" s="16">
        <f>VLOOKUP(C1519,[1]master_data!$A$2:$E$495,3,FALSE)</f>
        <v>5000</v>
      </c>
      <c r="G1519" s="16">
        <f>VLOOKUP(C1519,[1]master_data!$A$2:$E$495,4,FALSE)</f>
        <v>10000</v>
      </c>
      <c r="H1519" s="16">
        <f>E1519*F1519</f>
        <v>20000</v>
      </c>
      <c r="I1519" s="16">
        <f>E1519*G1519</f>
        <v>40000</v>
      </c>
      <c r="J1519" s="16">
        <f>I1519-H1519</f>
        <v>20000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44257</v>
      </c>
      <c r="B1520" s="16" t="s">
        <v>688</v>
      </c>
      <c r="C1520" s="16" t="s">
        <v>314</v>
      </c>
      <c r="D1520" s="16" t="str">
        <f>VLOOKUP(C1520,[1]master_data!$A$2:$E$495,2,FALSE)</f>
        <v>BALA BALA B</v>
      </c>
      <c r="E1520" s="16">
        <v>2</v>
      </c>
      <c r="F1520" s="16">
        <f>VLOOKUP(C1520,[1]master_data!$A$2:$E$495,3,FALSE)</f>
        <v>7000</v>
      </c>
      <c r="G1520" s="16">
        <f>VLOOKUP(C1520,[1]master_data!$A$2:$E$495,4,FALSE)</f>
        <v>15000</v>
      </c>
      <c r="H1520" s="16">
        <f>E1520*F1520</f>
        <v>14000</v>
      </c>
      <c r="I1520" s="16">
        <f>E1520*G1520</f>
        <v>30000</v>
      </c>
      <c r="J1520" s="16">
        <f>I1520-H1520</f>
        <v>16000</v>
      </c>
      <c r="K1520" s="16" t="str">
        <f>VLOOKUP(C1520,[1]master_data!$A$2:$E$495,5,FALSE)</f>
        <v>Ikan</v>
      </c>
      <c r="L1520" s="1"/>
    </row>
    <row r="1521" spans="1:12" ht="12" customHeight="1" x14ac:dyDescent="0.25">
      <c r="A1521" s="15">
        <v>44257</v>
      </c>
      <c r="B1521" s="16" t="s">
        <v>689</v>
      </c>
      <c r="C1521" s="16" t="s">
        <v>364</v>
      </c>
      <c r="D1521" s="16" t="str">
        <f>VLOOKUP(C1521,[1]master_data!$A$2:$E$495,2,FALSE)</f>
        <v>SNOW WHITE</v>
      </c>
      <c r="E1521" s="16">
        <v>30</v>
      </c>
      <c r="F1521" s="16">
        <f>VLOOKUP(C1521,[1]master_data!$A$2:$E$495,3,FALSE)</f>
        <v>1500</v>
      </c>
      <c r="G1521" s="16">
        <f>VLOOKUP(C1521,[1]master_data!$A$2:$E$495,4,FALSE)</f>
        <v>3000</v>
      </c>
      <c r="H1521" s="16">
        <f>E1521*F1521</f>
        <v>45000</v>
      </c>
      <c r="I1521" s="16">
        <f>E1521*G1521</f>
        <v>90000</v>
      </c>
      <c r="J1521" s="16">
        <f>I1521-H1521</f>
        <v>45000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44257</v>
      </c>
      <c r="B1522" s="16" t="s">
        <v>690</v>
      </c>
      <c r="C1522" s="16" t="s">
        <v>348</v>
      </c>
      <c r="D1522" s="16" t="str">
        <f>VLOOKUP(C1522,[1]master_data!$A$2:$E$495,2,FALSE)</f>
        <v>NIASA</v>
      </c>
      <c r="E1522" s="16">
        <v>2</v>
      </c>
      <c r="F1522" s="16">
        <f>VLOOKUP(C1522,[1]master_data!$A$2:$E$495,3,FALSE)</f>
        <v>900</v>
      </c>
      <c r="G1522" s="16">
        <f>VLOOKUP(C1522,[1]master_data!$A$2:$E$495,4,FALSE)</f>
        <v>2000</v>
      </c>
      <c r="H1522" s="16">
        <f>E1522*F1522</f>
        <v>1800</v>
      </c>
      <c r="I1522" s="16">
        <f>E1522*G1522</f>
        <v>4000</v>
      </c>
      <c r="J1522" s="16">
        <f>I1522-H1522</f>
        <v>2200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44256</v>
      </c>
      <c r="B1523" s="16" t="s">
        <v>681</v>
      </c>
      <c r="C1523" s="16" t="s">
        <v>335</v>
      </c>
      <c r="D1523" s="16" t="str">
        <f>VLOOKUP(C1523,[1]master_data!$A$2:$E$495,2,FALSE)</f>
        <v>KOMET SLAYER</v>
      </c>
      <c r="E1523" s="16">
        <v>10</v>
      </c>
      <c r="F1523" s="16">
        <f>VLOOKUP(C1523,[1]master_data!$A$2:$E$495,3,FALSE)</f>
        <v>2000</v>
      </c>
      <c r="G1523" s="16">
        <f>VLOOKUP(C1523,[1]master_data!$A$2:$E$495,4,FALSE)</f>
        <v>5000</v>
      </c>
      <c r="H1523" s="16">
        <f>E1523*F1523</f>
        <v>20000</v>
      </c>
      <c r="I1523" s="16">
        <f>E1523*G1523</f>
        <v>50000</v>
      </c>
      <c r="J1523" s="16">
        <f>I1523-H1523</f>
        <v>30000</v>
      </c>
      <c r="K1523" s="16" t="str">
        <f>VLOOKUP(C1523,[1]master_data!$A$2:$E$495,5,FALSE)</f>
        <v>Ikan</v>
      </c>
      <c r="L1523" s="1"/>
    </row>
    <row r="1524" spans="1:12" ht="12" customHeight="1" x14ac:dyDescent="0.25">
      <c r="A1524" s="15">
        <v>44256</v>
      </c>
      <c r="B1524" s="16" t="s">
        <v>682</v>
      </c>
      <c r="C1524" s="16" t="s">
        <v>346</v>
      </c>
      <c r="D1524" s="16" t="str">
        <f>VLOOKUP(C1524,[1]master_data!$A$2:$E$495,2,FALSE)</f>
        <v>MOLI PAKAN</v>
      </c>
      <c r="E1524" s="16">
        <v>30</v>
      </c>
      <c r="F1524" s="16">
        <f>VLOOKUP(C1524,[1]master_data!$A$2:$E$495,3,FALSE)</f>
        <v>100</v>
      </c>
      <c r="G1524" s="16">
        <f>VLOOKUP(C1524,[1]master_data!$A$2:$E$495,4,FALSE)</f>
        <v>200</v>
      </c>
      <c r="H1524" s="16">
        <f>E1524*F1524</f>
        <v>3000</v>
      </c>
      <c r="I1524" s="16">
        <f>E1524*G1524</f>
        <v>6000</v>
      </c>
      <c r="J1524" s="16">
        <f>I1524-H1524</f>
        <v>3000</v>
      </c>
      <c r="K1524" s="16" t="str">
        <f>VLOOKUP(C1524,[1]master_data!$A$2:$E$495,5,FALSE)</f>
        <v>Ikan</v>
      </c>
      <c r="L1524" s="1"/>
    </row>
    <row r="1525" spans="1:12" ht="12" customHeight="1" x14ac:dyDescent="0.25">
      <c r="A1525" s="15">
        <v>44256</v>
      </c>
      <c r="B1525" s="16" t="s">
        <v>683</v>
      </c>
      <c r="C1525" s="16" t="s">
        <v>308</v>
      </c>
      <c r="D1525" s="16" t="str">
        <f>VLOOKUP(C1525,[1]master_data!$A$2:$E$495,2,FALSE)</f>
        <v>ARWANA SILVER B</v>
      </c>
      <c r="E1525" s="16">
        <v>1</v>
      </c>
      <c r="F1525" s="16">
        <f>VLOOKUP(C1525,[1]master_data!$A$2:$E$495,3,FALSE)</f>
        <v>300000</v>
      </c>
      <c r="G1525" s="16">
        <f>VLOOKUP(C1525,[1]master_data!$A$2:$E$495,4,FALSE)</f>
        <v>500000</v>
      </c>
      <c r="H1525" s="16">
        <f>E1525*F1525</f>
        <v>300000</v>
      </c>
      <c r="I1525" s="16">
        <f>E1525*G1525</f>
        <v>500000</v>
      </c>
      <c r="J1525" s="16">
        <f>I1525-H1525</f>
        <v>200000</v>
      </c>
      <c r="K1525" s="16" t="str">
        <f>VLOOKUP(C1525,[1]master_data!$A$2:$E$495,5,FALSE)</f>
        <v>Ikan</v>
      </c>
      <c r="L1525" s="1"/>
    </row>
    <row r="1526" spans="1:12" ht="12" customHeight="1" x14ac:dyDescent="0.25">
      <c r="A1526" s="15">
        <v>44256</v>
      </c>
      <c r="B1526" s="16" t="s">
        <v>684</v>
      </c>
      <c r="C1526" s="16" t="s">
        <v>314</v>
      </c>
      <c r="D1526" s="16" t="str">
        <f>VLOOKUP(C1526,[1]master_data!$A$2:$E$495,2,FALSE)</f>
        <v>BALA BALA B</v>
      </c>
      <c r="E1526" s="16">
        <v>1</v>
      </c>
      <c r="F1526" s="16">
        <f>VLOOKUP(C1526,[1]master_data!$A$2:$E$495,3,FALSE)</f>
        <v>7000</v>
      </c>
      <c r="G1526" s="16">
        <f>VLOOKUP(C1526,[1]master_data!$A$2:$E$495,4,FALSE)</f>
        <v>15000</v>
      </c>
      <c r="H1526" s="16">
        <f>E1526*F1526</f>
        <v>7000</v>
      </c>
      <c r="I1526" s="16">
        <f>E1526*G1526</f>
        <v>15000</v>
      </c>
      <c r="J1526" s="16">
        <f>I1526-H1526</f>
        <v>8000</v>
      </c>
      <c r="K1526" s="16" t="str">
        <f>VLOOKUP(C1526,[1]master_data!$A$2:$E$495,5,FALSE)</f>
        <v>Ikan</v>
      </c>
      <c r="L1526" s="1"/>
    </row>
    <row r="1527" spans="1:12" ht="12" customHeight="1" x14ac:dyDescent="0.25">
      <c r="A1527" s="15">
        <v>44255</v>
      </c>
      <c r="B1527" s="16" t="s">
        <v>679</v>
      </c>
      <c r="C1527" s="16" t="s">
        <v>224</v>
      </c>
      <c r="D1527" s="16" t="str">
        <f>VLOOKUP(C1527,[1]master_data!$A$2:$E$495,2,FALSE)</f>
        <v>HEATER STENLEES 100 W</v>
      </c>
      <c r="E1527" s="16">
        <v>8</v>
      </c>
      <c r="F1527" s="16">
        <f>VLOOKUP(C1527,[1]master_data!$A$2:$E$495,3,FALSE)</f>
        <v>56000</v>
      </c>
      <c r="G1527" s="16">
        <f>VLOOKUP(C1527,[1]master_data!$A$2:$E$495,4,FALSE)</f>
        <v>85000</v>
      </c>
      <c r="H1527" s="16">
        <f>E1527*F1527</f>
        <v>448000</v>
      </c>
      <c r="I1527" s="16">
        <f>E1527*G1527</f>
        <v>680000</v>
      </c>
      <c r="J1527" s="16">
        <f>I1527-H1527</f>
        <v>232000</v>
      </c>
      <c r="K1527" s="16" t="str">
        <f>VLOOKUP(C1527,[1]master_data!$A$2:$E$495,5,FALSE)</f>
        <v>Aksesoris</v>
      </c>
      <c r="L1527" s="1"/>
    </row>
    <row r="1528" spans="1:12" ht="12" customHeight="1" x14ac:dyDescent="0.25">
      <c r="A1528" s="15">
        <v>44255</v>
      </c>
      <c r="B1528" s="16" t="s">
        <v>680</v>
      </c>
      <c r="C1528" s="16" t="s">
        <v>121</v>
      </c>
      <c r="D1528" s="16" t="str">
        <f>VLOOKUP(C1528,[1]master_data!$A$2:$E$495,2,FALSE)</f>
        <v>LED YANG HW 45 CM</v>
      </c>
      <c r="E1528" s="16">
        <v>1</v>
      </c>
      <c r="F1528" s="16">
        <f>VLOOKUP(C1528,[1]master_data!$A$2:$E$495,3,FALSE)</f>
        <v>70000</v>
      </c>
      <c r="G1528" s="16">
        <f>VLOOKUP(C1528,[1]master_data!$A$2:$E$495,4,FALSE)</f>
        <v>90000</v>
      </c>
      <c r="H1528" s="16">
        <f>E1528*F1528</f>
        <v>70000</v>
      </c>
      <c r="I1528" s="16">
        <f>E1528*G1528</f>
        <v>90000</v>
      </c>
      <c r="J1528" s="16">
        <f>I1528-H1528</f>
        <v>20000</v>
      </c>
      <c r="K1528" s="16" t="str">
        <f>VLOOKUP(C1528,[1]master_data!$A$2:$E$495,5,FALSE)</f>
        <v>Aksesoris</v>
      </c>
      <c r="L1528" s="1"/>
    </row>
    <row r="1529" spans="1:12" ht="12" customHeight="1" x14ac:dyDescent="0.25">
      <c r="A1529" s="15">
        <v>44254</v>
      </c>
      <c r="B1529" s="16" t="s">
        <v>675</v>
      </c>
      <c r="C1529" s="16" t="s">
        <v>324</v>
      </c>
      <c r="D1529" s="16" t="str">
        <f>VLOOKUP(C1529,[1]master_data!$A$2:$E$495,2,FALSE)</f>
        <v>GOLDEN BLACK</v>
      </c>
      <c r="E1529" s="16">
        <v>15</v>
      </c>
      <c r="F1529" s="16">
        <f>VLOOKUP(C1529,[1]master_data!$A$2:$E$495,3,FALSE)</f>
        <v>800</v>
      </c>
      <c r="G1529" s="16">
        <f>VLOOKUP(C1529,[1]master_data!$A$2:$E$495,4,FALSE)</f>
        <v>2000</v>
      </c>
      <c r="H1529" s="16">
        <f>E1529*F1529</f>
        <v>12000</v>
      </c>
      <c r="I1529" s="16">
        <f>E1529*G1529</f>
        <v>30000</v>
      </c>
      <c r="J1529" s="16">
        <f>I1529-H1529</f>
        <v>18000</v>
      </c>
      <c r="K1529" s="16" t="str">
        <f>VLOOKUP(C1529,[1]master_data!$A$2:$E$495,5,FALSE)</f>
        <v>Ikan</v>
      </c>
      <c r="L1529" s="1"/>
    </row>
    <row r="1530" spans="1:12" ht="12" customHeight="1" x14ac:dyDescent="0.25">
      <c r="A1530" s="15">
        <v>44254</v>
      </c>
      <c r="B1530" s="16" t="s">
        <v>676</v>
      </c>
      <c r="C1530" s="16" t="s">
        <v>319</v>
      </c>
      <c r="D1530" s="16" t="str">
        <f>VLOOKUP(C1530,[1]master_data!$A$2:$E$495,2,FALSE)</f>
        <v>BARBIR</v>
      </c>
      <c r="E1530" s="16">
        <v>15</v>
      </c>
      <c r="F1530" s="16">
        <f>VLOOKUP(C1530,[1]master_data!$A$2:$E$495,3,FALSE)</f>
        <v>800</v>
      </c>
      <c r="G1530" s="16">
        <f>VLOOKUP(C1530,[1]master_data!$A$2:$E$495,4,FALSE)</f>
        <v>2000</v>
      </c>
      <c r="H1530" s="16">
        <f>E1530*F1530</f>
        <v>12000</v>
      </c>
      <c r="I1530" s="16">
        <f>E1530*G1530</f>
        <v>30000</v>
      </c>
      <c r="J1530" s="16">
        <f>I1530-H1530</f>
        <v>18000</v>
      </c>
      <c r="K1530" s="16" t="str">
        <f>VLOOKUP(C1530,[1]master_data!$A$2:$E$495,5,FALSE)</f>
        <v>Ikan</v>
      </c>
      <c r="L1530" s="1"/>
    </row>
    <row r="1531" spans="1:12" ht="12" customHeight="1" x14ac:dyDescent="0.25">
      <c r="A1531" s="15">
        <v>44254</v>
      </c>
      <c r="B1531" s="16" t="s">
        <v>677</v>
      </c>
      <c r="C1531" s="16" t="s">
        <v>308</v>
      </c>
      <c r="D1531" s="16" t="str">
        <f>VLOOKUP(C1531,[1]master_data!$A$2:$E$495,2,FALSE)</f>
        <v>ARWANA SILVER B</v>
      </c>
      <c r="E1531" s="16">
        <v>1</v>
      </c>
      <c r="F1531" s="16">
        <f>VLOOKUP(C1531,[1]master_data!$A$2:$E$495,3,FALSE)</f>
        <v>300000</v>
      </c>
      <c r="G1531" s="16">
        <f>VLOOKUP(C1531,[1]master_data!$A$2:$E$495,4,FALSE)</f>
        <v>500000</v>
      </c>
      <c r="H1531" s="16">
        <f>E1531*F1531</f>
        <v>300000</v>
      </c>
      <c r="I1531" s="16">
        <f>E1531*G1531</f>
        <v>500000</v>
      </c>
      <c r="J1531" s="16">
        <f>I1531-H1531</f>
        <v>200000</v>
      </c>
      <c r="K1531" s="16" t="str">
        <f>VLOOKUP(C1531,[1]master_data!$A$2:$E$495,5,FALSE)</f>
        <v>Ikan</v>
      </c>
      <c r="L1531" s="1"/>
    </row>
    <row r="1532" spans="1:12" ht="12" customHeight="1" x14ac:dyDescent="0.25">
      <c r="A1532" s="15">
        <v>44254</v>
      </c>
      <c r="B1532" s="16" t="s">
        <v>678</v>
      </c>
      <c r="C1532" s="16" t="s">
        <v>351</v>
      </c>
      <c r="D1532" s="16" t="str">
        <f>VLOOKUP(C1532,[1]master_data!$A$2:$E$495,2,FALSE)</f>
        <v>NEON</v>
      </c>
      <c r="E1532" s="16">
        <v>5</v>
      </c>
      <c r="F1532" s="16">
        <f>VLOOKUP(C1532,[1]master_data!$A$2:$E$495,3,FALSE)</f>
        <v>1250</v>
      </c>
      <c r="G1532" s="16">
        <f>VLOOKUP(C1532,[1]master_data!$A$2:$E$495,4,FALSE)</f>
        <v>5000</v>
      </c>
      <c r="H1532" s="16">
        <f>E1532*F1532</f>
        <v>6250</v>
      </c>
      <c r="I1532" s="16">
        <f>E1532*G1532</f>
        <v>25000</v>
      </c>
      <c r="J1532" s="16">
        <f>I1532-H1532</f>
        <v>18750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44253</v>
      </c>
      <c r="B1533" s="16" t="s">
        <v>667</v>
      </c>
      <c r="C1533" s="16" t="s">
        <v>340</v>
      </c>
      <c r="D1533" s="16" t="str">
        <f>VLOOKUP(C1533,[1]master_data!$A$2:$E$495,2,FALSE)</f>
        <v>LEMON</v>
      </c>
      <c r="E1533" s="16">
        <v>10</v>
      </c>
      <c r="F1533" s="16">
        <f>VLOOKUP(C1533,[1]master_data!$A$2:$E$495,3,FALSE)</f>
        <v>1000</v>
      </c>
      <c r="G1533" s="16">
        <f>VLOOKUP(C1533,[1]master_data!$A$2:$E$495,4,FALSE)</f>
        <v>2000</v>
      </c>
      <c r="H1533" s="16">
        <f>E1533*F1533</f>
        <v>10000</v>
      </c>
      <c r="I1533" s="16">
        <f>E1533*G1533</f>
        <v>20000</v>
      </c>
      <c r="J1533" s="16">
        <f>I1533-H1533</f>
        <v>10000</v>
      </c>
      <c r="K1533" s="16" t="str">
        <f>VLOOKUP(C1533,[1]master_data!$A$2:$E$495,5,FALSE)</f>
        <v>Ikan</v>
      </c>
      <c r="L1533" s="1"/>
    </row>
    <row r="1534" spans="1:12" ht="12" customHeight="1" x14ac:dyDescent="0.25">
      <c r="A1534" s="15">
        <v>44253</v>
      </c>
      <c r="B1534" s="16" t="s">
        <v>668</v>
      </c>
      <c r="C1534" s="16" t="s">
        <v>338</v>
      </c>
      <c r="D1534" s="16" t="str">
        <f>VLOOKUP(C1534,[1]master_data!$A$2:$E$495,2,FALSE)</f>
        <v>CAROLINE</v>
      </c>
      <c r="E1534" s="16">
        <v>10</v>
      </c>
      <c r="F1534" s="16">
        <f>VLOOKUP(C1534,[1]master_data!$A$2:$E$495,3,FALSE)</f>
        <v>900</v>
      </c>
      <c r="G1534" s="16">
        <f>VLOOKUP(C1534,[1]master_data!$A$2:$E$495,4,FALSE)</f>
        <v>2000</v>
      </c>
      <c r="H1534" s="16">
        <f>E1534*F1534</f>
        <v>9000</v>
      </c>
      <c r="I1534" s="16">
        <f>E1534*G1534</f>
        <v>20000</v>
      </c>
      <c r="J1534" s="16">
        <f>I1534-H1534</f>
        <v>11000</v>
      </c>
      <c r="K1534" s="16" t="str">
        <f>VLOOKUP(C1534,[1]master_data!$A$2:$E$495,5,FALSE)</f>
        <v>Ikan</v>
      </c>
      <c r="L1534" s="1"/>
    </row>
    <row r="1535" spans="1:12" ht="12" customHeight="1" x14ac:dyDescent="0.25">
      <c r="A1535" s="15">
        <v>44253</v>
      </c>
      <c r="B1535" s="16" t="s">
        <v>669</v>
      </c>
      <c r="C1535" s="16" t="s">
        <v>54</v>
      </c>
      <c r="D1535" s="16" t="str">
        <f>VLOOKUP(C1535,[1]master_data!$A$2:$E$495,2,FALSE)</f>
        <v>MESIN ATMAN 104</v>
      </c>
      <c r="E1535" s="16">
        <v>1</v>
      </c>
      <c r="F1535" s="16">
        <f>VLOOKUP(C1535,[1]master_data!$A$2:$E$495,3,FALSE)</f>
        <v>170000</v>
      </c>
      <c r="G1535" s="16">
        <f>VLOOKUP(C1535,[1]master_data!$A$2:$E$495,4,FALSE)</f>
        <v>225000</v>
      </c>
      <c r="H1535" s="16">
        <f>E1535*F1535</f>
        <v>170000</v>
      </c>
      <c r="I1535" s="16">
        <f>E1535*G1535</f>
        <v>225000</v>
      </c>
      <c r="J1535" s="16">
        <f>I1535-H1535</f>
        <v>55000</v>
      </c>
      <c r="K1535" s="16" t="str">
        <f>VLOOKUP(C1535,[1]master_data!$A$2:$E$495,5,FALSE)</f>
        <v>Aksesoris</v>
      </c>
      <c r="L1535" s="1"/>
    </row>
    <row r="1536" spans="1:12" ht="12" customHeight="1" x14ac:dyDescent="0.25">
      <c r="A1536" s="15">
        <v>44253</v>
      </c>
      <c r="B1536" s="16" t="s">
        <v>670</v>
      </c>
      <c r="C1536" s="16" t="s">
        <v>338</v>
      </c>
      <c r="D1536" s="16" t="str">
        <f>VLOOKUP(C1536,[1]master_data!$A$2:$E$495,2,FALSE)</f>
        <v>CAROLINE</v>
      </c>
      <c r="E1536" s="16">
        <v>25</v>
      </c>
      <c r="F1536" s="16">
        <f>VLOOKUP(C1536,[1]master_data!$A$2:$E$495,3,FALSE)</f>
        <v>900</v>
      </c>
      <c r="G1536" s="16">
        <f>VLOOKUP(C1536,[1]master_data!$A$2:$E$495,4,FALSE)</f>
        <v>2000</v>
      </c>
      <c r="H1536" s="16">
        <f>E1536*F1536</f>
        <v>22500</v>
      </c>
      <c r="I1536" s="16">
        <f>E1536*G1536</f>
        <v>50000</v>
      </c>
      <c r="J1536" s="16">
        <f>I1536-H1536</f>
        <v>27500</v>
      </c>
      <c r="K1536" s="16" t="str">
        <f>VLOOKUP(C1536,[1]master_data!$A$2:$E$495,5,FALSE)</f>
        <v>Ikan</v>
      </c>
      <c r="L1536" s="1"/>
    </row>
    <row r="1537" spans="1:12" ht="12" customHeight="1" x14ac:dyDescent="0.25">
      <c r="A1537" s="15">
        <v>44253</v>
      </c>
      <c r="B1537" s="16" t="s">
        <v>671</v>
      </c>
      <c r="C1537" s="16" t="s">
        <v>222</v>
      </c>
      <c r="D1537" s="16" t="str">
        <f>VLOOKUP(C1537,[1]master_data!$A$2:$E$495,2,FALSE)</f>
        <v>JARING 20</v>
      </c>
      <c r="E1537" s="16">
        <v>10</v>
      </c>
      <c r="F1537" s="16">
        <f>VLOOKUP(C1537,[1]master_data!$A$2:$E$495,3,FALSE)</f>
        <v>5600</v>
      </c>
      <c r="G1537" s="16">
        <f>VLOOKUP(C1537,[1]master_data!$A$2:$E$495,4,FALSE)</f>
        <v>10000</v>
      </c>
      <c r="H1537" s="16">
        <f>E1537*F1537</f>
        <v>56000</v>
      </c>
      <c r="I1537" s="16">
        <f>E1537*G1537</f>
        <v>100000</v>
      </c>
      <c r="J1537" s="16">
        <f>I1537-H1537</f>
        <v>44000</v>
      </c>
      <c r="K1537" s="16" t="str">
        <f>VLOOKUP(C1537,[1]master_data!$A$2:$E$495,5,FALSE)</f>
        <v>Aksesoris</v>
      </c>
      <c r="L1537" s="1"/>
    </row>
    <row r="1538" spans="1:12" ht="12" customHeight="1" x14ac:dyDescent="0.25">
      <c r="A1538" s="15">
        <v>44253</v>
      </c>
      <c r="B1538" s="16" t="s">
        <v>672</v>
      </c>
      <c r="C1538" s="16" t="s">
        <v>199</v>
      </c>
      <c r="D1538" s="16" t="str">
        <f>VLOOKUP(C1538,[1]master_data!$A$2:$E$495,2,FALSE)</f>
        <v>AIRSTONE 60</v>
      </c>
      <c r="E1538" s="16">
        <v>5</v>
      </c>
      <c r="F1538" s="16">
        <f>VLOOKUP(C1538,[1]master_data!$A$2:$E$495,3,FALSE)</f>
        <v>8000</v>
      </c>
      <c r="G1538" s="16">
        <f>VLOOKUP(C1538,[1]master_data!$A$2:$E$495,4,FALSE)</f>
        <v>17000</v>
      </c>
      <c r="H1538" s="16">
        <f>E1538*F1538</f>
        <v>40000</v>
      </c>
      <c r="I1538" s="16">
        <f>E1538*G1538</f>
        <v>85000</v>
      </c>
      <c r="J1538" s="16">
        <f>I1538-H1538</f>
        <v>45000</v>
      </c>
      <c r="K1538" s="16" t="str">
        <f>VLOOKUP(C1538,[1]master_data!$A$2:$E$495,5,FALSE)</f>
        <v>Aksesoris</v>
      </c>
      <c r="L1538" s="1"/>
    </row>
    <row r="1539" spans="1:12" ht="12" customHeight="1" x14ac:dyDescent="0.25">
      <c r="A1539" s="15">
        <v>44253</v>
      </c>
      <c r="B1539" s="16" t="s">
        <v>673</v>
      </c>
      <c r="C1539" s="16" t="s">
        <v>340</v>
      </c>
      <c r="D1539" s="16" t="str">
        <f>VLOOKUP(C1539,[1]master_data!$A$2:$E$495,2,FALSE)</f>
        <v>LEMON</v>
      </c>
      <c r="E1539" s="16">
        <v>25</v>
      </c>
      <c r="F1539" s="16">
        <f>VLOOKUP(C1539,[1]master_data!$A$2:$E$495,3,FALSE)</f>
        <v>1000</v>
      </c>
      <c r="G1539" s="16">
        <f>VLOOKUP(C1539,[1]master_data!$A$2:$E$495,4,FALSE)</f>
        <v>2000</v>
      </c>
      <c r="H1539" s="16">
        <f>E1539*F1539</f>
        <v>25000</v>
      </c>
      <c r="I1539" s="16">
        <f>E1539*G1539</f>
        <v>50000</v>
      </c>
      <c r="J1539" s="16">
        <f>I1539-H1539</f>
        <v>25000</v>
      </c>
      <c r="K1539" s="16" t="str">
        <f>VLOOKUP(C1539,[1]master_data!$A$2:$E$495,5,FALSE)</f>
        <v>Ikan</v>
      </c>
      <c r="L1539" s="1"/>
    </row>
    <row r="1540" spans="1:12" ht="12" customHeight="1" x14ac:dyDescent="0.25">
      <c r="A1540" s="15">
        <v>44253</v>
      </c>
      <c r="B1540" s="16" t="s">
        <v>674</v>
      </c>
      <c r="C1540" s="16" t="s">
        <v>293</v>
      </c>
      <c r="D1540" s="16" t="str">
        <f>VLOOKUP(C1540,[1]master_data!$A$2:$E$495,2,FALSE)</f>
        <v>PASIR MERAH K</v>
      </c>
      <c r="E1540" s="16">
        <v>19</v>
      </c>
      <c r="F1540" s="16">
        <f>VLOOKUP(C1540,[1]master_data!$A$2:$E$495,3,FALSE)</f>
        <v>2500</v>
      </c>
      <c r="G1540" s="16">
        <f>VLOOKUP(C1540,[1]master_data!$A$2:$E$495,4,FALSE)</f>
        <v>5000</v>
      </c>
      <c r="H1540" s="16">
        <f>E1540*F1540</f>
        <v>47500</v>
      </c>
      <c r="I1540" s="16">
        <f>E1540*G1540</f>
        <v>95000</v>
      </c>
      <c r="J1540" s="16">
        <f>I1540-H1540</f>
        <v>47500</v>
      </c>
      <c r="K1540" s="16" t="str">
        <f>VLOOKUP(C1540,[1]master_data!$A$2:$E$495,5,FALSE)</f>
        <v>Aksesoris</v>
      </c>
      <c r="L1540" s="1"/>
    </row>
    <row r="1541" spans="1:12" ht="12" customHeight="1" x14ac:dyDescent="0.25">
      <c r="A1541" s="15">
        <v>44252</v>
      </c>
      <c r="B1541" s="16" t="s">
        <v>662</v>
      </c>
      <c r="C1541" s="16" t="s">
        <v>323</v>
      </c>
      <c r="D1541" s="16" t="str">
        <f>VLOOKUP(C1541,[1]master_data!$A$2:$E$495,2,FALSE)</f>
        <v>GUPY</v>
      </c>
      <c r="E1541" s="16">
        <v>30</v>
      </c>
      <c r="F1541" s="16">
        <f>VLOOKUP(C1541,[1]master_data!$A$2:$E$495,3,FALSE)</f>
        <v>1200</v>
      </c>
      <c r="G1541" s="16">
        <f>VLOOKUP(C1541,[1]master_data!$A$2:$E$495,4,FALSE)</f>
        <v>2500</v>
      </c>
      <c r="H1541" s="16">
        <f>E1541*F1541</f>
        <v>36000</v>
      </c>
      <c r="I1541" s="16">
        <f>E1541*G1541</f>
        <v>75000</v>
      </c>
      <c r="J1541" s="16">
        <f>I1541-H1541</f>
        <v>39000</v>
      </c>
      <c r="K1541" s="16" t="str">
        <f>VLOOKUP(C1541,[1]master_data!$A$2:$E$495,5,FALSE)</f>
        <v>Ikan</v>
      </c>
      <c r="L1541" s="1"/>
    </row>
    <row r="1542" spans="1:12" ht="12" customHeight="1" x14ac:dyDescent="0.25">
      <c r="A1542" s="15">
        <v>44252</v>
      </c>
      <c r="B1542" s="16" t="s">
        <v>663</v>
      </c>
      <c r="C1542" s="16" t="s">
        <v>326</v>
      </c>
      <c r="D1542" s="16" t="str">
        <f>VLOOKUP(C1542,[1]master_data!$A$2:$E$495,2,FALSE)</f>
        <v>KOKI K</v>
      </c>
      <c r="E1542" s="16">
        <v>10</v>
      </c>
      <c r="F1542" s="16">
        <f>VLOOKUP(C1542,[1]master_data!$A$2:$E$495,3,FALSE)</f>
        <v>3500</v>
      </c>
      <c r="G1542" s="16">
        <f>VLOOKUP(C1542,[1]master_data!$A$2:$E$495,4,FALSE)</f>
        <v>10000</v>
      </c>
      <c r="H1542" s="16">
        <f>E1542*F1542</f>
        <v>35000</v>
      </c>
      <c r="I1542" s="16">
        <f>E1542*G1542</f>
        <v>100000</v>
      </c>
      <c r="J1542" s="16">
        <f>I1542-H1542</f>
        <v>65000</v>
      </c>
      <c r="K1542" s="16" t="str">
        <f>VLOOKUP(C1542,[1]master_data!$A$2:$E$495,5,FALSE)</f>
        <v>Ikan</v>
      </c>
      <c r="L1542" s="1"/>
    </row>
    <row r="1543" spans="1:12" ht="12" customHeight="1" x14ac:dyDescent="0.25">
      <c r="A1543" s="15">
        <v>44252</v>
      </c>
      <c r="B1543" s="16" t="s">
        <v>664</v>
      </c>
      <c r="C1543" s="16" t="s">
        <v>329</v>
      </c>
      <c r="D1543" s="16" t="str">
        <f>VLOOKUP(C1543,[1]master_data!$A$2:$E$495,2,FALSE)</f>
        <v>KOI K</v>
      </c>
      <c r="E1543" s="16">
        <v>22</v>
      </c>
      <c r="F1543" s="16">
        <f>VLOOKUP(C1543,[1]master_data!$A$2:$E$495,3,FALSE)</f>
        <v>2500</v>
      </c>
      <c r="G1543" s="16">
        <f>VLOOKUP(C1543,[1]master_data!$A$2:$E$495,4,FALSE)</f>
        <v>10000</v>
      </c>
      <c r="H1543" s="16">
        <f>E1543*F1543</f>
        <v>55000</v>
      </c>
      <c r="I1543" s="16">
        <f>E1543*G1543</f>
        <v>220000</v>
      </c>
      <c r="J1543" s="16">
        <f>I1543-H1543</f>
        <v>165000</v>
      </c>
      <c r="K1543" s="16" t="str">
        <f>VLOOKUP(C1543,[1]master_data!$A$2:$E$495,5,FALSE)</f>
        <v>Ikan</v>
      </c>
      <c r="L1543" s="1"/>
    </row>
    <row r="1544" spans="1:12" ht="12" customHeight="1" x14ac:dyDescent="0.25">
      <c r="A1544" s="15">
        <v>44252</v>
      </c>
      <c r="B1544" s="16" t="s">
        <v>665</v>
      </c>
      <c r="C1544" s="16" t="s">
        <v>312</v>
      </c>
      <c r="D1544" s="16" t="str">
        <f>VLOOKUP(C1544,[1]master_data!$A$2:$E$495,2,FALSE)</f>
        <v>BUENOS AIRES TETRA</v>
      </c>
      <c r="E1544" s="16">
        <v>5</v>
      </c>
      <c r="F1544" s="16">
        <f>VLOOKUP(C1544,[1]master_data!$A$2:$E$495,3,FALSE)</f>
        <v>800</v>
      </c>
      <c r="G1544" s="16">
        <f>VLOOKUP(C1544,[1]master_data!$A$2:$E$495,4,FALSE)</f>
        <v>2000</v>
      </c>
      <c r="H1544" s="16">
        <f>E1544*F1544</f>
        <v>4000</v>
      </c>
      <c r="I1544" s="16">
        <f>E1544*G1544</f>
        <v>10000</v>
      </c>
      <c r="J1544" s="16">
        <f>I1544-H1544</f>
        <v>6000</v>
      </c>
      <c r="K1544" s="16" t="str">
        <f>VLOOKUP(C1544,[1]master_data!$A$2:$E$495,5,FALSE)</f>
        <v>Ikan</v>
      </c>
      <c r="L1544" s="1"/>
    </row>
    <row r="1545" spans="1:12" ht="12" customHeight="1" x14ac:dyDescent="0.25">
      <c r="A1545" s="15">
        <v>44252</v>
      </c>
      <c r="B1545" s="16" t="s">
        <v>666</v>
      </c>
      <c r="C1545" s="16" t="s">
        <v>288</v>
      </c>
      <c r="D1545" s="16" t="str">
        <f>VLOOKUP(C1545,[1]master_data!$A$2:$E$495,2,FALSE)</f>
        <v>SOLITER B1</v>
      </c>
      <c r="E1545" s="16">
        <v>1</v>
      </c>
      <c r="F1545" s="16">
        <f>VLOOKUP(C1545,[1]master_data!$A$2:$E$495,3,FALSE)</f>
        <v>45000</v>
      </c>
      <c r="G1545" s="16">
        <f>VLOOKUP(C1545,[1]master_data!$A$2:$E$495,4,FALSE)</f>
        <v>60000</v>
      </c>
      <c r="H1545" s="16">
        <f>E1545*F1545</f>
        <v>45000</v>
      </c>
      <c r="I1545" s="16">
        <f>E1545*G1545</f>
        <v>60000</v>
      </c>
      <c r="J1545" s="16">
        <f>I1545-H1545</f>
        <v>15000</v>
      </c>
      <c r="K1545" s="16" t="str">
        <f>VLOOKUP(C1545,[1]master_data!$A$2:$E$495,5,FALSE)</f>
        <v>Aksesoris</v>
      </c>
      <c r="L1545" s="1"/>
    </row>
    <row r="1546" spans="1:12" ht="12" customHeight="1" x14ac:dyDescent="0.25">
      <c r="A1546" s="15">
        <v>44251</v>
      </c>
      <c r="B1546" s="16" t="s">
        <v>656</v>
      </c>
      <c r="C1546" s="16" t="s">
        <v>288</v>
      </c>
      <c r="D1546" s="16" t="str">
        <f>VLOOKUP(C1546,[1]master_data!$A$2:$E$495,2,FALSE)</f>
        <v>SOLITER B1</v>
      </c>
      <c r="E1546" s="16">
        <v>2</v>
      </c>
      <c r="F1546" s="16">
        <f>VLOOKUP(C1546,[1]master_data!$A$2:$E$495,3,FALSE)</f>
        <v>45000</v>
      </c>
      <c r="G1546" s="16">
        <f>VLOOKUP(C1546,[1]master_data!$A$2:$E$495,4,FALSE)</f>
        <v>60000</v>
      </c>
      <c r="H1546" s="16">
        <f>E1546*F1546</f>
        <v>90000</v>
      </c>
      <c r="I1546" s="16">
        <f>E1546*G1546</f>
        <v>120000</v>
      </c>
      <c r="J1546" s="16">
        <f>I1546-H1546</f>
        <v>30000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44251</v>
      </c>
      <c r="B1547" s="16" t="s">
        <v>657</v>
      </c>
      <c r="C1547" s="16" t="s">
        <v>345</v>
      </c>
      <c r="D1547" s="16" t="str">
        <f>VLOOKUP(C1547,[1]master_data!$A$2:$E$495,2,FALSE)</f>
        <v>MARU B</v>
      </c>
      <c r="E1547" s="16">
        <v>2</v>
      </c>
      <c r="F1547" s="16">
        <f>VLOOKUP(C1547,[1]master_data!$A$2:$E$495,3,FALSE)</f>
        <v>90000</v>
      </c>
      <c r="G1547" s="16">
        <f>VLOOKUP(C1547,[1]master_data!$A$2:$E$495,4,FALSE)</f>
        <v>150000</v>
      </c>
      <c r="H1547" s="16">
        <f>E1547*F1547</f>
        <v>180000</v>
      </c>
      <c r="I1547" s="16">
        <f>E1547*G1547</f>
        <v>300000</v>
      </c>
      <c r="J1547" s="16">
        <f>I1547-H1547</f>
        <v>120000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44251</v>
      </c>
      <c r="B1548" s="16" t="s">
        <v>658</v>
      </c>
      <c r="C1548" s="16" t="s">
        <v>100</v>
      </c>
      <c r="D1548" s="16" t="str">
        <f>VLOOKUP(C1548,[1]master_data!$A$2:$E$495,2,FALSE)</f>
        <v>LED ROSTON 50 CM</v>
      </c>
      <c r="E1548" s="16">
        <v>5</v>
      </c>
      <c r="F1548" s="16">
        <f>VLOOKUP(C1548,[1]master_data!$A$2:$E$495,3,FALSE)</f>
        <v>27000</v>
      </c>
      <c r="G1548" s="16">
        <f>VLOOKUP(C1548,[1]master_data!$A$2:$E$495,4,FALSE)</f>
        <v>50000</v>
      </c>
      <c r="H1548" s="16">
        <f>E1548*F1548</f>
        <v>135000</v>
      </c>
      <c r="I1548" s="16">
        <f>E1548*G1548</f>
        <v>250000</v>
      </c>
      <c r="J1548" s="16">
        <f>I1548-H1548</f>
        <v>115000</v>
      </c>
      <c r="K1548" s="16" t="str">
        <f>VLOOKUP(C1548,[1]master_data!$A$2:$E$495,5,FALSE)</f>
        <v>Aksesoris</v>
      </c>
      <c r="L1548" s="1"/>
    </row>
    <row r="1549" spans="1:12" ht="12" customHeight="1" x14ac:dyDescent="0.25">
      <c r="A1549" s="15">
        <v>44251</v>
      </c>
      <c r="B1549" s="16" t="s">
        <v>659</v>
      </c>
      <c r="C1549" s="16" t="s">
        <v>348</v>
      </c>
      <c r="D1549" s="16" t="str">
        <f>VLOOKUP(C1549,[1]master_data!$A$2:$E$495,2,FALSE)</f>
        <v>NIASA</v>
      </c>
      <c r="E1549" s="16">
        <v>17</v>
      </c>
      <c r="F1549" s="16">
        <f>VLOOKUP(C1549,[1]master_data!$A$2:$E$495,3,FALSE)</f>
        <v>900</v>
      </c>
      <c r="G1549" s="16">
        <f>VLOOKUP(C1549,[1]master_data!$A$2:$E$495,4,FALSE)</f>
        <v>2000</v>
      </c>
      <c r="H1549" s="16">
        <f>E1549*F1549</f>
        <v>15300</v>
      </c>
      <c r="I1549" s="16">
        <f>E1549*G1549</f>
        <v>34000</v>
      </c>
      <c r="J1549" s="16">
        <f>I1549-H1549</f>
        <v>18700</v>
      </c>
      <c r="K1549" s="16" t="str">
        <f>VLOOKUP(C1549,[1]master_data!$A$2:$E$495,5,FALSE)</f>
        <v>Ikan</v>
      </c>
      <c r="L1549" s="1"/>
    </row>
    <row r="1550" spans="1:12" ht="12" customHeight="1" x14ac:dyDescent="0.25">
      <c r="A1550" s="15">
        <v>44251</v>
      </c>
      <c r="B1550" s="16" t="s">
        <v>660</v>
      </c>
      <c r="C1550" s="16" t="s">
        <v>318</v>
      </c>
      <c r="D1550" s="16" t="str">
        <f>VLOOKUP(C1550,[1]master_data!$A$2:$E$495,2,FALSE)</f>
        <v>KOMET BOKIM</v>
      </c>
      <c r="E1550" s="16">
        <v>2</v>
      </c>
      <c r="F1550" s="16">
        <f>VLOOKUP(C1550,[1]master_data!$A$2:$E$495,3,FALSE)</f>
        <v>1500</v>
      </c>
      <c r="G1550" s="16">
        <f>VLOOKUP(C1550,[1]master_data!$A$2:$E$495,4,FALSE)</f>
        <v>5000</v>
      </c>
      <c r="H1550" s="16">
        <f>E1550*F1550</f>
        <v>3000</v>
      </c>
      <c r="I1550" s="16">
        <f>E1550*G1550</f>
        <v>10000</v>
      </c>
      <c r="J1550" s="16">
        <f>I1550-H1550</f>
        <v>7000</v>
      </c>
      <c r="K1550" s="16" t="str">
        <f>VLOOKUP(C1550,[1]master_data!$A$2:$E$495,5,FALSE)</f>
        <v>Ikan</v>
      </c>
      <c r="L1550" s="1"/>
    </row>
    <row r="1551" spans="1:12" ht="12" customHeight="1" x14ac:dyDescent="0.25">
      <c r="A1551" s="15">
        <v>44251</v>
      </c>
      <c r="B1551" s="16" t="s">
        <v>661</v>
      </c>
      <c r="C1551" s="16" t="s">
        <v>343</v>
      </c>
      <c r="D1551" s="16" t="str">
        <f>VLOOKUP(C1551,[1]master_data!$A$2:$E$495,2,FALSE)</f>
        <v>MANFISH K</v>
      </c>
      <c r="E1551" s="16">
        <v>1</v>
      </c>
      <c r="F1551" s="16">
        <f>VLOOKUP(C1551,[1]master_data!$A$2:$E$495,3,FALSE)</f>
        <v>2000</v>
      </c>
      <c r="G1551" s="16">
        <f>VLOOKUP(C1551,[1]master_data!$A$2:$E$495,4,FALSE)</f>
        <v>5000</v>
      </c>
      <c r="H1551" s="16">
        <f>E1551*F1551</f>
        <v>2000</v>
      </c>
      <c r="I1551" s="16">
        <f>E1551*G1551</f>
        <v>5000</v>
      </c>
      <c r="J1551" s="16">
        <f>I1551-H1551</f>
        <v>3000</v>
      </c>
      <c r="K1551" s="16" t="str">
        <f>VLOOKUP(C1551,[1]master_data!$A$2:$E$495,5,FALSE)</f>
        <v>Ikan</v>
      </c>
      <c r="L1551" s="1"/>
    </row>
    <row r="1552" spans="1:12" ht="12" customHeight="1" x14ac:dyDescent="0.25">
      <c r="A1552" s="15">
        <v>44250</v>
      </c>
      <c r="B1552" s="16" t="s">
        <v>649</v>
      </c>
      <c r="C1552" s="16" t="s">
        <v>315</v>
      </c>
      <c r="D1552" s="16" t="str">
        <f>VLOOKUP(C1552,[1]master_data!$A$2:$E$495,2,FALSE)</f>
        <v>BLACK GHOST</v>
      </c>
      <c r="E1552" s="16">
        <v>15</v>
      </c>
      <c r="F1552" s="16">
        <f>VLOOKUP(C1552,[1]master_data!$A$2:$E$495,3,FALSE)</f>
        <v>4000</v>
      </c>
      <c r="G1552" s="16">
        <f>VLOOKUP(C1552,[1]master_data!$A$2:$E$495,4,FALSE)</f>
        <v>10000</v>
      </c>
      <c r="H1552" s="16">
        <f>E1552*F1552</f>
        <v>60000</v>
      </c>
      <c r="I1552" s="16">
        <f>E1552*G1552</f>
        <v>150000</v>
      </c>
      <c r="J1552" s="16">
        <f>I1552-H1552</f>
        <v>90000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44250</v>
      </c>
      <c r="B1553" s="16" t="s">
        <v>650</v>
      </c>
      <c r="C1553" s="16" t="s">
        <v>145</v>
      </c>
      <c r="D1553" s="16" t="str">
        <f>VLOOKUP(C1553,[1]master_data!$A$2:$E$495,2,FALSE)</f>
        <v>LED KANDILA DnN 40 CM</v>
      </c>
      <c r="E1553" s="16">
        <v>2</v>
      </c>
      <c r="F1553" s="16">
        <f>VLOOKUP(C1553,[1]master_data!$A$2:$E$495,3,FALSE)</f>
        <v>30000</v>
      </c>
      <c r="G1553" s="16">
        <f>VLOOKUP(C1553,[1]master_data!$A$2:$E$495,4,FALSE)</f>
        <v>50000</v>
      </c>
      <c r="H1553" s="16">
        <f>E1553*F1553</f>
        <v>60000</v>
      </c>
      <c r="I1553" s="16">
        <f>E1553*G1553</f>
        <v>100000</v>
      </c>
      <c r="J1553" s="16">
        <f>I1553-H1553</f>
        <v>40000</v>
      </c>
      <c r="K1553" s="16" t="str">
        <f>VLOOKUP(C1553,[1]master_data!$A$2:$E$495,5,FALSE)</f>
        <v>Aksesoris</v>
      </c>
      <c r="L1553" s="1"/>
    </row>
    <row r="1554" spans="1:12" ht="12" customHeight="1" x14ac:dyDescent="0.25">
      <c r="A1554" s="15">
        <v>44250</v>
      </c>
      <c r="B1554" s="16" t="s">
        <v>651</v>
      </c>
      <c r="C1554" s="16" t="s">
        <v>324</v>
      </c>
      <c r="D1554" s="16" t="str">
        <f>VLOOKUP(C1554,[1]master_data!$A$2:$E$495,2,FALSE)</f>
        <v>GOLDEN BLACK</v>
      </c>
      <c r="E1554" s="16">
        <v>10</v>
      </c>
      <c r="F1554" s="16">
        <f>VLOOKUP(C1554,[1]master_data!$A$2:$E$495,3,FALSE)</f>
        <v>800</v>
      </c>
      <c r="G1554" s="16">
        <f>VLOOKUP(C1554,[1]master_data!$A$2:$E$495,4,FALSE)</f>
        <v>2000</v>
      </c>
      <c r="H1554" s="16">
        <f>E1554*F1554</f>
        <v>8000</v>
      </c>
      <c r="I1554" s="16">
        <f>E1554*G1554</f>
        <v>20000</v>
      </c>
      <c r="J1554" s="16">
        <f>I1554-H1554</f>
        <v>12000</v>
      </c>
      <c r="K1554" s="16" t="str">
        <f>VLOOKUP(C1554,[1]master_data!$A$2:$E$495,5,FALSE)</f>
        <v>Ikan</v>
      </c>
      <c r="L1554" s="1"/>
    </row>
    <row r="1555" spans="1:12" ht="12" customHeight="1" x14ac:dyDescent="0.25">
      <c r="A1555" s="15">
        <v>44250</v>
      </c>
      <c r="B1555" s="16" t="s">
        <v>652</v>
      </c>
      <c r="C1555" s="16" t="s">
        <v>374</v>
      </c>
      <c r="D1555" s="16" t="str">
        <f>VLOOKUP(C1555,[1]master_data!$A$2:$E$495,2,FALSE)</f>
        <v>SEPAT ALBINO</v>
      </c>
      <c r="E1555" s="16">
        <v>25</v>
      </c>
      <c r="F1555" s="16">
        <f>VLOOKUP(C1555,[1]master_data!$A$2:$E$495,3,FALSE)</f>
        <v>2000</v>
      </c>
      <c r="G1555" s="16">
        <f>VLOOKUP(C1555,[1]master_data!$A$2:$E$495,4,FALSE)</f>
        <v>5000</v>
      </c>
      <c r="H1555" s="16">
        <f>E1555*F1555</f>
        <v>50000</v>
      </c>
      <c r="I1555" s="16">
        <f>E1555*G1555</f>
        <v>125000</v>
      </c>
      <c r="J1555" s="16">
        <f>I1555-H1555</f>
        <v>75000</v>
      </c>
      <c r="K1555" s="16" t="str">
        <f>VLOOKUP(C1555,[1]master_data!$A$2:$E$495,5,FALSE)</f>
        <v>Ikan</v>
      </c>
      <c r="L1555" s="1"/>
    </row>
    <row r="1556" spans="1:12" ht="12" customHeight="1" x14ac:dyDescent="0.25">
      <c r="A1556" s="15">
        <v>44250</v>
      </c>
      <c r="B1556" s="16" t="s">
        <v>653</v>
      </c>
      <c r="C1556" s="16" t="s">
        <v>240</v>
      </c>
      <c r="D1556" s="16" t="str">
        <f>VLOOKUP(C1556,[1]master_data!$A$2:$E$495,2,FALSE)</f>
        <v>PIPA LONJOR 2 M</v>
      </c>
      <c r="E1556" s="16">
        <v>10</v>
      </c>
      <c r="F1556" s="16">
        <f>VLOOKUP(C1556,[1]master_data!$A$2:$E$495,3,FALSE)</f>
        <v>5000</v>
      </c>
      <c r="G1556" s="16">
        <f>VLOOKUP(C1556,[1]master_data!$A$2:$E$495,4,FALSE)</f>
        <v>10000</v>
      </c>
      <c r="H1556" s="16">
        <f>E1556*F1556</f>
        <v>50000</v>
      </c>
      <c r="I1556" s="16">
        <f>E1556*G1556</f>
        <v>100000</v>
      </c>
      <c r="J1556" s="16">
        <f>I1556-H1556</f>
        <v>50000</v>
      </c>
      <c r="K1556" s="16" t="str">
        <f>VLOOKUP(C1556,[1]master_data!$A$2:$E$495,5,FALSE)</f>
        <v>Aksesoris</v>
      </c>
      <c r="L1556" s="1"/>
    </row>
    <row r="1557" spans="1:12" ht="12" customHeight="1" x14ac:dyDescent="0.25">
      <c r="A1557" s="15">
        <v>44250</v>
      </c>
      <c r="B1557" s="16" t="s">
        <v>654</v>
      </c>
      <c r="C1557" s="16" t="s">
        <v>91</v>
      </c>
      <c r="D1557" s="16" t="str">
        <f>VLOOKUP(C1557,[1]master_data!$A$2:$E$495,2,FALSE)</f>
        <v>AIRATOR ARMADA BATERAI 001</v>
      </c>
      <c r="E1557" s="16">
        <v>1</v>
      </c>
      <c r="F1557" s="16">
        <f>VLOOKUP(C1557,[1]master_data!$A$2:$E$495,3,FALSE)</f>
        <v>27000</v>
      </c>
      <c r="G1557" s="16">
        <f>VLOOKUP(C1557,[1]master_data!$A$2:$E$495,4,FALSE)</f>
        <v>45000</v>
      </c>
      <c r="H1557" s="16">
        <f>E1557*F1557</f>
        <v>27000</v>
      </c>
      <c r="I1557" s="16">
        <f>E1557*G1557</f>
        <v>45000</v>
      </c>
      <c r="J1557" s="16">
        <f>I1557-H1557</f>
        <v>18000</v>
      </c>
      <c r="K1557" s="16" t="str">
        <f>VLOOKUP(C1557,[1]master_data!$A$2:$E$495,5,FALSE)</f>
        <v>Aksesoris</v>
      </c>
      <c r="L1557" s="1"/>
    </row>
    <row r="1558" spans="1:12" ht="12" customHeight="1" x14ac:dyDescent="0.25">
      <c r="A1558" s="15">
        <v>44250</v>
      </c>
      <c r="B1558" s="16" t="s">
        <v>655</v>
      </c>
      <c r="C1558" s="16" t="s">
        <v>335</v>
      </c>
      <c r="D1558" s="16" t="str">
        <f>VLOOKUP(C1558,[1]master_data!$A$2:$E$495,2,FALSE)</f>
        <v>KOMET SLAYER</v>
      </c>
      <c r="E1558" s="16">
        <v>2</v>
      </c>
      <c r="F1558" s="16">
        <f>VLOOKUP(C1558,[1]master_data!$A$2:$E$495,3,FALSE)</f>
        <v>2000</v>
      </c>
      <c r="G1558" s="16">
        <f>VLOOKUP(C1558,[1]master_data!$A$2:$E$495,4,FALSE)</f>
        <v>5000</v>
      </c>
      <c r="H1558" s="16">
        <f>E1558*F1558</f>
        <v>4000</v>
      </c>
      <c r="I1558" s="16">
        <f>E1558*G1558</f>
        <v>10000</v>
      </c>
      <c r="J1558" s="16">
        <f>I1558-H1558</f>
        <v>6000</v>
      </c>
      <c r="K1558" s="16" t="str">
        <f>VLOOKUP(C1558,[1]master_data!$A$2:$E$495,5,FALSE)</f>
        <v>Ikan</v>
      </c>
      <c r="L1558" s="1"/>
    </row>
    <row r="1559" spans="1:12" ht="12" customHeight="1" x14ac:dyDescent="0.25">
      <c r="A1559" s="15">
        <v>44249</v>
      </c>
      <c r="B1559" s="16" t="s">
        <v>646</v>
      </c>
      <c r="C1559" s="16" t="s">
        <v>348</v>
      </c>
      <c r="D1559" s="16" t="str">
        <f>VLOOKUP(C1559,[1]master_data!$A$2:$E$495,2,FALSE)</f>
        <v>NIASA</v>
      </c>
      <c r="E1559" s="16">
        <v>30</v>
      </c>
      <c r="F1559" s="16">
        <f>VLOOKUP(C1559,[1]master_data!$A$2:$E$495,3,FALSE)</f>
        <v>900</v>
      </c>
      <c r="G1559" s="16">
        <f>VLOOKUP(C1559,[1]master_data!$A$2:$E$495,4,FALSE)</f>
        <v>2000</v>
      </c>
      <c r="H1559" s="16">
        <f>E1559*F1559</f>
        <v>27000</v>
      </c>
      <c r="I1559" s="16">
        <f>E1559*G1559</f>
        <v>60000</v>
      </c>
      <c r="J1559" s="16">
        <f>I1559-H1559</f>
        <v>33000</v>
      </c>
      <c r="K1559" s="16" t="str">
        <f>VLOOKUP(C1559,[1]master_data!$A$2:$E$495,5,FALSE)</f>
        <v>Ikan</v>
      </c>
      <c r="L1559" s="1"/>
    </row>
    <row r="1560" spans="1:12" ht="12" customHeight="1" x14ac:dyDescent="0.25">
      <c r="A1560" s="15">
        <v>44249</v>
      </c>
      <c r="B1560" s="16" t="s">
        <v>647</v>
      </c>
      <c r="C1560" s="16" t="s">
        <v>103</v>
      </c>
      <c r="D1560" s="16" t="str">
        <f>VLOOKUP(C1560,[1]master_data!$A$2:$E$495,2,FALSE)</f>
        <v>LED ROSTON 3 MODE 60 CM</v>
      </c>
      <c r="E1560" s="16">
        <v>5</v>
      </c>
      <c r="F1560" s="16">
        <f>VLOOKUP(C1560,[1]master_data!$A$2:$E$495,3,FALSE)</f>
        <v>33000</v>
      </c>
      <c r="G1560" s="16">
        <f>VLOOKUP(C1560,[1]master_data!$A$2:$E$495,4,FALSE)</f>
        <v>70000</v>
      </c>
      <c r="H1560" s="16">
        <f>E1560*F1560</f>
        <v>165000</v>
      </c>
      <c r="I1560" s="16">
        <f>E1560*G1560</f>
        <v>350000</v>
      </c>
      <c r="J1560" s="16">
        <f>I1560-H1560</f>
        <v>185000</v>
      </c>
      <c r="K1560" s="16" t="str">
        <f>VLOOKUP(C1560,[1]master_data!$A$2:$E$495,5,FALSE)</f>
        <v>Aksesoris</v>
      </c>
      <c r="L1560" s="1"/>
    </row>
    <row r="1561" spans="1:12" ht="12" customHeight="1" x14ac:dyDescent="0.25">
      <c r="A1561" s="15">
        <v>44249</v>
      </c>
      <c r="B1561" s="16" t="s">
        <v>648</v>
      </c>
      <c r="C1561" s="16" t="s">
        <v>313</v>
      </c>
      <c r="D1561" s="16" t="str">
        <f>VLOOKUP(C1561,[1]master_data!$A$2:$E$495,2,FALSE)</f>
        <v>BALA BALA K</v>
      </c>
      <c r="E1561" s="16">
        <v>15</v>
      </c>
      <c r="F1561" s="16">
        <f>VLOOKUP(C1561,[1]master_data!$A$2:$E$495,3,FALSE)</f>
        <v>4000</v>
      </c>
      <c r="G1561" s="16">
        <f>VLOOKUP(C1561,[1]master_data!$A$2:$E$495,4,FALSE)</f>
        <v>8000</v>
      </c>
      <c r="H1561" s="16">
        <f>E1561*F1561</f>
        <v>60000</v>
      </c>
      <c r="I1561" s="16">
        <f>E1561*G1561</f>
        <v>120000</v>
      </c>
      <c r="J1561" s="16">
        <f>I1561-H1561</f>
        <v>60000</v>
      </c>
      <c r="K1561" s="16" t="str">
        <f>VLOOKUP(C1561,[1]master_data!$A$2:$E$495,5,FALSE)</f>
        <v>Ikan</v>
      </c>
      <c r="L1561" s="1"/>
    </row>
    <row r="1562" spans="1:12" ht="12" customHeight="1" x14ac:dyDescent="0.25">
      <c r="A1562" s="15">
        <v>44248</v>
      </c>
      <c r="B1562" s="16" t="s">
        <v>637</v>
      </c>
      <c r="C1562" s="16" t="s">
        <v>370</v>
      </c>
      <c r="D1562" s="16" t="str">
        <f>VLOOKUP(C1562,[1]master_data!$A$2:$E$495,2,FALSE)</f>
        <v>ZEBRA HIJAU</v>
      </c>
      <c r="E1562" s="16">
        <v>15</v>
      </c>
      <c r="F1562" s="16">
        <f>VLOOKUP(C1562,[1]master_data!$A$2:$E$495,3,FALSE)</f>
        <v>800</v>
      </c>
      <c r="G1562" s="16">
        <f>VLOOKUP(C1562,[1]master_data!$A$2:$E$495,4,FALSE)</f>
        <v>2000</v>
      </c>
      <c r="H1562" s="16">
        <f>E1562*F1562</f>
        <v>12000</v>
      </c>
      <c r="I1562" s="16">
        <f>E1562*G1562</f>
        <v>30000</v>
      </c>
      <c r="J1562" s="16">
        <f>I1562-H1562</f>
        <v>18000</v>
      </c>
      <c r="K1562" s="16" t="str">
        <f>VLOOKUP(C1562,[1]master_data!$A$2:$E$495,5,FALSE)</f>
        <v>Ikan</v>
      </c>
      <c r="L1562" s="1"/>
    </row>
    <row r="1563" spans="1:12" ht="12" customHeight="1" x14ac:dyDescent="0.25">
      <c r="A1563" s="15">
        <v>44248</v>
      </c>
      <c r="B1563" s="16" t="s">
        <v>638</v>
      </c>
      <c r="C1563" s="16" t="s">
        <v>230</v>
      </c>
      <c r="D1563" s="16" t="str">
        <f>VLOOKUP(C1563,[1]master_data!$A$2:$E$495,2,FALSE)</f>
        <v>JARING 8</v>
      </c>
      <c r="E1563" s="16">
        <v>10</v>
      </c>
      <c r="F1563" s="16">
        <f>VLOOKUP(C1563,[1]master_data!$A$2:$E$495,3,FALSE)</f>
        <v>3000</v>
      </c>
      <c r="G1563" s="16">
        <f>VLOOKUP(C1563,[1]master_data!$A$2:$E$495,4,FALSE)</f>
        <v>5000</v>
      </c>
      <c r="H1563" s="16">
        <f>E1563*F1563</f>
        <v>30000</v>
      </c>
      <c r="I1563" s="16">
        <f>E1563*G1563</f>
        <v>50000</v>
      </c>
      <c r="J1563" s="16">
        <f>I1563-H1563</f>
        <v>20000</v>
      </c>
      <c r="K1563" s="16" t="str">
        <f>VLOOKUP(C1563,[1]master_data!$A$2:$E$495,5,FALSE)</f>
        <v>Aksesoris</v>
      </c>
      <c r="L1563" s="1"/>
    </row>
    <row r="1564" spans="1:12" ht="12" customHeight="1" x14ac:dyDescent="0.25">
      <c r="A1564" s="15">
        <v>44248</v>
      </c>
      <c r="B1564" s="16" t="s">
        <v>639</v>
      </c>
      <c r="C1564" s="16" t="s">
        <v>225</v>
      </c>
      <c r="D1564" s="16" t="str">
        <f>VLOOKUP(C1564,[1]master_data!$A$2:$E$495,2,FALSE)</f>
        <v>KRAN 1 W</v>
      </c>
      <c r="E1564" s="16">
        <v>10</v>
      </c>
      <c r="F1564" s="16">
        <f>VLOOKUP(C1564,[1]master_data!$A$2:$E$495,3,FALSE)</f>
        <v>1200</v>
      </c>
      <c r="G1564" s="16">
        <f>VLOOKUP(C1564,[1]master_data!$A$2:$E$495,4,FALSE)</f>
        <v>3000</v>
      </c>
      <c r="H1564" s="16">
        <f>E1564*F1564</f>
        <v>12000</v>
      </c>
      <c r="I1564" s="16">
        <f>E1564*G1564</f>
        <v>30000</v>
      </c>
      <c r="J1564" s="16">
        <f>I1564-H1564</f>
        <v>18000</v>
      </c>
      <c r="K1564" s="16" t="str">
        <f>VLOOKUP(C1564,[1]master_data!$A$2:$E$495,5,FALSE)</f>
        <v>Aksesoris</v>
      </c>
      <c r="L1564" s="1"/>
    </row>
    <row r="1565" spans="1:12" ht="12" customHeight="1" x14ac:dyDescent="0.25">
      <c r="A1565" s="15">
        <v>44248</v>
      </c>
      <c r="B1565" s="16" t="s">
        <v>640</v>
      </c>
      <c r="C1565" s="16" t="s">
        <v>309</v>
      </c>
      <c r="D1565" s="16" t="str">
        <f>VLOOKUP(C1565,[1]master_data!$A$2:$E$495,2,FALSE)</f>
        <v>ALGA EATER</v>
      </c>
      <c r="E1565" s="16">
        <v>10</v>
      </c>
      <c r="F1565" s="16">
        <f>VLOOKUP(C1565,[1]master_data!$A$2:$E$495,3,FALSE)</f>
        <v>1750</v>
      </c>
      <c r="G1565" s="16">
        <f>VLOOKUP(C1565,[1]master_data!$A$2:$E$495,4,FALSE)</f>
        <v>5000</v>
      </c>
      <c r="H1565" s="16">
        <f>E1565*F1565</f>
        <v>17500</v>
      </c>
      <c r="I1565" s="16">
        <f>E1565*G1565</f>
        <v>50000</v>
      </c>
      <c r="J1565" s="16">
        <f>I1565-H1565</f>
        <v>32500</v>
      </c>
      <c r="K1565" s="16" t="str">
        <f>VLOOKUP(C1565,[1]master_data!$A$2:$E$495,5,FALSE)</f>
        <v>Ikan</v>
      </c>
      <c r="L1565" s="1"/>
    </row>
    <row r="1566" spans="1:12" ht="12" customHeight="1" x14ac:dyDescent="0.25">
      <c r="A1566" s="15">
        <v>44248</v>
      </c>
      <c r="B1566" s="16" t="s">
        <v>641</v>
      </c>
      <c r="C1566" s="16" t="s">
        <v>337</v>
      </c>
      <c r="D1566" s="16" t="str">
        <f>VLOOKUP(C1566,[1]master_data!$A$2:$E$495,2,FALSE)</f>
        <v>KOI SLAYER B</v>
      </c>
      <c r="E1566" s="16">
        <v>5</v>
      </c>
      <c r="F1566" s="16">
        <f>VLOOKUP(C1566,[1]master_data!$A$2:$E$495,3,FALSE)</f>
        <v>8000</v>
      </c>
      <c r="G1566" s="16">
        <f>VLOOKUP(C1566,[1]master_data!$A$2:$E$495,4,FALSE)</f>
        <v>20000</v>
      </c>
      <c r="H1566" s="16">
        <f>E1566*F1566</f>
        <v>40000</v>
      </c>
      <c r="I1566" s="16">
        <f>E1566*G1566</f>
        <v>100000</v>
      </c>
      <c r="J1566" s="16">
        <f>I1566-H1566</f>
        <v>60000</v>
      </c>
      <c r="K1566" s="16" t="str">
        <f>VLOOKUP(C1566,[1]master_data!$A$2:$E$495,5,FALSE)</f>
        <v>Ikan</v>
      </c>
      <c r="L1566" s="1"/>
    </row>
    <row r="1567" spans="1:12" ht="12" customHeight="1" x14ac:dyDescent="0.25">
      <c r="A1567" s="15">
        <v>44248</v>
      </c>
      <c r="B1567" s="16" t="s">
        <v>642</v>
      </c>
      <c r="C1567" s="16" t="s">
        <v>145</v>
      </c>
      <c r="D1567" s="16" t="str">
        <f>VLOOKUP(C1567,[1]master_data!$A$2:$E$495,2,FALSE)</f>
        <v>LED KANDILA DnN 40 CM</v>
      </c>
      <c r="E1567" s="16">
        <v>1</v>
      </c>
      <c r="F1567" s="16">
        <f>VLOOKUP(C1567,[1]master_data!$A$2:$E$495,3,FALSE)</f>
        <v>30000</v>
      </c>
      <c r="G1567" s="16">
        <f>VLOOKUP(C1567,[1]master_data!$A$2:$E$495,4,FALSE)</f>
        <v>50000</v>
      </c>
      <c r="H1567" s="16">
        <f>E1567*F1567</f>
        <v>30000</v>
      </c>
      <c r="I1567" s="16">
        <f>E1567*G1567</f>
        <v>50000</v>
      </c>
      <c r="J1567" s="16">
        <f>I1567-H1567</f>
        <v>20000</v>
      </c>
      <c r="K1567" s="16" t="str">
        <f>VLOOKUP(C1567,[1]master_data!$A$2:$E$495,5,FALSE)</f>
        <v>Aksesoris</v>
      </c>
      <c r="L1567" s="1"/>
    </row>
    <row r="1568" spans="1:12" ht="12" customHeight="1" x14ac:dyDescent="0.25">
      <c r="A1568" s="15">
        <v>44248</v>
      </c>
      <c r="B1568" s="16" t="s">
        <v>643</v>
      </c>
      <c r="C1568" s="16" t="s">
        <v>316</v>
      </c>
      <c r="D1568" s="16" t="str">
        <f>VLOOKUP(C1568,[1]master_data!$A$2:$E$495,2,FALSE)</f>
        <v>CHANNA BLUE PULCHRA K</v>
      </c>
      <c r="E1568" s="16">
        <v>2</v>
      </c>
      <c r="F1568" s="16">
        <f>VLOOKUP(C1568,[1]master_data!$A$2:$E$495,3,FALSE)</f>
        <v>25000</v>
      </c>
      <c r="G1568" s="16">
        <f>VLOOKUP(C1568,[1]master_data!$A$2:$E$495,4,FALSE)</f>
        <v>50000</v>
      </c>
      <c r="H1568" s="16">
        <f>E1568*F1568</f>
        <v>50000</v>
      </c>
      <c r="I1568" s="16">
        <f>E1568*G1568</f>
        <v>100000</v>
      </c>
      <c r="J1568" s="16">
        <f>I1568-H1568</f>
        <v>50000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44248</v>
      </c>
      <c r="B1569" s="16" t="s">
        <v>644</v>
      </c>
      <c r="C1569" s="16" t="s">
        <v>113</v>
      </c>
      <c r="D1569" s="16" t="str">
        <f>VLOOKUP(C1569,[1]master_data!$A$2:$E$495,2,FALSE)</f>
        <v>LED NIKITA NS 400</v>
      </c>
      <c r="E1569" s="16">
        <v>2</v>
      </c>
      <c r="F1569" s="16">
        <f>VLOOKUP(C1569,[1]master_data!$A$2:$E$495,3,FALSE)</f>
        <v>41000</v>
      </c>
      <c r="G1569" s="16">
        <f>VLOOKUP(C1569,[1]master_data!$A$2:$E$495,4,FALSE)</f>
        <v>65000</v>
      </c>
      <c r="H1569" s="16">
        <f>E1569*F1569</f>
        <v>82000</v>
      </c>
      <c r="I1569" s="16">
        <f>E1569*G1569</f>
        <v>130000</v>
      </c>
      <c r="J1569" s="16">
        <f>I1569-H1569</f>
        <v>48000</v>
      </c>
      <c r="K1569" s="16" t="str">
        <f>VLOOKUP(C1569,[1]master_data!$A$2:$E$495,5,FALSE)</f>
        <v>Aksesoris</v>
      </c>
      <c r="L1569" s="1"/>
    </row>
    <row r="1570" spans="1:12" ht="12" customHeight="1" x14ac:dyDescent="0.25">
      <c r="A1570" s="15">
        <v>44248</v>
      </c>
      <c r="B1570" s="16" t="s">
        <v>645</v>
      </c>
      <c r="C1570" s="16" t="s">
        <v>333</v>
      </c>
      <c r="D1570" s="16" t="str">
        <f>VLOOKUP(C1570,[1]master_data!$A$2:$E$495,2,FALSE)</f>
        <v>KAVIAT</v>
      </c>
      <c r="E1570" s="16">
        <v>1</v>
      </c>
      <c r="F1570" s="16">
        <f>VLOOKUP(C1570,[1]master_data!$A$2:$E$495,3,FALSE)</f>
        <v>3500</v>
      </c>
      <c r="G1570" s="16">
        <f>VLOOKUP(C1570,[1]master_data!$A$2:$E$495,4,FALSE)</f>
        <v>8000</v>
      </c>
      <c r="H1570" s="16">
        <f>E1570*F1570</f>
        <v>3500</v>
      </c>
      <c r="I1570" s="16">
        <f>E1570*G1570</f>
        <v>8000</v>
      </c>
      <c r="J1570" s="16">
        <f>I1570-H1570</f>
        <v>4500</v>
      </c>
      <c r="K1570" s="16" t="str">
        <f>VLOOKUP(C1570,[1]master_data!$A$2:$E$495,5,FALSE)</f>
        <v>Ikan</v>
      </c>
      <c r="L1570" s="1"/>
    </row>
    <row r="1571" spans="1:12" ht="12" customHeight="1" x14ac:dyDescent="0.25">
      <c r="A1571" s="15">
        <v>44247</v>
      </c>
      <c r="B1571" s="16" t="s">
        <v>633</v>
      </c>
      <c r="C1571" s="16" t="s">
        <v>361</v>
      </c>
      <c r="D1571" s="16" t="str">
        <f>VLOOKUP(C1571,[1]master_data!$A$2:$E$495,2,FALSE)</f>
        <v>CHANNA RED BARITO B</v>
      </c>
      <c r="E1571" s="16">
        <v>1</v>
      </c>
      <c r="F1571" s="16">
        <f>VLOOKUP(C1571,[1]master_data!$A$2:$E$495,3,FALSE)</f>
        <v>120000</v>
      </c>
      <c r="G1571" s="16">
        <f>VLOOKUP(C1571,[1]master_data!$A$2:$E$495,4,FALSE)</f>
        <v>200000</v>
      </c>
      <c r="H1571" s="16">
        <f>E1571*F1571</f>
        <v>120000</v>
      </c>
      <c r="I1571" s="16">
        <f>E1571*G1571</f>
        <v>200000</v>
      </c>
      <c r="J1571" s="16">
        <f>I1571-H1571</f>
        <v>80000</v>
      </c>
      <c r="K1571" s="16" t="str">
        <f>VLOOKUP(C1571,[1]master_data!$A$2:$E$495,5,FALSE)</f>
        <v>Ikan</v>
      </c>
      <c r="L1571" s="1"/>
    </row>
    <row r="1572" spans="1:12" ht="12" customHeight="1" x14ac:dyDescent="0.25">
      <c r="A1572" s="15">
        <v>44247</v>
      </c>
      <c r="B1572" s="16" t="s">
        <v>634</v>
      </c>
      <c r="C1572" s="16" t="s">
        <v>343</v>
      </c>
      <c r="D1572" s="16" t="str">
        <f>VLOOKUP(C1572,[1]master_data!$A$2:$E$495,2,FALSE)</f>
        <v>MANFISH K</v>
      </c>
      <c r="E1572" s="16">
        <v>15</v>
      </c>
      <c r="F1572" s="16">
        <f>VLOOKUP(C1572,[1]master_data!$A$2:$E$495,3,FALSE)</f>
        <v>2000</v>
      </c>
      <c r="G1572" s="16">
        <f>VLOOKUP(C1572,[1]master_data!$A$2:$E$495,4,FALSE)</f>
        <v>5000</v>
      </c>
      <c r="H1572" s="16">
        <f>E1572*F1572</f>
        <v>30000</v>
      </c>
      <c r="I1572" s="16">
        <f>E1572*G1572</f>
        <v>75000</v>
      </c>
      <c r="J1572" s="16">
        <f>I1572-H1572</f>
        <v>45000</v>
      </c>
      <c r="K1572" s="16" t="str">
        <f>VLOOKUP(C1572,[1]master_data!$A$2:$E$495,5,FALSE)</f>
        <v>Ikan</v>
      </c>
      <c r="L1572" s="1"/>
    </row>
    <row r="1573" spans="1:12" ht="12" customHeight="1" x14ac:dyDescent="0.25">
      <c r="A1573" s="15">
        <v>44247</v>
      </c>
      <c r="B1573" s="16" t="s">
        <v>635</v>
      </c>
      <c r="C1573" s="16" t="s">
        <v>333</v>
      </c>
      <c r="D1573" s="16" t="str">
        <f>VLOOKUP(C1573,[1]master_data!$A$2:$E$495,2,FALSE)</f>
        <v>KAVIAT</v>
      </c>
      <c r="E1573" s="16">
        <v>10</v>
      </c>
      <c r="F1573" s="16">
        <f>VLOOKUP(C1573,[1]master_data!$A$2:$E$495,3,FALSE)</f>
        <v>3500</v>
      </c>
      <c r="G1573" s="16">
        <f>VLOOKUP(C1573,[1]master_data!$A$2:$E$495,4,FALSE)</f>
        <v>8000</v>
      </c>
      <c r="H1573" s="16">
        <f>E1573*F1573</f>
        <v>35000</v>
      </c>
      <c r="I1573" s="16">
        <f>E1573*G1573</f>
        <v>80000</v>
      </c>
      <c r="J1573" s="16">
        <f>I1573-H1573</f>
        <v>45000</v>
      </c>
      <c r="K1573" s="16" t="str">
        <f>VLOOKUP(C1573,[1]master_data!$A$2:$E$495,5,FALSE)</f>
        <v>Ikan</v>
      </c>
      <c r="L1573" s="1"/>
    </row>
    <row r="1574" spans="1:12" ht="12" customHeight="1" x14ac:dyDescent="0.25">
      <c r="A1574" s="15">
        <v>44247</v>
      </c>
      <c r="B1574" s="16" t="s">
        <v>636</v>
      </c>
      <c r="C1574" s="16" t="s">
        <v>196</v>
      </c>
      <c r="D1574" s="16" t="str">
        <f>VLOOKUP(C1574,[1]master_data!$A$2:$E$495,2,FALSE)</f>
        <v>MATLINE BLUE</v>
      </c>
      <c r="E1574" s="16">
        <v>16</v>
      </c>
      <c r="F1574" s="16">
        <f>VLOOKUP(C1574,[1]master_data!$A$2:$E$495,3,FALSE)</f>
        <v>7000</v>
      </c>
      <c r="G1574" s="16">
        <f>VLOOKUP(C1574,[1]master_data!$A$2:$E$495,4,FALSE)</f>
        <v>10000</v>
      </c>
      <c r="H1574" s="16">
        <f>E1574*F1574</f>
        <v>112000</v>
      </c>
      <c r="I1574" s="16">
        <f>E1574*G1574</f>
        <v>160000</v>
      </c>
      <c r="J1574" s="16">
        <f>I1574-H1574</f>
        <v>48000</v>
      </c>
      <c r="K1574" s="16" t="str">
        <f>VLOOKUP(C1574,[1]master_data!$A$2:$E$495,5,FALSE)</f>
        <v>Aksesoris</v>
      </c>
      <c r="L1574" s="1"/>
    </row>
    <row r="1575" spans="1:12" ht="12" customHeight="1" x14ac:dyDescent="0.25">
      <c r="A1575" s="15">
        <v>44246</v>
      </c>
      <c r="B1575" s="16" t="s">
        <v>628</v>
      </c>
      <c r="C1575" s="16" t="s">
        <v>11</v>
      </c>
      <c r="D1575" s="16" t="str">
        <f>VLOOKUP(C1575,[1]master_data!$A$2:$E$495,2,FALSE)</f>
        <v>MESIN YANG 103</v>
      </c>
      <c r="E1575" s="16">
        <v>2</v>
      </c>
      <c r="F1575" s="16">
        <f>VLOOKUP(C1575,[1]master_data!$A$2:$E$495,3,FALSE)</f>
        <v>66000</v>
      </c>
      <c r="G1575" s="16">
        <f>VLOOKUP(C1575,[1]master_data!$A$2:$E$495,4,FALSE)</f>
        <v>95000</v>
      </c>
      <c r="H1575" s="16">
        <f>E1575*F1575</f>
        <v>132000</v>
      </c>
      <c r="I1575" s="16">
        <f>E1575*G1575</f>
        <v>190000</v>
      </c>
      <c r="J1575" s="16">
        <f>I1575-H1575</f>
        <v>58000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44246</v>
      </c>
      <c r="B1576" s="16" t="s">
        <v>629</v>
      </c>
      <c r="C1576" s="16" t="s">
        <v>352</v>
      </c>
      <c r="D1576" s="16" t="str">
        <f>VLOOKUP(C1576,[1]master_data!$A$2:$E$495,2,FALSE)</f>
        <v>OSCAR</v>
      </c>
      <c r="E1576" s="16">
        <v>5</v>
      </c>
      <c r="F1576" s="16">
        <f>VLOOKUP(C1576,[1]master_data!$A$2:$E$495,3,FALSE)</f>
        <v>25000</v>
      </c>
      <c r="G1576" s="16">
        <f>VLOOKUP(C1576,[1]master_data!$A$2:$E$495,4,FALSE)</f>
        <v>50000</v>
      </c>
      <c r="H1576" s="16">
        <f>E1576*F1576</f>
        <v>125000</v>
      </c>
      <c r="I1576" s="16">
        <f>E1576*G1576</f>
        <v>250000</v>
      </c>
      <c r="J1576" s="16">
        <f>I1576-H1576</f>
        <v>125000</v>
      </c>
      <c r="K1576" s="16" t="str">
        <f>VLOOKUP(C1576,[1]master_data!$A$2:$E$495,5,FALSE)</f>
        <v>Ikan</v>
      </c>
      <c r="L1576" s="1"/>
    </row>
    <row r="1577" spans="1:12" ht="12" customHeight="1" x14ac:dyDescent="0.25">
      <c r="A1577" s="15">
        <v>44246</v>
      </c>
      <c r="B1577" s="16" t="s">
        <v>630</v>
      </c>
      <c r="C1577" s="16" t="s">
        <v>101</v>
      </c>
      <c r="D1577" s="16" t="str">
        <f>VLOOKUP(C1577,[1]master_data!$A$2:$E$495,2,FALSE)</f>
        <v>LED KIYOSAKI 3 MODE 50 CM</v>
      </c>
      <c r="E1577" s="16">
        <v>1</v>
      </c>
      <c r="F1577" s="16">
        <f>VLOOKUP(C1577,[1]master_data!$A$2:$E$495,3,FALSE)</f>
        <v>37000</v>
      </c>
      <c r="G1577" s="16">
        <f>VLOOKUP(C1577,[1]master_data!$A$2:$E$495,4,FALSE)</f>
        <v>60000</v>
      </c>
      <c r="H1577" s="16">
        <f>E1577*F1577</f>
        <v>37000</v>
      </c>
      <c r="I1577" s="16">
        <f>E1577*G1577</f>
        <v>60000</v>
      </c>
      <c r="J1577" s="16">
        <f>I1577-H1577</f>
        <v>23000</v>
      </c>
      <c r="K1577" s="16" t="str">
        <f>VLOOKUP(C1577,[1]master_data!$A$2:$E$495,5,FALSE)</f>
        <v>Aksesoris</v>
      </c>
      <c r="L1577" s="1"/>
    </row>
    <row r="1578" spans="1:12" ht="12" customHeight="1" x14ac:dyDescent="0.25">
      <c r="A1578" s="15">
        <v>44246</v>
      </c>
      <c r="B1578" s="16" t="s">
        <v>631</v>
      </c>
      <c r="C1578" s="16" t="s">
        <v>368</v>
      </c>
      <c r="D1578" s="16" t="str">
        <f>VLOOKUP(C1578,[1]master_data!$A$2:$E$495,2,FALSE)</f>
        <v>TOMAN</v>
      </c>
      <c r="E1578" s="16">
        <v>4</v>
      </c>
      <c r="F1578" s="16">
        <f>VLOOKUP(C1578,[1]master_data!$A$2:$E$495,3,FALSE)</f>
        <v>10000</v>
      </c>
      <c r="G1578" s="16">
        <f>VLOOKUP(C1578,[1]master_data!$A$2:$E$495,4,FALSE)</f>
        <v>25000</v>
      </c>
      <c r="H1578" s="16">
        <f>E1578*F1578</f>
        <v>40000</v>
      </c>
      <c r="I1578" s="16">
        <f>E1578*G1578</f>
        <v>100000</v>
      </c>
      <c r="J1578" s="16">
        <f>I1578-H1578</f>
        <v>60000</v>
      </c>
      <c r="K1578" s="16" t="str">
        <f>VLOOKUP(C1578,[1]master_data!$A$2:$E$495,5,FALSE)</f>
        <v>Ikan</v>
      </c>
      <c r="L1578" s="1"/>
    </row>
    <row r="1579" spans="1:12" ht="12" customHeight="1" x14ac:dyDescent="0.25">
      <c r="A1579" s="15">
        <v>44246</v>
      </c>
      <c r="B1579" s="16" t="s">
        <v>632</v>
      </c>
      <c r="C1579" s="16" t="s">
        <v>242</v>
      </c>
      <c r="D1579" s="16" t="str">
        <f>VLOOKUP(C1579,[1]master_data!$A$2:$E$495,2,FALSE)</f>
        <v>SEDOTAN</v>
      </c>
      <c r="E1579" s="16">
        <v>1</v>
      </c>
      <c r="F1579" s="16">
        <f>VLOOKUP(C1579,[1]master_data!$A$2:$E$495,3,FALSE)</f>
        <v>10000</v>
      </c>
      <c r="G1579" s="16">
        <f>VLOOKUP(C1579,[1]master_data!$A$2:$E$495,4,FALSE)</f>
        <v>15000</v>
      </c>
      <c r="H1579" s="16">
        <f>E1579*F1579</f>
        <v>10000</v>
      </c>
      <c r="I1579" s="16">
        <f>E1579*G1579</f>
        <v>15000</v>
      </c>
      <c r="J1579" s="16">
        <f>I1579-H1579</f>
        <v>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44245</v>
      </c>
      <c r="B1580" s="16" t="s">
        <v>622</v>
      </c>
      <c r="C1580" s="16" t="s">
        <v>236</v>
      </c>
      <c r="D1580" s="16" t="str">
        <f>VLOOKUP(C1580,[1]master_data!$A$2:$E$495,2,FALSE)</f>
        <v>MAGNET L</v>
      </c>
      <c r="E1580" s="16">
        <v>2</v>
      </c>
      <c r="F1580" s="16">
        <f>VLOOKUP(C1580,[1]master_data!$A$2:$E$495,3,FALSE)</f>
        <v>70000</v>
      </c>
      <c r="G1580" s="16">
        <f>VLOOKUP(C1580,[1]master_data!$A$2:$E$495,4,FALSE)</f>
        <v>90000</v>
      </c>
      <c r="H1580" s="16">
        <f>E1580*F1580</f>
        <v>140000</v>
      </c>
      <c r="I1580" s="16">
        <f>E1580*G1580</f>
        <v>180000</v>
      </c>
      <c r="J1580" s="16">
        <f>I1580-H1580</f>
        <v>40000</v>
      </c>
      <c r="K1580" s="16" t="str">
        <f>VLOOKUP(C1580,[1]master_data!$A$2:$E$495,5,FALSE)</f>
        <v>Aksesoris</v>
      </c>
      <c r="L1580" s="1"/>
    </row>
    <row r="1581" spans="1:12" ht="12" customHeight="1" x14ac:dyDescent="0.25">
      <c r="A1581" s="15">
        <v>44245</v>
      </c>
      <c r="B1581" s="16" t="s">
        <v>623</v>
      </c>
      <c r="C1581" s="16" t="s">
        <v>369</v>
      </c>
      <c r="D1581" s="16" t="str">
        <f>VLOOKUP(C1581,[1]master_data!$A$2:$E$495,2,FALSE)</f>
        <v>ZEBRA PINK</v>
      </c>
      <c r="E1581" s="16">
        <v>20</v>
      </c>
      <c r="F1581" s="16">
        <f>VLOOKUP(C1581,[1]master_data!$A$2:$E$495,3,FALSE)</f>
        <v>800</v>
      </c>
      <c r="G1581" s="16">
        <f>VLOOKUP(C1581,[1]master_data!$A$2:$E$495,4,FALSE)</f>
        <v>2000</v>
      </c>
      <c r="H1581" s="16">
        <f>E1581*F1581</f>
        <v>16000</v>
      </c>
      <c r="I1581" s="16">
        <f>E1581*G1581</f>
        <v>40000</v>
      </c>
      <c r="J1581" s="16">
        <f>I1581-H1581</f>
        <v>24000</v>
      </c>
      <c r="K1581" s="16" t="str">
        <f>VLOOKUP(C1581,[1]master_data!$A$2:$E$495,5,FALSE)</f>
        <v>Ikan</v>
      </c>
      <c r="L1581" s="1"/>
    </row>
    <row r="1582" spans="1:12" ht="12" customHeight="1" x14ac:dyDescent="0.25">
      <c r="A1582" s="15">
        <v>44245</v>
      </c>
      <c r="B1582" s="16" t="s">
        <v>624</v>
      </c>
      <c r="C1582" s="16" t="s">
        <v>323</v>
      </c>
      <c r="D1582" s="16" t="str">
        <f>VLOOKUP(C1582,[1]master_data!$A$2:$E$495,2,FALSE)</f>
        <v>GUPY</v>
      </c>
      <c r="E1582" s="16">
        <v>25</v>
      </c>
      <c r="F1582" s="16">
        <f>VLOOKUP(C1582,[1]master_data!$A$2:$E$495,3,FALSE)</f>
        <v>1200</v>
      </c>
      <c r="G1582" s="16">
        <f>VLOOKUP(C1582,[1]master_data!$A$2:$E$495,4,FALSE)</f>
        <v>2500</v>
      </c>
      <c r="H1582" s="16">
        <f>E1582*F1582</f>
        <v>30000</v>
      </c>
      <c r="I1582" s="16">
        <f>E1582*G1582</f>
        <v>62500</v>
      </c>
      <c r="J1582" s="16">
        <f>I1582-H1582</f>
        <v>32500</v>
      </c>
      <c r="K1582" s="16" t="str">
        <f>VLOOKUP(C1582,[1]master_data!$A$2:$E$495,5,FALSE)</f>
        <v>Ikan</v>
      </c>
      <c r="L1582" s="1"/>
    </row>
    <row r="1583" spans="1:12" ht="12" customHeight="1" x14ac:dyDescent="0.25">
      <c r="A1583" s="15">
        <v>44245</v>
      </c>
      <c r="B1583" s="16" t="s">
        <v>625</v>
      </c>
      <c r="C1583" s="16" t="s">
        <v>279</v>
      </c>
      <c r="D1583" s="16" t="str">
        <f>VLOOKUP(C1583,[1]master_data!$A$2:$E$495,2,FALSE)</f>
        <v>TOPLES  1,5 L</v>
      </c>
      <c r="E1583" s="16">
        <v>10</v>
      </c>
      <c r="F1583" s="16">
        <f>VLOOKUP(C1583,[1]master_data!$A$2:$E$495,3,FALSE)</f>
        <v>38500</v>
      </c>
      <c r="G1583" s="16">
        <f>VLOOKUP(C1583,[1]master_data!$A$2:$E$495,4,FALSE)</f>
        <v>55000</v>
      </c>
      <c r="H1583" s="16">
        <f>E1583*F1583</f>
        <v>385000</v>
      </c>
      <c r="I1583" s="16">
        <f>E1583*G1583</f>
        <v>550000</v>
      </c>
      <c r="J1583" s="16">
        <f>I1583-H1583</f>
        <v>165000</v>
      </c>
      <c r="K1583" s="16" t="str">
        <f>VLOOKUP(C1583,[1]master_data!$A$2:$E$495,5,FALSE)</f>
        <v>Aksesoris</v>
      </c>
      <c r="L1583" s="1"/>
    </row>
    <row r="1584" spans="1:12" ht="12" customHeight="1" x14ac:dyDescent="0.25">
      <c r="A1584" s="15">
        <v>44245</v>
      </c>
      <c r="B1584" s="16" t="s">
        <v>626</v>
      </c>
      <c r="C1584" s="16" t="s">
        <v>302</v>
      </c>
      <c r="D1584" s="16" t="str">
        <f>VLOOKUP(C1584,[1]master_data!$A$2:$E$495,2,FALSE)</f>
        <v>BATU ALAM B</v>
      </c>
      <c r="E1584" s="16">
        <v>1</v>
      </c>
      <c r="F1584" s="16">
        <f>VLOOKUP(C1584,[1]master_data!$A$2:$E$495,3,FALSE)</f>
        <v>17000</v>
      </c>
      <c r="G1584" s="16">
        <f>VLOOKUP(C1584,[1]master_data!$A$2:$E$495,4,FALSE)</f>
        <v>30000</v>
      </c>
      <c r="H1584" s="16">
        <f>E1584*F1584</f>
        <v>17000</v>
      </c>
      <c r="I1584" s="16">
        <f>E1584*G1584</f>
        <v>30000</v>
      </c>
      <c r="J1584" s="16">
        <f>I1584-H1584</f>
        <v>13000</v>
      </c>
      <c r="K1584" s="16" t="str">
        <f>VLOOKUP(C1584,[1]master_data!$A$2:$E$495,5,FALSE)</f>
        <v>Aksesoris</v>
      </c>
      <c r="L1584" s="1"/>
    </row>
    <row r="1585" spans="1:12" ht="12" customHeight="1" x14ac:dyDescent="0.25">
      <c r="A1585" s="15">
        <v>44245</v>
      </c>
      <c r="B1585" s="16" t="s">
        <v>627</v>
      </c>
      <c r="C1585" s="16" t="s">
        <v>252</v>
      </c>
      <c r="D1585" s="16" t="str">
        <f>VLOOKUP(C1585,[1]master_data!$A$2:$E$495,2,FALSE)</f>
        <v>PEMBERSIH KERAK KACA</v>
      </c>
      <c r="E1585" s="16">
        <v>2</v>
      </c>
      <c r="F1585" s="16">
        <f>VLOOKUP(C1585,[1]master_data!$A$2:$E$495,3,FALSE)</f>
        <v>7000</v>
      </c>
      <c r="G1585" s="16">
        <f>VLOOKUP(C1585,[1]master_data!$A$2:$E$495,4,FALSE)</f>
        <v>15000</v>
      </c>
      <c r="H1585" s="16">
        <f>E1585*F1585</f>
        <v>14000</v>
      </c>
      <c r="I1585" s="16">
        <f>E1585*G1585</f>
        <v>30000</v>
      </c>
      <c r="J1585" s="16">
        <f>I1585-H1585</f>
        <v>16000</v>
      </c>
      <c r="K1585" s="16" t="str">
        <f>VLOOKUP(C1585,[1]master_data!$A$2:$E$495,5,FALSE)</f>
        <v>Aksesoris</v>
      </c>
      <c r="L1585" s="1"/>
    </row>
    <row r="1586" spans="1:12" ht="12" customHeight="1" x14ac:dyDescent="0.25">
      <c r="A1586" s="15">
        <v>44244</v>
      </c>
      <c r="B1586" s="16" t="s">
        <v>620</v>
      </c>
      <c r="C1586" s="16" t="s">
        <v>74</v>
      </c>
      <c r="D1586" s="16" t="str">
        <f>VLOOKUP(C1586,[1]master_data!$A$2:$E$495,2,FALSE)</f>
        <v>MESIN KIYOSAKI 1800</v>
      </c>
      <c r="E1586" s="16">
        <v>5</v>
      </c>
      <c r="F1586" s="16">
        <f>VLOOKUP(C1586,[1]master_data!$A$2:$E$495,3,FALSE)</f>
        <v>45000</v>
      </c>
      <c r="G1586" s="16">
        <f>VLOOKUP(C1586,[1]master_data!$A$2:$E$495,4,FALSE)</f>
        <v>100000</v>
      </c>
      <c r="H1586" s="16">
        <f>E1586*F1586</f>
        <v>225000</v>
      </c>
      <c r="I1586" s="16">
        <f>E1586*G1586</f>
        <v>500000</v>
      </c>
      <c r="J1586" s="16">
        <f>I1586-H1586</f>
        <v>275000</v>
      </c>
      <c r="K1586" s="16" t="str">
        <f>VLOOKUP(C1586,[1]master_data!$A$2:$E$495,5,FALSE)</f>
        <v>Aksesoris</v>
      </c>
      <c r="L1586" s="1"/>
    </row>
    <row r="1587" spans="1:12" ht="12" customHeight="1" x14ac:dyDescent="0.25">
      <c r="A1587" s="15">
        <v>44244</v>
      </c>
      <c r="B1587" s="16" t="s">
        <v>621</v>
      </c>
      <c r="C1587" s="16" t="s">
        <v>198</v>
      </c>
      <c r="D1587" s="16" t="str">
        <f>VLOOKUP(C1587,[1]master_data!$A$2:$E$495,2,FALSE)</f>
        <v>AIRSTONE 40</v>
      </c>
      <c r="E1587" s="16">
        <v>1</v>
      </c>
      <c r="F1587" s="16">
        <f>VLOOKUP(C1587,[1]master_data!$A$2:$E$495,3,FALSE)</f>
        <v>6000</v>
      </c>
      <c r="G1587" s="16">
        <f>VLOOKUP(C1587,[1]master_data!$A$2:$E$495,4,FALSE)</f>
        <v>12000</v>
      </c>
      <c r="H1587" s="16">
        <f>E1587*F1587</f>
        <v>6000</v>
      </c>
      <c r="I1587" s="16">
        <f>E1587*G1587</f>
        <v>12000</v>
      </c>
      <c r="J1587" s="16">
        <f>I1587-H1587</f>
        <v>6000</v>
      </c>
      <c r="K1587" s="16" t="str">
        <f>VLOOKUP(C1587,[1]master_data!$A$2:$E$495,5,FALSE)</f>
        <v>Aksesoris</v>
      </c>
      <c r="L1587" s="1"/>
    </row>
    <row r="1588" spans="1:12" ht="12" customHeight="1" x14ac:dyDescent="0.25">
      <c r="A1588" s="15">
        <v>44243</v>
      </c>
      <c r="B1588" s="16" t="s">
        <v>614</v>
      </c>
      <c r="C1588" s="16" t="s">
        <v>364</v>
      </c>
      <c r="D1588" s="16" t="str">
        <f>VLOOKUP(C1588,[1]master_data!$A$2:$E$495,2,FALSE)</f>
        <v>SNOW WHITE</v>
      </c>
      <c r="E1588" s="16">
        <v>10</v>
      </c>
      <c r="F1588" s="16">
        <f>VLOOKUP(C1588,[1]master_data!$A$2:$E$495,3,FALSE)</f>
        <v>1500</v>
      </c>
      <c r="G1588" s="16">
        <f>VLOOKUP(C1588,[1]master_data!$A$2:$E$495,4,FALSE)</f>
        <v>3000</v>
      </c>
      <c r="H1588" s="16">
        <f>E1588*F1588</f>
        <v>15000</v>
      </c>
      <c r="I1588" s="16">
        <f>E1588*G1588</f>
        <v>30000</v>
      </c>
      <c r="J1588" s="16">
        <f>I1588-H1588</f>
        <v>15000</v>
      </c>
      <c r="K1588" s="16" t="str">
        <f>VLOOKUP(C1588,[1]master_data!$A$2:$E$495,5,FALSE)</f>
        <v>Ikan</v>
      </c>
      <c r="L1588" s="1"/>
    </row>
    <row r="1589" spans="1:12" ht="12" customHeight="1" x14ac:dyDescent="0.25">
      <c r="A1589" s="15">
        <v>44243</v>
      </c>
      <c r="B1589" s="16" t="s">
        <v>615</v>
      </c>
      <c r="C1589" s="16" t="s">
        <v>208</v>
      </c>
      <c r="D1589" s="16" t="str">
        <f>VLOOKUP(C1589,[1]master_data!$A$2:$E$495,2,FALSE)</f>
        <v>BIOBOL</v>
      </c>
      <c r="E1589" s="16">
        <v>10</v>
      </c>
      <c r="F1589" s="16">
        <f>VLOOKUP(C1589,[1]master_data!$A$2:$E$495,3,FALSE)</f>
        <v>4000</v>
      </c>
      <c r="G1589" s="16">
        <f>VLOOKUP(C1589,[1]master_data!$A$2:$E$495,4,FALSE)</f>
        <v>7500</v>
      </c>
      <c r="H1589" s="16">
        <f>E1589*F1589</f>
        <v>40000</v>
      </c>
      <c r="I1589" s="16">
        <f>E1589*G1589</f>
        <v>75000</v>
      </c>
      <c r="J1589" s="16">
        <f>I1589-H1589</f>
        <v>35000</v>
      </c>
      <c r="K1589" s="16" t="str">
        <f>VLOOKUP(C1589,[1]master_data!$A$2:$E$495,5,FALSE)</f>
        <v>Aksesoris</v>
      </c>
      <c r="L1589" s="1"/>
    </row>
    <row r="1590" spans="1:12" ht="12" customHeight="1" x14ac:dyDescent="0.25">
      <c r="A1590" s="15">
        <v>44243</v>
      </c>
      <c r="B1590" s="16" t="s">
        <v>616</v>
      </c>
      <c r="C1590" s="16" t="s">
        <v>363</v>
      </c>
      <c r="D1590" s="16" t="str">
        <f>VLOOKUP(C1590,[1]master_data!$A$2:$E$495,2,FALSE)</f>
        <v>SUMATRA GOLD FISH</v>
      </c>
      <c r="E1590" s="16">
        <v>30</v>
      </c>
      <c r="F1590" s="16">
        <f>VLOOKUP(C1590,[1]master_data!$A$2:$E$495,3,FALSE)</f>
        <v>2500</v>
      </c>
      <c r="G1590" s="16">
        <f>VLOOKUP(C1590,[1]master_data!$A$2:$E$495,4,FALSE)</f>
        <v>4000</v>
      </c>
      <c r="H1590" s="16">
        <f>E1590*F1590</f>
        <v>75000</v>
      </c>
      <c r="I1590" s="16">
        <f>E1590*G1590</f>
        <v>120000</v>
      </c>
      <c r="J1590" s="16">
        <f>I1590-H1590</f>
        <v>45000</v>
      </c>
      <c r="K1590" s="16" t="str">
        <f>VLOOKUP(C1590,[1]master_data!$A$2:$E$495,5,FALSE)</f>
        <v>Ikan</v>
      </c>
      <c r="L1590" s="1"/>
    </row>
    <row r="1591" spans="1:12" ht="12" customHeight="1" x14ac:dyDescent="0.25">
      <c r="A1591" s="15">
        <v>44243</v>
      </c>
      <c r="B1591" s="16" t="s">
        <v>617</v>
      </c>
      <c r="C1591" s="16" t="s">
        <v>359</v>
      </c>
      <c r="D1591" s="16" t="str">
        <f>VLOOKUP(C1591,[1]master_data!$A$2:$E$495,2,FALSE)</f>
        <v>REDFIN ALBINO</v>
      </c>
      <c r="E1591" s="16">
        <v>5</v>
      </c>
      <c r="F1591" s="16">
        <f>VLOOKUP(C1591,[1]master_data!$A$2:$E$495,3,FALSE)</f>
        <v>1500</v>
      </c>
      <c r="G1591" s="16">
        <f>VLOOKUP(C1591,[1]master_data!$A$2:$E$495,4,FALSE)</f>
        <v>4000</v>
      </c>
      <c r="H1591" s="16">
        <f>E1591*F1591</f>
        <v>7500</v>
      </c>
      <c r="I1591" s="16">
        <f>E1591*G1591</f>
        <v>20000</v>
      </c>
      <c r="J1591" s="16">
        <f>I1591-H1591</f>
        <v>12500</v>
      </c>
      <c r="K1591" s="16" t="str">
        <f>VLOOKUP(C1591,[1]master_data!$A$2:$E$495,5,FALSE)</f>
        <v>Ikan</v>
      </c>
      <c r="L1591" s="1"/>
    </row>
    <row r="1592" spans="1:12" ht="12" customHeight="1" x14ac:dyDescent="0.25">
      <c r="A1592" s="15">
        <v>44243</v>
      </c>
      <c r="B1592" s="16" t="s">
        <v>618</v>
      </c>
      <c r="C1592" s="16" t="s">
        <v>313</v>
      </c>
      <c r="D1592" s="16" t="str">
        <f>VLOOKUP(C1592,[1]master_data!$A$2:$E$495,2,FALSE)</f>
        <v>BALA BALA K</v>
      </c>
      <c r="E1592" s="16">
        <v>20</v>
      </c>
      <c r="F1592" s="16">
        <f>VLOOKUP(C1592,[1]master_data!$A$2:$E$495,3,FALSE)</f>
        <v>4000</v>
      </c>
      <c r="G1592" s="16">
        <f>VLOOKUP(C1592,[1]master_data!$A$2:$E$495,4,FALSE)</f>
        <v>8000</v>
      </c>
      <c r="H1592" s="16">
        <f>E1592*F1592</f>
        <v>80000</v>
      </c>
      <c r="I1592" s="16">
        <f>E1592*G1592</f>
        <v>160000</v>
      </c>
      <c r="J1592" s="16">
        <f>I1592-H1592</f>
        <v>80000</v>
      </c>
      <c r="K1592" s="16" t="str">
        <f>VLOOKUP(C1592,[1]master_data!$A$2:$E$495,5,FALSE)</f>
        <v>Ikan</v>
      </c>
      <c r="L1592" s="1"/>
    </row>
    <row r="1593" spans="1:12" ht="12" customHeight="1" x14ac:dyDescent="0.25">
      <c r="A1593" s="15">
        <v>44243</v>
      </c>
      <c r="B1593" s="16" t="s">
        <v>619</v>
      </c>
      <c r="C1593" s="16" t="s">
        <v>306</v>
      </c>
      <c r="D1593" s="16" t="str">
        <f>VLOOKUP(C1593,[1]master_data!$A$2:$E$495,2,FALSE)</f>
        <v>CHANNA ANDRAO B</v>
      </c>
      <c r="E1593" s="16">
        <v>2</v>
      </c>
      <c r="F1593" s="16">
        <f>VLOOKUP(C1593,[1]master_data!$A$2:$E$495,3,FALSE)</f>
        <v>100000</v>
      </c>
      <c r="G1593" s="16">
        <f>VLOOKUP(C1593,[1]master_data!$A$2:$E$495,4,FALSE)</f>
        <v>200000</v>
      </c>
      <c r="H1593" s="16">
        <f>E1593*F1593</f>
        <v>200000</v>
      </c>
      <c r="I1593" s="16">
        <f>E1593*G1593</f>
        <v>400000</v>
      </c>
      <c r="J1593" s="16">
        <f>I1593-H1593</f>
        <v>200000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44242</v>
      </c>
      <c r="B1594" s="16" t="s">
        <v>606</v>
      </c>
      <c r="C1594" s="16" t="s">
        <v>327</v>
      </c>
      <c r="D1594" s="16" t="str">
        <f>VLOOKUP(C1594,[1]master_data!$A$2:$E$495,2,FALSE)</f>
        <v>KOKI T</v>
      </c>
      <c r="E1594" s="16">
        <v>1</v>
      </c>
      <c r="F1594" s="16">
        <f>VLOOKUP(C1594,[1]master_data!$A$2:$E$495,3,FALSE)</f>
        <v>8000</v>
      </c>
      <c r="G1594" s="16">
        <f>VLOOKUP(C1594,[1]master_data!$A$2:$E$495,4,FALSE)</f>
        <v>15000</v>
      </c>
      <c r="H1594" s="16">
        <f>E1594*F1594</f>
        <v>8000</v>
      </c>
      <c r="I1594" s="16">
        <f>E1594*G1594</f>
        <v>15000</v>
      </c>
      <c r="J1594" s="16">
        <f>I1594-H1594</f>
        <v>7000</v>
      </c>
      <c r="K1594" s="16" t="str">
        <f>VLOOKUP(C1594,[1]master_data!$A$2:$E$495,5,FALSE)</f>
        <v>Ikan</v>
      </c>
      <c r="L1594" s="1"/>
    </row>
    <row r="1595" spans="1:12" ht="12" customHeight="1" x14ac:dyDescent="0.25">
      <c r="A1595" s="15">
        <v>44242</v>
      </c>
      <c r="B1595" s="16" t="s">
        <v>607</v>
      </c>
      <c r="C1595" s="16" t="s">
        <v>329</v>
      </c>
      <c r="D1595" s="16" t="str">
        <f>VLOOKUP(C1595,[1]master_data!$A$2:$E$495,2,FALSE)</f>
        <v>KOI K</v>
      </c>
      <c r="E1595" s="16">
        <v>10</v>
      </c>
      <c r="F1595" s="16">
        <f>VLOOKUP(C1595,[1]master_data!$A$2:$E$495,3,FALSE)</f>
        <v>2500</v>
      </c>
      <c r="G1595" s="16">
        <f>VLOOKUP(C1595,[1]master_data!$A$2:$E$495,4,FALSE)</f>
        <v>10000</v>
      </c>
      <c r="H1595" s="16">
        <f>E1595*F1595</f>
        <v>25000</v>
      </c>
      <c r="I1595" s="16">
        <f>E1595*G1595</f>
        <v>100000</v>
      </c>
      <c r="J1595" s="16">
        <f>I1595-H1595</f>
        <v>75000</v>
      </c>
      <c r="K1595" s="16" t="str">
        <f>VLOOKUP(C1595,[1]master_data!$A$2:$E$495,5,FALSE)</f>
        <v>Ikan</v>
      </c>
      <c r="L1595" s="1"/>
    </row>
    <row r="1596" spans="1:12" ht="12" customHeight="1" x14ac:dyDescent="0.25">
      <c r="A1596" s="15">
        <v>44242</v>
      </c>
      <c r="B1596" s="16" t="s">
        <v>608</v>
      </c>
      <c r="C1596" s="16" t="s">
        <v>292</v>
      </c>
      <c r="D1596" s="16" t="str">
        <f>VLOOKUP(C1596,[1]master_data!$A$2:$E$495,2,FALSE)</f>
        <v>PASIR HITAM B</v>
      </c>
      <c r="E1596" s="16">
        <v>2</v>
      </c>
      <c r="F1596" s="16">
        <f>VLOOKUP(C1596,[1]master_data!$A$2:$E$495,3,FALSE)</f>
        <v>8000</v>
      </c>
      <c r="G1596" s="16">
        <f>VLOOKUP(C1596,[1]master_data!$A$2:$E$495,4,FALSE)</f>
        <v>15000</v>
      </c>
      <c r="H1596" s="16">
        <f>E1596*F1596</f>
        <v>16000</v>
      </c>
      <c r="I1596" s="16">
        <f>E1596*G1596</f>
        <v>30000</v>
      </c>
      <c r="J1596" s="16">
        <f>I1596-H1596</f>
        <v>14000</v>
      </c>
      <c r="K1596" s="16" t="str">
        <f>VLOOKUP(C1596,[1]master_data!$A$2:$E$495,5,FALSE)</f>
        <v>Aksesoris</v>
      </c>
      <c r="L1596" s="1"/>
    </row>
    <row r="1597" spans="1:12" ht="12" customHeight="1" x14ac:dyDescent="0.25">
      <c r="A1597" s="15">
        <v>44242</v>
      </c>
      <c r="B1597" s="16" t="s">
        <v>609</v>
      </c>
      <c r="C1597" s="16" t="s">
        <v>340</v>
      </c>
      <c r="D1597" s="16" t="str">
        <f>VLOOKUP(C1597,[1]master_data!$A$2:$E$495,2,FALSE)</f>
        <v>LEMON</v>
      </c>
      <c r="E1597" s="16">
        <v>10</v>
      </c>
      <c r="F1597" s="16">
        <f>VLOOKUP(C1597,[1]master_data!$A$2:$E$495,3,FALSE)</f>
        <v>1000</v>
      </c>
      <c r="G1597" s="16">
        <f>VLOOKUP(C1597,[1]master_data!$A$2:$E$495,4,FALSE)</f>
        <v>2000</v>
      </c>
      <c r="H1597" s="16">
        <f>E1597*F1597</f>
        <v>10000</v>
      </c>
      <c r="I1597" s="16">
        <f>E1597*G1597</f>
        <v>20000</v>
      </c>
      <c r="J1597" s="16">
        <f>I1597-H1597</f>
        <v>10000</v>
      </c>
      <c r="K1597" s="16" t="str">
        <f>VLOOKUP(C1597,[1]master_data!$A$2:$E$495,5,FALSE)</f>
        <v>Ikan</v>
      </c>
      <c r="L1597" s="1"/>
    </row>
    <row r="1598" spans="1:12" ht="12" customHeight="1" x14ac:dyDescent="0.25">
      <c r="A1598" s="15">
        <v>44242</v>
      </c>
      <c r="B1598" s="16" t="s">
        <v>610</v>
      </c>
      <c r="C1598" s="16" t="s">
        <v>304</v>
      </c>
      <c r="D1598" s="16" t="str">
        <f>VLOOKUP(C1598,[1]master_data!$A$2:$E$495,2,FALSE)</f>
        <v>CHANNA ANDRAO K</v>
      </c>
      <c r="E1598" s="16">
        <v>6</v>
      </c>
      <c r="F1598" s="16">
        <f>VLOOKUP(C1598,[1]master_data!$A$2:$E$495,3,FALSE)</f>
        <v>20000</v>
      </c>
      <c r="G1598" s="16">
        <f>VLOOKUP(C1598,[1]master_data!$A$2:$E$495,4,FALSE)</f>
        <v>50000</v>
      </c>
      <c r="H1598" s="16">
        <f>E1598*F1598</f>
        <v>120000</v>
      </c>
      <c r="I1598" s="16">
        <f>E1598*G1598</f>
        <v>300000</v>
      </c>
      <c r="J1598" s="16">
        <f>I1598-H1598</f>
        <v>180000</v>
      </c>
      <c r="K1598" s="16" t="str">
        <f>VLOOKUP(C1598,[1]master_data!$A$2:$E$495,5,FALSE)</f>
        <v>Ikan</v>
      </c>
      <c r="L1598" s="1"/>
    </row>
    <row r="1599" spans="1:12" ht="12" customHeight="1" x14ac:dyDescent="0.25">
      <c r="A1599" s="15">
        <v>44242</v>
      </c>
      <c r="B1599" s="16" t="s">
        <v>611</v>
      </c>
      <c r="C1599" s="16" t="s">
        <v>314</v>
      </c>
      <c r="D1599" s="16" t="str">
        <f>VLOOKUP(C1599,[1]master_data!$A$2:$E$495,2,FALSE)</f>
        <v>BALA BALA B</v>
      </c>
      <c r="E1599" s="16">
        <v>1</v>
      </c>
      <c r="F1599" s="16">
        <f>VLOOKUP(C1599,[1]master_data!$A$2:$E$495,3,FALSE)</f>
        <v>7000</v>
      </c>
      <c r="G1599" s="16">
        <f>VLOOKUP(C1599,[1]master_data!$A$2:$E$495,4,FALSE)</f>
        <v>15000</v>
      </c>
      <c r="H1599" s="16">
        <f>E1599*F1599</f>
        <v>7000</v>
      </c>
      <c r="I1599" s="16">
        <f>E1599*G1599</f>
        <v>15000</v>
      </c>
      <c r="J1599" s="16">
        <f>I1599-H1599</f>
        <v>8000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44242</v>
      </c>
      <c r="B1600" s="16" t="s">
        <v>612</v>
      </c>
      <c r="C1600" s="16" t="s">
        <v>92</v>
      </c>
      <c r="D1600" s="16" t="str">
        <f>VLOOKUP(C1600,[1]master_data!$A$2:$E$495,2,FALSE)</f>
        <v>AIRATOR KANDILA LUB 2</v>
      </c>
      <c r="E1600" s="16">
        <v>1</v>
      </c>
      <c r="F1600" s="16">
        <f>VLOOKUP(C1600,[1]master_data!$A$2:$E$495,3,FALSE)</f>
        <v>26000</v>
      </c>
      <c r="G1600" s="16">
        <f>VLOOKUP(C1600,[1]master_data!$A$2:$E$495,4,FALSE)</f>
        <v>50000</v>
      </c>
      <c r="H1600" s="16">
        <f>E1600*F1600</f>
        <v>26000</v>
      </c>
      <c r="I1600" s="16">
        <f>E1600*G1600</f>
        <v>50000</v>
      </c>
      <c r="J1600" s="16">
        <f>I1600-H1600</f>
        <v>24000</v>
      </c>
      <c r="K1600" s="16" t="str">
        <f>VLOOKUP(C1600,[1]master_data!$A$2:$E$495,5,FALSE)</f>
        <v>Aksesoris</v>
      </c>
      <c r="L1600" s="1"/>
    </row>
    <row r="1601" spans="1:12" ht="12" customHeight="1" x14ac:dyDescent="0.25">
      <c r="A1601" s="15">
        <v>44242</v>
      </c>
      <c r="B1601" s="16" t="s">
        <v>613</v>
      </c>
      <c r="C1601" s="16" t="s">
        <v>343</v>
      </c>
      <c r="D1601" s="16" t="str">
        <f>VLOOKUP(C1601,[1]master_data!$A$2:$E$495,2,FALSE)</f>
        <v>MANFISH K</v>
      </c>
      <c r="E1601" s="16">
        <v>4</v>
      </c>
      <c r="F1601" s="16">
        <f>VLOOKUP(C1601,[1]master_data!$A$2:$E$495,3,FALSE)</f>
        <v>2000</v>
      </c>
      <c r="G1601" s="16">
        <f>VLOOKUP(C1601,[1]master_data!$A$2:$E$495,4,FALSE)</f>
        <v>5000</v>
      </c>
      <c r="H1601" s="16">
        <f>E1601*F1601</f>
        <v>8000</v>
      </c>
      <c r="I1601" s="16">
        <f>E1601*G1601</f>
        <v>20000</v>
      </c>
      <c r="J1601" s="16">
        <f>I1601-H1601</f>
        <v>12000</v>
      </c>
      <c r="K1601" s="16" t="str">
        <f>VLOOKUP(C1601,[1]master_data!$A$2:$E$495,5,FALSE)</f>
        <v>Ikan</v>
      </c>
      <c r="L1601" s="1"/>
    </row>
    <row r="1602" spans="1:12" ht="12" customHeight="1" x14ac:dyDescent="0.25">
      <c r="A1602" s="15">
        <v>44241</v>
      </c>
      <c r="B1602" s="16" t="s">
        <v>597</v>
      </c>
      <c r="C1602" s="16" t="s">
        <v>98</v>
      </c>
      <c r="D1602" s="16" t="str">
        <f>VLOOKUP(C1602,[1]master_data!$A$2:$E$495,2,FALSE)</f>
        <v>LED ROSTON 3 MODE 30 CM</v>
      </c>
      <c r="E1602" s="16">
        <v>2</v>
      </c>
      <c r="F1602" s="16">
        <f>VLOOKUP(C1602,[1]master_data!$A$2:$E$495,3,FALSE)</f>
        <v>25000</v>
      </c>
      <c r="G1602" s="16">
        <f>VLOOKUP(C1602,[1]master_data!$A$2:$E$495,4,FALSE)</f>
        <v>45000</v>
      </c>
      <c r="H1602" s="16">
        <f>E1602*F1602</f>
        <v>50000</v>
      </c>
      <c r="I1602" s="16">
        <f>E1602*G1602</f>
        <v>90000</v>
      </c>
      <c r="J1602" s="16">
        <f>I1602-H1602</f>
        <v>40000</v>
      </c>
      <c r="K1602" s="16" t="str">
        <f>VLOOKUP(C1602,[1]master_data!$A$2:$E$495,5,FALSE)</f>
        <v>Aksesoris</v>
      </c>
      <c r="L1602" s="1"/>
    </row>
    <row r="1603" spans="1:12" ht="12" customHeight="1" x14ac:dyDescent="0.25">
      <c r="A1603" s="15">
        <v>44241</v>
      </c>
      <c r="B1603" s="16" t="s">
        <v>598</v>
      </c>
      <c r="C1603" s="16" t="s">
        <v>212</v>
      </c>
      <c r="D1603" s="16" t="str">
        <f>VLOOKUP(C1603,[1]master_data!$A$2:$E$495,2,FALSE)</f>
        <v>CORNER FILTER MULTI NAVIGATOR</v>
      </c>
      <c r="E1603" s="16">
        <v>2</v>
      </c>
      <c r="F1603" s="16">
        <f>VLOOKUP(C1603,[1]master_data!$A$2:$E$495,3,FALSE)</f>
        <v>21000</v>
      </c>
      <c r="G1603" s="16">
        <f>VLOOKUP(C1603,[1]master_data!$A$2:$E$495,4,FALSE)</f>
        <v>30000</v>
      </c>
      <c r="H1603" s="16">
        <f>E1603*F1603</f>
        <v>42000</v>
      </c>
      <c r="I1603" s="16">
        <f>E1603*G1603</f>
        <v>60000</v>
      </c>
      <c r="J1603" s="16">
        <f>I1603-H1603</f>
        <v>18000</v>
      </c>
      <c r="K1603" s="16" t="str">
        <f>VLOOKUP(C1603,[1]master_data!$A$2:$E$495,5,FALSE)</f>
        <v>Aksesoris</v>
      </c>
      <c r="L1603" s="1"/>
    </row>
    <row r="1604" spans="1:12" ht="12" customHeight="1" x14ac:dyDescent="0.25">
      <c r="A1604" s="15">
        <v>44241</v>
      </c>
      <c r="B1604" s="16" t="s">
        <v>599</v>
      </c>
      <c r="C1604" s="16" t="s">
        <v>352</v>
      </c>
      <c r="D1604" s="16" t="str">
        <f>VLOOKUP(C1604,[1]master_data!$A$2:$E$495,2,FALSE)</f>
        <v>OSCAR</v>
      </c>
      <c r="E1604" s="16">
        <v>1</v>
      </c>
      <c r="F1604" s="16">
        <f>VLOOKUP(C1604,[1]master_data!$A$2:$E$495,3,FALSE)</f>
        <v>25000</v>
      </c>
      <c r="G1604" s="16">
        <f>VLOOKUP(C1604,[1]master_data!$A$2:$E$495,4,FALSE)</f>
        <v>50000</v>
      </c>
      <c r="H1604" s="16">
        <f>E1604*F1604</f>
        <v>25000</v>
      </c>
      <c r="I1604" s="16">
        <f>E1604*G1604</f>
        <v>50000</v>
      </c>
      <c r="J1604" s="16">
        <f>I1604-H1604</f>
        <v>25000</v>
      </c>
      <c r="K1604" s="16" t="str">
        <f>VLOOKUP(C1604,[1]master_data!$A$2:$E$495,5,FALSE)</f>
        <v>Ikan</v>
      </c>
      <c r="L1604" s="1"/>
    </row>
    <row r="1605" spans="1:12" ht="12" customHeight="1" x14ac:dyDescent="0.25">
      <c r="A1605" s="15">
        <v>44241</v>
      </c>
      <c r="B1605" s="16" t="s">
        <v>600</v>
      </c>
      <c r="C1605" s="16" t="s">
        <v>354</v>
      </c>
      <c r="D1605" s="16" t="str">
        <f>VLOOKUP(C1605,[1]master_data!$A$2:$E$495,2,FALSE)</f>
        <v>PEMBERSIH KACA ALBINO</v>
      </c>
      <c r="E1605" s="16">
        <v>5</v>
      </c>
      <c r="F1605" s="16">
        <f>VLOOKUP(C1605,[1]master_data!$A$2:$E$495,3,FALSE)</f>
        <v>2500</v>
      </c>
      <c r="G1605" s="16">
        <f>VLOOKUP(C1605,[1]master_data!$A$2:$E$495,4,FALSE)</f>
        <v>5000</v>
      </c>
      <c r="H1605" s="16">
        <f>E1605*F1605</f>
        <v>12500</v>
      </c>
      <c r="I1605" s="16">
        <f>E1605*G1605</f>
        <v>25000</v>
      </c>
      <c r="J1605" s="16">
        <f>I1605-H1605</f>
        <v>12500</v>
      </c>
      <c r="K1605" s="16" t="str">
        <f>VLOOKUP(C1605,[1]master_data!$A$2:$E$495,5,FALSE)</f>
        <v>Ikan</v>
      </c>
      <c r="L1605" s="1"/>
    </row>
    <row r="1606" spans="1:12" ht="12" customHeight="1" x14ac:dyDescent="0.25">
      <c r="A1606" s="15">
        <v>44241</v>
      </c>
      <c r="B1606" s="16" t="s">
        <v>601</v>
      </c>
      <c r="C1606" s="16" t="s">
        <v>356</v>
      </c>
      <c r="D1606" s="16" t="str">
        <f>VLOOKUP(C1606,[1]master_data!$A$2:$E$495,2,FALSE)</f>
        <v>PARROT</v>
      </c>
      <c r="E1606" s="16">
        <v>1</v>
      </c>
      <c r="F1606" s="16">
        <f>VLOOKUP(C1606,[1]master_data!$A$2:$E$495,3,FALSE)</f>
        <v>27000</v>
      </c>
      <c r="G1606" s="16">
        <f>VLOOKUP(C1606,[1]master_data!$A$2:$E$495,4,FALSE)</f>
        <v>60000</v>
      </c>
      <c r="H1606" s="16">
        <f>E1606*F1606</f>
        <v>27000</v>
      </c>
      <c r="I1606" s="16">
        <f>E1606*G1606</f>
        <v>60000</v>
      </c>
      <c r="J1606" s="16">
        <f>I1606-H1606</f>
        <v>33000</v>
      </c>
      <c r="K1606" s="16" t="str">
        <f>VLOOKUP(C1606,[1]master_data!$A$2:$E$495,5,FALSE)</f>
        <v>Ikan</v>
      </c>
      <c r="L1606" s="1"/>
    </row>
    <row r="1607" spans="1:12" ht="12" customHeight="1" x14ac:dyDescent="0.25">
      <c r="A1607" s="15">
        <v>44241</v>
      </c>
      <c r="B1607" s="16" t="s">
        <v>602</v>
      </c>
      <c r="C1607" s="16" t="s">
        <v>374</v>
      </c>
      <c r="D1607" s="16" t="str">
        <f>VLOOKUP(C1607,[1]master_data!$A$2:$E$495,2,FALSE)</f>
        <v>SEPAT ALBINO</v>
      </c>
      <c r="E1607" s="16">
        <v>25</v>
      </c>
      <c r="F1607" s="16">
        <f>VLOOKUP(C1607,[1]master_data!$A$2:$E$495,3,FALSE)</f>
        <v>2000</v>
      </c>
      <c r="G1607" s="16">
        <f>VLOOKUP(C1607,[1]master_data!$A$2:$E$495,4,FALSE)</f>
        <v>5000</v>
      </c>
      <c r="H1607" s="16">
        <f>E1607*F1607</f>
        <v>50000</v>
      </c>
      <c r="I1607" s="16">
        <f>E1607*G1607</f>
        <v>125000</v>
      </c>
      <c r="J1607" s="16">
        <f>I1607-H1607</f>
        <v>75000</v>
      </c>
      <c r="K1607" s="16" t="str">
        <f>VLOOKUP(C1607,[1]master_data!$A$2:$E$495,5,FALSE)</f>
        <v>Ikan</v>
      </c>
      <c r="L1607" s="1"/>
    </row>
    <row r="1608" spans="1:12" ht="12" customHeight="1" x14ac:dyDescent="0.25">
      <c r="A1608" s="15">
        <v>44241</v>
      </c>
      <c r="B1608" s="16" t="s">
        <v>603</v>
      </c>
      <c r="C1608" s="16" t="s">
        <v>100</v>
      </c>
      <c r="D1608" s="16" t="str">
        <f>VLOOKUP(C1608,[1]master_data!$A$2:$E$495,2,FALSE)</f>
        <v>LED ROSTON 50 CM</v>
      </c>
      <c r="E1608" s="16">
        <v>3</v>
      </c>
      <c r="F1608" s="16">
        <f>VLOOKUP(C1608,[1]master_data!$A$2:$E$495,3,FALSE)</f>
        <v>27000</v>
      </c>
      <c r="G1608" s="16">
        <f>VLOOKUP(C1608,[1]master_data!$A$2:$E$495,4,FALSE)</f>
        <v>50000</v>
      </c>
      <c r="H1608" s="16">
        <f>E1608*F1608</f>
        <v>81000</v>
      </c>
      <c r="I1608" s="16">
        <f>E1608*G1608</f>
        <v>150000</v>
      </c>
      <c r="J1608" s="16">
        <f>I1608-H1608</f>
        <v>69000</v>
      </c>
      <c r="K1608" s="16" t="str">
        <f>VLOOKUP(C1608,[1]master_data!$A$2:$E$495,5,FALSE)</f>
        <v>Aksesoris</v>
      </c>
      <c r="L1608" s="1"/>
    </row>
    <row r="1609" spans="1:12" ht="12" customHeight="1" x14ac:dyDescent="0.25">
      <c r="A1609" s="15">
        <v>44241</v>
      </c>
      <c r="B1609" s="16" t="s">
        <v>604</v>
      </c>
      <c r="C1609" s="16" t="s">
        <v>347</v>
      </c>
      <c r="D1609" s="16" t="str">
        <f>VLOOKUP(C1609,[1]master_data!$A$2:$E$495,2,FALSE)</f>
        <v>MOLI BALON</v>
      </c>
      <c r="E1609" s="16">
        <v>5</v>
      </c>
      <c r="F1609" s="16">
        <f>VLOOKUP(C1609,[1]master_data!$A$2:$E$495,3,FALSE)</f>
        <v>800</v>
      </c>
      <c r="G1609" s="16">
        <f>VLOOKUP(C1609,[1]master_data!$A$2:$E$495,4,FALSE)</f>
        <v>2000</v>
      </c>
      <c r="H1609" s="16">
        <f>E1609*F1609</f>
        <v>4000</v>
      </c>
      <c r="I1609" s="16">
        <f>E1609*G1609</f>
        <v>10000</v>
      </c>
      <c r="J1609" s="16">
        <f>I1609-H1609</f>
        <v>6000</v>
      </c>
      <c r="K1609" s="16" t="str">
        <f>VLOOKUP(C1609,[1]master_data!$A$2:$E$495,5,FALSE)</f>
        <v>Ikan</v>
      </c>
      <c r="L1609" s="1"/>
    </row>
    <row r="1610" spans="1:12" ht="12" customHeight="1" x14ac:dyDescent="0.25">
      <c r="A1610" s="15">
        <v>44241</v>
      </c>
      <c r="B1610" s="16" t="s">
        <v>605</v>
      </c>
      <c r="C1610" s="16" t="s">
        <v>330</v>
      </c>
      <c r="D1610" s="16" t="str">
        <f>VLOOKUP(C1610,[1]master_data!$A$2:$E$495,2,FALSE)</f>
        <v>KOI T</v>
      </c>
      <c r="E1610" s="16">
        <v>10</v>
      </c>
      <c r="F1610" s="16">
        <f>VLOOKUP(C1610,[1]master_data!$A$2:$E$495,3,FALSE)</f>
        <v>7000</v>
      </c>
      <c r="G1610" s="16">
        <f>VLOOKUP(C1610,[1]master_data!$A$2:$E$495,4,FALSE)</f>
        <v>20000</v>
      </c>
      <c r="H1610" s="16">
        <f>E1610*F1610</f>
        <v>70000</v>
      </c>
      <c r="I1610" s="16">
        <f>E1610*G1610</f>
        <v>200000</v>
      </c>
      <c r="J1610" s="16">
        <f>I1610-H1610</f>
        <v>130000</v>
      </c>
      <c r="K1610" s="16" t="str">
        <f>VLOOKUP(C1610,[1]master_data!$A$2:$E$495,5,FALSE)</f>
        <v>Ikan</v>
      </c>
      <c r="L1610" s="1"/>
    </row>
    <row r="1611" spans="1:12" ht="12" customHeight="1" x14ac:dyDescent="0.25">
      <c r="A1611" s="15">
        <v>44240</v>
      </c>
      <c r="B1611" s="16" t="s">
        <v>594</v>
      </c>
      <c r="C1611" s="16" t="s">
        <v>39</v>
      </c>
      <c r="D1611" s="16" t="str">
        <f>VLOOKUP(C1611,[1]master_data!$A$2:$E$495,2,FALSE)</f>
        <v>MESIN YAMANO ACO 003</v>
      </c>
      <c r="E1611" s="16">
        <v>2</v>
      </c>
      <c r="F1611" s="16">
        <f>VLOOKUP(C1611,[1]master_data!$A$2:$E$495,3,FALSE)</f>
        <v>375000</v>
      </c>
      <c r="G1611" s="16">
        <f>VLOOKUP(C1611,[1]master_data!$A$2:$E$495,4,FALSE)</f>
        <v>450000</v>
      </c>
      <c r="H1611" s="16">
        <f>E1611*F1611</f>
        <v>750000</v>
      </c>
      <c r="I1611" s="16">
        <f>E1611*G1611</f>
        <v>900000</v>
      </c>
      <c r="J1611" s="16">
        <f>I1611-H1611</f>
        <v>150000</v>
      </c>
      <c r="K1611" s="16" t="str">
        <f>VLOOKUP(C1611,[1]master_data!$A$2:$E$495,5,FALSE)</f>
        <v>Aksesoris</v>
      </c>
      <c r="L1611" s="1"/>
    </row>
    <row r="1612" spans="1:12" ht="12" customHeight="1" x14ac:dyDescent="0.25">
      <c r="A1612" s="15">
        <v>44240</v>
      </c>
      <c r="B1612" s="16" t="s">
        <v>595</v>
      </c>
      <c r="C1612" s="16" t="s">
        <v>326</v>
      </c>
      <c r="D1612" s="16" t="str">
        <f>VLOOKUP(C1612,[1]master_data!$A$2:$E$495,2,FALSE)</f>
        <v>KOKI K</v>
      </c>
      <c r="E1612" s="16">
        <v>23</v>
      </c>
      <c r="F1612" s="16">
        <f>VLOOKUP(C1612,[1]master_data!$A$2:$E$495,3,FALSE)</f>
        <v>3500</v>
      </c>
      <c r="G1612" s="16">
        <f>VLOOKUP(C1612,[1]master_data!$A$2:$E$495,4,FALSE)</f>
        <v>10000</v>
      </c>
      <c r="H1612" s="16">
        <f>E1612*F1612</f>
        <v>80500</v>
      </c>
      <c r="I1612" s="16">
        <f>E1612*G1612</f>
        <v>230000</v>
      </c>
      <c r="J1612" s="16">
        <f>I1612-H1612</f>
        <v>149500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44240</v>
      </c>
      <c r="B1613" s="16" t="s">
        <v>596</v>
      </c>
      <c r="C1613" s="16" t="s">
        <v>329</v>
      </c>
      <c r="D1613" s="16" t="str">
        <f>VLOOKUP(C1613,[1]master_data!$A$2:$E$495,2,FALSE)</f>
        <v>KOI K</v>
      </c>
      <c r="E1613" s="16">
        <v>5</v>
      </c>
      <c r="F1613" s="16">
        <f>VLOOKUP(C1613,[1]master_data!$A$2:$E$495,3,FALSE)</f>
        <v>2500</v>
      </c>
      <c r="G1613" s="16">
        <f>VLOOKUP(C1613,[1]master_data!$A$2:$E$495,4,FALSE)</f>
        <v>10000</v>
      </c>
      <c r="H1613" s="16">
        <f>E1613*F1613</f>
        <v>12500</v>
      </c>
      <c r="I1613" s="16">
        <f>E1613*G1613</f>
        <v>50000</v>
      </c>
      <c r="J1613" s="16">
        <f>I1613-H1613</f>
        <v>37500</v>
      </c>
      <c r="K1613" s="16" t="str">
        <f>VLOOKUP(C1613,[1]master_data!$A$2:$E$495,5,FALSE)</f>
        <v>Ikan</v>
      </c>
      <c r="L1613" s="1"/>
    </row>
    <row r="1614" spans="1:12" ht="12" customHeight="1" x14ac:dyDescent="0.25">
      <c r="A1614" s="15">
        <v>44239</v>
      </c>
      <c r="B1614" s="16" t="s">
        <v>590</v>
      </c>
      <c r="C1614" s="16" t="s">
        <v>311</v>
      </c>
      <c r="D1614" s="16" t="str">
        <f>VLOOKUP(C1614,[1]master_data!$A$2:$E$495,2,FALSE)</f>
        <v>BIPOLAR</v>
      </c>
      <c r="E1614" s="16">
        <v>10</v>
      </c>
      <c r="F1614" s="16">
        <f>VLOOKUP(C1614,[1]master_data!$A$2:$E$495,3,FALSE)</f>
        <v>1000</v>
      </c>
      <c r="G1614" s="16">
        <f>VLOOKUP(C1614,[1]master_data!$A$2:$E$495,4,FALSE)</f>
        <v>2500</v>
      </c>
      <c r="H1614" s="16">
        <f>E1614*F1614</f>
        <v>10000</v>
      </c>
      <c r="I1614" s="16">
        <f>E1614*G1614</f>
        <v>25000</v>
      </c>
      <c r="J1614" s="16">
        <f>I1614-H1614</f>
        <v>15000</v>
      </c>
      <c r="K1614" s="16" t="str">
        <f>VLOOKUP(C1614,[1]master_data!$A$2:$E$495,5,FALSE)</f>
        <v>Ikan</v>
      </c>
      <c r="L1614" s="1"/>
    </row>
    <row r="1615" spans="1:12" ht="12" customHeight="1" x14ac:dyDescent="0.25">
      <c r="A1615" s="15">
        <v>44239</v>
      </c>
      <c r="B1615" s="16" t="s">
        <v>591</v>
      </c>
      <c r="C1615" s="16" t="s">
        <v>308</v>
      </c>
      <c r="D1615" s="16" t="str">
        <f>VLOOKUP(C1615,[1]master_data!$A$2:$E$495,2,FALSE)</f>
        <v>ARWANA SILVER B</v>
      </c>
      <c r="E1615" s="16">
        <v>1</v>
      </c>
      <c r="F1615" s="16">
        <f>VLOOKUP(C1615,[1]master_data!$A$2:$E$495,3,FALSE)</f>
        <v>300000</v>
      </c>
      <c r="G1615" s="16">
        <f>VLOOKUP(C1615,[1]master_data!$A$2:$E$495,4,FALSE)</f>
        <v>500000</v>
      </c>
      <c r="H1615" s="16">
        <f>E1615*F1615</f>
        <v>300000</v>
      </c>
      <c r="I1615" s="16">
        <f>E1615*G1615</f>
        <v>500000</v>
      </c>
      <c r="J1615" s="16">
        <f>I1615-H1615</f>
        <v>200000</v>
      </c>
      <c r="K1615" s="16" t="str">
        <f>VLOOKUP(C1615,[1]master_data!$A$2:$E$495,5,FALSE)</f>
        <v>Ikan</v>
      </c>
      <c r="L1615" s="1"/>
    </row>
    <row r="1616" spans="1:12" ht="12" customHeight="1" x14ac:dyDescent="0.25">
      <c r="A1616" s="15">
        <v>44239</v>
      </c>
      <c r="B1616" s="16" t="s">
        <v>592</v>
      </c>
      <c r="C1616" s="16" t="s">
        <v>248</v>
      </c>
      <c r="D1616" s="16" t="str">
        <f>VLOOKUP(C1616,[1]master_data!$A$2:$E$495,2,FALSE)</f>
        <v>T PIPA</v>
      </c>
      <c r="E1616" s="16">
        <v>15</v>
      </c>
      <c r="F1616" s="16">
        <f>VLOOKUP(C1616,[1]master_data!$A$2:$E$495,3,FALSE)</f>
        <v>800</v>
      </c>
      <c r="G1616" s="16">
        <f>VLOOKUP(C1616,[1]master_data!$A$2:$E$495,4,FALSE)</f>
        <v>2000</v>
      </c>
      <c r="H1616" s="16">
        <f>E1616*F1616</f>
        <v>12000</v>
      </c>
      <c r="I1616" s="16">
        <f>E1616*G1616</f>
        <v>30000</v>
      </c>
      <c r="J1616" s="16">
        <f>I1616-H1616</f>
        <v>18000</v>
      </c>
      <c r="K1616" s="16" t="str">
        <f>VLOOKUP(C1616,[1]master_data!$A$2:$E$495,5,FALSE)</f>
        <v>Aksesoris</v>
      </c>
      <c r="L1616" s="1"/>
    </row>
    <row r="1617" spans="1:12" ht="12" customHeight="1" x14ac:dyDescent="0.25">
      <c r="A1617" s="15">
        <v>44239</v>
      </c>
      <c r="B1617" s="16" t="s">
        <v>593</v>
      </c>
      <c r="C1617" s="16" t="s">
        <v>248</v>
      </c>
      <c r="D1617" s="16" t="str">
        <f>VLOOKUP(C1617,[1]master_data!$A$2:$E$495,2,FALSE)</f>
        <v>T PIPA</v>
      </c>
      <c r="E1617" s="16">
        <v>15</v>
      </c>
      <c r="F1617" s="16">
        <f>VLOOKUP(C1617,[1]master_data!$A$2:$E$495,3,FALSE)</f>
        <v>800</v>
      </c>
      <c r="G1617" s="16">
        <f>VLOOKUP(C1617,[1]master_data!$A$2:$E$495,4,FALSE)</f>
        <v>2000</v>
      </c>
      <c r="H1617" s="16">
        <f>E1617*F1617</f>
        <v>12000</v>
      </c>
      <c r="I1617" s="16">
        <f>E1617*G1617</f>
        <v>30000</v>
      </c>
      <c r="J1617" s="16">
        <f>I1617-H1617</f>
        <v>18000</v>
      </c>
      <c r="K1617" s="16" t="str">
        <f>VLOOKUP(C1617,[1]master_data!$A$2:$E$495,5,FALSE)</f>
        <v>Aksesoris</v>
      </c>
      <c r="L1617" s="1"/>
    </row>
    <row r="1618" spans="1:12" ht="12" customHeight="1" x14ac:dyDescent="0.25">
      <c r="A1618" s="15">
        <v>44238</v>
      </c>
      <c r="B1618" s="16" t="s">
        <v>586</v>
      </c>
      <c r="C1618" s="16" t="s">
        <v>241</v>
      </c>
      <c r="D1618" s="16" t="str">
        <f>VLOOKUP(C1618,[1]master_data!$A$2:$E$495,2,FALSE)</f>
        <v>PINSET KANDILA</v>
      </c>
      <c r="E1618" s="16">
        <v>1</v>
      </c>
      <c r="F1618" s="16">
        <f>VLOOKUP(C1618,[1]master_data!$A$2:$E$495,3,FALSE)</f>
        <v>18000</v>
      </c>
      <c r="G1618" s="16">
        <f>VLOOKUP(C1618,[1]master_data!$A$2:$E$495,4,FALSE)</f>
        <v>35000</v>
      </c>
      <c r="H1618" s="16">
        <f>E1618*F1618</f>
        <v>18000</v>
      </c>
      <c r="I1618" s="16">
        <f>E1618*G1618</f>
        <v>35000</v>
      </c>
      <c r="J1618" s="16">
        <f>I1618-H1618</f>
        <v>17000</v>
      </c>
      <c r="K1618" s="16" t="str">
        <f>VLOOKUP(C1618,[1]master_data!$A$2:$E$495,5,FALSE)</f>
        <v>Aksesoris</v>
      </c>
      <c r="L1618" s="1"/>
    </row>
    <row r="1619" spans="1:12" ht="12" customHeight="1" x14ac:dyDescent="0.25">
      <c r="A1619" s="15">
        <v>44238</v>
      </c>
      <c r="B1619" s="16" t="s">
        <v>587</v>
      </c>
      <c r="C1619" s="16" t="s">
        <v>344</v>
      </c>
      <c r="D1619" s="16" t="str">
        <f>VLOOKUP(C1619,[1]master_data!$A$2:$E$495,2,FALSE)</f>
        <v>MANFISH B</v>
      </c>
      <c r="E1619" s="16">
        <v>15</v>
      </c>
      <c r="F1619" s="16">
        <f>VLOOKUP(C1619,[1]master_data!$A$2:$E$495,3,FALSE)</f>
        <v>4000</v>
      </c>
      <c r="G1619" s="16">
        <f>VLOOKUP(C1619,[1]master_data!$A$2:$E$495,4,FALSE)</f>
        <v>10000</v>
      </c>
      <c r="H1619" s="16">
        <f>E1619*F1619</f>
        <v>60000</v>
      </c>
      <c r="I1619" s="16">
        <f>E1619*G1619</f>
        <v>150000</v>
      </c>
      <c r="J1619" s="16">
        <f>I1619-H1619</f>
        <v>90000</v>
      </c>
      <c r="K1619" s="16" t="str">
        <f>VLOOKUP(C1619,[1]master_data!$A$2:$E$495,5,FALSE)</f>
        <v>Ikan</v>
      </c>
      <c r="L1619" s="1"/>
    </row>
    <row r="1620" spans="1:12" ht="12" customHeight="1" x14ac:dyDescent="0.25">
      <c r="A1620" s="15">
        <v>44238</v>
      </c>
      <c r="B1620" s="16" t="s">
        <v>588</v>
      </c>
      <c r="C1620" s="16" t="s">
        <v>309</v>
      </c>
      <c r="D1620" s="16" t="str">
        <f>VLOOKUP(C1620,[1]master_data!$A$2:$E$495,2,FALSE)</f>
        <v>ALGA EATER</v>
      </c>
      <c r="E1620" s="16">
        <v>30</v>
      </c>
      <c r="F1620" s="16">
        <f>VLOOKUP(C1620,[1]master_data!$A$2:$E$495,3,FALSE)</f>
        <v>1750</v>
      </c>
      <c r="G1620" s="16">
        <f>VLOOKUP(C1620,[1]master_data!$A$2:$E$495,4,FALSE)</f>
        <v>5000</v>
      </c>
      <c r="H1620" s="16">
        <f>E1620*F1620</f>
        <v>52500</v>
      </c>
      <c r="I1620" s="16">
        <f>E1620*G1620</f>
        <v>150000</v>
      </c>
      <c r="J1620" s="16">
        <f>I1620-H1620</f>
        <v>97500</v>
      </c>
      <c r="K1620" s="16" t="str">
        <f>VLOOKUP(C1620,[1]master_data!$A$2:$E$495,5,FALSE)</f>
        <v>Ikan</v>
      </c>
      <c r="L1620" s="1"/>
    </row>
    <row r="1621" spans="1:12" ht="12" customHeight="1" x14ac:dyDescent="0.25">
      <c r="A1621" s="15">
        <v>44238</v>
      </c>
      <c r="B1621" s="16" t="s">
        <v>589</v>
      </c>
      <c r="C1621" s="16" t="s">
        <v>343</v>
      </c>
      <c r="D1621" s="16" t="str">
        <f>VLOOKUP(C1621,[1]master_data!$A$2:$E$495,2,FALSE)</f>
        <v>MANFISH K</v>
      </c>
      <c r="E1621" s="16">
        <v>25</v>
      </c>
      <c r="F1621" s="16">
        <f>VLOOKUP(C1621,[1]master_data!$A$2:$E$495,3,FALSE)</f>
        <v>2000</v>
      </c>
      <c r="G1621" s="16">
        <f>VLOOKUP(C1621,[1]master_data!$A$2:$E$495,4,FALSE)</f>
        <v>5000</v>
      </c>
      <c r="H1621" s="16">
        <f>E1621*F1621</f>
        <v>50000</v>
      </c>
      <c r="I1621" s="16">
        <f>E1621*G1621</f>
        <v>125000</v>
      </c>
      <c r="J1621" s="16">
        <f>I1621-H1621</f>
        <v>75000</v>
      </c>
      <c r="K1621" s="16" t="str">
        <f>VLOOKUP(C1621,[1]master_data!$A$2:$E$495,5,FALSE)</f>
        <v>Ikan</v>
      </c>
      <c r="L1621" s="1"/>
    </row>
    <row r="1622" spans="1:12" ht="12" customHeight="1" x14ac:dyDescent="0.25">
      <c r="A1622" s="15">
        <v>44237</v>
      </c>
      <c r="B1622" s="16" t="s">
        <v>584</v>
      </c>
      <c r="C1622" s="16" t="s">
        <v>283</v>
      </c>
      <c r="D1622" s="16" t="str">
        <f>VLOOKUP(C1622,[1]master_data!$A$2:$E$495,2,FALSE)</f>
        <v>TEMPAT KURA KURA</v>
      </c>
      <c r="E1622" s="16">
        <v>1</v>
      </c>
      <c r="F1622" s="16">
        <f>VLOOKUP(C1622,[1]master_data!$A$2:$E$495,3,FALSE)</f>
        <v>8500</v>
      </c>
      <c r="G1622" s="16">
        <f>VLOOKUP(C1622,[1]master_data!$A$2:$E$495,4,FALSE)</f>
        <v>15000</v>
      </c>
      <c r="H1622" s="16">
        <f>E1622*F1622</f>
        <v>8500</v>
      </c>
      <c r="I1622" s="16">
        <f>E1622*G1622</f>
        <v>15000</v>
      </c>
      <c r="J1622" s="16">
        <f>I1622-H1622</f>
        <v>6500</v>
      </c>
      <c r="K1622" s="16" t="str">
        <f>VLOOKUP(C1622,[1]master_data!$A$2:$E$495,5,FALSE)</f>
        <v>Aksesoris</v>
      </c>
      <c r="L1622" s="1"/>
    </row>
    <row r="1623" spans="1:12" ht="12" customHeight="1" x14ac:dyDescent="0.25">
      <c r="A1623" s="15">
        <v>44237</v>
      </c>
      <c r="B1623" s="16" t="s">
        <v>585</v>
      </c>
      <c r="C1623" s="16" t="s">
        <v>303</v>
      </c>
      <c r="D1623" s="16" t="str">
        <f>VLOOKUP(C1623,[1]master_data!$A$2:$E$495,2,FALSE)</f>
        <v>CHANNA ASIATICA K</v>
      </c>
      <c r="E1623" s="16">
        <v>9</v>
      </c>
      <c r="F1623" s="16">
        <f>VLOOKUP(C1623,[1]master_data!$A$2:$E$495,3,FALSE)</f>
        <v>10000</v>
      </c>
      <c r="G1623" s="16">
        <f>VLOOKUP(C1623,[1]master_data!$A$2:$E$495,4,FALSE)</f>
        <v>40000</v>
      </c>
      <c r="H1623" s="16">
        <f>E1623*F1623</f>
        <v>90000</v>
      </c>
      <c r="I1623" s="16">
        <f>E1623*G1623</f>
        <v>360000</v>
      </c>
      <c r="J1623" s="16">
        <f>I1623-H1623</f>
        <v>270000</v>
      </c>
      <c r="K1623" s="16" t="str">
        <f>VLOOKUP(C1623,[1]master_data!$A$2:$E$495,5,FALSE)</f>
        <v>Ikan</v>
      </c>
      <c r="L1623" s="1"/>
    </row>
    <row r="1624" spans="1:12" ht="12" customHeight="1" x14ac:dyDescent="0.25">
      <c r="A1624" s="15">
        <v>44236</v>
      </c>
      <c r="B1624" s="16" t="s">
        <v>580</v>
      </c>
      <c r="C1624" s="16" t="s">
        <v>102</v>
      </c>
      <c r="D1624" s="16" t="str">
        <f>VLOOKUP(C1624,[1]master_data!$A$2:$E$495,2,FALSE)</f>
        <v>LED ROSTON 60 CM</v>
      </c>
      <c r="E1624" s="16">
        <v>5</v>
      </c>
      <c r="F1624" s="16">
        <f>VLOOKUP(C1624,[1]master_data!$A$2:$E$495,3,FALSE)</f>
        <v>28000</v>
      </c>
      <c r="G1624" s="16">
        <f>VLOOKUP(C1624,[1]master_data!$A$2:$E$495,4,FALSE)</f>
        <v>60000</v>
      </c>
      <c r="H1624" s="16">
        <f>E1624*F1624</f>
        <v>140000</v>
      </c>
      <c r="I1624" s="16">
        <f>E1624*G1624</f>
        <v>300000</v>
      </c>
      <c r="J1624" s="16">
        <f>I1624-H1624</f>
        <v>160000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44236</v>
      </c>
      <c r="B1625" s="16" t="s">
        <v>581</v>
      </c>
      <c r="C1625" s="16" t="s">
        <v>149</v>
      </c>
      <c r="D1625" s="16" t="str">
        <f>VLOOKUP(C1625,[1]master_data!$A$2:$E$495,2,FALSE)</f>
        <v>LED KANDILA PRO RED 180 CM</v>
      </c>
      <c r="E1625" s="16">
        <v>1</v>
      </c>
      <c r="F1625" s="16">
        <f>VLOOKUP(C1625,[1]master_data!$A$2:$E$495,3,FALSE)</f>
        <v>317000</v>
      </c>
      <c r="G1625" s="16">
        <f>VLOOKUP(C1625,[1]master_data!$A$2:$E$495,4,FALSE)</f>
        <v>425000</v>
      </c>
      <c r="H1625" s="16">
        <f>E1625*F1625</f>
        <v>317000</v>
      </c>
      <c r="I1625" s="16">
        <f>E1625*G1625</f>
        <v>425000</v>
      </c>
      <c r="J1625" s="16">
        <f>I1625-H1625</f>
        <v>108000</v>
      </c>
      <c r="K1625" s="16" t="str">
        <f>VLOOKUP(C1625,[1]master_data!$A$2:$E$495,5,FALSE)</f>
        <v>Aksesoris</v>
      </c>
      <c r="L1625" s="1"/>
    </row>
    <row r="1626" spans="1:12" ht="12" customHeight="1" x14ac:dyDescent="0.25">
      <c r="A1626" s="15">
        <v>44236</v>
      </c>
      <c r="B1626" s="16" t="s">
        <v>582</v>
      </c>
      <c r="C1626" s="16" t="s">
        <v>362</v>
      </c>
      <c r="D1626" s="16" t="str">
        <f>VLOOKUP(C1626,[1]master_data!$A$2:$E$495,2,FALSE)</f>
        <v>SUMATRA BIASA</v>
      </c>
      <c r="E1626" s="16">
        <v>15</v>
      </c>
      <c r="F1626" s="16">
        <f>VLOOKUP(C1626,[1]master_data!$A$2:$E$495,3,FALSE)</f>
        <v>800</v>
      </c>
      <c r="G1626" s="16">
        <f>VLOOKUP(C1626,[1]master_data!$A$2:$E$495,4,FALSE)</f>
        <v>2000</v>
      </c>
      <c r="H1626" s="16">
        <f>E1626*F1626</f>
        <v>12000</v>
      </c>
      <c r="I1626" s="16">
        <f>E1626*G1626</f>
        <v>30000</v>
      </c>
      <c r="J1626" s="16">
        <f>I1626-H1626</f>
        <v>18000</v>
      </c>
      <c r="K1626" s="16" t="str">
        <f>VLOOKUP(C1626,[1]master_data!$A$2:$E$495,5,FALSE)</f>
        <v>Ikan</v>
      </c>
      <c r="L1626" s="1"/>
    </row>
    <row r="1627" spans="1:12" ht="12" customHeight="1" x14ac:dyDescent="0.25">
      <c r="A1627" s="15">
        <v>44236</v>
      </c>
      <c r="B1627" s="16" t="s">
        <v>583</v>
      </c>
      <c r="C1627" s="16" t="s">
        <v>347</v>
      </c>
      <c r="D1627" s="16" t="str">
        <f>VLOOKUP(C1627,[1]master_data!$A$2:$E$495,2,FALSE)</f>
        <v>MOLI BALON</v>
      </c>
      <c r="E1627" s="16">
        <v>7</v>
      </c>
      <c r="F1627" s="16">
        <f>VLOOKUP(C1627,[1]master_data!$A$2:$E$495,3,FALSE)</f>
        <v>800</v>
      </c>
      <c r="G1627" s="16">
        <f>VLOOKUP(C1627,[1]master_data!$A$2:$E$495,4,FALSE)</f>
        <v>2000</v>
      </c>
      <c r="H1627" s="16">
        <f>E1627*F1627</f>
        <v>5600</v>
      </c>
      <c r="I1627" s="16">
        <f>E1627*G1627</f>
        <v>14000</v>
      </c>
      <c r="J1627" s="16">
        <f>I1627-H1627</f>
        <v>8400</v>
      </c>
      <c r="K1627" s="16" t="str">
        <f>VLOOKUP(C1627,[1]master_data!$A$2:$E$495,5,FALSE)</f>
        <v>Ikan</v>
      </c>
      <c r="L1627" s="1"/>
    </row>
    <row r="1628" spans="1:12" ht="12" customHeight="1" x14ac:dyDescent="0.25">
      <c r="A1628" s="15">
        <v>44235</v>
      </c>
      <c r="B1628" s="16" t="s">
        <v>576</v>
      </c>
      <c r="C1628" s="16" t="s">
        <v>59</v>
      </c>
      <c r="D1628" s="16" t="str">
        <f>VLOOKUP(C1628,[1]master_data!$A$2:$E$495,2,FALSE)</f>
        <v>MESIN SUSUN 4800</v>
      </c>
      <c r="E1628" s="16">
        <v>1</v>
      </c>
      <c r="F1628" s="16">
        <f>VLOOKUP(C1628,[1]master_data!$A$2:$E$495,3,FALSE)</f>
        <v>542000</v>
      </c>
      <c r="G1628" s="16">
        <f>VLOOKUP(C1628,[1]master_data!$A$2:$E$495,4,FALSE)</f>
        <v>630000</v>
      </c>
      <c r="H1628" s="16">
        <f>E1628*F1628</f>
        <v>542000</v>
      </c>
      <c r="I1628" s="16">
        <f>E1628*G1628</f>
        <v>630000</v>
      </c>
      <c r="J1628" s="16">
        <f>I1628-H1628</f>
        <v>88000</v>
      </c>
      <c r="K1628" s="16" t="str">
        <f>VLOOKUP(C1628,[1]master_data!$A$2:$E$495,5,FALSE)</f>
        <v>Aksesoris</v>
      </c>
      <c r="L1628" s="1"/>
    </row>
    <row r="1629" spans="1:12" ht="12" customHeight="1" x14ac:dyDescent="0.25">
      <c r="A1629" s="15">
        <v>44235</v>
      </c>
      <c r="B1629" s="16" t="s">
        <v>577</v>
      </c>
      <c r="C1629" s="16" t="s">
        <v>340</v>
      </c>
      <c r="D1629" s="16" t="str">
        <f>VLOOKUP(C1629,[1]master_data!$A$2:$E$495,2,FALSE)</f>
        <v>LEMON</v>
      </c>
      <c r="E1629" s="16">
        <v>20</v>
      </c>
      <c r="F1629" s="16">
        <f>VLOOKUP(C1629,[1]master_data!$A$2:$E$495,3,FALSE)</f>
        <v>1000</v>
      </c>
      <c r="G1629" s="16">
        <f>VLOOKUP(C1629,[1]master_data!$A$2:$E$495,4,FALSE)</f>
        <v>2000</v>
      </c>
      <c r="H1629" s="16">
        <f>E1629*F1629</f>
        <v>20000</v>
      </c>
      <c r="I1629" s="16">
        <f>E1629*G1629</f>
        <v>40000</v>
      </c>
      <c r="J1629" s="16">
        <f>I1629-H1629</f>
        <v>20000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44235</v>
      </c>
      <c r="B1630" s="16" t="s">
        <v>578</v>
      </c>
      <c r="C1630" s="16" t="s">
        <v>327</v>
      </c>
      <c r="D1630" s="16" t="str">
        <f>VLOOKUP(C1630,[1]master_data!$A$2:$E$495,2,FALSE)</f>
        <v>KOKI T</v>
      </c>
      <c r="E1630" s="16">
        <v>2</v>
      </c>
      <c r="F1630" s="16">
        <f>VLOOKUP(C1630,[1]master_data!$A$2:$E$495,3,FALSE)</f>
        <v>8000</v>
      </c>
      <c r="G1630" s="16">
        <f>VLOOKUP(C1630,[1]master_data!$A$2:$E$495,4,FALSE)</f>
        <v>15000</v>
      </c>
      <c r="H1630" s="16">
        <f>E1630*F1630</f>
        <v>16000</v>
      </c>
      <c r="I1630" s="16">
        <f>E1630*G1630</f>
        <v>30000</v>
      </c>
      <c r="J1630" s="16">
        <f>I1630-H1630</f>
        <v>14000</v>
      </c>
      <c r="K1630" s="16" t="str">
        <f>VLOOKUP(C1630,[1]master_data!$A$2:$E$495,5,FALSE)</f>
        <v>Ikan</v>
      </c>
      <c r="L1630" s="1"/>
    </row>
    <row r="1631" spans="1:12" ht="12" customHeight="1" x14ac:dyDescent="0.25">
      <c r="A1631" s="15">
        <v>44235</v>
      </c>
      <c r="B1631" s="16" t="s">
        <v>579</v>
      </c>
      <c r="C1631" s="16" t="s">
        <v>336</v>
      </c>
      <c r="D1631" s="16" t="str">
        <f>VLOOKUP(C1631,[1]master_data!$A$2:$E$495,2,FALSE)</f>
        <v>KOI SLAYER K</v>
      </c>
      <c r="E1631" s="16">
        <v>25</v>
      </c>
      <c r="F1631" s="16">
        <f>VLOOKUP(C1631,[1]master_data!$A$2:$E$495,3,FALSE)</f>
        <v>3500</v>
      </c>
      <c r="G1631" s="16">
        <f>VLOOKUP(C1631,[1]master_data!$A$2:$E$495,4,FALSE)</f>
        <v>10000</v>
      </c>
      <c r="H1631" s="16">
        <f>E1631*F1631</f>
        <v>87500</v>
      </c>
      <c r="I1631" s="16">
        <f>E1631*G1631</f>
        <v>250000</v>
      </c>
      <c r="J1631" s="16">
        <f>I1631-H1631</f>
        <v>162500</v>
      </c>
      <c r="K1631" s="16" t="str">
        <f>VLOOKUP(C1631,[1]master_data!$A$2:$E$495,5,FALSE)</f>
        <v>Ikan</v>
      </c>
      <c r="L1631" s="1"/>
    </row>
    <row r="1632" spans="1:12" ht="12" customHeight="1" x14ac:dyDescent="0.25">
      <c r="A1632" s="15">
        <v>44234</v>
      </c>
      <c r="B1632" s="16" t="s">
        <v>572</v>
      </c>
      <c r="C1632" s="16" t="s">
        <v>77</v>
      </c>
      <c r="D1632" s="16" t="str">
        <f>VLOOKUP(C1632,[1]master_data!$A$2:$E$495,2,FALSE)</f>
        <v>MESIN RECENT WV 3000</v>
      </c>
      <c r="E1632" s="16">
        <v>2</v>
      </c>
      <c r="F1632" s="16">
        <f>VLOOKUP(C1632,[1]master_data!$A$2:$E$495,3,FALSE)</f>
        <v>59000</v>
      </c>
      <c r="G1632" s="16">
        <f>VLOOKUP(C1632,[1]master_data!$A$2:$E$495,4,FALSE)</f>
        <v>85000</v>
      </c>
      <c r="H1632" s="16">
        <f>E1632*F1632</f>
        <v>118000</v>
      </c>
      <c r="I1632" s="16">
        <f>E1632*G1632</f>
        <v>170000</v>
      </c>
      <c r="J1632" s="16">
        <f>I1632-H1632</f>
        <v>52000</v>
      </c>
      <c r="K1632" s="16" t="str">
        <f>VLOOKUP(C1632,[1]master_data!$A$2:$E$495,5,FALSE)</f>
        <v>Aksesoris</v>
      </c>
      <c r="L1632" s="1"/>
    </row>
    <row r="1633" spans="1:12" ht="12" customHeight="1" x14ac:dyDescent="0.25">
      <c r="A1633" s="15">
        <v>44234</v>
      </c>
      <c r="B1633" s="16" t="s">
        <v>573</v>
      </c>
      <c r="C1633" s="16" t="s">
        <v>179</v>
      </c>
      <c r="D1633" s="16" t="str">
        <f>VLOOKUP(C1633,[1]master_data!$A$2:$E$495,2,FALSE)</f>
        <v>HIKARI FRIEND 75 GR</v>
      </c>
      <c r="E1633" s="16">
        <v>10</v>
      </c>
      <c r="F1633" s="16">
        <f>VLOOKUP(C1633,[1]master_data!$A$2:$E$495,3,FALSE)</f>
        <v>50000</v>
      </c>
      <c r="G1633" s="16">
        <f>VLOOKUP(C1633,[1]master_data!$A$2:$E$495,4,FALSE)</f>
        <v>65000</v>
      </c>
      <c r="H1633" s="16">
        <f>E1633*F1633</f>
        <v>500000</v>
      </c>
      <c r="I1633" s="16">
        <f>E1633*G1633</f>
        <v>650000</v>
      </c>
      <c r="J1633" s="16">
        <f>I1633-H1633</f>
        <v>150000</v>
      </c>
      <c r="K1633" s="16" t="str">
        <f>VLOOKUP(C1633,[1]master_data!$A$2:$E$495,5,FALSE)</f>
        <v>Aksesoris</v>
      </c>
      <c r="L1633" s="1"/>
    </row>
    <row r="1634" spans="1:12" ht="12" customHeight="1" x14ac:dyDescent="0.25">
      <c r="A1634" s="15">
        <v>44234</v>
      </c>
      <c r="B1634" s="16" t="s">
        <v>574</v>
      </c>
      <c r="C1634" s="16" t="s">
        <v>122</v>
      </c>
      <c r="D1634" s="16" t="str">
        <f>VLOOKUP(C1634,[1]master_data!$A$2:$E$495,2,FALSE)</f>
        <v>LED COSMO 100 CM</v>
      </c>
      <c r="E1634" s="16">
        <v>2</v>
      </c>
      <c r="F1634" s="16">
        <f>VLOOKUP(C1634,[1]master_data!$A$2:$E$495,3,FALSE)</f>
        <v>65000</v>
      </c>
      <c r="G1634" s="16">
        <f>VLOOKUP(C1634,[1]master_data!$A$2:$E$495,4,FALSE)</f>
        <v>90000</v>
      </c>
      <c r="H1634" s="16">
        <f>E1634*F1634</f>
        <v>130000</v>
      </c>
      <c r="I1634" s="16">
        <f>E1634*G1634</f>
        <v>180000</v>
      </c>
      <c r="J1634" s="16">
        <f>I1634-H1634</f>
        <v>50000</v>
      </c>
      <c r="K1634" s="16" t="str">
        <f>VLOOKUP(C1634,[1]master_data!$A$2:$E$495,5,FALSE)</f>
        <v>Aksesoris</v>
      </c>
      <c r="L1634" s="1"/>
    </row>
    <row r="1635" spans="1:12" ht="12" customHeight="1" x14ac:dyDescent="0.25">
      <c r="A1635" s="15">
        <v>44234</v>
      </c>
      <c r="B1635" s="16" t="s">
        <v>575</v>
      </c>
      <c r="C1635" s="16" t="s">
        <v>335</v>
      </c>
      <c r="D1635" s="16" t="str">
        <f>VLOOKUP(C1635,[1]master_data!$A$2:$E$495,2,FALSE)</f>
        <v>KOMET SLAYER</v>
      </c>
      <c r="E1635" s="16">
        <v>9</v>
      </c>
      <c r="F1635" s="16">
        <f>VLOOKUP(C1635,[1]master_data!$A$2:$E$495,3,FALSE)</f>
        <v>2000</v>
      </c>
      <c r="G1635" s="16">
        <f>VLOOKUP(C1635,[1]master_data!$A$2:$E$495,4,FALSE)</f>
        <v>5000</v>
      </c>
      <c r="H1635" s="16">
        <f>E1635*F1635</f>
        <v>18000</v>
      </c>
      <c r="I1635" s="16">
        <f>E1635*G1635</f>
        <v>45000</v>
      </c>
      <c r="J1635" s="16">
        <f>I1635-H1635</f>
        <v>27000</v>
      </c>
      <c r="K1635" s="16" t="str">
        <f>VLOOKUP(C1635,[1]master_data!$A$2:$E$495,5,FALSE)</f>
        <v>Ikan</v>
      </c>
      <c r="L1635" s="1"/>
    </row>
    <row r="1636" spans="1:12" ht="12" customHeight="1" x14ac:dyDescent="0.25">
      <c r="A1636" s="15">
        <v>44233</v>
      </c>
      <c r="B1636" s="16" t="s">
        <v>567</v>
      </c>
      <c r="C1636" s="16" t="s">
        <v>311</v>
      </c>
      <c r="D1636" s="16" t="str">
        <f>VLOOKUP(C1636,[1]master_data!$A$2:$E$495,2,FALSE)</f>
        <v>BIPOLAR</v>
      </c>
      <c r="E1636" s="16">
        <v>10</v>
      </c>
      <c r="F1636" s="16">
        <f>VLOOKUP(C1636,[1]master_data!$A$2:$E$495,3,FALSE)</f>
        <v>1000</v>
      </c>
      <c r="G1636" s="16">
        <f>VLOOKUP(C1636,[1]master_data!$A$2:$E$495,4,FALSE)</f>
        <v>2500</v>
      </c>
      <c r="H1636" s="16">
        <f>E1636*F1636</f>
        <v>10000</v>
      </c>
      <c r="I1636" s="16">
        <f>E1636*G1636</f>
        <v>25000</v>
      </c>
      <c r="J1636" s="16">
        <f>I1636-H1636</f>
        <v>15000</v>
      </c>
      <c r="K1636" s="16" t="str">
        <f>VLOOKUP(C1636,[1]master_data!$A$2:$E$495,5,FALSE)</f>
        <v>Ikan</v>
      </c>
      <c r="L1636" s="1"/>
    </row>
    <row r="1637" spans="1:12" ht="12" customHeight="1" x14ac:dyDescent="0.25">
      <c r="A1637" s="15">
        <v>44233</v>
      </c>
      <c r="B1637" s="16" t="s">
        <v>568</v>
      </c>
      <c r="C1637" s="16" t="s">
        <v>314</v>
      </c>
      <c r="D1637" s="16" t="str">
        <f>VLOOKUP(C1637,[1]master_data!$A$2:$E$495,2,FALSE)</f>
        <v>BALA BALA B</v>
      </c>
      <c r="E1637" s="16">
        <v>5</v>
      </c>
      <c r="F1637" s="16">
        <f>VLOOKUP(C1637,[1]master_data!$A$2:$E$495,3,FALSE)</f>
        <v>7000</v>
      </c>
      <c r="G1637" s="16">
        <f>VLOOKUP(C1637,[1]master_data!$A$2:$E$495,4,FALSE)</f>
        <v>15000</v>
      </c>
      <c r="H1637" s="16">
        <f>E1637*F1637</f>
        <v>35000</v>
      </c>
      <c r="I1637" s="16">
        <f>E1637*G1637</f>
        <v>75000</v>
      </c>
      <c r="J1637" s="16">
        <f>I1637-H1637</f>
        <v>40000</v>
      </c>
      <c r="K1637" s="16" t="str">
        <f>VLOOKUP(C1637,[1]master_data!$A$2:$E$495,5,FALSE)</f>
        <v>Ikan</v>
      </c>
      <c r="L1637" s="1"/>
    </row>
    <row r="1638" spans="1:12" ht="12" customHeight="1" x14ac:dyDescent="0.25">
      <c r="A1638" s="15">
        <v>44233</v>
      </c>
      <c r="B1638" s="16" t="s">
        <v>569</v>
      </c>
      <c r="C1638" s="16" t="s">
        <v>17</v>
      </c>
      <c r="D1638" s="16" t="str">
        <f>VLOOKUP(C1638,[1]master_data!$A$2:$E$495,2,FALSE)</f>
        <v>HANG ON YANG 502</v>
      </c>
      <c r="E1638" s="16">
        <v>2</v>
      </c>
      <c r="F1638" s="16">
        <f>VLOOKUP(C1638,[1]master_data!$A$2:$E$495,3,FALSE)</f>
        <v>71000</v>
      </c>
      <c r="G1638" s="16">
        <f>VLOOKUP(C1638,[1]master_data!$A$2:$E$495,4,FALSE)</f>
        <v>95000</v>
      </c>
      <c r="H1638" s="16">
        <f>E1638*F1638</f>
        <v>142000</v>
      </c>
      <c r="I1638" s="16">
        <f>E1638*G1638</f>
        <v>190000</v>
      </c>
      <c r="J1638" s="16">
        <f>I1638-H1638</f>
        <v>48000</v>
      </c>
      <c r="K1638" s="16" t="str">
        <f>VLOOKUP(C1638,[1]master_data!$A$2:$E$495,5,FALSE)</f>
        <v>Aksesoris</v>
      </c>
      <c r="L1638" s="1"/>
    </row>
    <row r="1639" spans="1:12" ht="12" customHeight="1" x14ac:dyDescent="0.25">
      <c r="A1639" s="15">
        <v>44233</v>
      </c>
      <c r="B1639" s="16" t="s">
        <v>570</v>
      </c>
      <c r="C1639" s="16" t="s">
        <v>219</v>
      </c>
      <c r="D1639" s="16" t="str">
        <f>VLOOKUP(C1639,[1]master_data!$A$2:$E$495,2,FALSE)</f>
        <v>HEATER KACA 100 W</v>
      </c>
      <c r="E1639" s="16">
        <v>2</v>
      </c>
      <c r="F1639" s="16">
        <f>VLOOKUP(C1639,[1]master_data!$A$2:$E$495,3,FALSE)</f>
        <v>33000</v>
      </c>
      <c r="G1639" s="16">
        <f>VLOOKUP(C1639,[1]master_data!$A$2:$E$495,4,FALSE)</f>
        <v>50000</v>
      </c>
      <c r="H1639" s="16">
        <f>E1639*F1639</f>
        <v>66000</v>
      </c>
      <c r="I1639" s="16">
        <f>E1639*G1639</f>
        <v>100000</v>
      </c>
      <c r="J1639" s="16">
        <f>I1639-H1639</f>
        <v>34000</v>
      </c>
      <c r="K1639" s="16" t="str">
        <f>VLOOKUP(C1639,[1]master_data!$A$2:$E$495,5,FALSE)</f>
        <v>Aksesoris</v>
      </c>
      <c r="L1639" s="1"/>
    </row>
    <row r="1640" spans="1:12" ht="12" customHeight="1" x14ac:dyDescent="0.25">
      <c r="A1640" s="15">
        <v>44233</v>
      </c>
      <c r="B1640" s="16" t="s">
        <v>571</v>
      </c>
      <c r="C1640" s="16" t="s">
        <v>56</v>
      </c>
      <c r="D1640" s="16" t="str">
        <f>VLOOKUP(C1640,[1]master_data!$A$2:$E$495,2,FALSE)</f>
        <v>MESIN MARVIN 1200</v>
      </c>
      <c r="E1640" s="16">
        <v>1</v>
      </c>
      <c r="F1640" s="16">
        <f>VLOOKUP(C1640,[1]master_data!$A$2:$E$495,3,FALSE)</f>
        <v>23000</v>
      </c>
      <c r="G1640" s="16">
        <f>VLOOKUP(C1640,[1]master_data!$A$2:$E$495,4,FALSE)</f>
        <v>35000</v>
      </c>
      <c r="H1640" s="16">
        <f>E1640*F1640</f>
        <v>23000</v>
      </c>
      <c r="I1640" s="16">
        <f>E1640*G1640</f>
        <v>35000</v>
      </c>
      <c r="J1640" s="16">
        <f>I1640-H1640</f>
        <v>12000</v>
      </c>
      <c r="K1640" s="16" t="str">
        <f>VLOOKUP(C1640,[1]master_data!$A$2:$E$495,5,FALSE)</f>
        <v>Aksesoris</v>
      </c>
      <c r="L1640" s="1"/>
    </row>
    <row r="1641" spans="1:12" ht="12" customHeight="1" x14ac:dyDescent="0.25">
      <c r="A1641" s="15">
        <v>44232</v>
      </c>
      <c r="B1641" s="16" t="s">
        <v>563</v>
      </c>
      <c r="C1641" s="16" t="s">
        <v>48</v>
      </c>
      <c r="D1641" s="16" t="str">
        <f>VLOOKUP(C1641,[1]master_data!$A$2:$E$495,2,FALSE)</f>
        <v>MESIN SWI 1600</v>
      </c>
      <c r="E1641" s="16">
        <v>10</v>
      </c>
      <c r="F1641" s="16">
        <f>VLOOKUP(C1641,[1]master_data!$A$2:$E$495,3,FALSE)</f>
        <v>37500</v>
      </c>
      <c r="G1641" s="16">
        <f>VLOOKUP(C1641,[1]master_data!$A$2:$E$495,4,FALSE)</f>
        <v>55000</v>
      </c>
      <c r="H1641" s="16">
        <f>E1641*F1641</f>
        <v>375000</v>
      </c>
      <c r="I1641" s="16">
        <f>E1641*G1641</f>
        <v>550000</v>
      </c>
      <c r="J1641" s="16">
        <f>I1641-H1641</f>
        <v>175000</v>
      </c>
      <c r="K1641" s="16" t="str">
        <f>VLOOKUP(C1641,[1]master_data!$A$2:$E$495,5,FALSE)</f>
        <v>Aksesoris</v>
      </c>
      <c r="L1641" s="1"/>
    </row>
    <row r="1642" spans="1:12" ht="12" customHeight="1" x14ac:dyDescent="0.25">
      <c r="A1642" s="15">
        <v>44232</v>
      </c>
      <c r="B1642" s="16" t="s">
        <v>564</v>
      </c>
      <c r="C1642" s="16" t="s">
        <v>313</v>
      </c>
      <c r="D1642" s="16" t="str">
        <f>VLOOKUP(C1642,[1]master_data!$A$2:$E$495,2,FALSE)</f>
        <v>BALA BALA K</v>
      </c>
      <c r="E1642" s="16">
        <v>21</v>
      </c>
      <c r="F1642" s="16">
        <f>VLOOKUP(C1642,[1]master_data!$A$2:$E$495,3,FALSE)</f>
        <v>4000</v>
      </c>
      <c r="G1642" s="16">
        <f>VLOOKUP(C1642,[1]master_data!$A$2:$E$495,4,FALSE)</f>
        <v>8000</v>
      </c>
      <c r="H1642" s="16">
        <f>E1642*F1642</f>
        <v>84000</v>
      </c>
      <c r="I1642" s="16">
        <f>E1642*G1642</f>
        <v>168000</v>
      </c>
      <c r="J1642" s="16">
        <f>I1642-H1642</f>
        <v>84000</v>
      </c>
      <c r="K1642" s="16" t="str">
        <f>VLOOKUP(C1642,[1]master_data!$A$2:$E$495,5,FALSE)</f>
        <v>Ikan</v>
      </c>
      <c r="L1642" s="1"/>
    </row>
    <row r="1643" spans="1:12" ht="12" customHeight="1" x14ac:dyDescent="0.25">
      <c r="A1643" s="15">
        <v>44232</v>
      </c>
      <c r="B1643" s="16" t="s">
        <v>565</v>
      </c>
      <c r="C1643" s="16" t="s">
        <v>370</v>
      </c>
      <c r="D1643" s="16" t="str">
        <f>VLOOKUP(C1643,[1]master_data!$A$2:$E$495,2,FALSE)</f>
        <v>ZEBRA HIJAU</v>
      </c>
      <c r="E1643" s="16">
        <v>1</v>
      </c>
      <c r="F1643" s="16">
        <f>VLOOKUP(C1643,[1]master_data!$A$2:$E$495,3,FALSE)</f>
        <v>800</v>
      </c>
      <c r="G1643" s="16">
        <f>VLOOKUP(C1643,[1]master_data!$A$2:$E$495,4,FALSE)</f>
        <v>2000</v>
      </c>
      <c r="H1643" s="16">
        <f>E1643*F1643</f>
        <v>800</v>
      </c>
      <c r="I1643" s="16">
        <f>E1643*G1643</f>
        <v>2000</v>
      </c>
      <c r="J1643" s="16">
        <f>I1643-H1643</f>
        <v>1200</v>
      </c>
      <c r="K1643" s="16" t="str">
        <f>VLOOKUP(C1643,[1]master_data!$A$2:$E$495,5,FALSE)</f>
        <v>Ikan</v>
      </c>
      <c r="L1643" s="1"/>
    </row>
    <row r="1644" spans="1:12" ht="12" customHeight="1" x14ac:dyDescent="0.25">
      <c r="A1644" s="15">
        <v>44232</v>
      </c>
      <c r="B1644" s="16" t="s">
        <v>566</v>
      </c>
      <c r="C1644" s="16" t="s">
        <v>335</v>
      </c>
      <c r="D1644" s="16" t="str">
        <f>VLOOKUP(C1644,[1]master_data!$A$2:$E$495,2,FALSE)</f>
        <v>KOMET SLAYER</v>
      </c>
      <c r="E1644" s="16">
        <v>1</v>
      </c>
      <c r="F1644" s="16">
        <f>VLOOKUP(C1644,[1]master_data!$A$2:$E$495,3,FALSE)</f>
        <v>2000</v>
      </c>
      <c r="G1644" s="16">
        <f>VLOOKUP(C1644,[1]master_data!$A$2:$E$495,4,FALSE)</f>
        <v>5000</v>
      </c>
      <c r="H1644" s="16">
        <f>E1644*F1644</f>
        <v>2000</v>
      </c>
      <c r="I1644" s="16">
        <f>E1644*G1644</f>
        <v>5000</v>
      </c>
      <c r="J1644" s="16">
        <f>I1644-H1644</f>
        <v>3000</v>
      </c>
      <c r="K1644" s="16" t="str">
        <f>VLOOKUP(C1644,[1]master_data!$A$2:$E$495,5,FALSE)</f>
        <v>Ikan</v>
      </c>
      <c r="L1644" s="1"/>
    </row>
    <row r="1645" spans="1:12" ht="12" customHeight="1" x14ac:dyDescent="0.25">
      <c r="A1645" s="15">
        <v>44231</v>
      </c>
      <c r="B1645" s="16" t="s">
        <v>556</v>
      </c>
      <c r="C1645" s="16" t="s">
        <v>336</v>
      </c>
      <c r="D1645" s="16" t="str">
        <f>VLOOKUP(C1645,[1]master_data!$A$2:$E$495,2,FALSE)</f>
        <v>KOI SLAYER K</v>
      </c>
      <c r="E1645" s="16">
        <v>10</v>
      </c>
      <c r="F1645" s="16">
        <f>VLOOKUP(C1645,[1]master_data!$A$2:$E$495,3,FALSE)</f>
        <v>3500</v>
      </c>
      <c r="G1645" s="16">
        <f>VLOOKUP(C1645,[1]master_data!$A$2:$E$495,4,FALSE)</f>
        <v>10000</v>
      </c>
      <c r="H1645" s="16">
        <f>E1645*F1645</f>
        <v>35000</v>
      </c>
      <c r="I1645" s="16">
        <f>E1645*G1645</f>
        <v>100000</v>
      </c>
      <c r="J1645" s="16">
        <f>I1645-H1645</f>
        <v>65000</v>
      </c>
      <c r="K1645" s="16" t="str">
        <f>VLOOKUP(C1645,[1]master_data!$A$2:$E$495,5,FALSE)</f>
        <v>Ikan</v>
      </c>
      <c r="L1645" s="1"/>
    </row>
    <row r="1646" spans="1:12" ht="12" customHeight="1" x14ac:dyDescent="0.25">
      <c r="A1646" s="15">
        <v>44231</v>
      </c>
      <c r="B1646" s="16" t="s">
        <v>557</v>
      </c>
      <c r="C1646" s="16" t="s">
        <v>306</v>
      </c>
      <c r="D1646" s="16" t="str">
        <f>VLOOKUP(C1646,[1]master_data!$A$2:$E$495,2,FALSE)</f>
        <v>CHANNA ANDRAO B</v>
      </c>
      <c r="E1646" s="16">
        <v>2</v>
      </c>
      <c r="F1646" s="16">
        <f>VLOOKUP(C1646,[1]master_data!$A$2:$E$495,3,FALSE)</f>
        <v>100000</v>
      </c>
      <c r="G1646" s="16">
        <f>VLOOKUP(C1646,[1]master_data!$A$2:$E$495,4,FALSE)</f>
        <v>200000</v>
      </c>
      <c r="H1646" s="16">
        <f>E1646*F1646</f>
        <v>200000</v>
      </c>
      <c r="I1646" s="16">
        <f>E1646*G1646</f>
        <v>400000</v>
      </c>
      <c r="J1646" s="16">
        <f>I1646-H1646</f>
        <v>200000</v>
      </c>
      <c r="K1646" s="16" t="str">
        <f>VLOOKUP(C1646,[1]master_data!$A$2:$E$495,5,FALSE)</f>
        <v>Ikan</v>
      </c>
      <c r="L1646" s="1"/>
    </row>
    <row r="1647" spans="1:12" ht="12" customHeight="1" x14ac:dyDescent="0.25">
      <c r="A1647" s="15">
        <v>44231</v>
      </c>
      <c r="B1647" s="16" t="s">
        <v>558</v>
      </c>
      <c r="C1647" s="16" t="s">
        <v>332</v>
      </c>
      <c r="D1647" s="16" t="str">
        <f>VLOOKUP(C1647,[1]master_data!$A$2:$E$495,2,FALSE)</f>
        <v>KURA - KURA</v>
      </c>
      <c r="E1647" s="16">
        <v>2</v>
      </c>
      <c r="F1647" s="16">
        <f>VLOOKUP(C1647,[1]master_data!$A$2:$E$495,3,FALSE)</f>
        <v>25000</v>
      </c>
      <c r="G1647" s="16">
        <f>VLOOKUP(C1647,[1]master_data!$A$2:$E$495,4,FALSE)</f>
        <v>35000</v>
      </c>
      <c r="H1647" s="16">
        <f>E1647*F1647</f>
        <v>50000</v>
      </c>
      <c r="I1647" s="16">
        <f>E1647*G1647</f>
        <v>70000</v>
      </c>
      <c r="J1647" s="16">
        <f>I1647-H1647</f>
        <v>20000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44231</v>
      </c>
      <c r="B1648" s="16" t="s">
        <v>559</v>
      </c>
      <c r="C1648" s="16" t="s">
        <v>255</v>
      </c>
      <c r="D1648" s="16" t="str">
        <f>VLOOKUP(C1648,[1]master_data!$A$2:$E$495,2,FALSE)</f>
        <v>AIRSTONE PANJANG 6</v>
      </c>
      <c r="E1648" s="16">
        <v>1</v>
      </c>
      <c r="F1648" s="16">
        <f>VLOOKUP(C1648,[1]master_data!$A$2:$E$495,3,FALSE)</f>
        <v>8000</v>
      </c>
      <c r="G1648" s="16">
        <f>VLOOKUP(C1648,[1]master_data!$A$2:$E$495,4,FALSE)</f>
        <v>12000</v>
      </c>
      <c r="H1648" s="16">
        <f>E1648*F1648</f>
        <v>8000</v>
      </c>
      <c r="I1648" s="16">
        <f>E1648*G1648</f>
        <v>12000</v>
      </c>
      <c r="J1648" s="16">
        <f>I1648-H1648</f>
        <v>4000</v>
      </c>
      <c r="K1648" s="16" t="str">
        <f>VLOOKUP(C1648,[1]master_data!$A$2:$E$495,5,FALSE)</f>
        <v>Aksesoris</v>
      </c>
      <c r="L1648" s="1"/>
    </row>
    <row r="1649" spans="1:12" ht="12" customHeight="1" x14ac:dyDescent="0.25">
      <c r="A1649" s="15">
        <v>44231</v>
      </c>
      <c r="B1649" s="16" t="s">
        <v>560</v>
      </c>
      <c r="C1649" s="16" t="s">
        <v>343</v>
      </c>
      <c r="D1649" s="16" t="str">
        <f>VLOOKUP(C1649,[1]master_data!$A$2:$E$495,2,FALSE)</f>
        <v>MANFISH K</v>
      </c>
      <c r="E1649" s="16">
        <v>20</v>
      </c>
      <c r="F1649" s="16">
        <f>VLOOKUP(C1649,[1]master_data!$A$2:$E$495,3,FALSE)</f>
        <v>2000</v>
      </c>
      <c r="G1649" s="16">
        <f>VLOOKUP(C1649,[1]master_data!$A$2:$E$495,4,FALSE)</f>
        <v>5000</v>
      </c>
      <c r="H1649" s="16">
        <f>E1649*F1649</f>
        <v>40000</v>
      </c>
      <c r="I1649" s="16">
        <f>E1649*G1649</f>
        <v>100000</v>
      </c>
      <c r="J1649" s="16">
        <f>I1649-H1649</f>
        <v>60000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44231</v>
      </c>
      <c r="B1650" s="16" t="s">
        <v>561</v>
      </c>
      <c r="C1650" s="16" t="s">
        <v>369</v>
      </c>
      <c r="D1650" s="16" t="str">
        <f>VLOOKUP(C1650,[1]master_data!$A$2:$E$495,2,FALSE)</f>
        <v>ZEBRA PINK</v>
      </c>
      <c r="E1650" s="16">
        <v>4</v>
      </c>
      <c r="F1650" s="16">
        <f>VLOOKUP(C1650,[1]master_data!$A$2:$E$495,3,FALSE)</f>
        <v>800</v>
      </c>
      <c r="G1650" s="16">
        <f>VLOOKUP(C1650,[1]master_data!$A$2:$E$495,4,FALSE)</f>
        <v>2000</v>
      </c>
      <c r="H1650" s="16">
        <f>E1650*F1650</f>
        <v>3200</v>
      </c>
      <c r="I1650" s="16">
        <f>E1650*G1650</f>
        <v>8000</v>
      </c>
      <c r="J1650" s="16">
        <f>I1650-H1650</f>
        <v>4800</v>
      </c>
      <c r="K1650" s="16" t="str">
        <f>VLOOKUP(C1650,[1]master_data!$A$2:$E$495,5,FALSE)</f>
        <v>Ikan</v>
      </c>
      <c r="L1650" s="1"/>
    </row>
    <row r="1651" spans="1:12" ht="12" customHeight="1" x14ac:dyDescent="0.25">
      <c r="A1651" s="15">
        <v>44231</v>
      </c>
      <c r="B1651" s="16" t="s">
        <v>562</v>
      </c>
      <c r="C1651" s="16" t="s">
        <v>299</v>
      </c>
      <c r="D1651" s="16" t="str">
        <f>VLOOKUP(C1651,[1]master_data!$A$2:$E$495,2,FALSE)</f>
        <v>BATU ZELOID</v>
      </c>
      <c r="E1651" s="16">
        <v>1</v>
      </c>
      <c r="F1651" s="16">
        <f>VLOOKUP(C1651,[1]master_data!$A$2:$E$495,3,FALSE)</f>
        <v>25000</v>
      </c>
      <c r="G1651" s="16">
        <f>VLOOKUP(C1651,[1]master_data!$A$2:$E$495,4,FALSE)</f>
        <v>35000</v>
      </c>
      <c r="H1651" s="16">
        <f>E1651*F1651</f>
        <v>25000</v>
      </c>
      <c r="I1651" s="16">
        <f>E1651*G1651</f>
        <v>35000</v>
      </c>
      <c r="J1651" s="16">
        <f>I1651-H1651</f>
        <v>10000</v>
      </c>
      <c r="K1651" s="16" t="str">
        <f>VLOOKUP(C1651,[1]master_data!$A$2:$E$495,5,FALSE)</f>
        <v>Aksesoris</v>
      </c>
      <c r="L1651" s="1"/>
    </row>
    <row r="1652" spans="1:12" ht="12" customHeight="1" x14ac:dyDescent="0.25">
      <c r="A1652" s="15">
        <v>44230</v>
      </c>
      <c r="B1652" s="16" t="s">
        <v>546</v>
      </c>
      <c r="C1652" s="16" t="s">
        <v>367</v>
      </c>
      <c r="D1652" s="16" t="str">
        <f>VLOOKUP(C1652,[1]master_data!$A$2:$E$495,2,FALSE)</f>
        <v>TETRA</v>
      </c>
      <c r="E1652" s="16">
        <v>15</v>
      </c>
      <c r="F1652" s="16">
        <f>VLOOKUP(C1652,[1]master_data!$A$2:$E$495,3,FALSE)</f>
        <v>800</v>
      </c>
      <c r="G1652" s="16">
        <f>VLOOKUP(C1652,[1]master_data!$A$2:$E$495,4,FALSE)</f>
        <v>2000</v>
      </c>
      <c r="H1652" s="16">
        <f>E1652*F1652</f>
        <v>12000</v>
      </c>
      <c r="I1652" s="16">
        <f>E1652*G1652</f>
        <v>30000</v>
      </c>
      <c r="J1652" s="16">
        <f>I1652-H1652</f>
        <v>18000</v>
      </c>
      <c r="K1652" s="16" t="str">
        <f>VLOOKUP(C1652,[1]master_data!$A$2:$E$495,5,FALSE)</f>
        <v>Ikan</v>
      </c>
      <c r="L1652" s="1"/>
    </row>
    <row r="1653" spans="1:12" ht="12" customHeight="1" x14ac:dyDescent="0.25">
      <c r="A1653" s="15">
        <v>44230</v>
      </c>
      <c r="B1653" s="16" t="s">
        <v>547</v>
      </c>
      <c r="C1653" s="16" t="s">
        <v>349</v>
      </c>
      <c r="D1653" s="16" t="str">
        <f>VLOOKUP(C1653,[1]master_data!$A$2:$E$495,2,FALSE)</f>
        <v>RED EYE TETRA</v>
      </c>
      <c r="E1653" s="16">
        <v>30</v>
      </c>
      <c r="F1653" s="16">
        <f>VLOOKUP(C1653,[1]master_data!$A$2:$E$495,3,FALSE)</f>
        <v>900</v>
      </c>
      <c r="G1653" s="16">
        <f>VLOOKUP(C1653,[1]master_data!$A$2:$E$495,4,FALSE)</f>
        <v>2000</v>
      </c>
      <c r="H1653" s="16">
        <f>E1653*F1653</f>
        <v>27000</v>
      </c>
      <c r="I1653" s="16">
        <f>E1653*G1653</f>
        <v>60000</v>
      </c>
      <c r="J1653" s="16">
        <f>I1653-H1653</f>
        <v>33000</v>
      </c>
      <c r="K1653" s="16" t="str">
        <f>VLOOKUP(C1653,[1]master_data!$A$2:$E$495,5,FALSE)</f>
        <v>Ikan</v>
      </c>
      <c r="L1653" s="1"/>
    </row>
    <row r="1654" spans="1:12" ht="12" customHeight="1" x14ac:dyDescent="0.25">
      <c r="A1654" s="15">
        <v>44230</v>
      </c>
      <c r="B1654" s="16" t="s">
        <v>548</v>
      </c>
      <c r="C1654" s="16" t="s">
        <v>346</v>
      </c>
      <c r="D1654" s="16" t="str">
        <f>VLOOKUP(C1654,[1]master_data!$A$2:$E$495,2,FALSE)</f>
        <v>MOLI PAKAN</v>
      </c>
      <c r="E1654" s="16">
        <v>30</v>
      </c>
      <c r="F1654" s="16">
        <f>VLOOKUP(C1654,[1]master_data!$A$2:$E$495,3,FALSE)</f>
        <v>100</v>
      </c>
      <c r="G1654" s="16">
        <f>VLOOKUP(C1654,[1]master_data!$A$2:$E$495,4,FALSE)</f>
        <v>200</v>
      </c>
      <c r="H1654" s="16">
        <f>E1654*F1654</f>
        <v>3000</v>
      </c>
      <c r="I1654" s="16">
        <f>E1654*G1654</f>
        <v>6000</v>
      </c>
      <c r="J1654" s="16">
        <f>I1654-H1654</f>
        <v>3000</v>
      </c>
      <c r="K1654" s="16" t="str">
        <f>VLOOKUP(C1654,[1]master_data!$A$2:$E$495,5,FALSE)</f>
        <v>Ikan</v>
      </c>
      <c r="L1654" s="1"/>
    </row>
    <row r="1655" spans="1:12" ht="12" customHeight="1" x14ac:dyDescent="0.25">
      <c r="A1655" s="15">
        <v>44230</v>
      </c>
      <c r="B1655" s="16" t="s">
        <v>549</v>
      </c>
      <c r="C1655" s="16" t="s">
        <v>140</v>
      </c>
      <c r="D1655" s="16" t="str">
        <f>VLOOKUP(C1655,[1]master_data!$A$2:$E$495,2,FALSE)</f>
        <v>LED KANDILA DnN 30 CM</v>
      </c>
      <c r="E1655" s="16">
        <v>1</v>
      </c>
      <c r="F1655" s="16">
        <f>VLOOKUP(C1655,[1]master_data!$A$2:$E$495,3,FALSE)</f>
        <v>30000</v>
      </c>
      <c r="G1655" s="16">
        <f>VLOOKUP(C1655,[1]master_data!$A$2:$E$495,4,FALSE)</f>
        <v>45000</v>
      </c>
      <c r="H1655" s="16">
        <f>E1655*F1655</f>
        <v>30000</v>
      </c>
      <c r="I1655" s="16">
        <f>E1655*G1655</f>
        <v>45000</v>
      </c>
      <c r="J1655" s="16">
        <f>I1655-H1655</f>
        <v>15000</v>
      </c>
      <c r="K1655" s="16" t="str">
        <f>VLOOKUP(C1655,[1]master_data!$A$2:$E$495,5,FALSE)</f>
        <v>Aksesoris</v>
      </c>
      <c r="L1655" s="1"/>
    </row>
    <row r="1656" spans="1:12" ht="12" customHeight="1" x14ac:dyDescent="0.25">
      <c r="A1656" s="15">
        <v>44230</v>
      </c>
      <c r="B1656" s="16" t="s">
        <v>550</v>
      </c>
      <c r="C1656" s="16" t="s">
        <v>340</v>
      </c>
      <c r="D1656" s="16" t="str">
        <f>VLOOKUP(C1656,[1]master_data!$A$2:$E$495,2,FALSE)</f>
        <v>LEMON</v>
      </c>
      <c r="E1656" s="16">
        <v>30</v>
      </c>
      <c r="F1656" s="16">
        <f>VLOOKUP(C1656,[1]master_data!$A$2:$E$495,3,FALSE)</f>
        <v>1000</v>
      </c>
      <c r="G1656" s="16">
        <f>VLOOKUP(C1656,[1]master_data!$A$2:$E$495,4,FALSE)</f>
        <v>2000</v>
      </c>
      <c r="H1656" s="16">
        <f>E1656*F1656</f>
        <v>30000</v>
      </c>
      <c r="I1656" s="16">
        <f>E1656*G1656</f>
        <v>60000</v>
      </c>
      <c r="J1656" s="16">
        <f>I1656-H1656</f>
        <v>30000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44230</v>
      </c>
      <c r="B1657" s="16" t="s">
        <v>551</v>
      </c>
      <c r="C1657" s="16" t="s">
        <v>192</v>
      </c>
      <c r="D1657" s="16" t="str">
        <f>VLOOKUP(C1657,[1]master_data!$A$2:$E$495,2,FALSE)</f>
        <v>PAKAN GOLD FISH HITAM</v>
      </c>
      <c r="E1657" s="16">
        <v>2</v>
      </c>
      <c r="F1657" s="16">
        <f>VLOOKUP(C1657,[1]master_data!$A$2:$E$495,3,FALSE)</f>
        <v>7000</v>
      </c>
      <c r="G1657" s="16">
        <f>VLOOKUP(C1657,[1]master_data!$A$2:$E$495,4,FALSE)</f>
        <v>12000</v>
      </c>
      <c r="H1657" s="16">
        <f>E1657*F1657</f>
        <v>14000</v>
      </c>
      <c r="I1657" s="16">
        <f>E1657*G1657</f>
        <v>24000</v>
      </c>
      <c r="J1657" s="16">
        <f>I1657-H1657</f>
        <v>10000</v>
      </c>
      <c r="K1657" s="16" t="str">
        <f>VLOOKUP(C1657,[1]master_data!$A$2:$E$495,5,FALSE)</f>
        <v>Aksesoris</v>
      </c>
      <c r="L1657" s="1"/>
    </row>
    <row r="1658" spans="1:12" ht="12" customHeight="1" x14ac:dyDescent="0.25">
      <c r="A1658" s="15">
        <v>44230</v>
      </c>
      <c r="B1658" s="16" t="s">
        <v>552</v>
      </c>
      <c r="C1658" s="16" t="s">
        <v>333</v>
      </c>
      <c r="D1658" s="16" t="str">
        <f>VLOOKUP(C1658,[1]master_data!$A$2:$E$495,2,FALSE)</f>
        <v>KAVIAT</v>
      </c>
      <c r="E1658" s="16">
        <v>15</v>
      </c>
      <c r="F1658" s="16">
        <f>VLOOKUP(C1658,[1]master_data!$A$2:$E$495,3,FALSE)</f>
        <v>3500</v>
      </c>
      <c r="G1658" s="16">
        <f>VLOOKUP(C1658,[1]master_data!$A$2:$E$495,4,FALSE)</f>
        <v>8000</v>
      </c>
      <c r="H1658" s="16">
        <f>E1658*F1658</f>
        <v>52500</v>
      </c>
      <c r="I1658" s="16">
        <f>E1658*G1658</f>
        <v>120000</v>
      </c>
      <c r="J1658" s="16">
        <f>I1658-H1658</f>
        <v>67500</v>
      </c>
      <c r="K1658" s="16" t="str">
        <f>VLOOKUP(C1658,[1]master_data!$A$2:$E$495,5,FALSE)</f>
        <v>Ikan</v>
      </c>
      <c r="L1658" s="1"/>
    </row>
    <row r="1659" spans="1:12" ht="12" customHeight="1" x14ac:dyDescent="0.25">
      <c r="A1659" s="15">
        <v>44230</v>
      </c>
      <c r="B1659" s="16" t="s">
        <v>553</v>
      </c>
      <c r="C1659" s="16" t="s">
        <v>325</v>
      </c>
      <c r="D1659" s="16" t="str">
        <f>VLOOKUP(C1659,[1]master_data!$A$2:$E$495,2,FALSE)</f>
        <v>HIU TAWAR</v>
      </c>
      <c r="E1659" s="16">
        <v>15</v>
      </c>
      <c r="F1659" s="16">
        <f>VLOOKUP(C1659,[1]master_data!$A$2:$E$495,3,FALSE)</f>
        <v>600</v>
      </c>
      <c r="G1659" s="16">
        <f>VLOOKUP(C1659,[1]master_data!$A$2:$E$495,4,FALSE)</f>
        <v>2000</v>
      </c>
      <c r="H1659" s="16">
        <f>E1659*F1659</f>
        <v>9000</v>
      </c>
      <c r="I1659" s="16">
        <f>E1659*G1659</f>
        <v>30000</v>
      </c>
      <c r="J1659" s="16">
        <f>I1659-H1659</f>
        <v>21000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44230</v>
      </c>
      <c r="B1660" s="16" t="s">
        <v>554</v>
      </c>
      <c r="C1660" s="16" t="s">
        <v>313</v>
      </c>
      <c r="D1660" s="16" t="str">
        <f>VLOOKUP(C1660,[1]master_data!$A$2:$E$495,2,FALSE)</f>
        <v>BALA BALA K</v>
      </c>
      <c r="E1660" s="16">
        <v>10</v>
      </c>
      <c r="F1660" s="16">
        <f>VLOOKUP(C1660,[1]master_data!$A$2:$E$495,3,FALSE)</f>
        <v>4000</v>
      </c>
      <c r="G1660" s="16">
        <f>VLOOKUP(C1660,[1]master_data!$A$2:$E$495,4,FALSE)</f>
        <v>8000</v>
      </c>
      <c r="H1660" s="16">
        <f>E1660*F1660</f>
        <v>40000</v>
      </c>
      <c r="I1660" s="16">
        <f>E1660*G1660</f>
        <v>80000</v>
      </c>
      <c r="J1660" s="16">
        <f>I1660-H1660</f>
        <v>40000</v>
      </c>
      <c r="K1660" s="16" t="str">
        <f>VLOOKUP(C1660,[1]master_data!$A$2:$E$495,5,FALSE)</f>
        <v>Ikan</v>
      </c>
      <c r="L1660" s="1"/>
    </row>
    <row r="1661" spans="1:12" ht="12" customHeight="1" x14ac:dyDescent="0.25">
      <c r="A1661" s="15">
        <v>44230</v>
      </c>
      <c r="B1661" s="16" t="s">
        <v>555</v>
      </c>
      <c r="C1661" s="16" t="s">
        <v>332</v>
      </c>
      <c r="D1661" s="16" t="str">
        <f>VLOOKUP(C1661,[1]master_data!$A$2:$E$495,2,FALSE)</f>
        <v>KURA - KURA</v>
      </c>
      <c r="E1661" s="16">
        <v>1</v>
      </c>
      <c r="F1661" s="16">
        <f>VLOOKUP(C1661,[1]master_data!$A$2:$E$495,3,FALSE)</f>
        <v>25000</v>
      </c>
      <c r="G1661" s="16">
        <f>VLOOKUP(C1661,[1]master_data!$A$2:$E$495,4,FALSE)</f>
        <v>35000</v>
      </c>
      <c r="H1661" s="16">
        <f>E1661*F1661</f>
        <v>25000</v>
      </c>
      <c r="I1661" s="16">
        <f>E1661*G1661</f>
        <v>35000</v>
      </c>
      <c r="J1661" s="16">
        <f>I1661-H1661</f>
        <v>10000</v>
      </c>
      <c r="K1661" s="16" t="str">
        <f>VLOOKUP(C1661,[1]master_data!$A$2:$E$495,5,FALSE)</f>
        <v>Ikan</v>
      </c>
      <c r="L1661" s="1"/>
    </row>
    <row r="1662" spans="1:12" ht="12" customHeight="1" x14ac:dyDescent="0.25">
      <c r="A1662" s="15">
        <v>44229</v>
      </c>
      <c r="B1662" s="16" t="s">
        <v>537</v>
      </c>
      <c r="C1662" s="16" t="s">
        <v>346</v>
      </c>
      <c r="D1662" s="16" t="str">
        <f>VLOOKUP(C1662,[1]master_data!$A$2:$E$495,2,FALSE)</f>
        <v>MOLI PAKAN</v>
      </c>
      <c r="E1662" s="16">
        <v>25</v>
      </c>
      <c r="F1662" s="16">
        <f>VLOOKUP(C1662,[1]master_data!$A$2:$E$495,3,FALSE)</f>
        <v>100</v>
      </c>
      <c r="G1662" s="16">
        <f>VLOOKUP(C1662,[1]master_data!$A$2:$E$495,4,FALSE)</f>
        <v>200</v>
      </c>
      <c r="H1662" s="16">
        <f>E1662*F1662</f>
        <v>2500</v>
      </c>
      <c r="I1662" s="16">
        <f>E1662*G1662</f>
        <v>5000</v>
      </c>
      <c r="J1662" s="16">
        <f>I1662-H1662</f>
        <v>2500</v>
      </c>
      <c r="K1662" s="16" t="str">
        <f>VLOOKUP(C1662,[1]master_data!$A$2:$E$495,5,FALSE)</f>
        <v>Ikan</v>
      </c>
      <c r="L1662" s="1"/>
    </row>
    <row r="1663" spans="1:12" ht="12" customHeight="1" x14ac:dyDescent="0.25">
      <c r="A1663" s="15">
        <v>44229</v>
      </c>
      <c r="B1663" s="16" t="s">
        <v>538</v>
      </c>
      <c r="C1663" s="16" t="s">
        <v>372</v>
      </c>
      <c r="D1663" s="16" t="str">
        <f>VLOOKUP(C1663,[1]master_data!$A$2:$E$495,2,FALSE)</f>
        <v>ZEBRA KUNING</v>
      </c>
      <c r="E1663" s="16">
        <v>15</v>
      </c>
      <c r="F1663" s="16">
        <f>VLOOKUP(C1663,[1]master_data!$A$2:$E$495,3,FALSE)</f>
        <v>800</v>
      </c>
      <c r="G1663" s="16">
        <f>VLOOKUP(C1663,[1]master_data!$A$2:$E$495,4,FALSE)</f>
        <v>2000</v>
      </c>
      <c r="H1663" s="16">
        <f>E1663*F1663</f>
        <v>12000</v>
      </c>
      <c r="I1663" s="16">
        <f>E1663*G1663</f>
        <v>30000</v>
      </c>
      <c r="J1663" s="16">
        <f>I1663-H1663</f>
        <v>18000</v>
      </c>
      <c r="K1663" s="16" t="str">
        <f>VLOOKUP(C1663,[1]master_data!$A$2:$E$495,5,FALSE)</f>
        <v>Ikan</v>
      </c>
      <c r="L1663" s="1"/>
    </row>
    <row r="1664" spans="1:12" ht="12" customHeight="1" x14ac:dyDescent="0.25">
      <c r="A1664" s="15">
        <v>44229</v>
      </c>
      <c r="B1664" s="16" t="s">
        <v>539</v>
      </c>
      <c r="C1664" s="16" t="s">
        <v>136</v>
      </c>
      <c r="D1664" s="16" t="str">
        <f>VLOOKUP(C1664,[1]master_data!$A$2:$E$495,2,FALSE)</f>
        <v>LED KANDILA VIBRANT 50 CM</v>
      </c>
      <c r="E1664" s="16">
        <v>1</v>
      </c>
      <c r="F1664" s="16">
        <f>VLOOKUP(C1664,[1]master_data!$A$2:$E$495,3,FALSE)</f>
        <v>110000</v>
      </c>
      <c r="G1664" s="16">
        <f>VLOOKUP(C1664,[1]master_data!$A$2:$E$495,4,FALSE)</f>
        <v>135000</v>
      </c>
      <c r="H1664" s="16">
        <f>E1664*F1664</f>
        <v>110000</v>
      </c>
      <c r="I1664" s="16">
        <f>E1664*G1664</f>
        <v>135000</v>
      </c>
      <c r="J1664" s="16">
        <f>I1664-H1664</f>
        <v>25000</v>
      </c>
      <c r="K1664" s="16" t="str">
        <f>VLOOKUP(C1664,[1]master_data!$A$2:$E$495,5,FALSE)</f>
        <v>Aksesoris</v>
      </c>
      <c r="L1664" s="1"/>
    </row>
    <row r="1665" spans="1:12" ht="12" customHeight="1" x14ac:dyDescent="0.25">
      <c r="A1665" s="15">
        <v>44229</v>
      </c>
      <c r="B1665" s="16" t="s">
        <v>540</v>
      </c>
      <c r="C1665" s="16" t="s">
        <v>260</v>
      </c>
      <c r="D1665" s="16" t="str">
        <f>VLOOKUP(C1665,[1]master_data!$A$2:$E$495,2,FALSE)</f>
        <v>AIRSONE PUTIH</v>
      </c>
      <c r="E1665" s="16">
        <v>20</v>
      </c>
      <c r="F1665" s="16">
        <f>VLOOKUP(C1665,[1]master_data!$A$2:$E$495,3,FALSE)</f>
        <v>3000</v>
      </c>
      <c r="G1665" s="16">
        <f>VLOOKUP(C1665,[1]master_data!$A$2:$E$495,4,FALSE)</f>
        <v>5000</v>
      </c>
      <c r="H1665" s="16">
        <f>E1665*F1665</f>
        <v>60000</v>
      </c>
      <c r="I1665" s="16">
        <f>E1665*G1665</f>
        <v>100000</v>
      </c>
      <c r="J1665" s="16">
        <f>I1665-H1665</f>
        <v>40000</v>
      </c>
      <c r="K1665" s="16" t="str">
        <f>VLOOKUP(C1665,[1]master_data!$A$2:$E$495,5,FALSE)</f>
        <v>Aksesoris</v>
      </c>
      <c r="L1665" s="1"/>
    </row>
    <row r="1666" spans="1:12" ht="12" customHeight="1" x14ac:dyDescent="0.25">
      <c r="A1666" s="15">
        <v>44229</v>
      </c>
      <c r="B1666" s="16" t="s">
        <v>541</v>
      </c>
      <c r="C1666" s="16" t="s">
        <v>293</v>
      </c>
      <c r="D1666" s="16" t="str">
        <f>VLOOKUP(C1666,[1]master_data!$A$2:$E$495,2,FALSE)</f>
        <v>PASIR MERAH K</v>
      </c>
      <c r="E1666" s="16">
        <v>15</v>
      </c>
      <c r="F1666" s="16">
        <f>VLOOKUP(C1666,[1]master_data!$A$2:$E$495,3,FALSE)</f>
        <v>2500</v>
      </c>
      <c r="G1666" s="16">
        <f>VLOOKUP(C1666,[1]master_data!$A$2:$E$495,4,FALSE)</f>
        <v>5000</v>
      </c>
      <c r="H1666" s="16">
        <f>E1666*F1666</f>
        <v>37500</v>
      </c>
      <c r="I1666" s="16">
        <f>E1666*G1666</f>
        <v>75000</v>
      </c>
      <c r="J1666" s="16">
        <f>I1666-H1666</f>
        <v>37500</v>
      </c>
      <c r="K1666" s="16" t="str">
        <f>VLOOKUP(C1666,[1]master_data!$A$2:$E$495,5,FALSE)</f>
        <v>Aksesoris</v>
      </c>
      <c r="L1666" s="1"/>
    </row>
    <row r="1667" spans="1:12" ht="12" customHeight="1" x14ac:dyDescent="0.25">
      <c r="A1667" s="15">
        <v>44229</v>
      </c>
      <c r="B1667" s="16" t="s">
        <v>542</v>
      </c>
      <c r="C1667" s="16" t="s">
        <v>46</v>
      </c>
      <c r="D1667" s="16" t="str">
        <f>VLOOKUP(C1667,[1]master_data!$A$2:$E$495,2,FALSE)</f>
        <v>MESIN NIKITA WAVE MAKER M7</v>
      </c>
      <c r="E1667" s="16">
        <v>2</v>
      </c>
      <c r="F1667" s="16">
        <f>VLOOKUP(C1667,[1]master_data!$A$2:$E$495,3,FALSE)</f>
        <v>101500</v>
      </c>
      <c r="G1667" s="16">
        <f>VLOOKUP(C1667,[1]master_data!$A$2:$E$495,4,FALSE)</f>
        <v>135000</v>
      </c>
      <c r="H1667" s="16">
        <f>E1667*F1667</f>
        <v>203000</v>
      </c>
      <c r="I1667" s="16">
        <f>E1667*G1667</f>
        <v>270000</v>
      </c>
      <c r="J1667" s="16">
        <f>I1667-H1667</f>
        <v>67000</v>
      </c>
      <c r="K1667" s="16" t="str">
        <f>VLOOKUP(C1667,[1]master_data!$A$2:$E$495,5,FALSE)</f>
        <v>Aksesoris</v>
      </c>
      <c r="L1667" s="1"/>
    </row>
    <row r="1668" spans="1:12" ht="12" customHeight="1" x14ac:dyDescent="0.25">
      <c r="A1668" s="15">
        <v>44229</v>
      </c>
      <c r="B1668" s="16" t="s">
        <v>543</v>
      </c>
      <c r="C1668" s="16" t="s">
        <v>153</v>
      </c>
      <c r="D1668" s="16" t="str">
        <f>VLOOKUP(C1668,[1]master_data!$A$2:$E$495,2,FALSE)</f>
        <v>LED RECENT DnN 40 CM</v>
      </c>
      <c r="E1668" s="16">
        <v>1</v>
      </c>
      <c r="F1668" s="16">
        <f>VLOOKUP(C1668,[1]master_data!$A$2:$E$495,3,FALSE)</f>
        <v>29000</v>
      </c>
      <c r="G1668" s="16">
        <f>VLOOKUP(C1668,[1]master_data!$A$2:$E$495,4,FALSE)</f>
        <v>50000</v>
      </c>
      <c r="H1668" s="16">
        <f>E1668*F1668</f>
        <v>29000</v>
      </c>
      <c r="I1668" s="16">
        <f>E1668*G1668</f>
        <v>50000</v>
      </c>
      <c r="J1668" s="16">
        <f>I1668-H1668</f>
        <v>21000</v>
      </c>
      <c r="K1668" s="16" t="str">
        <f>VLOOKUP(C1668,[1]master_data!$A$2:$E$495,5,FALSE)</f>
        <v>Aksesoris</v>
      </c>
      <c r="L1668" s="1"/>
    </row>
    <row r="1669" spans="1:12" ht="12" customHeight="1" x14ac:dyDescent="0.25">
      <c r="A1669" s="15">
        <v>44229</v>
      </c>
      <c r="B1669" s="16" t="s">
        <v>544</v>
      </c>
      <c r="C1669" s="16" t="s">
        <v>364</v>
      </c>
      <c r="D1669" s="16" t="str">
        <f>VLOOKUP(C1669,[1]master_data!$A$2:$E$495,2,FALSE)</f>
        <v>SNOW WHITE</v>
      </c>
      <c r="E1669" s="16">
        <v>13</v>
      </c>
      <c r="F1669" s="16">
        <f>VLOOKUP(C1669,[1]master_data!$A$2:$E$495,3,FALSE)</f>
        <v>1500</v>
      </c>
      <c r="G1669" s="16">
        <f>VLOOKUP(C1669,[1]master_data!$A$2:$E$495,4,FALSE)</f>
        <v>3000</v>
      </c>
      <c r="H1669" s="16">
        <f>E1669*F1669</f>
        <v>19500</v>
      </c>
      <c r="I1669" s="16">
        <f>E1669*G1669</f>
        <v>39000</v>
      </c>
      <c r="J1669" s="16">
        <f>I1669-H1669</f>
        <v>19500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44229</v>
      </c>
      <c r="B1670" s="16" t="s">
        <v>545</v>
      </c>
      <c r="C1670" s="16" t="s">
        <v>364</v>
      </c>
      <c r="D1670" s="16" t="str">
        <f>VLOOKUP(C1670,[1]master_data!$A$2:$E$495,2,FALSE)</f>
        <v>SNOW WHITE</v>
      </c>
      <c r="E1670" s="16">
        <v>1</v>
      </c>
      <c r="F1670" s="16">
        <f>VLOOKUP(C1670,[1]master_data!$A$2:$E$495,3,FALSE)</f>
        <v>1500</v>
      </c>
      <c r="G1670" s="16">
        <f>VLOOKUP(C1670,[1]master_data!$A$2:$E$495,4,FALSE)</f>
        <v>3000</v>
      </c>
      <c r="H1670" s="16">
        <f>E1670*F1670</f>
        <v>1500</v>
      </c>
      <c r="I1670" s="16">
        <f>E1670*G1670</f>
        <v>3000</v>
      </c>
      <c r="J1670" s="16">
        <f>I1670-H1670</f>
        <v>1500</v>
      </c>
      <c r="K1670" s="16" t="str">
        <f>VLOOKUP(C1670,[1]master_data!$A$2:$E$495,5,FALSE)</f>
        <v>Ikan</v>
      </c>
      <c r="L1670" s="1"/>
    </row>
    <row r="1671" spans="1:12" ht="12" customHeight="1" x14ac:dyDescent="0.25">
      <c r="A1671" s="15">
        <v>44228</v>
      </c>
      <c r="B1671" s="16" t="s">
        <v>533</v>
      </c>
      <c r="C1671" s="16" t="s">
        <v>75</v>
      </c>
      <c r="D1671" s="16" t="str">
        <f>VLOOKUP(C1671,[1]master_data!$A$2:$E$495,2,FALSE)</f>
        <v>MESIN KIYOSAKI 105B</v>
      </c>
      <c r="E1671" s="16">
        <v>2</v>
      </c>
      <c r="F1671" s="16">
        <f>VLOOKUP(C1671,[1]master_data!$A$2:$E$495,3,FALSE)</f>
        <v>110000</v>
      </c>
      <c r="G1671" s="16">
        <f>VLOOKUP(C1671,[1]master_data!$A$2:$E$495,4,FALSE)</f>
        <v>160000</v>
      </c>
      <c r="H1671" s="16">
        <f>E1671*F1671</f>
        <v>220000</v>
      </c>
      <c r="I1671" s="16">
        <f>E1671*G1671</f>
        <v>320000</v>
      </c>
      <c r="J1671" s="16">
        <f>I1671-H1671</f>
        <v>100000</v>
      </c>
      <c r="K1671" s="16" t="str">
        <f>VLOOKUP(C1671,[1]master_data!$A$2:$E$495,5,FALSE)</f>
        <v>Aksesoris</v>
      </c>
      <c r="L1671" s="1"/>
    </row>
    <row r="1672" spans="1:12" ht="12" customHeight="1" x14ac:dyDescent="0.25">
      <c r="A1672" s="15">
        <v>44228</v>
      </c>
      <c r="B1672" s="16" t="s">
        <v>534</v>
      </c>
      <c r="C1672" s="16" t="s">
        <v>117</v>
      </c>
      <c r="D1672" s="16" t="str">
        <f>VLOOKUP(C1672,[1]master_data!$A$2:$E$495,2,FALSE)</f>
        <v>LED NIKITA NS 800</v>
      </c>
      <c r="E1672" s="16">
        <v>1</v>
      </c>
      <c r="F1672" s="16">
        <f>VLOOKUP(C1672,[1]master_data!$A$2:$E$495,3,FALSE)</f>
        <v>74000</v>
      </c>
      <c r="G1672" s="16">
        <f>VLOOKUP(C1672,[1]master_data!$A$2:$E$495,4,FALSE)</f>
        <v>100000</v>
      </c>
      <c r="H1672" s="16">
        <f>E1672*F1672</f>
        <v>74000</v>
      </c>
      <c r="I1672" s="16">
        <f>E1672*G1672</f>
        <v>100000</v>
      </c>
      <c r="J1672" s="16">
        <f>I1672-H1672</f>
        <v>26000</v>
      </c>
      <c r="K1672" s="16" t="str">
        <f>VLOOKUP(C1672,[1]master_data!$A$2:$E$495,5,FALSE)</f>
        <v>Aksesoris</v>
      </c>
      <c r="L1672" s="1"/>
    </row>
    <row r="1673" spans="1:12" ht="12" customHeight="1" x14ac:dyDescent="0.25">
      <c r="A1673" s="15">
        <v>44228</v>
      </c>
      <c r="B1673" s="16" t="s">
        <v>535</v>
      </c>
      <c r="C1673" s="16" t="s">
        <v>348</v>
      </c>
      <c r="D1673" s="16" t="str">
        <f>VLOOKUP(C1673,[1]master_data!$A$2:$E$495,2,FALSE)</f>
        <v>NIASA</v>
      </c>
      <c r="E1673" s="16">
        <v>20</v>
      </c>
      <c r="F1673" s="16">
        <f>VLOOKUP(C1673,[1]master_data!$A$2:$E$495,3,FALSE)</f>
        <v>900</v>
      </c>
      <c r="G1673" s="16">
        <f>VLOOKUP(C1673,[1]master_data!$A$2:$E$495,4,FALSE)</f>
        <v>2000</v>
      </c>
      <c r="H1673" s="16">
        <f>E1673*F1673</f>
        <v>18000</v>
      </c>
      <c r="I1673" s="16">
        <f>E1673*G1673</f>
        <v>40000</v>
      </c>
      <c r="J1673" s="16">
        <f>I1673-H1673</f>
        <v>22000</v>
      </c>
      <c r="K1673" s="16" t="str">
        <f>VLOOKUP(C1673,[1]master_data!$A$2:$E$495,5,FALSE)</f>
        <v>Ikan</v>
      </c>
      <c r="L1673" s="1"/>
    </row>
    <row r="1674" spans="1:12" ht="12" customHeight="1" x14ac:dyDescent="0.25">
      <c r="A1674" s="15">
        <v>44228</v>
      </c>
      <c r="B1674" s="16" t="s">
        <v>536</v>
      </c>
      <c r="C1674" s="16" t="s">
        <v>25</v>
      </c>
      <c r="D1674" s="16" t="str">
        <f>VLOOKUP(C1674,[1]master_data!$A$2:$E$495,2,FALSE)</f>
        <v>MESIN ROSTON 107</v>
      </c>
      <c r="E1674" s="16">
        <v>1</v>
      </c>
      <c r="F1674" s="16">
        <f>VLOOKUP(C1674,[1]master_data!$A$2:$E$495,3,FALSE)</f>
        <v>185000</v>
      </c>
      <c r="G1674" s="16">
        <f>VLOOKUP(C1674,[1]master_data!$A$2:$E$495,4,FALSE)</f>
        <v>260000</v>
      </c>
      <c r="H1674" s="16">
        <f>E1674*F1674</f>
        <v>185000</v>
      </c>
      <c r="I1674" s="16">
        <f>E1674*G1674</f>
        <v>260000</v>
      </c>
      <c r="J1674" s="16">
        <f>I1674-H1674</f>
        <v>75000</v>
      </c>
      <c r="K1674" s="16" t="str">
        <f>VLOOKUP(C1674,[1]master_data!$A$2:$E$495,5,FALSE)</f>
        <v>Aksesoris</v>
      </c>
      <c r="L1674" s="1"/>
    </row>
    <row r="1675" spans="1:12" ht="12" customHeight="1" x14ac:dyDescent="0.25">
      <c r="A1675" s="15">
        <v>44227</v>
      </c>
      <c r="B1675" s="16" t="s">
        <v>526</v>
      </c>
      <c r="C1675" s="16" t="s">
        <v>134</v>
      </c>
      <c r="D1675" s="16" t="str">
        <f>VLOOKUP(C1675,[1]master_data!$A$2:$E$495,2,FALSE)</f>
        <v>LED KANDILA PRO RED 80 CM</v>
      </c>
      <c r="E1675" s="16">
        <v>1</v>
      </c>
      <c r="F1675" s="16">
        <f>VLOOKUP(C1675,[1]master_data!$A$2:$E$495,3,FALSE)</f>
        <v>176500</v>
      </c>
      <c r="G1675" s="16">
        <f>VLOOKUP(C1675,[1]master_data!$A$2:$E$495,4,FALSE)</f>
        <v>235000</v>
      </c>
      <c r="H1675" s="16">
        <f>E1675*F1675</f>
        <v>176500</v>
      </c>
      <c r="I1675" s="16">
        <f>E1675*G1675</f>
        <v>235000</v>
      </c>
      <c r="J1675" s="16">
        <f>I1675-H1675</f>
        <v>58500</v>
      </c>
      <c r="K1675" s="16" t="str">
        <f>VLOOKUP(C1675,[1]master_data!$A$2:$E$495,5,FALSE)</f>
        <v>Aksesoris</v>
      </c>
      <c r="L1675" s="1"/>
    </row>
    <row r="1676" spans="1:12" ht="12" customHeight="1" x14ac:dyDescent="0.25">
      <c r="A1676" s="15">
        <v>44227</v>
      </c>
      <c r="B1676" s="16" t="s">
        <v>527</v>
      </c>
      <c r="C1676" s="16" t="s">
        <v>267</v>
      </c>
      <c r="D1676" s="16" t="str">
        <f>VLOOKUP(C1676,[1]master_data!$A$2:$E$495,2,FALSE)</f>
        <v>KARUNG JALA S</v>
      </c>
      <c r="E1676" s="16">
        <v>30</v>
      </c>
      <c r="F1676" s="16">
        <f>VLOOKUP(C1676,[1]master_data!$A$2:$E$495,3,FALSE)</f>
        <v>2500</v>
      </c>
      <c r="G1676" s="16">
        <f>VLOOKUP(C1676,[1]master_data!$A$2:$E$495,4,FALSE)</f>
        <v>5000</v>
      </c>
      <c r="H1676" s="16">
        <f>E1676*F1676</f>
        <v>75000</v>
      </c>
      <c r="I1676" s="16">
        <f>E1676*G1676</f>
        <v>150000</v>
      </c>
      <c r="J1676" s="16">
        <f>I1676-H1676</f>
        <v>75000</v>
      </c>
      <c r="K1676" s="16" t="str">
        <f>VLOOKUP(C1676,[1]master_data!$A$2:$E$495,5,FALSE)</f>
        <v>Aksesoris</v>
      </c>
      <c r="L1676" s="1"/>
    </row>
    <row r="1677" spans="1:12" ht="12" customHeight="1" x14ac:dyDescent="0.25">
      <c r="A1677" s="15">
        <v>44227</v>
      </c>
      <c r="B1677" s="16" t="s">
        <v>528</v>
      </c>
      <c r="C1677" s="16" t="s">
        <v>195</v>
      </c>
      <c r="D1677" s="16" t="str">
        <f>VLOOKUP(C1677,[1]master_data!$A$2:$E$495,2,FALSE)</f>
        <v>BACTERIAL STATER</v>
      </c>
      <c r="E1677" s="16">
        <v>1</v>
      </c>
      <c r="F1677" s="16">
        <f>VLOOKUP(C1677,[1]master_data!$A$2:$E$495,3,FALSE)</f>
        <v>10000</v>
      </c>
      <c r="G1677" s="16">
        <f>VLOOKUP(C1677,[1]master_data!$A$2:$E$495,4,FALSE)</f>
        <v>15000</v>
      </c>
      <c r="H1677" s="16">
        <f>E1677*F1677</f>
        <v>10000</v>
      </c>
      <c r="I1677" s="16">
        <f>E1677*G1677</f>
        <v>15000</v>
      </c>
      <c r="J1677" s="16">
        <f>I1677-H1677</f>
        <v>5000</v>
      </c>
      <c r="K1677" s="16" t="str">
        <f>VLOOKUP(C1677,[1]master_data!$A$2:$E$495,5,FALSE)</f>
        <v>Aksesoris</v>
      </c>
      <c r="L1677" s="1"/>
    </row>
    <row r="1678" spans="1:12" ht="12" customHeight="1" x14ac:dyDescent="0.25">
      <c r="A1678" s="15">
        <v>44227</v>
      </c>
      <c r="B1678" s="16" t="s">
        <v>529</v>
      </c>
      <c r="C1678" s="16" t="s">
        <v>195</v>
      </c>
      <c r="D1678" s="16" t="str">
        <f>VLOOKUP(C1678,[1]master_data!$A$2:$E$495,2,FALSE)</f>
        <v>BACTERIAL STATER</v>
      </c>
      <c r="E1678" s="16">
        <v>1</v>
      </c>
      <c r="F1678" s="16">
        <f>VLOOKUP(C1678,[1]master_data!$A$2:$E$495,3,FALSE)</f>
        <v>10000</v>
      </c>
      <c r="G1678" s="16">
        <f>VLOOKUP(C1678,[1]master_data!$A$2:$E$495,4,FALSE)</f>
        <v>15000</v>
      </c>
      <c r="H1678" s="16">
        <f>E1678*F1678</f>
        <v>10000</v>
      </c>
      <c r="I1678" s="16">
        <f>E1678*G1678</f>
        <v>15000</v>
      </c>
      <c r="J1678" s="16">
        <f>I1678-H1678</f>
        <v>5000</v>
      </c>
      <c r="K1678" s="16" t="str">
        <f>VLOOKUP(C1678,[1]master_data!$A$2:$E$495,5,FALSE)</f>
        <v>Aksesoris</v>
      </c>
      <c r="L1678" s="1"/>
    </row>
    <row r="1679" spans="1:12" ht="12" customHeight="1" x14ac:dyDescent="0.25">
      <c r="A1679" s="15">
        <v>44227</v>
      </c>
      <c r="B1679" s="16" t="s">
        <v>530</v>
      </c>
      <c r="C1679" s="16" t="s">
        <v>170</v>
      </c>
      <c r="D1679" s="16" t="str">
        <f>VLOOKUP(C1679,[1]master_data!$A$2:$E$495,2,FALSE)</f>
        <v>UDANG KERING</v>
      </c>
      <c r="E1679" s="16">
        <v>1</v>
      </c>
      <c r="F1679" s="16">
        <f>VLOOKUP(C1679,[1]master_data!$A$2:$E$495,3,FALSE)</f>
        <v>4500</v>
      </c>
      <c r="G1679" s="16">
        <f>VLOOKUP(C1679,[1]master_data!$A$2:$E$495,4,FALSE)</f>
        <v>10000</v>
      </c>
      <c r="H1679" s="16">
        <f>E1679*F1679</f>
        <v>4500</v>
      </c>
      <c r="I1679" s="16">
        <f>E1679*G1679</f>
        <v>10000</v>
      </c>
      <c r="J1679" s="16">
        <f>I1679-H1679</f>
        <v>5500</v>
      </c>
      <c r="K1679" s="16" t="str">
        <f>VLOOKUP(C1679,[1]master_data!$A$2:$E$495,5,FALSE)</f>
        <v>Aksesoris</v>
      </c>
      <c r="L1679" s="1"/>
    </row>
    <row r="1680" spans="1:12" ht="12" customHeight="1" x14ac:dyDescent="0.25">
      <c r="A1680" s="15">
        <v>44227</v>
      </c>
      <c r="B1680" s="16" t="s">
        <v>531</v>
      </c>
      <c r="C1680" s="16" t="s">
        <v>322</v>
      </c>
      <c r="D1680" s="16" t="str">
        <f>VLOOKUP(C1680,[1]master_data!$A$2:$E$495,2,FALSE)</f>
        <v>GOLD FISH</v>
      </c>
      <c r="E1680" s="16">
        <v>1</v>
      </c>
      <c r="F1680" s="16">
        <f>VLOOKUP(C1680,[1]master_data!$A$2:$E$495,3,FALSE)</f>
        <v>800</v>
      </c>
      <c r="G1680" s="16">
        <f>VLOOKUP(C1680,[1]master_data!$A$2:$E$495,4,FALSE)</f>
        <v>2000</v>
      </c>
      <c r="H1680" s="16">
        <f>E1680*F1680</f>
        <v>800</v>
      </c>
      <c r="I1680" s="16">
        <f>E1680*G1680</f>
        <v>2000</v>
      </c>
      <c r="J1680" s="16">
        <f>I1680-H1680</f>
        <v>1200</v>
      </c>
      <c r="K1680" s="16" t="str">
        <f>VLOOKUP(C1680,[1]master_data!$A$2:$E$495,5,FALSE)</f>
        <v>Ikan</v>
      </c>
      <c r="L1680" s="1"/>
    </row>
    <row r="1681" spans="1:12" ht="12" customHeight="1" x14ac:dyDescent="0.25">
      <c r="A1681" s="15">
        <v>44227</v>
      </c>
      <c r="B1681" s="16" t="s">
        <v>532</v>
      </c>
      <c r="C1681" s="16" t="s">
        <v>327</v>
      </c>
      <c r="D1681" s="16" t="str">
        <f>VLOOKUP(C1681,[1]master_data!$A$2:$E$495,2,FALSE)</f>
        <v>KOKI T</v>
      </c>
      <c r="E1681" s="16">
        <v>1</v>
      </c>
      <c r="F1681" s="16">
        <f>VLOOKUP(C1681,[1]master_data!$A$2:$E$495,3,FALSE)</f>
        <v>8000</v>
      </c>
      <c r="G1681" s="16">
        <f>VLOOKUP(C1681,[1]master_data!$A$2:$E$495,4,FALSE)</f>
        <v>15000</v>
      </c>
      <c r="H1681" s="16">
        <f>E1681*F1681</f>
        <v>8000</v>
      </c>
      <c r="I1681" s="16">
        <f>E1681*G1681</f>
        <v>15000</v>
      </c>
      <c r="J1681" s="16">
        <f>I1681-H1681</f>
        <v>7000</v>
      </c>
      <c r="K1681" s="16" t="str">
        <f>VLOOKUP(C1681,[1]master_data!$A$2:$E$495,5,FALSE)</f>
        <v>Ikan</v>
      </c>
      <c r="L1681" s="1"/>
    </row>
    <row r="1682" spans="1:12" ht="12" customHeight="1" x14ac:dyDescent="0.25">
      <c r="A1682" s="15">
        <v>44226</v>
      </c>
      <c r="B1682" s="16" t="s">
        <v>523</v>
      </c>
      <c r="C1682" s="16" t="s">
        <v>90</v>
      </c>
      <c r="D1682" s="16" t="str">
        <f>VLOOKUP(C1682,[1]master_data!$A$2:$E$495,2,FALSE)</f>
        <v>AIRATOR KANDILA LUB 1</v>
      </c>
      <c r="E1682" s="16">
        <v>5</v>
      </c>
      <c r="F1682" s="16">
        <f>VLOOKUP(C1682,[1]master_data!$A$2:$E$495,3,FALSE)</f>
        <v>15000</v>
      </c>
      <c r="G1682" s="16">
        <f>VLOOKUP(C1682,[1]master_data!$A$2:$E$495,4,FALSE)</f>
        <v>25000</v>
      </c>
      <c r="H1682" s="16">
        <f>E1682*F1682</f>
        <v>75000</v>
      </c>
      <c r="I1682" s="16">
        <f>E1682*G1682</f>
        <v>125000</v>
      </c>
      <c r="J1682" s="16">
        <f>I1682-H1682</f>
        <v>50000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44226</v>
      </c>
      <c r="B1683" s="16" t="s">
        <v>524</v>
      </c>
      <c r="C1683" s="16" t="s">
        <v>366</v>
      </c>
      <c r="D1683" s="16" t="str">
        <f>VLOOKUP(C1683,[1]master_data!$A$2:$E$495,2,FALSE)</f>
        <v>SYNODONTI B</v>
      </c>
      <c r="E1683" s="16">
        <v>20</v>
      </c>
      <c r="F1683" s="16">
        <f>VLOOKUP(C1683,[1]master_data!$A$2:$E$495,3,FALSE)</f>
        <v>4000</v>
      </c>
      <c r="G1683" s="16">
        <f>VLOOKUP(C1683,[1]master_data!$A$2:$E$495,4,FALSE)</f>
        <v>10000</v>
      </c>
      <c r="H1683" s="16">
        <f>E1683*F1683</f>
        <v>80000</v>
      </c>
      <c r="I1683" s="16">
        <f>E1683*G1683</f>
        <v>200000</v>
      </c>
      <c r="J1683" s="16">
        <f>I1683-H1683</f>
        <v>120000</v>
      </c>
      <c r="K1683" s="16" t="str">
        <f>VLOOKUP(C1683,[1]master_data!$A$2:$E$495,5,FALSE)</f>
        <v>Ikan</v>
      </c>
      <c r="L1683" s="1"/>
    </row>
    <row r="1684" spans="1:12" ht="12" customHeight="1" x14ac:dyDescent="0.25">
      <c r="A1684" s="15">
        <v>44226</v>
      </c>
      <c r="B1684" s="16" t="s">
        <v>525</v>
      </c>
      <c r="C1684" s="16" t="s">
        <v>69</v>
      </c>
      <c r="D1684" s="16" t="str">
        <f>VLOOKUP(C1684,[1]master_data!$A$2:$E$495,2,FALSE)</f>
        <v>MESIN HAILONG 1600</v>
      </c>
      <c r="E1684" s="16">
        <v>1</v>
      </c>
      <c r="F1684" s="16">
        <f>VLOOKUP(C1684,[1]master_data!$A$2:$E$495,3,FALSE)</f>
        <v>58000</v>
      </c>
      <c r="G1684" s="16">
        <f>VLOOKUP(C1684,[1]master_data!$A$2:$E$495,4,FALSE)</f>
        <v>100000</v>
      </c>
      <c r="H1684" s="16">
        <f>E1684*F1684</f>
        <v>58000</v>
      </c>
      <c r="I1684" s="16">
        <f>E1684*G1684</f>
        <v>100000</v>
      </c>
      <c r="J1684" s="16">
        <f>I1684-H1684</f>
        <v>42000</v>
      </c>
      <c r="K1684" s="16" t="str">
        <f>VLOOKUP(C1684,[1]master_data!$A$2:$E$495,5,FALSE)</f>
        <v>Aksesoris</v>
      </c>
      <c r="L1684" s="1"/>
    </row>
    <row r="1685" spans="1:12" ht="12" customHeight="1" x14ac:dyDescent="0.25">
      <c r="A1685" s="15">
        <v>44225</v>
      </c>
      <c r="B1685" s="16" t="s">
        <v>519</v>
      </c>
      <c r="C1685" s="16" t="s">
        <v>16</v>
      </c>
      <c r="D1685" s="16" t="str">
        <f>VLOOKUP(C1685,[1]master_data!$A$2:$E$495,2,FALSE)</f>
        <v>MESIN YANG 108</v>
      </c>
      <c r="E1685" s="16">
        <v>2</v>
      </c>
      <c r="F1685" s="16">
        <f>VLOOKUP(C1685,[1]master_data!$A$2:$E$495,3,FALSE)</f>
        <v>350000</v>
      </c>
      <c r="G1685" s="16">
        <f>VLOOKUP(C1685,[1]master_data!$A$2:$E$495,4,FALSE)</f>
        <v>420000</v>
      </c>
      <c r="H1685" s="16">
        <f>E1685*F1685</f>
        <v>700000</v>
      </c>
      <c r="I1685" s="16">
        <f>E1685*G1685</f>
        <v>840000</v>
      </c>
      <c r="J1685" s="16">
        <f>I1685-H1685</f>
        <v>140000</v>
      </c>
      <c r="K1685" s="16" t="str">
        <f>VLOOKUP(C1685,[1]master_data!$A$2:$E$495,5,FALSE)</f>
        <v>Aksesoris</v>
      </c>
      <c r="L1685" s="1"/>
    </row>
    <row r="1686" spans="1:12" ht="12" customHeight="1" x14ac:dyDescent="0.25">
      <c r="A1686" s="15">
        <v>44225</v>
      </c>
      <c r="B1686" s="16" t="s">
        <v>520</v>
      </c>
      <c r="C1686" s="16" t="s">
        <v>322</v>
      </c>
      <c r="D1686" s="16" t="str">
        <f>VLOOKUP(C1686,[1]master_data!$A$2:$E$495,2,FALSE)</f>
        <v>GOLD FISH</v>
      </c>
      <c r="E1686" s="16">
        <v>25</v>
      </c>
      <c r="F1686" s="16">
        <f>VLOOKUP(C1686,[1]master_data!$A$2:$E$495,3,FALSE)</f>
        <v>800</v>
      </c>
      <c r="G1686" s="16">
        <f>VLOOKUP(C1686,[1]master_data!$A$2:$E$495,4,FALSE)</f>
        <v>2000</v>
      </c>
      <c r="H1686" s="16">
        <f>E1686*F1686</f>
        <v>20000</v>
      </c>
      <c r="I1686" s="16">
        <f>E1686*G1686</f>
        <v>50000</v>
      </c>
      <c r="J1686" s="16">
        <f>I1686-H1686</f>
        <v>30000</v>
      </c>
      <c r="K1686" s="16" t="str">
        <f>VLOOKUP(C1686,[1]master_data!$A$2:$E$495,5,FALSE)</f>
        <v>Ikan</v>
      </c>
      <c r="L1686" s="1"/>
    </row>
    <row r="1687" spans="1:12" ht="12" customHeight="1" x14ac:dyDescent="0.25">
      <c r="A1687" s="15">
        <v>44225</v>
      </c>
      <c r="B1687" s="16" t="s">
        <v>521</v>
      </c>
      <c r="C1687" s="16" t="s">
        <v>314</v>
      </c>
      <c r="D1687" s="16" t="str">
        <f>VLOOKUP(C1687,[1]master_data!$A$2:$E$495,2,FALSE)</f>
        <v>BALA BALA B</v>
      </c>
      <c r="E1687" s="16">
        <v>3</v>
      </c>
      <c r="F1687" s="16">
        <f>VLOOKUP(C1687,[1]master_data!$A$2:$E$495,3,FALSE)</f>
        <v>7000</v>
      </c>
      <c r="G1687" s="16">
        <f>VLOOKUP(C1687,[1]master_data!$A$2:$E$495,4,FALSE)</f>
        <v>15000</v>
      </c>
      <c r="H1687" s="16">
        <f>E1687*F1687</f>
        <v>21000</v>
      </c>
      <c r="I1687" s="16">
        <f>E1687*G1687</f>
        <v>45000</v>
      </c>
      <c r="J1687" s="16">
        <f>I1687-H1687</f>
        <v>24000</v>
      </c>
      <c r="K1687" s="16" t="str">
        <f>VLOOKUP(C1687,[1]master_data!$A$2:$E$495,5,FALSE)</f>
        <v>Ikan</v>
      </c>
      <c r="L1687" s="1"/>
    </row>
    <row r="1688" spans="1:12" ht="12" customHeight="1" x14ac:dyDescent="0.25">
      <c r="A1688" s="15">
        <v>44225</v>
      </c>
      <c r="B1688" s="16" t="s">
        <v>522</v>
      </c>
      <c r="C1688" s="16" t="s">
        <v>355</v>
      </c>
      <c r="D1688" s="16" t="str">
        <f>VLOOKUP(C1688,[1]master_data!$A$2:$E$495,2,FALSE)</f>
        <v>PALMAS</v>
      </c>
      <c r="E1688" s="16">
        <v>1</v>
      </c>
      <c r="F1688" s="16">
        <f>VLOOKUP(C1688,[1]master_data!$A$2:$E$495,3,FALSE)</f>
        <v>10000</v>
      </c>
      <c r="G1688" s="16">
        <f>VLOOKUP(C1688,[1]master_data!$A$2:$E$495,4,FALSE)</f>
        <v>25000</v>
      </c>
      <c r="H1688" s="16">
        <f>E1688*F1688</f>
        <v>10000</v>
      </c>
      <c r="I1688" s="16">
        <f>E1688*G1688</f>
        <v>25000</v>
      </c>
      <c r="J1688" s="16">
        <f>I1688-H1688</f>
        <v>15000</v>
      </c>
      <c r="K1688" s="16" t="str">
        <f>VLOOKUP(C1688,[1]master_data!$A$2:$E$495,5,FALSE)</f>
        <v>Ikan</v>
      </c>
      <c r="L1688" s="1"/>
    </row>
    <row r="1689" spans="1:12" ht="12" customHeight="1" x14ac:dyDescent="0.25">
      <c r="A1689" s="15">
        <v>44224</v>
      </c>
      <c r="B1689" s="16" t="s">
        <v>516</v>
      </c>
      <c r="C1689" s="16" t="s">
        <v>325</v>
      </c>
      <c r="D1689" s="16" t="str">
        <f>VLOOKUP(C1689,[1]master_data!$A$2:$E$495,2,FALSE)</f>
        <v>HIU TAWAR</v>
      </c>
      <c r="E1689" s="16">
        <v>20</v>
      </c>
      <c r="F1689" s="16">
        <f>VLOOKUP(C1689,[1]master_data!$A$2:$E$495,3,FALSE)</f>
        <v>600</v>
      </c>
      <c r="G1689" s="16">
        <f>VLOOKUP(C1689,[1]master_data!$A$2:$E$495,4,FALSE)</f>
        <v>2000</v>
      </c>
      <c r="H1689" s="16">
        <f>E1689*F1689</f>
        <v>12000</v>
      </c>
      <c r="I1689" s="16">
        <f>E1689*G1689</f>
        <v>40000</v>
      </c>
      <c r="J1689" s="16">
        <f>I1689-H1689</f>
        <v>28000</v>
      </c>
      <c r="K1689" s="16" t="str">
        <f>VLOOKUP(C1689,[1]master_data!$A$2:$E$495,5,FALSE)</f>
        <v>Ikan</v>
      </c>
      <c r="L1689" s="1"/>
    </row>
    <row r="1690" spans="1:12" ht="12" customHeight="1" x14ac:dyDescent="0.25">
      <c r="A1690" s="15">
        <v>44224</v>
      </c>
      <c r="B1690" s="16" t="s">
        <v>517</v>
      </c>
      <c r="C1690" s="16" t="s">
        <v>245</v>
      </c>
      <c r="D1690" s="16" t="str">
        <f>VLOOKUP(C1690,[1]master_data!$A$2:$E$495,2,FALSE)</f>
        <v>SELANG SPIRAL</v>
      </c>
      <c r="E1690" s="16">
        <v>20</v>
      </c>
      <c r="F1690" s="16">
        <f>VLOOKUP(C1690,[1]master_data!$A$2:$E$495,3,FALSE)</f>
        <v>2600</v>
      </c>
      <c r="G1690" s="16">
        <f>VLOOKUP(C1690,[1]master_data!$A$2:$E$495,4,FALSE)</f>
        <v>5000</v>
      </c>
      <c r="H1690" s="16">
        <f>E1690*F1690</f>
        <v>52000</v>
      </c>
      <c r="I1690" s="16">
        <f>E1690*G1690</f>
        <v>100000</v>
      </c>
      <c r="J1690" s="16">
        <f>I1690-H1690</f>
        <v>48000</v>
      </c>
      <c r="K1690" s="16" t="str">
        <f>VLOOKUP(C1690,[1]master_data!$A$2:$E$495,5,FALSE)</f>
        <v>Aksesoris</v>
      </c>
      <c r="L1690" s="1"/>
    </row>
    <row r="1691" spans="1:12" ht="12" customHeight="1" x14ac:dyDescent="0.25">
      <c r="A1691" s="15">
        <v>44224</v>
      </c>
      <c r="B1691" s="16" t="s">
        <v>518</v>
      </c>
      <c r="C1691" s="16" t="s">
        <v>92</v>
      </c>
      <c r="D1691" s="16" t="str">
        <f>VLOOKUP(C1691,[1]master_data!$A$2:$E$495,2,FALSE)</f>
        <v>AIRATOR KANDILA LUB 2</v>
      </c>
      <c r="E1691" s="16">
        <v>1</v>
      </c>
      <c r="F1691" s="16">
        <f>VLOOKUP(C1691,[1]master_data!$A$2:$E$495,3,FALSE)</f>
        <v>26000</v>
      </c>
      <c r="G1691" s="16">
        <f>VLOOKUP(C1691,[1]master_data!$A$2:$E$495,4,FALSE)</f>
        <v>50000</v>
      </c>
      <c r="H1691" s="16">
        <f>E1691*F1691</f>
        <v>26000</v>
      </c>
      <c r="I1691" s="16">
        <f>E1691*G1691</f>
        <v>50000</v>
      </c>
      <c r="J1691" s="16">
        <f>I1691-H1691</f>
        <v>24000</v>
      </c>
      <c r="K1691" s="16" t="str">
        <f>VLOOKUP(C1691,[1]master_data!$A$2:$E$495,5,FALSE)</f>
        <v>Aksesoris</v>
      </c>
      <c r="L1691" s="1"/>
    </row>
    <row r="1692" spans="1:12" ht="12" customHeight="1" x14ac:dyDescent="0.25">
      <c r="A1692" s="15">
        <v>44223</v>
      </c>
      <c r="B1692" s="16" t="s">
        <v>509</v>
      </c>
      <c r="C1692" s="16" t="s">
        <v>363</v>
      </c>
      <c r="D1692" s="16" t="str">
        <f>VLOOKUP(C1692,[1]master_data!$A$2:$E$495,2,FALSE)</f>
        <v>SUMATRA GOLD FISH</v>
      </c>
      <c r="E1692" s="16">
        <v>20</v>
      </c>
      <c r="F1692" s="16">
        <f>VLOOKUP(C1692,[1]master_data!$A$2:$E$495,3,FALSE)</f>
        <v>2500</v>
      </c>
      <c r="G1692" s="16">
        <f>VLOOKUP(C1692,[1]master_data!$A$2:$E$495,4,FALSE)</f>
        <v>4000</v>
      </c>
      <c r="H1692" s="16">
        <f>E1692*F1692</f>
        <v>50000</v>
      </c>
      <c r="I1692" s="16">
        <f>E1692*G1692</f>
        <v>80000</v>
      </c>
      <c r="J1692" s="16">
        <f>I1692-H1692</f>
        <v>30000</v>
      </c>
      <c r="K1692" s="16" t="str">
        <f>VLOOKUP(C1692,[1]master_data!$A$2:$E$495,5,FALSE)</f>
        <v>Ikan</v>
      </c>
      <c r="L1692" s="1"/>
    </row>
    <row r="1693" spans="1:12" ht="12" customHeight="1" x14ac:dyDescent="0.25">
      <c r="A1693" s="15">
        <v>44223</v>
      </c>
      <c r="B1693" s="16" t="s">
        <v>510</v>
      </c>
      <c r="C1693" s="16" t="s">
        <v>33</v>
      </c>
      <c r="D1693" s="16" t="str">
        <f>VLOOKUP(C1693,[1]master_data!$A$2:$E$495,2,FALSE)</f>
        <v>MESIN YAMANO ACT 3800</v>
      </c>
      <c r="E1693" s="16">
        <v>1</v>
      </c>
      <c r="F1693" s="16">
        <f>VLOOKUP(C1693,[1]master_data!$A$2:$E$495,3,FALSE)</f>
        <v>400000</v>
      </c>
      <c r="G1693" s="16">
        <f>VLOOKUP(C1693,[1]master_data!$A$2:$E$495,4,FALSE)</f>
        <v>475000</v>
      </c>
      <c r="H1693" s="16">
        <f>E1693*F1693</f>
        <v>400000</v>
      </c>
      <c r="I1693" s="16">
        <f>E1693*G1693</f>
        <v>475000</v>
      </c>
      <c r="J1693" s="16">
        <f>I1693-H1693</f>
        <v>75000</v>
      </c>
      <c r="K1693" s="16" t="str">
        <f>VLOOKUP(C1693,[1]master_data!$A$2:$E$495,5,FALSE)</f>
        <v>Aksesoris</v>
      </c>
      <c r="L1693" s="1"/>
    </row>
    <row r="1694" spans="1:12" ht="12" customHeight="1" x14ac:dyDescent="0.25">
      <c r="A1694" s="15">
        <v>44223</v>
      </c>
      <c r="B1694" s="16" t="s">
        <v>511</v>
      </c>
      <c r="C1694" s="16" t="s">
        <v>350</v>
      </c>
      <c r="D1694" s="16" t="str">
        <f>VLOOKUP(C1694,[1]master_data!$A$2:$E$495,2,FALSE)</f>
        <v>NENTINEN</v>
      </c>
      <c r="E1694" s="16">
        <v>20</v>
      </c>
      <c r="F1694" s="16">
        <f>VLOOKUP(C1694,[1]master_data!$A$2:$E$495,3,FALSE)</f>
        <v>1000</v>
      </c>
      <c r="G1694" s="16">
        <f>VLOOKUP(C1694,[1]master_data!$A$2:$E$495,4,FALSE)</f>
        <v>2500</v>
      </c>
      <c r="H1694" s="16">
        <f>E1694*F1694</f>
        <v>20000</v>
      </c>
      <c r="I1694" s="16">
        <f>E1694*G1694</f>
        <v>50000</v>
      </c>
      <c r="J1694" s="16">
        <f>I1694-H1694</f>
        <v>30000</v>
      </c>
      <c r="K1694" s="16" t="str">
        <f>VLOOKUP(C1694,[1]master_data!$A$2:$E$495,5,FALSE)</f>
        <v>Ikan</v>
      </c>
      <c r="L1694" s="1"/>
    </row>
    <row r="1695" spans="1:12" ht="12" customHeight="1" x14ac:dyDescent="0.25">
      <c r="A1695" s="15">
        <v>44223</v>
      </c>
      <c r="B1695" s="16" t="s">
        <v>512</v>
      </c>
      <c r="C1695" s="16" t="s">
        <v>355</v>
      </c>
      <c r="D1695" s="16" t="str">
        <f>VLOOKUP(C1695,[1]master_data!$A$2:$E$495,2,FALSE)</f>
        <v>PALMAS</v>
      </c>
      <c r="E1695" s="16">
        <v>1</v>
      </c>
      <c r="F1695" s="16">
        <f>VLOOKUP(C1695,[1]master_data!$A$2:$E$495,3,FALSE)</f>
        <v>10000</v>
      </c>
      <c r="G1695" s="16">
        <f>VLOOKUP(C1695,[1]master_data!$A$2:$E$495,4,FALSE)</f>
        <v>25000</v>
      </c>
      <c r="H1695" s="16">
        <f>E1695*F1695</f>
        <v>10000</v>
      </c>
      <c r="I1695" s="16">
        <f>E1695*G1695</f>
        <v>25000</v>
      </c>
      <c r="J1695" s="16">
        <f>I1695-H1695</f>
        <v>15000</v>
      </c>
      <c r="K1695" s="16" t="str">
        <f>VLOOKUP(C1695,[1]master_data!$A$2:$E$495,5,FALSE)</f>
        <v>Ikan</v>
      </c>
      <c r="L1695" s="1"/>
    </row>
    <row r="1696" spans="1:12" ht="12" customHeight="1" x14ac:dyDescent="0.25">
      <c r="A1696" s="15">
        <v>44223</v>
      </c>
      <c r="B1696" s="16" t="s">
        <v>513</v>
      </c>
      <c r="C1696" s="16" t="s">
        <v>303</v>
      </c>
      <c r="D1696" s="16" t="str">
        <f>VLOOKUP(C1696,[1]master_data!$A$2:$E$495,2,FALSE)</f>
        <v>CHANNA ASIATICA K</v>
      </c>
      <c r="E1696" s="16">
        <v>1</v>
      </c>
      <c r="F1696" s="16">
        <f>VLOOKUP(C1696,[1]master_data!$A$2:$E$495,3,FALSE)</f>
        <v>10000</v>
      </c>
      <c r="G1696" s="16">
        <f>VLOOKUP(C1696,[1]master_data!$A$2:$E$495,4,FALSE)</f>
        <v>40000</v>
      </c>
      <c r="H1696" s="16">
        <f>E1696*F1696</f>
        <v>10000</v>
      </c>
      <c r="I1696" s="16">
        <f>E1696*G1696</f>
        <v>40000</v>
      </c>
      <c r="J1696" s="16">
        <f>I1696-H1696</f>
        <v>30000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44223</v>
      </c>
      <c r="B1697" s="16" t="s">
        <v>514</v>
      </c>
      <c r="C1697" s="16" t="s">
        <v>362</v>
      </c>
      <c r="D1697" s="16" t="str">
        <f>VLOOKUP(C1697,[1]master_data!$A$2:$E$495,2,FALSE)</f>
        <v>SUMATRA BIASA</v>
      </c>
      <c r="E1697" s="16">
        <v>19</v>
      </c>
      <c r="F1697" s="16">
        <f>VLOOKUP(C1697,[1]master_data!$A$2:$E$495,3,FALSE)</f>
        <v>800</v>
      </c>
      <c r="G1697" s="16">
        <f>VLOOKUP(C1697,[1]master_data!$A$2:$E$495,4,FALSE)</f>
        <v>2000</v>
      </c>
      <c r="H1697" s="16">
        <f>E1697*F1697</f>
        <v>15200</v>
      </c>
      <c r="I1697" s="16">
        <f>E1697*G1697</f>
        <v>38000</v>
      </c>
      <c r="J1697" s="16">
        <f>I1697-H1697</f>
        <v>22800</v>
      </c>
      <c r="K1697" s="16" t="str">
        <f>VLOOKUP(C1697,[1]master_data!$A$2:$E$495,5,FALSE)</f>
        <v>Ikan</v>
      </c>
      <c r="L1697" s="1"/>
    </row>
    <row r="1698" spans="1:12" ht="12" customHeight="1" x14ac:dyDescent="0.25">
      <c r="A1698" s="15">
        <v>44223</v>
      </c>
      <c r="B1698" s="16" t="s">
        <v>515</v>
      </c>
      <c r="C1698" s="16" t="s">
        <v>205</v>
      </c>
      <c r="D1698" s="16" t="str">
        <f>VLOOKUP(C1698,[1]master_data!$A$2:$E$495,2,FALSE)</f>
        <v>ACRIPLAVIN</v>
      </c>
      <c r="E1698" s="16">
        <v>5</v>
      </c>
      <c r="F1698" s="16">
        <f>VLOOKUP(C1698,[1]master_data!$A$2:$E$495,3,FALSE)</f>
        <v>3000</v>
      </c>
      <c r="G1698" s="16">
        <f>VLOOKUP(C1698,[1]master_data!$A$2:$E$495,4,FALSE)</f>
        <v>8000</v>
      </c>
      <c r="H1698" s="16">
        <f>E1698*F1698</f>
        <v>15000</v>
      </c>
      <c r="I1698" s="16">
        <f>E1698*G1698</f>
        <v>40000</v>
      </c>
      <c r="J1698" s="16">
        <f>I1698-H1698</f>
        <v>25000</v>
      </c>
      <c r="K1698" s="16" t="str">
        <f>VLOOKUP(C1698,[1]master_data!$A$2:$E$495,5,FALSE)</f>
        <v>Aksesoris</v>
      </c>
      <c r="L1698" s="1"/>
    </row>
    <row r="1699" spans="1:12" ht="12" customHeight="1" x14ac:dyDescent="0.25">
      <c r="A1699" s="15">
        <v>44222</v>
      </c>
      <c r="B1699" s="16" t="s">
        <v>506</v>
      </c>
      <c r="C1699" s="16" t="s">
        <v>107</v>
      </c>
      <c r="D1699" s="16" t="str">
        <f>VLOOKUP(C1699,[1]master_data!$A$2:$E$495,2,FALSE)</f>
        <v>LED YAMANO 3W</v>
      </c>
      <c r="E1699" s="16">
        <v>8</v>
      </c>
      <c r="F1699" s="16">
        <f>VLOOKUP(C1699,[1]master_data!$A$2:$E$495,3,FALSE)</f>
        <v>37000</v>
      </c>
      <c r="G1699" s="16">
        <f>VLOOKUP(C1699,[1]master_data!$A$2:$E$495,4,FALSE)</f>
        <v>60000</v>
      </c>
      <c r="H1699" s="16">
        <f>E1699*F1699</f>
        <v>296000</v>
      </c>
      <c r="I1699" s="16">
        <f>E1699*G1699</f>
        <v>480000</v>
      </c>
      <c r="J1699" s="16">
        <f>I1699-H1699</f>
        <v>184000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44222</v>
      </c>
      <c r="B1700" s="16" t="s">
        <v>507</v>
      </c>
      <c r="C1700" s="16" t="s">
        <v>172</v>
      </c>
      <c r="D1700" s="16" t="str">
        <f>VLOOKUP(C1700,[1]master_data!$A$2:$E$495,2,FALSE)</f>
        <v>MEM PRIME 10 GR</v>
      </c>
      <c r="E1700" s="16">
        <v>3</v>
      </c>
      <c r="F1700" s="16">
        <f>VLOOKUP(C1700,[1]master_data!$A$2:$E$495,3,FALSE)</f>
        <v>5000</v>
      </c>
      <c r="G1700" s="16">
        <f>VLOOKUP(C1700,[1]master_data!$A$2:$E$495,4,FALSE)</f>
        <v>10000</v>
      </c>
      <c r="H1700" s="16">
        <f>E1700*F1700</f>
        <v>15000</v>
      </c>
      <c r="I1700" s="16">
        <f>E1700*G1700</f>
        <v>30000</v>
      </c>
      <c r="J1700" s="16">
        <f>I1700-H1700</f>
        <v>15000</v>
      </c>
      <c r="K1700" s="16" t="str">
        <f>VLOOKUP(C1700,[1]master_data!$A$2:$E$495,5,FALSE)</f>
        <v>Aksesoris</v>
      </c>
      <c r="L1700" s="1"/>
    </row>
    <row r="1701" spans="1:12" ht="12" customHeight="1" x14ac:dyDescent="0.25">
      <c r="A1701" s="15">
        <v>44222</v>
      </c>
      <c r="B1701" s="16" t="s">
        <v>508</v>
      </c>
      <c r="C1701" s="16" t="s">
        <v>328</v>
      </c>
      <c r="D1701" s="16" t="str">
        <f>VLOOKUP(C1701,[1]master_data!$A$2:$E$495,2,FALSE)</f>
        <v>KOKI B</v>
      </c>
      <c r="E1701" s="16">
        <v>1</v>
      </c>
      <c r="F1701" s="16">
        <f>VLOOKUP(C1701,[1]master_data!$A$2:$E$495,3,FALSE)</f>
        <v>20000</v>
      </c>
      <c r="G1701" s="16">
        <f>VLOOKUP(C1701,[1]master_data!$A$2:$E$495,4,FALSE)</f>
        <v>50000</v>
      </c>
      <c r="H1701" s="16">
        <f>E1701*F1701</f>
        <v>20000</v>
      </c>
      <c r="I1701" s="16">
        <f>E1701*G1701</f>
        <v>50000</v>
      </c>
      <c r="J1701" s="16">
        <f>I1701-H1701</f>
        <v>30000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44221</v>
      </c>
      <c r="B1702" s="16" t="s">
        <v>501</v>
      </c>
      <c r="C1702" s="16" t="s">
        <v>246</v>
      </c>
      <c r="D1702" s="16" t="str">
        <f>VLOOKUP(C1702,[1]master_data!$A$2:$E$495,2,FALSE)</f>
        <v>SELANG FUSO</v>
      </c>
      <c r="E1702" s="16">
        <v>20</v>
      </c>
      <c r="F1702" s="16">
        <f>VLOOKUP(C1702,[1]master_data!$A$2:$E$495,3,FALSE)</f>
        <v>800</v>
      </c>
      <c r="G1702" s="16">
        <f>VLOOKUP(C1702,[1]master_data!$A$2:$E$495,4,FALSE)</f>
        <v>2000</v>
      </c>
      <c r="H1702" s="16">
        <f>E1702*F1702</f>
        <v>16000</v>
      </c>
      <c r="I1702" s="16">
        <f>E1702*G1702</f>
        <v>40000</v>
      </c>
      <c r="J1702" s="16">
        <f>I1702-H1702</f>
        <v>24000</v>
      </c>
      <c r="K1702" s="16" t="str">
        <f>VLOOKUP(C1702,[1]master_data!$A$2:$E$495,5,FALSE)</f>
        <v>Aksesoris</v>
      </c>
      <c r="L1702" s="1"/>
    </row>
    <row r="1703" spans="1:12" ht="12" customHeight="1" x14ac:dyDescent="0.25">
      <c r="A1703" s="15">
        <v>44221</v>
      </c>
      <c r="B1703" s="16" t="s">
        <v>502</v>
      </c>
      <c r="C1703" s="16" t="s">
        <v>372</v>
      </c>
      <c r="D1703" s="16" t="str">
        <f>VLOOKUP(C1703,[1]master_data!$A$2:$E$495,2,FALSE)</f>
        <v>ZEBRA KUNING</v>
      </c>
      <c r="E1703" s="16">
        <v>25</v>
      </c>
      <c r="F1703" s="16">
        <f>VLOOKUP(C1703,[1]master_data!$A$2:$E$495,3,FALSE)</f>
        <v>800</v>
      </c>
      <c r="G1703" s="16">
        <f>VLOOKUP(C1703,[1]master_data!$A$2:$E$495,4,FALSE)</f>
        <v>2000</v>
      </c>
      <c r="H1703" s="16">
        <f>E1703*F1703</f>
        <v>20000</v>
      </c>
      <c r="I1703" s="16">
        <f>E1703*G1703</f>
        <v>50000</v>
      </c>
      <c r="J1703" s="16">
        <f>I1703-H1703</f>
        <v>30000</v>
      </c>
      <c r="K1703" s="16" t="str">
        <f>VLOOKUP(C1703,[1]master_data!$A$2:$E$495,5,FALSE)</f>
        <v>Ikan</v>
      </c>
      <c r="L1703" s="1"/>
    </row>
    <row r="1704" spans="1:12" ht="12" customHeight="1" x14ac:dyDescent="0.25">
      <c r="A1704" s="15">
        <v>44221</v>
      </c>
      <c r="B1704" s="16" t="s">
        <v>503</v>
      </c>
      <c r="C1704" s="16" t="s">
        <v>373</v>
      </c>
      <c r="D1704" s="16" t="str">
        <f>VLOOKUP(C1704,[1]master_data!$A$2:$E$495,2,FALSE)</f>
        <v>SEPAT</v>
      </c>
      <c r="E1704" s="16">
        <v>15</v>
      </c>
      <c r="F1704" s="16">
        <f>VLOOKUP(C1704,[1]master_data!$A$2:$E$495,3,FALSE)</f>
        <v>600</v>
      </c>
      <c r="G1704" s="16">
        <f>VLOOKUP(C1704,[1]master_data!$A$2:$E$495,4,FALSE)</f>
        <v>2000</v>
      </c>
      <c r="H1704" s="16">
        <f>E1704*F1704</f>
        <v>9000</v>
      </c>
      <c r="I1704" s="16">
        <f>E1704*G1704</f>
        <v>30000</v>
      </c>
      <c r="J1704" s="16">
        <f>I1704-H1704</f>
        <v>21000</v>
      </c>
      <c r="K1704" s="16" t="str">
        <f>VLOOKUP(C1704,[1]master_data!$A$2:$E$495,5,FALSE)</f>
        <v>Ikan</v>
      </c>
      <c r="L1704" s="1"/>
    </row>
    <row r="1705" spans="1:12" ht="12" customHeight="1" x14ac:dyDescent="0.25">
      <c r="A1705" s="15">
        <v>44221</v>
      </c>
      <c r="B1705" s="16" t="s">
        <v>504</v>
      </c>
      <c r="C1705" s="16" t="s">
        <v>355</v>
      </c>
      <c r="D1705" s="16" t="str">
        <f>VLOOKUP(C1705,[1]master_data!$A$2:$E$495,2,FALSE)</f>
        <v>PALMAS</v>
      </c>
      <c r="E1705" s="16">
        <v>8</v>
      </c>
      <c r="F1705" s="16">
        <f>VLOOKUP(C1705,[1]master_data!$A$2:$E$495,3,FALSE)</f>
        <v>10000</v>
      </c>
      <c r="G1705" s="16">
        <f>VLOOKUP(C1705,[1]master_data!$A$2:$E$495,4,FALSE)</f>
        <v>25000</v>
      </c>
      <c r="H1705" s="16">
        <f>E1705*F1705</f>
        <v>80000</v>
      </c>
      <c r="I1705" s="16">
        <f>E1705*G1705</f>
        <v>200000</v>
      </c>
      <c r="J1705" s="16">
        <f>I1705-H1705</f>
        <v>120000</v>
      </c>
      <c r="K1705" s="16" t="str">
        <f>VLOOKUP(C1705,[1]master_data!$A$2:$E$495,5,FALSE)</f>
        <v>Ikan</v>
      </c>
      <c r="L1705" s="1"/>
    </row>
    <row r="1706" spans="1:12" ht="12" customHeight="1" x14ac:dyDescent="0.25">
      <c r="A1706" s="15">
        <v>44221</v>
      </c>
      <c r="B1706" s="16" t="s">
        <v>505</v>
      </c>
      <c r="C1706" s="16" t="s">
        <v>97</v>
      </c>
      <c r="D1706" s="16" t="str">
        <f>VLOOKUP(C1706,[1]master_data!$A$2:$E$495,2,FALSE)</f>
        <v>LED VOSSO 30 CM</v>
      </c>
      <c r="E1706" s="16">
        <v>1</v>
      </c>
      <c r="F1706" s="16">
        <f>VLOOKUP(C1706,[1]master_data!$A$2:$E$495,3,FALSE)</f>
        <v>21000</v>
      </c>
      <c r="G1706" s="16">
        <f>VLOOKUP(C1706,[1]master_data!$A$2:$E$495,4,FALSE)</f>
        <v>35000</v>
      </c>
      <c r="H1706" s="16">
        <f>E1706*F1706</f>
        <v>21000</v>
      </c>
      <c r="I1706" s="16">
        <f>E1706*G1706</f>
        <v>35000</v>
      </c>
      <c r="J1706" s="16">
        <f>I1706-H1706</f>
        <v>14000</v>
      </c>
      <c r="K1706" s="16" t="str">
        <f>VLOOKUP(C1706,[1]master_data!$A$2:$E$495,5,FALSE)</f>
        <v>Aksesoris</v>
      </c>
      <c r="L1706" s="1"/>
    </row>
    <row r="1707" spans="1:12" ht="12" customHeight="1" x14ac:dyDescent="0.25">
      <c r="A1707" s="15">
        <v>44220</v>
      </c>
      <c r="B1707" s="16" t="s">
        <v>495</v>
      </c>
      <c r="C1707" s="16" t="s">
        <v>62</v>
      </c>
      <c r="D1707" s="16" t="str">
        <f>VLOOKUP(C1707,[1]master_data!$A$2:$E$495,2,FALSE)</f>
        <v>BOX KOSONG TANGGUNG</v>
      </c>
      <c r="E1707" s="16">
        <v>5</v>
      </c>
      <c r="F1707" s="16">
        <f>VLOOKUP(C1707,[1]master_data!$A$2:$E$495,3,FALSE)</f>
        <v>15000</v>
      </c>
      <c r="G1707" s="16">
        <f>VLOOKUP(C1707,[1]master_data!$A$2:$E$495,4,FALSE)</f>
        <v>25000</v>
      </c>
      <c r="H1707" s="16">
        <f>E1707*F1707</f>
        <v>75000</v>
      </c>
      <c r="I1707" s="16">
        <f>E1707*G1707</f>
        <v>125000</v>
      </c>
      <c r="J1707" s="16">
        <f>I1707-H1707</f>
        <v>50000</v>
      </c>
      <c r="K1707" s="16" t="str">
        <f>VLOOKUP(C1707,[1]master_data!$A$2:$E$495,5,FALSE)</f>
        <v>Aksesoris</v>
      </c>
      <c r="L1707" s="1"/>
    </row>
    <row r="1708" spans="1:12" ht="12" customHeight="1" x14ac:dyDescent="0.25">
      <c r="A1708" s="15">
        <v>44220</v>
      </c>
      <c r="B1708" s="16" t="s">
        <v>496</v>
      </c>
      <c r="C1708" s="16" t="s">
        <v>311</v>
      </c>
      <c r="D1708" s="16" t="str">
        <f>VLOOKUP(C1708,[1]master_data!$A$2:$E$495,2,FALSE)</f>
        <v>BIPOLAR</v>
      </c>
      <c r="E1708" s="16">
        <v>15</v>
      </c>
      <c r="F1708" s="16">
        <f>VLOOKUP(C1708,[1]master_data!$A$2:$E$495,3,FALSE)</f>
        <v>1000</v>
      </c>
      <c r="G1708" s="16">
        <f>VLOOKUP(C1708,[1]master_data!$A$2:$E$495,4,FALSE)</f>
        <v>2500</v>
      </c>
      <c r="H1708" s="16">
        <f>E1708*F1708</f>
        <v>15000</v>
      </c>
      <c r="I1708" s="16">
        <f>E1708*G1708</f>
        <v>37500</v>
      </c>
      <c r="J1708" s="16">
        <f>I1708-H1708</f>
        <v>22500</v>
      </c>
      <c r="K1708" s="16" t="str">
        <f>VLOOKUP(C1708,[1]master_data!$A$2:$E$495,5,FALSE)</f>
        <v>Ikan</v>
      </c>
      <c r="L1708" s="1"/>
    </row>
    <row r="1709" spans="1:12" ht="12" customHeight="1" x14ac:dyDescent="0.25">
      <c r="A1709" s="15">
        <v>44220</v>
      </c>
      <c r="B1709" s="16" t="s">
        <v>497</v>
      </c>
      <c r="C1709" s="16" t="s">
        <v>334</v>
      </c>
      <c r="D1709" s="16" t="str">
        <f>VLOOKUP(C1709,[1]master_data!$A$2:$E$495,2,FALSE)</f>
        <v>KOMET PAKAN</v>
      </c>
      <c r="E1709" s="16">
        <v>90</v>
      </c>
      <c r="F1709" s="16">
        <f>VLOOKUP(C1709,[1]master_data!$A$2:$E$495,3,FALSE)</f>
        <v>300</v>
      </c>
      <c r="G1709" s="16">
        <f>VLOOKUP(C1709,[1]master_data!$A$2:$E$495,4,FALSE)</f>
        <v>1000</v>
      </c>
      <c r="H1709" s="16">
        <f>E1709*F1709</f>
        <v>27000</v>
      </c>
      <c r="I1709" s="16">
        <f>E1709*G1709</f>
        <v>90000</v>
      </c>
      <c r="J1709" s="16">
        <f>I1709-H1709</f>
        <v>63000</v>
      </c>
      <c r="K1709" s="16" t="str">
        <f>VLOOKUP(C1709,[1]master_data!$A$2:$E$495,5,FALSE)</f>
        <v>Ikan</v>
      </c>
      <c r="L1709" s="1"/>
    </row>
    <row r="1710" spans="1:12" ht="12" customHeight="1" x14ac:dyDescent="0.25">
      <c r="A1710" s="15">
        <v>44220</v>
      </c>
      <c r="B1710" s="16" t="s">
        <v>498</v>
      </c>
      <c r="C1710" s="16" t="s">
        <v>361</v>
      </c>
      <c r="D1710" s="16" t="str">
        <f>VLOOKUP(C1710,[1]master_data!$A$2:$E$495,2,FALSE)</f>
        <v>CHANNA RED BARITO B</v>
      </c>
      <c r="E1710" s="16">
        <v>1</v>
      </c>
      <c r="F1710" s="16">
        <f>VLOOKUP(C1710,[1]master_data!$A$2:$E$495,3,FALSE)</f>
        <v>120000</v>
      </c>
      <c r="G1710" s="16">
        <f>VLOOKUP(C1710,[1]master_data!$A$2:$E$495,4,FALSE)</f>
        <v>200000</v>
      </c>
      <c r="H1710" s="16">
        <f>E1710*F1710</f>
        <v>120000</v>
      </c>
      <c r="I1710" s="16">
        <f>E1710*G1710</f>
        <v>200000</v>
      </c>
      <c r="J1710" s="16">
        <f>I1710-H1710</f>
        <v>80000</v>
      </c>
      <c r="K1710" s="16" t="str">
        <f>VLOOKUP(C1710,[1]master_data!$A$2:$E$495,5,FALSE)</f>
        <v>Ikan</v>
      </c>
      <c r="L1710" s="1"/>
    </row>
    <row r="1711" spans="1:12" ht="12" customHeight="1" x14ac:dyDescent="0.25">
      <c r="A1711" s="15">
        <v>44220</v>
      </c>
      <c r="B1711" s="16" t="s">
        <v>499</v>
      </c>
      <c r="C1711" s="16" t="s">
        <v>219</v>
      </c>
      <c r="D1711" s="16" t="str">
        <f>VLOOKUP(C1711,[1]master_data!$A$2:$E$495,2,FALSE)</f>
        <v>HEATER KACA 100 W</v>
      </c>
      <c r="E1711" s="16">
        <v>1</v>
      </c>
      <c r="F1711" s="16">
        <f>VLOOKUP(C1711,[1]master_data!$A$2:$E$495,3,FALSE)</f>
        <v>33000</v>
      </c>
      <c r="G1711" s="16">
        <f>VLOOKUP(C1711,[1]master_data!$A$2:$E$495,4,FALSE)</f>
        <v>50000</v>
      </c>
      <c r="H1711" s="16">
        <f>E1711*F1711</f>
        <v>33000</v>
      </c>
      <c r="I1711" s="16">
        <f>E1711*G1711</f>
        <v>50000</v>
      </c>
      <c r="J1711" s="16">
        <f>I1711-H1711</f>
        <v>17000</v>
      </c>
      <c r="K1711" s="16" t="str">
        <f>VLOOKUP(C1711,[1]master_data!$A$2:$E$495,5,FALSE)</f>
        <v>Aksesoris</v>
      </c>
      <c r="L1711" s="1"/>
    </row>
    <row r="1712" spans="1:12" ht="12" customHeight="1" x14ac:dyDescent="0.25">
      <c r="A1712" s="15">
        <v>44220</v>
      </c>
      <c r="B1712" s="16" t="s">
        <v>500</v>
      </c>
      <c r="C1712" s="16" t="s">
        <v>336</v>
      </c>
      <c r="D1712" s="16" t="str">
        <f>VLOOKUP(C1712,[1]master_data!$A$2:$E$495,2,FALSE)</f>
        <v>KOI SLAYER K</v>
      </c>
      <c r="E1712" s="16">
        <v>1</v>
      </c>
      <c r="F1712" s="16">
        <f>VLOOKUP(C1712,[1]master_data!$A$2:$E$495,3,FALSE)</f>
        <v>3500</v>
      </c>
      <c r="G1712" s="16">
        <f>VLOOKUP(C1712,[1]master_data!$A$2:$E$495,4,FALSE)</f>
        <v>10000</v>
      </c>
      <c r="H1712" s="16">
        <f>E1712*F1712</f>
        <v>3500</v>
      </c>
      <c r="I1712" s="16">
        <f>E1712*G1712</f>
        <v>10000</v>
      </c>
      <c r="J1712" s="16">
        <f>I1712-H1712</f>
        <v>6500</v>
      </c>
      <c r="K1712" s="16" t="str">
        <f>VLOOKUP(C1712,[1]master_data!$A$2:$E$495,5,FALSE)</f>
        <v>Ikan</v>
      </c>
      <c r="L1712" s="1"/>
    </row>
    <row r="1713" spans="1:12" ht="12" customHeight="1" x14ac:dyDescent="0.25">
      <c r="A1713" s="15">
        <v>44219</v>
      </c>
      <c r="B1713" s="16" t="s">
        <v>492</v>
      </c>
      <c r="C1713" s="16" t="s">
        <v>366</v>
      </c>
      <c r="D1713" s="16" t="str">
        <f>VLOOKUP(C1713,[1]master_data!$A$2:$E$495,2,FALSE)</f>
        <v>SYNODONTI B</v>
      </c>
      <c r="E1713" s="16">
        <v>30</v>
      </c>
      <c r="F1713" s="16">
        <f>VLOOKUP(C1713,[1]master_data!$A$2:$E$495,3,FALSE)</f>
        <v>4000</v>
      </c>
      <c r="G1713" s="16">
        <f>VLOOKUP(C1713,[1]master_data!$A$2:$E$495,4,FALSE)</f>
        <v>10000</v>
      </c>
      <c r="H1713" s="16">
        <f>E1713*F1713</f>
        <v>120000</v>
      </c>
      <c r="I1713" s="16">
        <f>E1713*G1713</f>
        <v>300000</v>
      </c>
      <c r="J1713" s="16">
        <f>I1713-H1713</f>
        <v>180000</v>
      </c>
      <c r="K1713" s="16" t="str">
        <f>VLOOKUP(C1713,[1]master_data!$A$2:$E$495,5,FALSE)</f>
        <v>Ikan</v>
      </c>
      <c r="L1713" s="1"/>
    </row>
    <row r="1714" spans="1:12" ht="12" customHeight="1" x14ac:dyDescent="0.25">
      <c r="A1714" s="15">
        <v>44219</v>
      </c>
      <c r="B1714" s="16" t="s">
        <v>493</v>
      </c>
      <c r="C1714" s="16" t="s">
        <v>97</v>
      </c>
      <c r="D1714" s="16" t="str">
        <f>VLOOKUP(C1714,[1]master_data!$A$2:$E$495,2,FALSE)</f>
        <v>LED VOSSO 30 CM</v>
      </c>
      <c r="E1714" s="16">
        <v>1</v>
      </c>
      <c r="F1714" s="16">
        <f>VLOOKUP(C1714,[1]master_data!$A$2:$E$495,3,FALSE)</f>
        <v>21000</v>
      </c>
      <c r="G1714" s="16">
        <f>VLOOKUP(C1714,[1]master_data!$A$2:$E$495,4,FALSE)</f>
        <v>35000</v>
      </c>
      <c r="H1714" s="16">
        <f>E1714*F1714</f>
        <v>21000</v>
      </c>
      <c r="I1714" s="16">
        <f>E1714*G1714</f>
        <v>35000</v>
      </c>
      <c r="J1714" s="16">
        <f>I1714-H1714</f>
        <v>14000</v>
      </c>
      <c r="K1714" s="16" t="str">
        <f>VLOOKUP(C1714,[1]master_data!$A$2:$E$495,5,FALSE)</f>
        <v>Aksesoris</v>
      </c>
      <c r="L1714" s="1"/>
    </row>
    <row r="1715" spans="1:12" ht="12" customHeight="1" x14ac:dyDescent="0.25">
      <c r="A1715" s="15">
        <v>44219</v>
      </c>
      <c r="B1715" s="16" t="s">
        <v>494</v>
      </c>
      <c r="C1715" s="16" t="s">
        <v>145</v>
      </c>
      <c r="D1715" s="16" t="str">
        <f>VLOOKUP(C1715,[1]master_data!$A$2:$E$495,2,FALSE)</f>
        <v>LED KANDILA DnN 40 CM</v>
      </c>
      <c r="E1715" s="16">
        <v>1</v>
      </c>
      <c r="F1715" s="16">
        <f>VLOOKUP(C1715,[1]master_data!$A$2:$E$495,3,FALSE)</f>
        <v>30000</v>
      </c>
      <c r="G1715" s="16">
        <f>VLOOKUP(C1715,[1]master_data!$A$2:$E$495,4,FALSE)</f>
        <v>50000</v>
      </c>
      <c r="H1715" s="16">
        <f>E1715*F1715</f>
        <v>30000</v>
      </c>
      <c r="I1715" s="16">
        <f>E1715*G1715</f>
        <v>50000</v>
      </c>
      <c r="J1715" s="16">
        <f>I1715-H1715</f>
        <v>20000</v>
      </c>
      <c r="K1715" s="16" t="str">
        <f>VLOOKUP(C1715,[1]master_data!$A$2:$E$495,5,FALSE)</f>
        <v>Aksesoris</v>
      </c>
      <c r="L1715" s="1"/>
    </row>
    <row r="1716" spans="1:12" ht="12" customHeight="1" x14ac:dyDescent="0.25">
      <c r="A1716" s="15">
        <v>44218</v>
      </c>
      <c r="B1716" s="16" t="s">
        <v>489</v>
      </c>
      <c r="C1716" s="16" t="s">
        <v>366</v>
      </c>
      <c r="D1716" s="16" t="str">
        <f>VLOOKUP(C1716,[1]master_data!$A$2:$E$495,2,FALSE)</f>
        <v>SYNODONTI B</v>
      </c>
      <c r="E1716" s="16">
        <v>30</v>
      </c>
      <c r="F1716" s="16">
        <f>VLOOKUP(C1716,[1]master_data!$A$2:$E$495,3,FALSE)</f>
        <v>4000</v>
      </c>
      <c r="G1716" s="16">
        <f>VLOOKUP(C1716,[1]master_data!$A$2:$E$495,4,FALSE)</f>
        <v>10000</v>
      </c>
      <c r="H1716" s="16">
        <f>E1716*F1716</f>
        <v>120000</v>
      </c>
      <c r="I1716" s="16">
        <f>E1716*G1716</f>
        <v>300000</v>
      </c>
      <c r="J1716" s="16">
        <f>I1716-H1716</f>
        <v>180000</v>
      </c>
      <c r="K1716" s="16" t="str">
        <f>VLOOKUP(C1716,[1]master_data!$A$2:$E$495,5,FALSE)</f>
        <v>Ikan</v>
      </c>
      <c r="L1716" s="1"/>
    </row>
    <row r="1717" spans="1:12" ht="12" customHeight="1" x14ac:dyDescent="0.25">
      <c r="A1717" s="15">
        <v>44218</v>
      </c>
      <c r="B1717" s="16" t="s">
        <v>490</v>
      </c>
      <c r="C1717" s="16" t="s">
        <v>237</v>
      </c>
      <c r="D1717" s="16" t="str">
        <f>VLOOKUP(C1717,[1]master_data!$A$2:$E$495,2,FALSE)</f>
        <v>MAINAN ANGEL SIMON</v>
      </c>
      <c r="E1717" s="16">
        <v>1</v>
      </c>
      <c r="F1717" s="16">
        <f>VLOOKUP(C1717,[1]master_data!$A$2:$E$495,3,FALSE)</f>
        <v>9000</v>
      </c>
      <c r="G1717" s="16">
        <f>VLOOKUP(C1717,[1]master_data!$A$2:$E$495,4,FALSE)</f>
        <v>18000</v>
      </c>
      <c r="H1717" s="16">
        <f>E1717*F1717</f>
        <v>9000</v>
      </c>
      <c r="I1717" s="16">
        <f>E1717*G1717</f>
        <v>18000</v>
      </c>
      <c r="J1717" s="16">
        <f>I1717-H1717</f>
        <v>9000</v>
      </c>
      <c r="K1717" s="16" t="str">
        <f>VLOOKUP(C1717,[1]master_data!$A$2:$E$495,5,FALSE)</f>
        <v>Aksesoris</v>
      </c>
      <c r="L1717" s="1"/>
    </row>
    <row r="1718" spans="1:12" ht="12" customHeight="1" x14ac:dyDescent="0.25">
      <c r="A1718" s="15">
        <v>44218</v>
      </c>
      <c r="B1718" s="16" t="s">
        <v>491</v>
      </c>
      <c r="C1718" s="16" t="s">
        <v>289</v>
      </c>
      <c r="D1718" s="16" t="str">
        <f>VLOOKUP(C1718,[1]master_data!$A$2:$E$495,2,FALSE)</f>
        <v>SOLITER C1</v>
      </c>
      <c r="E1718" s="16">
        <v>1</v>
      </c>
      <c r="F1718" s="16">
        <f>VLOOKUP(C1718,[1]master_data!$A$2:$E$495,3,FALSE)</f>
        <v>55000</v>
      </c>
      <c r="G1718" s="16">
        <f>VLOOKUP(C1718,[1]master_data!$A$2:$E$495,4,FALSE)</f>
        <v>75000</v>
      </c>
      <c r="H1718" s="16">
        <f>E1718*F1718</f>
        <v>55000</v>
      </c>
      <c r="I1718" s="16">
        <f>E1718*G1718</f>
        <v>75000</v>
      </c>
      <c r="J1718" s="16">
        <f>I1718-H1718</f>
        <v>20000</v>
      </c>
      <c r="K1718" s="16" t="str">
        <f>VLOOKUP(C1718,[1]master_data!$A$2:$E$495,5,FALSE)</f>
        <v>Aksesoris</v>
      </c>
      <c r="L1718" s="1"/>
    </row>
    <row r="1719" spans="1:12" ht="12" customHeight="1" x14ac:dyDescent="0.25">
      <c r="A1719" s="15">
        <v>44217</v>
      </c>
      <c r="B1719" s="16" t="s">
        <v>487</v>
      </c>
      <c r="C1719" s="16" t="s">
        <v>326</v>
      </c>
      <c r="D1719" s="16" t="str">
        <f>VLOOKUP(C1719,[1]master_data!$A$2:$E$495,2,FALSE)</f>
        <v>KOKI K</v>
      </c>
      <c r="E1719" s="16">
        <v>28</v>
      </c>
      <c r="F1719" s="16">
        <f>VLOOKUP(C1719,[1]master_data!$A$2:$E$495,3,FALSE)</f>
        <v>3500</v>
      </c>
      <c r="G1719" s="16">
        <f>VLOOKUP(C1719,[1]master_data!$A$2:$E$495,4,FALSE)</f>
        <v>10000</v>
      </c>
      <c r="H1719" s="16">
        <f>E1719*F1719</f>
        <v>98000</v>
      </c>
      <c r="I1719" s="16">
        <f>E1719*G1719</f>
        <v>280000</v>
      </c>
      <c r="J1719" s="16">
        <f>I1719-H1719</f>
        <v>182000</v>
      </c>
      <c r="K1719" s="16" t="str">
        <f>VLOOKUP(C1719,[1]master_data!$A$2:$E$495,5,FALSE)</f>
        <v>Ikan</v>
      </c>
      <c r="L1719" s="1"/>
    </row>
    <row r="1720" spans="1:12" ht="12" customHeight="1" x14ac:dyDescent="0.25">
      <c r="A1720" s="15">
        <v>44217</v>
      </c>
      <c r="B1720" s="16" t="s">
        <v>488</v>
      </c>
      <c r="C1720" s="16" t="s">
        <v>326</v>
      </c>
      <c r="D1720" s="16" t="str">
        <f>VLOOKUP(C1720,[1]master_data!$A$2:$E$495,2,FALSE)</f>
        <v>KOKI K</v>
      </c>
      <c r="E1720" s="16">
        <v>1</v>
      </c>
      <c r="F1720" s="16">
        <f>VLOOKUP(C1720,[1]master_data!$A$2:$E$495,3,FALSE)</f>
        <v>3500</v>
      </c>
      <c r="G1720" s="16">
        <f>VLOOKUP(C1720,[1]master_data!$A$2:$E$495,4,FALSE)</f>
        <v>10000</v>
      </c>
      <c r="H1720" s="16">
        <f>E1720*F1720</f>
        <v>3500</v>
      </c>
      <c r="I1720" s="16">
        <f>E1720*G1720</f>
        <v>10000</v>
      </c>
      <c r="J1720" s="16">
        <f>I1720-H1720</f>
        <v>6500</v>
      </c>
      <c r="K1720" s="16" t="str">
        <f>VLOOKUP(C1720,[1]master_data!$A$2:$E$495,5,FALSE)</f>
        <v>Ikan</v>
      </c>
      <c r="L1720" s="1"/>
    </row>
    <row r="1721" spans="1:12" ht="12" customHeight="1" x14ac:dyDescent="0.25">
      <c r="A1721" s="15">
        <v>44216</v>
      </c>
      <c r="B1721" s="16" t="s">
        <v>483</v>
      </c>
      <c r="C1721" s="16" t="s">
        <v>206</v>
      </c>
      <c r="D1721" s="16" t="str">
        <f>VLOOKUP(C1721,[1]master_data!$A$2:$E$495,2,FALSE)</f>
        <v>BACKGROUND</v>
      </c>
      <c r="E1721" s="16">
        <v>10</v>
      </c>
      <c r="F1721" s="16">
        <f>VLOOKUP(C1721,[1]master_data!$A$2:$E$495,3,FALSE)</f>
        <v>8000</v>
      </c>
      <c r="G1721" s="16">
        <f>VLOOKUP(C1721,[1]master_data!$A$2:$E$495,4,FALSE)</f>
        <v>15000</v>
      </c>
      <c r="H1721" s="16">
        <f>E1721*F1721</f>
        <v>80000</v>
      </c>
      <c r="I1721" s="16">
        <f>E1721*G1721</f>
        <v>150000</v>
      </c>
      <c r="J1721" s="16">
        <f>I1721-H1721</f>
        <v>70000</v>
      </c>
      <c r="K1721" s="16" t="str">
        <f>VLOOKUP(C1721,[1]master_data!$A$2:$E$495,5,FALSE)</f>
        <v>Aksesoris</v>
      </c>
      <c r="L1721" s="1"/>
    </row>
    <row r="1722" spans="1:12" ht="12" customHeight="1" x14ac:dyDescent="0.25">
      <c r="A1722" s="15">
        <v>44216</v>
      </c>
      <c r="B1722" s="16" t="s">
        <v>484</v>
      </c>
      <c r="C1722" s="16" t="s">
        <v>339</v>
      </c>
      <c r="D1722" s="16" t="str">
        <f>VLOOKUP(C1722,[1]master_data!$A$2:$E$495,2,FALSE)</f>
        <v>DISCUS</v>
      </c>
      <c r="E1722" s="16">
        <v>2</v>
      </c>
      <c r="F1722" s="16">
        <f>VLOOKUP(C1722,[1]master_data!$A$2:$E$495,3,FALSE)</f>
        <v>50000</v>
      </c>
      <c r="G1722" s="16">
        <f>VLOOKUP(C1722,[1]master_data!$A$2:$E$495,4,FALSE)</f>
        <v>150000</v>
      </c>
      <c r="H1722" s="16">
        <f>E1722*F1722</f>
        <v>100000</v>
      </c>
      <c r="I1722" s="16">
        <f>E1722*G1722</f>
        <v>300000</v>
      </c>
      <c r="J1722" s="16">
        <f>I1722-H1722</f>
        <v>200000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44216</v>
      </c>
      <c r="B1723" s="16" t="s">
        <v>485</v>
      </c>
      <c r="C1723" s="16" t="s">
        <v>370</v>
      </c>
      <c r="D1723" s="16" t="str">
        <f>VLOOKUP(C1723,[1]master_data!$A$2:$E$495,2,FALSE)</f>
        <v>ZEBRA HIJAU</v>
      </c>
      <c r="E1723" s="16">
        <v>15</v>
      </c>
      <c r="F1723" s="16">
        <f>VLOOKUP(C1723,[1]master_data!$A$2:$E$495,3,FALSE)</f>
        <v>800</v>
      </c>
      <c r="G1723" s="16">
        <f>VLOOKUP(C1723,[1]master_data!$A$2:$E$495,4,FALSE)</f>
        <v>2000</v>
      </c>
      <c r="H1723" s="16">
        <f>E1723*F1723</f>
        <v>12000</v>
      </c>
      <c r="I1723" s="16">
        <f>E1723*G1723</f>
        <v>30000</v>
      </c>
      <c r="J1723" s="16">
        <f>I1723-H1723</f>
        <v>18000</v>
      </c>
      <c r="K1723" s="16" t="str">
        <f>VLOOKUP(C1723,[1]master_data!$A$2:$E$495,5,FALSE)</f>
        <v>Ikan</v>
      </c>
      <c r="L1723" s="1"/>
    </row>
    <row r="1724" spans="1:12" ht="12" customHeight="1" x14ac:dyDescent="0.25">
      <c r="A1724" s="15">
        <v>44216</v>
      </c>
      <c r="B1724" s="16" t="s">
        <v>486</v>
      </c>
      <c r="C1724" s="16" t="s">
        <v>29</v>
      </c>
      <c r="D1724" s="16" t="str">
        <f>VLOOKUP(C1724,[1]master_data!$A$2:$E$495,2,FALSE)</f>
        <v>MESIN YAMANO 1000L</v>
      </c>
      <c r="E1724" s="16">
        <v>1</v>
      </c>
      <c r="F1724" s="16">
        <f>VLOOKUP(C1724,[1]master_data!$A$2:$E$495,3,FALSE)</f>
        <v>40000</v>
      </c>
      <c r="G1724" s="16">
        <f>VLOOKUP(C1724,[1]master_data!$A$2:$E$495,4,FALSE)</f>
        <v>60000</v>
      </c>
      <c r="H1724" s="16">
        <f>E1724*F1724</f>
        <v>40000</v>
      </c>
      <c r="I1724" s="16">
        <f>E1724*G1724</f>
        <v>60000</v>
      </c>
      <c r="J1724" s="16">
        <f>I1724-H1724</f>
        <v>20000</v>
      </c>
      <c r="K1724" s="16" t="str">
        <f>VLOOKUP(C1724,[1]master_data!$A$2:$E$495,5,FALSE)</f>
        <v>Aksesoris</v>
      </c>
      <c r="L1724" s="1"/>
    </row>
    <row r="1725" spans="1:12" ht="12" customHeight="1" x14ac:dyDescent="0.25">
      <c r="A1725" s="15">
        <v>44215</v>
      </c>
      <c r="B1725" s="16" t="s">
        <v>479</v>
      </c>
      <c r="C1725" s="16" t="s">
        <v>375</v>
      </c>
      <c r="D1725" s="16" t="str">
        <f>VLOOKUP(C1725,[1]master_data!$A$2:$E$495,2,FALSE)</f>
        <v>CHANNA STEWARTI</v>
      </c>
      <c r="E1725" s="16">
        <v>1</v>
      </c>
      <c r="F1725" s="16">
        <f>VLOOKUP(C1725,[1]master_data!$A$2:$E$495,3,FALSE)</f>
        <v>15000</v>
      </c>
      <c r="G1725" s="16">
        <f>VLOOKUP(C1725,[1]master_data!$A$2:$E$495,4,FALSE)</f>
        <v>40000</v>
      </c>
      <c r="H1725" s="16">
        <f>E1725*F1725</f>
        <v>15000</v>
      </c>
      <c r="I1725" s="16">
        <f>E1725*G1725</f>
        <v>40000</v>
      </c>
      <c r="J1725" s="16">
        <f>I1725-H1725</f>
        <v>25000</v>
      </c>
      <c r="K1725" s="16" t="str">
        <f>VLOOKUP(C1725,[1]master_data!$A$2:$E$495,5,FALSE)</f>
        <v>Ikan</v>
      </c>
      <c r="L1725" s="1"/>
    </row>
    <row r="1726" spans="1:12" ht="12" customHeight="1" x14ac:dyDescent="0.25">
      <c r="A1726" s="15">
        <v>44215</v>
      </c>
      <c r="B1726" s="16" t="s">
        <v>480</v>
      </c>
      <c r="C1726" s="16" t="s">
        <v>344</v>
      </c>
      <c r="D1726" s="16" t="str">
        <f>VLOOKUP(C1726,[1]master_data!$A$2:$E$495,2,FALSE)</f>
        <v>MANFISH B</v>
      </c>
      <c r="E1726" s="16">
        <v>15</v>
      </c>
      <c r="F1726" s="16">
        <f>VLOOKUP(C1726,[1]master_data!$A$2:$E$495,3,FALSE)</f>
        <v>4000</v>
      </c>
      <c r="G1726" s="16">
        <f>VLOOKUP(C1726,[1]master_data!$A$2:$E$495,4,FALSE)</f>
        <v>10000</v>
      </c>
      <c r="H1726" s="16">
        <f>E1726*F1726</f>
        <v>60000</v>
      </c>
      <c r="I1726" s="16">
        <f>E1726*G1726</f>
        <v>150000</v>
      </c>
      <c r="J1726" s="16">
        <f>I1726-H1726</f>
        <v>90000</v>
      </c>
      <c r="K1726" s="16" t="str">
        <f>VLOOKUP(C1726,[1]master_data!$A$2:$E$495,5,FALSE)</f>
        <v>Ikan</v>
      </c>
      <c r="L1726" s="1"/>
    </row>
    <row r="1727" spans="1:12" ht="12" customHeight="1" x14ac:dyDescent="0.25">
      <c r="A1727" s="15">
        <v>44215</v>
      </c>
      <c r="B1727" s="16" t="s">
        <v>481</v>
      </c>
      <c r="C1727" s="16" t="s">
        <v>316</v>
      </c>
      <c r="D1727" s="16" t="str">
        <f>VLOOKUP(C1727,[1]master_data!$A$2:$E$495,2,FALSE)</f>
        <v>CHANNA BLUE PULCHRA K</v>
      </c>
      <c r="E1727" s="16">
        <v>3</v>
      </c>
      <c r="F1727" s="16">
        <f>VLOOKUP(C1727,[1]master_data!$A$2:$E$495,3,FALSE)</f>
        <v>25000</v>
      </c>
      <c r="G1727" s="16">
        <f>VLOOKUP(C1727,[1]master_data!$A$2:$E$495,4,FALSE)</f>
        <v>50000</v>
      </c>
      <c r="H1727" s="16">
        <f>E1727*F1727</f>
        <v>75000</v>
      </c>
      <c r="I1727" s="16">
        <f>E1727*G1727</f>
        <v>150000</v>
      </c>
      <c r="J1727" s="16">
        <f>I1727-H1727</f>
        <v>75000</v>
      </c>
      <c r="K1727" s="16" t="str">
        <f>VLOOKUP(C1727,[1]master_data!$A$2:$E$495,5,FALSE)</f>
        <v>Ikan</v>
      </c>
      <c r="L1727" s="1"/>
    </row>
    <row r="1728" spans="1:12" ht="12" customHeight="1" x14ac:dyDescent="0.25">
      <c r="A1728" s="15">
        <v>44215</v>
      </c>
      <c r="B1728" s="16" t="s">
        <v>482</v>
      </c>
      <c r="C1728" s="16" t="s">
        <v>142</v>
      </c>
      <c r="D1728" s="16" t="str">
        <f>VLOOKUP(C1728,[1]master_data!$A$2:$E$495,2,FALSE)</f>
        <v>LED KANDILA DnN 80 CM</v>
      </c>
      <c r="E1728" s="16">
        <v>1</v>
      </c>
      <c r="F1728" s="16">
        <f>VLOOKUP(C1728,[1]master_data!$A$2:$E$495,3,FALSE)</f>
        <v>50000</v>
      </c>
      <c r="G1728" s="16">
        <f>VLOOKUP(C1728,[1]master_data!$A$2:$E$495,4,FALSE)</f>
        <v>90000</v>
      </c>
      <c r="H1728" s="16">
        <f>E1728*F1728</f>
        <v>50000</v>
      </c>
      <c r="I1728" s="16">
        <f>E1728*G1728</f>
        <v>90000</v>
      </c>
      <c r="J1728" s="16">
        <f>I1728-H1728</f>
        <v>40000</v>
      </c>
      <c r="K1728" s="16" t="str">
        <f>VLOOKUP(C1728,[1]master_data!$A$2:$E$495,5,FALSE)</f>
        <v>Aksesoris</v>
      </c>
      <c r="L1728" s="1"/>
    </row>
    <row r="1729" spans="1:12" ht="12" customHeight="1" x14ac:dyDescent="0.25">
      <c r="A1729" s="15">
        <v>44214</v>
      </c>
      <c r="B1729" s="16" t="s">
        <v>472</v>
      </c>
      <c r="C1729" s="16" t="s">
        <v>27</v>
      </c>
      <c r="D1729" s="16" t="str">
        <f>VLOOKUP(C1729,[1]master_data!$A$2:$E$495,2,FALSE)</f>
        <v>TOP FILTER ROSTON 650 K</v>
      </c>
      <c r="E1729" s="16">
        <v>5</v>
      </c>
      <c r="F1729" s="16">
        <f>VLOOKUP(C1729,[1]master_data!$A$2:$E$495,3,FALSE)</f>
        <v>35000</v>
      </c>
      <c r="G1729" s="16">
        <f>VLOOKUP(C1729,[1]master_data!$A$2:$E$495,4,FALSE)</f>
        <v>50000</v>
      </c>
      <c r="H1729" s="16">
        <f>E1729*F1729</f>
        <v>175000</v>
      </c>
      <c r="I1729" s="16">
        <f>E1729*G1729</f>
        <v>250000</v>
      </c>
      <c r="J1729" s="16">
        <f>I1729-H1729</f>
        <v>75000</v>
      </c>
      <c r="K1729" s="16" t="str">
        <f>VLOOKUP(C1729,[1]master_data!$A$2:$E$495,5,FALSE)</f>
        <v>Aksesoris</v>
      </c>
      <c r="L1729" s="1"/>
    </row>
    <row r="1730" spans="1:12" ht="12" customHeight="1" x14ac:dyDescent="0.25">
      <c r="A1730" s="15">
        <v>44214</v>
      </c>
      <c r="B1730" s="16" t="s">
        <v>473</v>
      </c>
      <c r="C1730" s="16" t="s">
        <v>359</v>
      </c>
      <c r="D1730" s="16" t="str">
        <f>VLOOKUP(C1730,[1]master_data!$A$2:$E$495,2,FALSE)</f>
        <v>REDFIN ALBINO</v>
      </c>
      <c r="E1730" s="16">
        <v>25</v>
      </c>
      <c r="F1730" s="16">
        <f>VLOOKUP(C1730,[1]master_data!$A$2:$E$495,3,FALSE)</f>
        <v>1500</v>
      </c>
      <c r="G1730" s="16">
        <f>VLOOKUP(C1730,[1]master_data!$A$2:$E$495,4,FALSE)</f>
        <v>4000</v>
      </c>
      <c r="H1730" s="16">
        <f>E1730*F1730</f>
        <v>37500</v>
      </c>
      <c r="I1730" s="16">
        <f>E1730*G1730</f>
        <v>100000</v>
      </c>
      <c r="J1730" s="16">
        <f>I1730-H1730</f>
        <v>62500</v>
      </c>
      <c r="K1730" s="16" t="str">
        <f>VLOOKUP(C1730,[1]master_data!$A$2:$E$495,5,FALSE)</f>
        <v>Ikan</v>
      </c>
      <c r="L1730" s="1"/>
    </row>
    <row r="1731" spans="1:12" ht="12" customHeight="1" x14ac:dyDescent="0.25">
      <c r="A1731" s="15">
        <v>44214</v>
      </c>
      <c r="B1731" s="16" t="s">
        <v>474</v>
      </c>
      <c r="C1731" s="16" t="s">
        <v>58</v>
      </c>
      <c r="D1731" s="16" t="str">
        <f>VLOOKUP(C1731,[1]master_data!$A$2:$E$495,2,FALSE)</f>
        <v>MESIN KANDILA 1200</v>
      </c>
      <c r="E1731" s="16">
        <v>1</v>
      </c>
      <c r="F1731" s="16">
        <f>VLOOKUP(C1731,[1]master_data!$A$2:$E$495,3,FALSE)</f>
        <v>19000</v>
      </c>
      <c r="G1731" s="16">
        <f>VLOOKUP(C1731,[1]master_data!$A$2:$E$495,4,FALSE)</f>
        <v>30000</v>
      </c>
      <c r="H1731" s="16">
        <f>E1731*F1731</f>
        <v>19000</v>
      </c>
      <c r="I1731" s="16">
        <f>E1731*G1731</f>
        <v>30000</v>
      </c>
      <c r="J1731" s="16">
        <f>I1731-H1731</f>
        <v>11000</v>
      </c>
      <c r="K1731" s="16" t="str">
        <f>VLOOKUP(C1731,[1]master_data!$A$2:$E$495,5,FALSE)</f>
        <v>Aksesoris</v>
      </c>
      <c r="L1731" s="1"/>
    </row>
    <row r="1732" spans="1:12" ht="12" customHeight="1" x14ac:dyDescent="0.25">
      <c r="A1732" s="15">
        <v>44214</v>
      </c>
      <c r="B1732" s="16" t="s">
        <v>475</v>
      </c>
      <c r="C1732" s="16" t="s">
        <v>107</v>
      </c>
      <c r="D1732" s="16" t="str">
        <f>VLOOKUP(C1732,[1]master_data!$A$2:$E$495,2,FALSE)</f>
        <v>LED YAMANO 3W</v>
      </c>
      <c r="E1732" s="16">
        <v>1</v>
      </c>
      <c r="F1732" s="16">
        <f>VLOOKUP(C1732,[1]master_data!$A$2:$E$495,3,FALSE)</f>
        <v>37000</v>
      </c>
      <c r="G1732" s="16">
        <f>VLOOKUP(C1732,[1]master_data!$A$2:$E$495,4,FALSE)</f>
        <v>60000</v>
      </c>
      <c r="H1732" s="16">
        <f>E1732*F1732</f>
        <v>37000</v>
      </c>
      <c r="I1732" s="16">
        <f>E1732*G1732</f>
        <v>60000</v>
      </c>
      <c r="J1732" s="16">
        <f>I1732-H1732</f>
        <v>23000</v>
      </c>
      <c r="K1732" s="16" t="str">
        <f>VLOOKUP(C1732,[1]master_data!$A$2:$E$495,5,FALSE)</f>
        <v>Aksesoris</v>
      </c>
      <c r="L1732" s="1"/>
    </row>
    <row r="1733" spans="1:12" ht="12" customHeight="1" x14ac:dyDescent="0.25">
      <c r="A1733" s="15">
        <v>44214</v>
      </c>
      <c r="B1733" s="16" t="s">
        <v>476</v>
      </c>
      <c r="C1733" s="16" t="s">
        <v>247</v>
      </c>
      <c r="D1733" s="16" t="str">
        <f>VLOOKUP(C1733,[1]master_data!$A$2:$E$495,2,FALSE)</f>
        <v>L PIPA</v>
      </c>
      <c r="E1733" s="16">
        <v>1</v>
      </c>
      <c r="F1733" s="16">
        <f>VLOOKUP(C1733,[1]master_data!$A$2:$E$495,3,FALSE)</f>
        <v>800</v>
      </c>
      <c r="G1733" s="16">
        <f>VLOOKUP(C1733,[1]master_data!$A$2:$E$495,4,FALSE)</f>
        <v>2000</v>
      </c>
      <c r="H1733" s="16">
        <f>E1733*F1733</f>
        <v>800</v>
      </c>
      <c r="I1733" s="16">
        <f>E1733*G1733</f>
        <v>2000</v>
      </c>
      <c r="J1733" s="16">
        <f>I1733-H1733</f>
        <v>1200</v>
      </c>
      <c r="K1733" s="16" t="str">
        <f>VLOOKUP(C1733,[1]master_data!$A$2:$E$495,5,FALSE)</f>
        <v>Aksesoris</v>
      </c>
      <c r="L1733" s="1"/>
    </row>
    <row r="1734" spans="1:12" ht="12" customHeight="1" x14ac:dyDescent="0.25">
      <c r="A1734" s="15">
        <v>44214</v>
      </c>
      <c r="B1734" s="16" t="s">
        <v>477</v>
      </c>
      <c r="C1734" s="16" t="s">
        <v>164</v>
      </c>
      <c r="D1734" s="16" t="str">
        <f>VLOOKUP(C1734,[1]master_data!$A$2:$E$495,2,FALSE)</f>
        <v>AKARI PREMIUM BLUE</v>
      </c>
      <c r="E1734" s="16">
        <v>2</v>
      </c>
      <c r="F1734" s="16">
        <f>VLOOKUP(C1734,[1]master_data!$A$2:$E$495,3,FALSE)</f>
        <v>37000</v>
      </c>
      <c r="G1734" s="16">
        <f>VLOOKUP(C1734,[1]master_data!$A$2:$E$495,4,FALSE)</f>
        <v>50000</v>
      </c>
      <c r="H1734" s="16">
        <f>E1734*F1734</f>
        <v>74000</v>
      </c>
      <c r="I1734" s="16">
        <f>E1734*G1734</f>
        <v>100000</v>
      </c>
      <c r="J1734" s="16">
        <f>I1734-H1734</f>
        <v>26000</v>
      </c>
      <c r="K1734" s="16" t="str">
        <f>VLOOKUP(C1734,[1]master_data!$A$2:$E$495,5,FALSE)</f>
        <v>Aksesoris</v>
      </c>
      <c r="L1734" s="1"/>
    </row>
    <row r="1735" spans="1:12" ht="12" customHeight="1" x14ac:dyDescent="0.25">
      <c r="A1735" s="15">
        <v>44214</v>
      </c>
      <c r="B1735" s="16" t="s">
        <v>478</v>
      </c>
      <c r="C1735" s="16" t="s">
        <v>351</v>
      </c>
      <c r="D1735" s="16" t="str">
        <f>VLOOKUP(C1735,[1]master_data!$A$2:$E$495,2,FALSE)</f>
        <v>NEON</v>
      </c>
      <c r="E1735" s="16">
        <v>50</v>
      </c>
      <c r="F1735" s="16">
        <f>VLOOKUP(C1735,[1]master_data!$A$2:$E$495,3,FALSE)</f>
        <v>1250</v>
      </c>
      <c r="G1735" s="16">
        <f>VLOOKUP(C1735,[1]master_data!$A$2:$E$495,4,FALSE)</f>
        <v>5000</v>
      </c>
      <c r="H1735" s="16">
        <f>E1735*F1735</f>
        <v>62500</v>
      </c>
      <c r="I1735" s="16">
        <f>E1735*G1735</f>
        <v>250000</v>
      </c>
      <c r="J1735" s="16">
        <f>I1735-H1735</f>
        <v>187500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44213</v>
      </c>
      <c r="B1736" s="16" t="s">
        <v>468</v>
      </c>
      <c r="C1736" s="16" t="s">
        <v>68</v>
      </c>
      <c r="D1736" s="16" t="str">
        <f>VLOOKUP(C1736,[1]master_data!$A$2:$E$495,2,FALSE)</f>
        <v>MESIN RESUN 1200</v>
      </c>
      <c r="E1736" s="16">
        <v>5</v>
      </c>
      <c r="F1736" s="16">
        <f>VLOOKUP(C1736,[1]master_data!$A$2:$E$495,3,FALSE)</f>
        <v>55000</v>
      </c>
      <c r="G1736" s="16">
        <f>VLOOKUP(C1736,[1]master_data!$A$2:$E$495,4,FALSE)</f>
        <v>75000</v>
      </c>
      <c r="H1736" s="16">
        <f>E1736*F1736</f>
        <v>275000</v>
      </c>
      <c r="I1736" s="16">
        <f>E1736*G1736</f>
        <v>375000</v>
      </c>
      <c r="J1736" s="16">
        <f>I1736-H1736</f>
        <v>100000</v>
      </c>
      <c r="K1736" s="16" t="str">
        <f>VLOOKUP(C1736,[1]master_data!$A$2:$E$495,5,FALSE)</f>
        <v>Aksesoris</v>
      </c>
      <c r="L1736" s="1"/>
    </row>
    <row r="1737" spans="1:12" ht="12" customHeight="1" x14ac:dyDescent="0.25">
      <c r="A1737" s="15">
        <v>44213</v>
      </c>
      <c r="B1737" s="16" t="s">
        <v>469</v>
      </c>
      <c r="C1737" s="16" t="s">
        <v>349</v>
      </c>
      <c r="D1737" s="16" t="str">
        <f>VLOOKUP(C1737,[1]master_data!$A$2:$E$495,2,FALSE)</f>
        <v>RED EYE TETRA</v>
      </c>
      <c r="E1737" s="16">
        <v>10</v>
      </c>
      <c r="F1737" s="16">
        <f>VLOOKUP(C1737,[1]master_data!$A$2:$E$495,3,FALSE)</f>
        <v>900</v>
      </c>
      <c r="G1737" s="16">
        <f>VLOOKUP(C1737,[1]master_data!$A$2:$E$495,4,FALSE)</f>
        <v>2000</v>
      </c>
      <c r="H1737" s="16">
        <f>E1737*F1737</f>
        <v>9000</v>
      </c>
      <c r="I1737" s="16">
        <f>E1737*G1737</f>
        <v>20000</v>
      </c>
      <c r="J1737" s="16">
        <f>I1737-H1737</f>
        <v>11000</v>
      </c>
      <c r="K1737" s="16" t="str">
        <f>VLOOKUP(C1737,[1]master_data!$A$2:$E$495,5,FALSE)</f>
        <v>Ikan</v>
      </c>
      <c r="L1737" s="1"/>
    </row>
    <row r="1738" spans="1:12" ht="12" customHeight="1" x14ac:dyDescent="0.25">
      <c r="A1738" s="15">
        <v>44213</v>
      </c>
      <c r="B1738" s="16" t="s">
        <v>470</v>
      </c>
      <c r="C1738" s="16" t="s">
        <v>221</v>
      </c>
      <c r="D1738" s="16" t="str">
        <f>VLOOKUP(C1738,[1]master_data!$A$2:$E$495,2,FALSE)</f>
        <v>JARING 12</v>
      </c>
      <c r="E1738" s="16">
        <v>29</v>
      </c>
      <c r="F1738" s="16">
        <f>VLOOKUP(C1738,[1]master_data!$A$2:$E$495,3,FALSE)</f>
        <v>4000</v>
      </c>
      <c r="G1738" s="16">
        <f>VLOOKUP(C1738,[1]master_data!$A$2:$E$495,4,FALSE)</f>
        <v>7000</v>
      </c>
      <c r="H1738" s="16">
        <f>E1738*F1738</f>
        <v>116000</v>
      </c>
      <c r="I1738" s="16">
        <f>E1738*G1738</f>
        <v>203000</v>
      </c>
      <c r="J1738" s="16">
        <f>I1738-H1738</f>
        <v>87000</v>
      </c>
      <c r="K1738" s="16" t="str">
        <f>VLOOKUP(C1738,[1]master_data!$A$2:$E$495,5,FALSE)</f>
        <v>Aksesoris</v>
      </c>
      <c r="L1738" s="1"/>
    </row>
    <row r="1739" spans="1:12" ht="12" customHeight="1" x14ac:dyDescent="0.25">
      <c r="A1739" s="15">
        <v>44213</v>
      </c>
      <c r="B1739" s="16" t="s">
        <v>471</v>
      </c>
      <c r="C1739" s="16" t="s">
        <v>355</v>
      </c>
      <c r="D1739" s="16" t="str">
        <f>VLOOKUP(C1739,[1]master_data!$A$2:$E$495,2,FALSE)</f>
        <v>PALMAS</v>
      </c>
      <c r="E1739" s="16">
        <v>1</v>
      </c>
      <c r="F1739" s="16">
        <f>VLOOKUP(C1739,[1]master_data!$A$2:$E$495,3,FALSE)</f>
        <v>10000</v>
      </c>
      <c r="G1739" s="16">
        <f>VLOOKUP(C1739,[1]master_data!$A$2:$E$495,4,FALSE)</f>
        <v>25000</v>
      </c>
      <c r="H1739" s="16">
        <f>E1739*F1739</f>
        <v>10000</v>
      </c>
      <c r="I1739" s="16">
        <f>E1739*G1739</f>
        <v>25000</v>
      </c>
      <c r="J1739" s="16">
        <f>I1739-H1739</f>
        <v>15000</v>
      </c>
      <c r="K1739" s="16" t="str">
        <f>VLOOKUP(C1739,[1]master_data!$A$2:$E$495,5,FALSE)</f>
        <v>Ikan</v>
      </c>
      <c r="L1739" s="1"/>
    </row>
    <row r="1740" spans="1:12" ht="12" customHeight="1" x14ac:dyDescent="0.25">
      <c r="A1740" s="15">
        <v>44212</v>
      </c>
      <c r="B1740" s="16" t="s">
        <v>463</v>
      </c>
      <c r="C1740" s="16" t="s">
        <v>333</v>
      </c>
      <c r="D1740" s="16" t="str">
        <f>VLOOKUP(C1740,[1]master_data!$A$2:$E$495,2,FALSE)</f>
        <v>KAVIAT</v>
      </c>
      <c r="E1740" s="16">
        <v>1</v>
      </c>
      <c r="F1740" s="16">
        <f>VLOOKUP(C1740,[1]master_data!$A$2:$E$495,3,FALSE)</f>
        <v>3500</v>
      </c>
      <c r="G1740" s="16">
        <f>VLOOKUP(C1740,[1]master_data!$A$2:$E$495,4,FALSE)</f>
        <v>8000</v>
      </c>
      <c r="H1740" s="16">
        <f>E1740*F1740</f>
        <v>3500</v>
      </c>
      <c r="I1740" s="16">
        <f>E1740*G1740</f>
        <v>8000</v>
      </c>
      <c r="J1740" s="16">
        <f>I1740-H1740</f>
        <v>4500</v>
      </c>
      <c r="K1740" s="16" t="str">
        <f>VLOOKUP(C1740,[1]master_data!$A$2:$E$495,5,FALSE)</f>
        <v>Ikan</v>
      </c>
      <c r="L1740" s="1"/>
    </row>
    <row r="1741" spans="1:12" ht="12" customHeight="1" x14ac:dyDescent="0.25">
      <c r="A1741" s="15">
        <v>44212</v>
      </c>
      <c r="B1741" s="16" t="s">
        <v>464</v>
      </c>
      <c r="C1741" s="16" t="s">
        <v>328</v>
      </c>
      <c r="D1741" s="16" t="str">
        <f>VLOOKUP(C1741,[1]master_data!$A$2:$E$495,2,FALSE)</f>
        <v>KOKI B</v>
      </c>
      <c r="E1741" s="16">
        <v>1</v>
      </c>
      <c r="F1741" s="16">
        <f>VLOOKUP(C1741,[1]master_data!$A$2:$E$495,3,FALSE)</f>
        <v>20000</v>
      </c>
      <c r="G1741" s="16">
        <f>VLOOKUP(C1741,[1]master_data!$A$2:$E$495,4,FALSE)</f>
        <v>50000</v>
      </c>
      <c r="H1741" s="16">
        <f>E1741*F1741</f>
        <v>20000</v>
      </c>
      <c r="I1741" s="16">
        <f>E1741*G1741</f>
        <v>50000</v>
      </c>
      <c r="J1741" s="16">
        <f>I1741-H1741</f>
        <v>30000</v>
      </c>
      <c r="K1741" s="16" t="str">
        <f>VLOOKUP(C1741,[1]master_data!$A$2:$E$495,5,FALSE)</f>
        <v>Ikan</v>
      </c>
      <c r="L1741" s="1"/>
    </row>
    <row r="1742" spans="1:12" ht="12" customHeight="1" x14ac:dyDescent="0.25">
      <c r="A1742" s="15">
        <v>44212</v>
      </c>
      <c r="B1742" s="16" t="s">
        <v>465</v>
      </c>
      <c r="C1742" s="16" t="s">
        <v>305</v>
      </c>
      <c r="D1742" s="16" t="str">
        <f>VLOOKUP(C1742,[1]master_data!$A$2:$E$495,2,FALSE)</f>
        <v>CHANNA ASIATICA B</v>
      </c>
      <c r="E1742" s="16">
        <v>2</v>
      </c>
      <c r="F1742" s="16">
        <f>VLOOKUP(C1742,[1]master_data!$A$2:$E$495,3,FALSE)</f>
        <v>40000</v>
      </c>
      <c r="G1742" s="16">
        <f>VLOOKUP(C1742,[1]master_data!$A$2:$E$495,4,FALSE)</f>
        <v>100000</v>
      </c>
      <c r="H1742" s="16">
        <f>E1742*F1742</f>
        <v>80000</v>
      </c>
      <c r="I1742" s="16">
        <f>E1742*G1742</f>
        <v>200000</v>
      </c>
      <c r="J1742" s="16">
        <f>I1742-H1742</f>
        <v>120000</v>
      </c>
      <c r="K1742" s="16" t="str">
        <f>VLOOKUP(C1742,[1]master_data!$A$2:$E$495,5,FALSE)</f>
        <v>Ikan</v>
      </c>
      <c r="L1742" s="1"/>
    </row>
    <row r="1743" spans="1:12" ht="12" customHeight="1" x14ac:dyDescent="0.25">
      <c r="A1743" s="15">
        <v>44212</v>
      </c>
      <c r="B1743" s="16" t="s">
        <v>466</v>
      </c>
      <c r="C1743" s="16" t="s">
        <v>95</v>
      </c>
      <c r="D1743" s="16" t="str">
        <f>VLOOKUP(C1743,[1]master_data!$A$2:$E$495,2,FALSE)</f>
        <v>LED ROSTON 20 CM</v>
      </c>
      <c r="E1743" s="16">
        <v>1</v>
      </c>
      <c r="F1743" s="16">
        <f>VLOOKUP(C1743,[1]master_data!$A$2:$E$495,3,FALSE)</f>
        <v>21000</v>
      </c>
      <c r="G1743" s="16">
        <f>VLOOKUP(C1743,[1]master_data!$A$2:$E$495,4,FALSE)</f>
        <v>30000</v>
      </c>
      <c r="H1743" s="16">
        <f>E1743*F1743</f>
        <v>21000</v>
      </c>
      <c r="I1743" s="16">
        <f>E1743*G1743</f>
        <v>30000</v>
      </c>
      <c r="J1743" s="16">
        <f>I1743-H1743</f>
        <v>9000</v>
      </c>
      <c r="K1743" s="16" t="str">
        <f>VLOOKUP(C1743,[1]master_data!$A$2:$E$495,5,FALSE)</f>
        <v>Aksesoris</v>
      </c>
      <c r="L1743" s="1"/>
    </row>
    <row r="1744" spans="1:12" ht="12" customHeight="1" x14ac:dyDescent="0.25">
      <c r="A1744" s="15">
        <v>44212</v>
      </c>
      <c r="B1744" s="16" t="s">
        <v>467</v>
      </c>
      <c r="C1744" s="16" t="s">
        <v>356</v>
      </c>
      <c r="D1744" s="16" t="str">
        <f>VLOOKUP(C1744,[1]master_data!$A$2:$E$495,2,FALSE)</f>
        <v>PARROT</v>
      </c>
      <c r="E1744" s="16">
        <v>1</v>
      </c>
      <c r="F1744" s="16">
        <f>VLOOKUP(C1744,[1]master_data!$A$2:$E$495,3,FALSE)</f>
        <v>27000</v>
      </c>
      <c r="G1744" s="16">
        <f>VLOOKUP(C1744,[1]master_data!$A$2:$E$495,4,FALSE)</f>
        <v>60000</v>
      </c>
      <c r="H1744" s="16">
        <f>E1744*F1744</f>
        <v>27000</v>
      </c>
      <c r="I1744" s="16">
        <f>E1744*G1744</f>
        <v>60000</v>
      </c>
      <c r="J1744" s="16">
        <f>I1744-H1744</f>
        <v>33000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44211</v>
      </c>
      <c r="B1745" s="16" t="s">
        <v>457</v>
      </c>
      <c r="C1745" s="16" t="s">
        <v>128</v>
      </c>
      <c r="D1745" s="16" t="str">
        <f>VLOOKUP(C1745,[1]master_data!$A$2:$E$495,2,FALSE)</f>
        <v>LED VOSSO A 600</v>
      </c>
      <c r="E1745" s="16">
        <v>1</v>
      </c>
      <c r="F1745" s="16">
        <f>VLOOKUP(C1745,[1]master_data!$A$2:$E$495,3,FALSE)</f>
        <v>55000</v>
      </c>
      <c r="G1745" s="16">
        <f>VLOOKUP(C1745,[1]master_data!$A$2:$E$495,4,FALSE)</f>
        <v>75000</v>
      </c>
      <c r="H1745" s="16">
        <f>E1745*F1745</f>
        <v>55000</v>
      </c>
      <c r="I1745" s="16">
        <f>E1745*G1745</f>
        <v>75000</v>
      </c>
      <c r="J1745" s="16">
        <f>I1745-H1745</f>
        <v>20000</v>
      </c>
      <c r="K1745" s="16" t="str">
        <f>VLOOKUP(C1745,[1]master_data!$A$2:$E$495,5,FALSE)</f>
        <v>Aksesoris</v>
      </c>
      <c r="L1745" s="1"/>
    </row>
    <row r="1746" spans="1:12" ht="12" customHeight="1" x14ac:dyDescent="0.25">
      <c r="A1746" s="15">
        <v>44211</v>
      </c>
      <c r="B1746" s="16" t="s">
        <v>458</v>
      </c>
      <c r="C1746" s="16" t="s">
        <v>336</v>
      </c>
      <c r="D1746" s="16" t="str">
        <f>VLOOKUP(C1746,[1]master_data!$A$2:$E$495,2,FALSE)</f>
        <v>KOI SLAYER K</v>
      </c>
      <c r="E1746" s="16">
        <v>20</v>
      </c>
      <c r="F1746" s="16">
        <f>VLOOKUP(C1746,[1]master_data!$A$2:$E$495,3,FALSE)</f>
        <v>3500</v>
      </c>
      <c r="G1746" s="16">
        <f>VLOOKUP(C1746,[1]master_data!$A$2:$E$495,4,FALSE)</f>
        <v>10000</v>
      </c>
      <c r="H1746" s="16">
        <f>E1746*F1746</f>
        <v>70000</v>
      </c>
      <c r="I1746" s="16">
        <f>E1746*G1746</f>
        <v>200000</v>
      </c>
      <c r="J1746" s="16">
        <f>I1746-H1746</f>
        <v>130000</v>
      </c>
      <c r="K1746" s="16" t="str">
        <f>VLOOKUP(C1746,[1]master_data!$A$2:$E$495,5,FALSE)</f>
        <v>Ikan</v>
      </c>
      <c r="L1746" s="1"/>
    </row>
    <row r="1747" spans="1:12" ht="12" customHeight="1" x14ac:dyDescent="0.25">
      <c r="A1747" s="15">
        <v>44211</v>
      </c>
      <c r="B1747" s="16" t="s">
        <v>459</v>
      </c>
      <c r="C1747" s="16" t="s">
        <v>358</v>
      </c>
      <c r="D1747" s="16" t="str">
        <f>VLOOKUP(C1747,[1]master_data!$A$2:$E$495,2,FALSE)</f>
        <v>REDFIN HITAM</v>
      </c>
      <c r="E1747" s="16">
        <v>20</v>
      </c>
      <c r="F1747" s="16">
        <f>VLOOKUP(C1747,[1]master_data!$A$2:$E$495,3,FALSE)</f>
        <v>1500</v>
      </c>
      <c r="G1747" s="16">
        <f>VLOOKUP(C1747,[1]master_data!$A$2:$E$495,4,FALSE)</f>
        <v>4000</v>
      </c>
      <c r="H1747" s="16">
        <f>E1747*F1747</f>
        <v>30000</v>
      </c>
      <c r="I1747" s="16">
        <f>E1747*G1747</f>
        <v>80000</v>
      </c>
      <c r="J1747" s="16">
        <f>I1747-H1747</f>
        <v>50000</v>
      </c>
      <c r="K1747" s="16" t="str">
        <f>VLOOKUP(C1747,[1]master_data!$A$2:$E$495,5,FALSE)</f>
        <v>Ikan</v>
      </c>
      <c r="L1747" s="1"/>
    </row>
    <row r="1748" spans="1:12" ht="12" customHeight="1" x14ac:dyDescent="0.25">
      <c r="A1748" s="15">
        <v>44211</v>
      </c>
      <c r="B1748" s="16" t="s">
        <v>460</v>
      </c>
      <c r="C1748" s="16" t="s">
        <v>312</v>
      </c>
      <c r="D1748" s="16" t="str">
        <f>VLOOKUP(C1748,[1]master_data!$A$2:$E$495,2,FALSE)</f>
        <v>BUENOS AIRES TETRA</v>
      </c>
      <c r="E1748" s="16">
        <v>24</v>
      </c>
      <c r="F1748" s="16">
        <f>VLOOKUP(C1748,[1]master_data!$A$2:$E$495,3,FALSE)</f>
        <v>800</v>
      </c>
      <c r="G1748" s="16">
        <f>VLOOKUP(C1748,[1]master_data!$A$2:$E$495,4,FALSE)</f>
        <v>2000</v>
      </c>
      <c r="H1748" s="16">
        <f>E1748*F1748</f>
        <v>19200</v>
      </c>
      <c r="I1748" s="16">
        <f>E1748*G1748</f>
        <v>48000</v>
      </c>
      <c r="J1748" s="16">
        <f>I1748-H1748</f>
        <v>28800</v>
      </c>
      <c r="K1748" s="16" t="str">
        <f>VLOOKUP(C1748,[1]master_data!$A$2:$E$495,5,FALSE)</f>
        <v>Ikan</v>
      </c>
      <c r="L1748" s="1"/>
    </row>
    <row r="1749" spans="1:12" ht="12" customHeight="1" x14ac:dyDescent="0.25">
      <c r="A1749" s="15">
        <v>44211</v>
      </c>
      <c r="B1749" s="16" t="s">
        <v>461</v>
      </c>
      <c r="C1749" s="16" t="s">
        <v>331</v>
      </c>
      <c r="D1749" s="16" t="str">
        <f>VLOOKUP(C1749,[1]master_data!$A$2:$E$495,2,FALSE)</f>
        <v>KOI B</v>
      </c>
      <c r="E1749" s="16">
        <v>1</v>
      </c>
      <c r="F1749" s="16">
        <f>VLOOKUP(C1749,[1]master_data!$A$2:$E$495,3,FALSE)</f>
        <v>9000</v>
      </c>
      <c r="G1749" s="16">
        <f>VLOOKUP(C1749,[1]master_data!$A$2:$E$495,4,FALSE)</f>
        <v>30000</v>
      </c>
      <c r="H1749" s="16">
        <f>E1749*F1749</f>
        <v>9000</v>
      </c>
      <c r="I1749" s="16">
        <f>E1749*G1749</f>
        <v>30000</v>
      </c>
      <c r="J1749" s="16">
        <f>I1749-H1749</f>
        <v>21000</v>
      </c>
      <c r="K1749" s="16" t="str">
        <f>VLOOKUP(C1749,[1]master_data!$A$2:$E$495,5,FALSE)</f>
        <v>Ikan</v>
      </c>
      <c r="L1749" s="1"/>
    </row>
    <row r="1750" spans="1:12" ht="12" customHeight="1" x14ac:dyDescent="0.25">
      <c r="A1750" s="15">
        <v>44211</v>
      </c>
      <c r="B1750" s="16" t="s">
        <v>462</v>
      </c>
      <c r="C1750" s="16" t="s">
        <v>359</v>
      </c>
      <c r="D1750" s="16" t="str">
        <f>VLOOKUP(C1750,[1]master_data!$A$2:$E$495,2,FALSE)</f>
        <v>REDFIN ALBINO</v>
      </c>
      <c r="E1750" s="16">
        <v>100</v>
      </c>
      <c r="F1750" s="16">
        <f>VLOOKUP(C1750,[1]master_data!$A$2:$E$495,3,FALSE)</f>
        <v>1500</v>
      </c>
      <c r="G1750" s="16">
        <f>VLOOKUP(C1750,[1]master_data!$A$2:$E$495,4,FALSE)</f>
        <v>4000</v>
      </c>
      <c r="H1750" s="16">
        <f>E1750*F1750</f>
        <v>150000</v>
      </c>
      <c r="I1750" s="16">
        <f>E1750*G1750</f>
        <v>400000</v>
      </c>
      <c r="J1750" s="16">
        <f>I1750-H1750</f>
        <v>250000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44210</v>
      </c>
      <c r="B1751" s="16" t="s">
        <v>450</v>
      </c>
      <c r="C1751" s="16" t="s">
        <v>32</v>
      </c>
      <c r="D1751" s="16" t="str">
        <f>VLOOKUP(C1751,[1]master_data!$A$2:$E$495,2,FALSE)</f>
        <v>MESIN YAMANO 1800</v>
      </c>
      <c r="E1751" s="16">
        <v>1</v>
      </c>
      <c r="F1751" s="16">
        <f>VLOOKUP(C1751,[1]master_data!$A$2:$E$495,3,FALSE)</f>
        <v>64000</v>
      </c>
      <c r="G1751" s="16">
        <f>VLOOKUP(C1751,[1]master_data!$A$2:$E$495,4,FALSE)</f>
        <v>110000</v>
      </c>
      <c r="H1751" s="16">
        <f>E1751*F1751</f>
        <v>64000</v>
      </c>
      <c r="I1751" s="16">
        <f>E1751*G1751</f>
        <v>110000</v>
      </c>
      <c r="J1751" s="16">
        <f>I1751-H1751</f>
        <v>46000</v>
      </c>
      <c r="K1751" s="16" t="str">
        <f>VLOOKUP(C1751,[1]master_data!$A$2:$E$495,5,FALSE)</f>
        <v>Aksesoris</v>
      </c>
      <c r="L1751" s="1"/>
    </row>
    <row r="1752" spans="1:12" ht="12" customHeight="1" x14ac:dyDescent="0.25">
      <c r="A1752" s="15">
        <v>44210</v>
      </c>
      <c r="B1752" s="16" t="s">
        <v>451</v>
      </c>
      <c r="C1752" s="16" t="s">
        <v>373</v>
      </c>
      <c r="D1752" s="16" t="str">
        <f>VLOOKUP(C1752,[1]master_data!$A$2:$E$495,2,FALSE)</f>
        <v>SEPAT</v>
      </c>
      <c r="E1752" s="16">
        <v>15</v>
      </c>
      <c r="F1752" s="16">
        <f>VLOOKUP(C1752,[1]master_data!$A$2:$E$495,3,FALSE)</f>
        <v>600</v>
      </c>
      <c r="G1752" s="16">
        <f>VLOOKUP(C1752,[1]master_data!$A$2:$E$495,4,FALSE)</f>
        <v>2000</v>
      </c>
      <c r="H1752" s="16">
        <f>E1752*F1752</f>
        <v>9000</v>
      </c>
      <c r="I1752" s="16">
        <f>E1752*G1752</f>
        <v>30000</v>
      </c>
      <c r="J1752" s="16">
        <f>I1752-H1752</f>
        <v>21000</v>
      </c>
      <c r="K1752" s="16" t="str">
        <f>VLOOKUP(C1752,[1]master_data!$A$2:$E$495,5,FALSE)</f>
        <v>Ikan</v>
      </c>
      <c r="L1752" s="1"/>
    </row>
    <row r="1753" spans="1:12" ht="12" customHeight="1" x14ac:dyDescent="0.25">
      <c r="A1753" s="15">
        <v>44210</v>
      </c>
      <c r="B1753" s="16" t="s">
        <v>452</v>
      </c>
      <c r="C1753" s="16" t="s">
        <v>374</v>
      </c>
      <c r="D1753" s="16" t="str">
        <f>VLOOKUP(C1753,[1]master_data!$A$2:$E$495,2,FALSE)</f>
        <v>SEPAT ALBINO</v>
      </c>
      <c r="E1753" s="16">
        <v>15</v>
      </c>
      <c r="F1753" s="16">
        <f>VLOOKUP(C1753,[1]master_data!$A$2:$E$495,3,FALSE)</f>
        <v>2000</v>
      </c>
      <c r="G1753" s="16">
        <f>VLOOKUP(C1753,[1]master_data!$A$2:$E$495,4,FALSE)</f>
        <v>5000</v>
      </c>
      <c r="H1753" s="16">
        <f>E1753*F1753</f>
        <v>30000</v>
      </c>
      <c r="I1753" s="16">
        <f>E1753*G1753</f>
        <v>75000</v>
      </c>
      <c r="J1753" s="16">
        <f>I1753-H1753</f>
        <v>45000</v>
      </c>
      <c r="K1753" s="16" t="str">
        <f>VLOOKUP(C1753,[1]master_data!$A$2:$E$495,5,FALSE)</f>
        <v>Ikan</v>
      </c>
      <c r="L1753" s="1"/>
    </row>
    <row r="1754" spans="1:12" ht="12" customHeight="1" x14ac:dyDescent="0.25">
      <c r="A1754" s="15">
        <v>44210</v>
      </c>
      <c r="B1754" s="16" t="s">
        <v>453</v>
      </c>
      <c r="C1754" s="16" t="s">
        <v>271</v>
      </c>
      <c r="D1754" s="16" t="str">
        <f>VLOOKUP(C1754,[1]master_data!$A$2:$E$495,2,FALSE)</f>
        <v>KRAN 5 W</v>
      </c>
      <c r="E1754" s="16">
        <v>10</v>
      </c>
      <c r="F1754" s="16">
        <f>VLOOKUP(C1754,[1]master_data!$A$2:$E$495,3,FALSE)</f>
        <v>10000</v>
      </c>
      <c r="G1754" s="16">
        <f>VLOOKUP(C1754,[1]master_data!$A$2:$E$495,4,FALSE)</f>
        <v>15000</v>
      </c>
      <c r="H1754" s="16">
        <f>E1754*F1754</f>
        <v>100000</v>
      </c>
      <c r="I1754" s="16">
        <f>E1754*G1754</f>
        <v>150000</v>
      </c>
      <c r="J1754" s="16">
        <f>I1754-H1754</f>
        <v>50000</v>
      </c>
      <c r="K1754" s="16" t="str">
        <f>VLOOKUP(C1754,[1]master_data!$A$2:$E$495,5,FALSE)</f>
        <v>Aksesoris</v>
      </c>
      <c r="L1754" s="1"/>
    </row>
    <row r="1755" spans="1:12" ht="12" customHeight="1" x14ac:dyDescent="0.25">
      <c r="A1755" s="15">
        <v>44210</v>
      </c>
      <c r="B1755" s="16" t="s">
        <v>454</v>
      </c>
      <c r="C1755" s="16" t="s">
        <v>164</v>
      </c>
      <c r="D1755" s="16" t="str">
        <f>VLOOKUP(C1755,[1]master_data!$A$2:$E$495,2,FALSE)</f>
        <v>AKARI PREMIUM BLUE</v>
      </c>
      <c r="E1755" s="16">
        <v>3</v>
      </c>
      <c r="F1755" s="16">
        <f>VLOOKUP(C1755,[1]master_data!$A$2:$E$495,3,FALSE)</f>
        <v>37000</v>
      </c>
      <c r="G1755" s="16">
        <f>VLOOKUP(C1755,[1]master_data!$A$2:$E$495,4,FALSE)</f>
        <v>50000</v>
      </c>
      <c r="H1755" s="16">
        <f>E1755*F1755</f>
        <v>111000</v>
      </c>
      <c r="I1755" s="16">
        <f>E1755*G1755</f>
        <v>150000</v>
      </c>
      <c r="J1755" s="16">
        <f>I1755-H1755</f>
        <v>39000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44210</v>
      </c>
      <c r="B1756" s="16" t="s">
        <v>455</v>
      </c>
      <c r="C1756" s="16" t="s">
        <v>347</v>
      </c>
      <c r="D1756" s="16" t="str">
        <f>VLOOKUP(C1756,[1]master_data!$A$2:$E$495,2,FALSE)</f>
        <v>MOLI BALON</v>
      </c>
      <c r="E1756" s="16">
        <v>9</v>
      </c>
      <c r="F1756" s="16">
        <f>VLOOKUP(C1756,[1]master_data!$A$2:$E$495,3,FALSE)</f>
        <v>800</v>
      </c>
      <c r="G1756" s="16">
        <f>VLOOKUP(C1756,[1]master_data!$A$2:$E$495,4,FALSE)</f>
        <v>2000</v>
      </c>
      <c r="H1756" s="16">
        <f>E1756*F1756</f>
        <v>7200</v>
      </c>
      <c r="I1756" s="16">
        <f>E1756*G1756</f>
        <v>18000</v>
      </c>
      <c r="J1756" s="16">
        <f>I1756-H1756</f>
        <v>10800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44210</v>
      </c>
      <c r="B1757" s="16" t="s">
        <v>456</v>
      </c>
      <c r="C1757" s="16" t="s">
        <v>312</v>
      </c>
      <c r="D1757" s="16" t="str">
        <f>VLOOKUP(C1757,[1]master_data!$A$2:$E$495,2,FALSE)</f>
        <v>BUENOS AIRES TETRA</v>
      </c>
      <c r="E1757" s="16">
        <v>1</v>
      </c>
      <c r="F1757" s="16">
        <f>VLOOKUP(C1757,[1]master_data!$A$2:$E$495,3,FALSE)</f>
        <v>800</v>
      </c>
      <c r="G1757" s="16">
        <f>VLOOKUP(C1757,[1]master_data!$A$2:$E$495,4,FALSE)</f>
        <v>2000</v>
      </c>
      <c r="H1757" s="16">
        <f>E1757*F1757</f>
        <v>800</v>
      </c>
      <c r="I1757" s="16">
        <f>E1757*G1757</f>
        <v>2000</v>
      </c>
      <c r="J1757" s="16">
        <f>I1757-H1757</f>
        <v>1200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44209</v>
      </c>
      <c r="B1758" s="16" t="s">
        <v>446</v>
      </c>
      <c r="C1758" s="16" t="s">
        <v>366</v>
      </c>
      <c r="D1758" s="16" t="str">
        <f>VLOOKUP(C1758,[1]master_data!$A$2:$E$495,2,FALSE)</f>
        <v>SYNODONTI B</v>
      </c>
      <c r="E1758" s="16">
        <v>30</v>
      </c>
      <c r="F1758" s="16">
        <f>VLOOKUP(C1758,[1]master_data!$A$2:$E$495,3,FALSE)</f>
        <v>4000</v>
      </c>
      <c r="G1758" s="16">
        <f>VLOOKUP(C1758,[1]master_data!$A$2:$E$495,4,FALSE)</f>
        <v>10000</v>
      </c>
      <c r="H1758" s="16">
        <f>E1758*F1758</f>
        <v>120000</v>
      </c>
      <c r="I1758" s="16">
        <f>E1758*G1758</f>
        <v>300000</v>
      </c>
      <c r="J1758" s="16">
        <f>I1758-H1758</f>
        <v>180000</v>
      </c>
      <c r="K1758" s="16" t="str">
        <f>VLOOKUP(C1758,[1]master_data!$A$2:$E$495,5,FALSE)</f>
        <v>Ikan</v>
      </c>
      <c r="L1758" s="1"/>
    </row>
    <row r="1759" spans="1:12" ht="12" customHeight="1" x14ac:dyDescent="0.25">
      <c r="A1759" s="15">
        <v>44209</v>
      </c>
      <c r="B1759" s="16" t="s">
        <v>447</v>
      </c>
      <c r="C1759" s="16" t="s">
        <v>372</v>
      </c>
      <c r="D1759" s="16" t="str">
        <f>VLOOKUP(C1759,[1]master_data!$A$2:$E$495,2,FALSE)</f>
        <v>ZEBRA KUNING</v>
      </c>
      <c r="E1759" s="16">
        <v>15</v>
      </c>
      <c r="F1759" s="16">
        <f>VLOOKUP(C1759,[1]master_data!$A$2:$E$495,3,FALSE)</f>
        <v>800</v>
      </c>
      <c r="G1759" s="16">
        <f>VLOOKUP(C1759,[1]master_data!$A$2:$E$495,4,FALSE)</f>
        <v>2000</v>
      </c>
      <c r="H1759" s="16">
        <f>E1759*F1759</f>
        <v>12000</v>
      </c>
      <c r="I1759" s="16">
        <f>E1759*G1759</f>
        <v>30000</v>
      </c>
      <c r="J1759" s="16">
        <f>I1759-H1759</f>
        <v>18000</v>
      </c>
      <c r="K1759" s="16" t="str">
        <f>VLOOKUP(C1759,[1]master_data!$A$2:$E$495,5,FALSE)</f>
        <v>Ikan</v>
      </c>
      <c r="L1759" s="1"/>
    </row>
    <row r="1760" spans="1:12" ht="12" customHeight="1" x14ac:dyDescent="0.25">
      <c r="A1760" s="15">
        <v>44209</v>
      </c>
      <c r="B1760" s="16" t="s">
        <v>448</v>
      </c>
      <c r="C1760" s="16" t="s">
        <v>359</v>
      </c>
      <c r="D1760" s="16" t="str">
        <f>VLOOKUP(C1760,[1]master_data!$A$2:$E$495,2,FALSE)</f>
        <v>REDFIN ALBINO</v>
      </c>
      <c r="E1760" s="16">
        <v>10</v>
      </c>
      <c r="F1760" s="16">
        <f>VLOOKUP(C1760,[1]master_data!$A$2:$E$495,3,FALSE)</f>
        <v>1500</v>
      </c>
      <c r="G1760" s="16">
        <f>VLOOKUP(C1760,[1]master_data!$A$2:$E$495,4,FALSE)</f>
        <v>4000</v>
      </c>
      <c r="H1760" s="16">
        <f>E1760*F1760</f>
        <v>15000</v>
      </c>
      <c r="I1760" s="16">
        <f>E1760*G1760</f>
        <v>40000</v>
      </c>
      <c r="J1760" s="16">
        <f>I1760-H1760</f>
        <v>25000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44209</v>
      </c>
      <c r="B1761" s="16" t="s">
        <v>449</v>
      </c>
      <c r="C1761" s="16" t="s">
        <v>366</v>
      </c>
      <c r="D1761" s="16" t="str">
        <f>VLOOKUP(C1761,[1]master_data!$A$2:$E$495,2,FALSE)</f>
        <v>SYNODONTI B</v>
      </c>
      <c r="E1761" s="16">
        <v>4</v>
      </c>
      <c r="F1761" s="16">
        <f>VLOOKUP(C1761,[1]master_data!$A$2:$E$495,3,FALSE)</f>
        <v>4000</v>
      </c>
      <c r="G1761" s="16">
        <f>VLOOKUP(C1761,[1]master_data!$A$2:$E$495,4,FALSE)</f>
        <v>10000</v>
      </c>
      <c r="H1761" s="16">
        <f>E1761*F1761</f>
        <v>16000</v>
      </c>
      <c r="I1761" s="16">
        <f>E1761*G1761</f>
        <v>40000</v>
      </c>
      <c r="J1761" s="16">
        <f>I1761-H1761</f>
        <v>24000</v>
      </c>
      <c r="K1761" s="16" t="str">
        <f>VLOOKUP(C1761,[1]master_data!$A$2:$E$495,5,FALSE)</f>
        <v>Ikan</v>
      </c>
      <c r="L1761" s="1"/>
    </row>
    <row r="1762" spans="1:12" ht="12" customHeight="1" x14ac:dyDescent="0.25">
      <c r="A1762" s="15">
        <v>44208</v>
      </c>
      <c r="B1762" s="16" t="s">
        <v>438</v>
      </c>
      <c r="C1762" s="16" t="s">
        <v>178</v>
      </c>
      <c r="D1762" s="16" t="str">
        <f>VLOOKUP(C1762,[1]master_data!$A$2:$E$495,2,FALSE)</f>
        <v>CP KOI COLOUR</v>
      </c>
      <c r="E1762" s="16">
        <v>3</v>
      </c>
      <c r="F1762" s="16">
        <f>VLOOKUP(C1762,[1]master_data!$A$2:$E$495,3,FALSE)</f>
        <v>38000</v>
      </c>
      <c r="G1762" s="16">
        <f>VLOOKUP(C1762,[1]master_data!$A$2:$E$495,4,FALSE)</f>
        <v>50000</v>
      </c>
      <c r="H1762" s="16">
        <f>E1762*F1762</f>
        <v>114000</v>
      </c>
      <c r="I1762" s="16">
        <f>E1762*G1762</f>
        <v>150000</v>
      </c>
      <c r="J1762" s="16">
        <f>I1762-H1762</f>
        <v>36000</v>
      </c>
      <c r="K1762" s="16" t="str">
        <f>VLOOKUP(C1762,[1]master_data!$A$2:$E$495,5,FALSE)</f>
        <v>Aksesoris</v>
      </c>
      <c r="L1762" s="1"/>
    </row>
    <row r="1763" spans="1:12" ht="12" customHeight="1" x14ac:dyDescent="0.25">
      <c r="A1763" s="15">
        <v>44208</v>
      </c>
      <c r="B1763" s="16" t="s">
        <v>439</v>
      </c>
      <c r="C1763" s="16" t="s">
        <v>295</v>
      </c>
      <c r="D1763" s="16" t="str">
        <f>VLOOKUP(C1763,[1]master_data!$A$2:$E$495,2,FALSE)</f>
        <v>PASIR BALI</v>
      </c>
      <c r="E1763" s="16">
        <v>15</v>
      </c>
      <c r="F1763" s="16">
        <f>VLOOKUP(C1763,[1]master_data!$A$2:$E$495,3,FALSE)</f>
        <v>5000</v>
      </c>
      <c r="G1763" s="16">
        <f>VLOOKUP(C1763,[1]master_data!$A$2:$E$495,4,FALSE)</f>
        <v>10000</v>
      </c>
      <c r="H1763" s="16">
        <f>E1763*F1763</f>
        <v>75000</v>
      </c>
      <c r="I1763" s="16">
        <f>E1763*G1763</f>
        <v>150000</v>
      </c>
      <c r="J1763" s="16">
        <f>I1763-H1763</f>
        <v>75000</v>
      </c>
      <c r="K1763" s="16" t="str">
        <f>VLOOKUP(C1763,[1]master_data!$A$2:$E$495,5,FALSE)</f>
        <v>Aksesoris</v>
      </c>
      <c r="L1763" s="1"/>
    </row>
    <row r="1764" spans="1:12" ht="12" customHeight="1" x14ac:dyDescent="0.25">
      <c r="A1764" s="15">
        <v>44208</v>
      </c>
      <c r="B1764" s="16" t="s">
        <v>440</v>
      </c>
      <c r="C1764" s="16" t="s">
        <v>370</v>
      </c>
      <c r="D1764" s="16" t="str">
        <f>VLOOKUP(C1764,[1]master_data!$A$2:$E$495,2,FALSE)</f>
        <v>ZEBRA HIJAU</v>
      </c>
      <c r="E1764" s="16">
        <v>20</v>
      </c>
      <c r="F1764" s="16">
        <f>VLOOKUP(C1764,[1]master_data!$A$2:$E$495,3,FALSE)</f>
        <v>800</v>
      </c>
      <c r="G1764" s="16">
        <f>VLOOKUP(C1764,[1]master_data!$A$2:$E$495,4,FALSE)</f>
        <v>2000</v>
      </c>
      <c r="H1764" s="16">
        <f>E1764*F1764</f>
        <v>16000</v>
      </c>
      <c r="I1764" s="16">
        <f>E1764*G1764</f>
        <v>40000</v>
      </c>
      <c r="J1764" s="16">
        <f>I1764-H1764</f>
        <v>24000</v>
      </c>
      <c r="K1764" s="16" t="str">
        <f>VLOOKUP(C1764,[1]master_data!$A$2:$E$495,5,FALSE)</f>
        <v>Ikan</v>
      </c>
      <c r="L1764" s="1"/>
    </row>
    <row r="1765" spans="1:12" ht="12" customHeight="1" x14ac:dyDescent="0.25">
      <c r="A1765" s="15">
        <v>44208</v>
      </c>
      <c r="B1765" s="16" t="s">
        <v>441</v>
      </c>
      <c r="C1765" s="16" t="s">
        <v>151</v>
      </c>
      <c r="D1765" s="16" t="str">
        <f>VLOOKUP(C1765,[1]master_data!$A$2:$E$495,2,FALSE)</f>
        <v>LED HIRO 20 CM</v>
      </c>
      <c r="E1765" s="16">
        <v>1</v>
      </c>
      <c r="F1765" s="16">
        <f>VLOOKUP(C1765,[1]master_data!$A$2:$E$495,3,FALSE)</f>
        <v>17000</v>
      </c>
      <c r="G1765" s="16">
        <f>VLOOKUP(C1765,[1]master_data!$A$2:$E$495,4,FALSE)</f>
        <v>25000</v>
      </c>
      <c r="H1765" s="16">
        <f>E1765*F1765</f>
        <v>17000</v>
      </c>
      <c r="I1765" s="16">
        <f>E1765*G1765</f>
        <v>25000</v>
      </c>
      <c r="J1765" s="16">
        <f>I1765-H1765</f>
        <v>8000</v>
      </c>
      <c r="K1765" s="16" t="str">
        <f>VLOOKUP(C1765,[1]master_data!$A$2:$E$495,5,FALSE)</f>
        <v>Aksesoris</v>
      </c>
      <c r="L1765" s="1"/>
    </row>
    <row r="1766" spans="1:12" ht="12" customHeight="1" x14ac:dyDescent="0.25">
      <c r="A1766" s="15">
        <v>44208</v>
      </c>
      <c r="B1766" s="16" t="s">
        <v>442</v>
      </c>
      <c r="C1766" s="16" t="s">
        <v>359</v>
      </c>
      <c r="D1766" s="16" t="str">
        <f>VLOOKUP(C1766,[1]master_data!$A$2:$E$495,2,FALSE)</f>
        <v>REDFIN ALBINO</v>
      </c>
      <c r="E1766" s="16">
        <v>10</v>
      </c>
      <c r="F1766" s="16">
        <f>VLOOKUP(C1766,[1]master_data!$A$2:$E$495,3,FALSE)</f>
        <v>1500</v>
      </c>
      <c r="G1766" s="16">
        <f>VLOOKUP(C1766,[1]master_data!$A$2:$E$495,4,FALSE)</f>
        <v>4000</v>
      </c>
      <c r="H1766" s="16">
        <f>E1766*F1766</f>
        <v>15000</v>
      </c>
      <c r="I1766" s="16">
        <f>E1766*G1766</f>
        <v>40000</v>
      </c>
      <c r="J1766" s="16">
        <f>I1766-H1766</f>
        <v>25000</v>
      </c>
      <c r="K1766" s="16" t="str">
        <f>VLOOKUP(C1766,[1]master_data!$A$2:$E$495,5,FALSE)</f>
        <v>Ikan</v>
      </c>
      <c r="L1766" s="1"/>
    </row>
    <row r="1767" spans="1:12" ht="12" customHeight="1" x14ac:dyDescent="0.25">
      <c r="A1767" s="15">
        <v>44208</v>
      </c>
      <c r="B1767" s="16" t="s">
        <v>443</v>
      </c>
      <c r="C1767" s="16" t="s">
        <v>58</v>
      </c>
      <c r="D1767" s="16" t="str">
        <f>VLOOKUP(C1767,[1]master_data!$A$2:$E$495,2,FALSE)</f>
        <v>MESIN KANDILA 1200</v>
      </c>
      <c r="E1767" s="16">
        <v>5</v>
      </c>
      <c r="F1767" s="16">
        <f>VLOOKUP(C1767,[1]master_data!$A$2:$E$495,3,FALSE)</f>
        <v>19000</v>
      </c>
      <c r="G1767" s="16">
        <f>VLOOKUP(C1767,[1]master_data!$A$2:$E$495,4,FALSE)</f>
        <v>30000</v>
      </c>
      <c r="H1767" s="16">
        <f>E1767*F1767</f>
        <v>95000</v>
      </c>
      <c r="I1767" s="16">
        <f>E1767*G1767</f>
        <v>150000</v>
      </c>
      <c r="J1767" s="16">
        <f>I1767-H1767</f>
        <v>55000</v>
      </c>
      <c r="K1767" s="16" t="str">
        <f>VLOOKUP(C1767,[1]master_data!$A$2:$E$495,5,FALSE)</f>
        <v>Aksesoris</v>
      </c>
      <c r="L1767" s="1"/>
    </row>
    <row r="1768" spans="1:12" ht="12" customHeight="1" x14ac:dyDescent="0.25">
      <c r="A1768" s="15">
        <v>44208</v>
      </c>
      <c r="B1768" s="16" t="s">
        <v>444</v>
      </c>
      <c r="C1768" s="16" t="s">
        <v>340</v>
      </c>
      <c r="D1768" s="16" t="str">
        <f>VLOOKUP(C1768,[1]master_data!$A$2:$E$495,2,FALSE)</f>
        <v>LEMON</v>
      </c>
      <c r="E1768" s="16">
        <v>10</v>
      </c>
      <c r="F1768" s="16">
        <f>VLOOKUP(C1768,[1]master_data!$A$2:$E$495,3,FALSE)</f>
        <v>1000</v>
      </c>
      <c r="G1768" s="16">
        <f>VLOOKUP(C1768,[1]master_data!$A$2:$E$495,4,FALSE)</f>
        <v>2000</v>
      </c>
      <c r="H1768" s="16">
        <f>E1768*F1768</f>
        <v>10000</v>
      </c>
      <c r="I1768" s="16">
        <f>E1768*G1768</f>
        <v>20000</v>
      </c>
      <c r="J1768" s="16">
        <f>I1768-H1768</f>
        <v>10000</v>
      </c>
      <c r="K1768" s="16" t="str">
        <f>VLOOKUP(C1768,[1]master_data!$A$2:$E$495,5,FALSE)</f>
        <v>Ikan</v>
      </c>
      <c r="L1768" s="1"/>
    </row>
    <row r="1769" spans="1:12" ht="12" customHeight="1" x14ac:dyDescent="0.25">
      <c r="A1769" s="15">
        <v>44208</v>
      </c>
      <c r="B1769" s="16" t="s">
        <v>445</v>
      </c>
      <c r="C1769" s="16" t="s">
        <v>350</v>
      </c>
      <c r="D1769" s="16" t="str">
        <f>VLOOKUP(C1769,[1]master_data!$A$2:$E$495,2,FALSE)</f>
        <v>NENTINEN</v>
      </c>
      <c r="E1769" s="16">
        <v>16</v>
      </c>
      <c r="F1769" s="16">
        <f>VLOOKUP(C1769,[1]master_data!$A$2:$E$495,3,FALSE)</f>
        <v>1000</v>
      </c>
      <c r="G1769" s="16">
        <f>VLOOKUP(C1769,[1]master_data!$A$2:$E$495,4,FALSE)</f>
        <v>2500</v>
      </c>
      <c r="H1769" s="16">
        <f>E1769*F1769</f>
        <v>16000</v>
      </c>
      <c r="I1769" s="16">
        <f>E1769*G1769</f>
        <v>40000</v>
      </c>
      <c r="J1769" s="16">
        <f>I1769-H1769</f>
        <v>24000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44207</v>
      </c>
      <c r="B1770" s="16" t="s">
        <v>432</v>
      </c>
      <c r="C1770" s="16" t="s">
        <v>60</v>
      </c>
      <c r="D1770" s="16" t="str">
        <f>VLOOKUP(C1770,[1]master_data!$A$2:$E$495,2,FALSE)</f>
        <v>MESIN SUSUN 3800</v>
      </c>
      <c r="E1770" s="16">
        <v>2</v>
      </c>
      <c r="F1770" s="16">
        <f>VLOOKUP(C1770,[1]master_data!$A$2:$E$495,3,FALSE)</f>
        <v>523000</v>
      </c>
      <c r="G1770" s="16">
        <f>VLOOKUP(C1770,[1]master_data!$A$2:$E$495,4,FALSE)</f>
        <v>600000</v>
      </c>
      <c r="H1770" s="16">
        <f>E1770*F1770</f>
        <v>1046000</v>
      </c>
      <c r="I1770" s="16">
        <f>E1770*G1770</f>
        <v>1200000</v>
      </c>
      <c r="J1770" s="16">
        <f>I1770-H1770</f>
        <v>154000</v>
      </c>
      <c r="K1770" s="16" t="str">
        <f>VLOOKUP(C1770,[1]master_data!$A$2:$E$495,5,FALSE)</f>
        <v>Aksesoris</v>
      </c>
      <c r="L1770" s="1"/>
    </row>
    <row r="1771" spans="1:12" ht="12" customHeight="1" x14ac:dyDescent="0.25">
      <c r="A1771" s="15">
        <v>44207</v>
      </c>
      <c r="B1771" s="16" t="s">
        <v>433</v>
      </c>
      <c r="C1771" s="16" t="s">
        <v>269</v>
      </c>
      <c r="D1771" s="16" t="str">
        <f>VLOOKUP(C1771,[1]master_data!$A$2:$E$495,2,FALSE)</f>
        <v>KUTUB LAS</v>
      </c>
      <c r="E1771" s="16">
        <v>2</v>
      </c>
      <c r="F1771" s="16">
        <f>VLOOKUP(C1771,[1]master_data!$A$2:$E$495,3,FALSE)</f>
        <v>15000</v>
      </c>
      <c r="G1771" s="16">
        <f>VLOOKUP(C1771,[1]master_data!$A$2:$E$495,4,FALSE)</f>
        <v>25000</v>
      </c>
      <c r="H1771" s="16">
        <f>E1771*F1771</f>
        <v>30000</v>
      </c>
      <c r="I1771" s="16">
        <f>E1771*G1771</f>
        <v>50000</v>
      </c>
      <c r="J1771" s="16">
        <f>I1771-H1771</f>
        <v>20000</v>
      </c>
      <c r="K1771" s="16" t="str">
        <f>VLOOKUP(C1771,[1]master_data!$A$2:$E$495,5,FALSE)</f>
        <v>Aksesoris</v>
      </c>
      <c r="L1771" s="1"/>
    </row>
    <row r="1772" spans="1:12" ht="12" customHeight="1" x14ac:dyDescent="0.25">
      <c r="A1772" s="15">
        <v>44207</v>
      </c>
      <c r="B1772" s="16" t="s">
        <v>434</v>
      </c>
      <c r="C1772" s="16" t="s">
        <v>197</v>
      </c>
      <c r="D1772" s="16" t="str">
        <f>VLOOKUP(C1772,[1]master_data!$A$2:$E$495,2,FALSE)</f>
        <v>AIRSTONE BAKSO B</v>
      </c>
      <c r="E1772" s="16">
        <v>1</v>
      </c>
      <c r="F1772" s="16">
        <f>VLOOKUP(C1772,[1]master_data!$A$2:$E$495,3,FALSE)</f>
        <v>7700</v>
      </c>
      <c r="G1772" s="16">
        <f>VLOOKUP(C1772,[1]master_data!$A$2:$E$495,4,FALSE)</f>
        <v>10000</v>
      </c>
      <c r="H1772" s="16">
        <f>E1772*F1772</f>
        <v>7700</v>
      </c>
      <c r="I1772" s="16">
        <f>E1772*G1772</f>
        <v>10000</v>
      </c>
      <c r="J1772" s="16">
        <f>I1772-H1772</f>
        <v>2300</v>
      </c>
      <c r="K1772" s="16" t="str">
        <f>VLOOKUP(C1772,[1]master_data!$A$2:$E$495,5,FALSE)</f>
        <v>Aksesoris</v>
      </c>
      <c r="L1772" s="1"/>
    </row>
    <row r="1773" spans="1:12" ht="12" customHeight="1" x14ac:dyDescent="0.25">
      <c r="A1773" s="15">
        <v>44207</v>
      </c>
      <c r="B1773" s="16" t="s">
        <v>435</v>
      </c>
      <c r="C1773" s="16" t="s">
        <v>243</v>
      </c>
      <c r="D1773" s="16" t="str">
        <f>VLOOKUP(C1773,[1]master_data!$A$2:$E$495,2,FALSE)</f>
        <v>QUICK FILTER</v>
      </c>
      <c r="E1773" s="16">
        <v>1</v>
      </c>
      <c r="F1773" s="16">
        <f>VLOOKUP(C1773,[1]master_data!$A$2:$E$495,3,FALSE)</f>
        <v>12000</v>
      </c>
      <c r="G1773" s="16">
        <f>VLOOKUP(C1773,[1]master_data!$A$2:$E$495,4,FALSE)</f>
        <v>20000</v>
      </c>
      <c r="H1773" s="16">
        <f>E1773*F1773</f>
        <v>12000</v>
      </c>
      <c r="I1773" s="16">
        <f>E1773*G1773</f>
        <v>20000</v>
      </c>
      <c r="J1773" s="16">
        <f>I1773-H1773</f>
        <v>8000</v>
      </c>
      <c r="K1773" s="16" t="str">
        <f>VLOOKUP(C1773,[1]master_data!$A$2:$E$495,5,FALSE)</f>
        <v>Aksesoris</v>
      </c>
      <c r="L1773" s="1"/>
    </row>
    <row r="1774" spans="1:12" ht="12" customHeight="1" x14ac:dyDescent="0.25">
      <c r="A1774" s="15">
        <v>44207</v>
      </c>
      <c r="B1774" s="16" t="s">
        <v>436</v>
      </c>
      <c r="C1774" s="16" t="s">
        <v>161</v>
      </c>
      <c r="D1774" s="16" t="str">
        <f>VLOOKUP(C1774,[1]master_data!$A$2:$E$495,2,FALSE)</f>
        <v>LED KANDILA PRO RED ECO 80 CM</v>
      </c>
      <c r="E1774" s="16">
        <v>1</v>
      </c>
      <c r="F1774" s="16">
        <f>VLOOKUP(C1774,[1]master_data!$A$2:$E$495,3,FALSE)</f>
        <v>71000</v>
      </c>
      <c r="G1774" s="16">
        <f>VLOOKUP(C1774,[1]master_data!$A$2:$E$495,4,FALSE)</f>
        <v>95000</v>
      </c>
      <c r="H1774" s="16">
        <f>E1774*F1774</f>
        <v>71000</v>
      </c>
      <c r="I1774" s="16">
        <f>E1774*G1774</f>
        <v>95000</v>
      </c>
      <c r="J1774" s="16">
        <f>I1774-H1774</f>
        <v>24000</v>
      </c>
      <c r="K1774" s="16" t="str">
        <f>VLOOKUP(C1774,[1]master_data!$A$2:$E$495,5,FALSE)</f>
        <v>Aksesoris</v>
      </c>
      <c r="L1774" s="1"/>
    </row>
    <row r="1775" spans="1:12" ht="12" customHeight="1" x14ac:dyDescent="0.25">
      <c r="A1775" s="15">
        <v>44207</v>
      </c>
      <c r="B1775" s="16" t="s">
        <v>437</v>
      </c>
      <c r="C1775" s="16" t="s">
        <v>46</v>
      </c>
      <c r="D1775" s="16" t="str">
        <f>VLOOKUP(C1775,[1]master_data!$A$2:$E$495,2,FALSE)</f>
        <v>MESIN NIKITA WAVE MAKER M7</v>
      </c>
      <c r="E1775" s="16">
        <v>1</v>
      </c>
      <c r="F1775" s="16">
        <f>VLOOKUP(C1775,[1]master_data!$A$2:$E$495,3,FALSE)</f>
        <v>101500</v>
      </c>
      <c r="G1775" s="16">
        <f>VLOOKUP(C1775,[1]master_data!$A$2:$E$495,4,FALSE)</f>
        <v>135000</v>
      </c>
      <c r="H1775" s="16">
        <f>E1775*F1775</f>
        <v>101500</v>
      </c>
      <c r="I1775" s="16">
        <f>E1775*G1775</f>
        <v>135000</v>
      </c>
      <c r="J1775" s="16">
        <f>I1775-H1775</f>
        <v>33500</v>
      </c>
      <c r="K1775" s="16" t="str">
        <f>VLOOKUP(C1775,[1]master_data!$A$2:$E$495,5,FALSE)</f>
        <v>Aksesoris</v>
      </c>
      <c r="L1775" s="1"/>
    </row>
    <row r="1776" spans="1:12" ht="12" customHeight="1" x14ac:dyDescent="0.25">
      <c r="A1776" s="15">
        <v>44206</v>
      </c>
      <c r="B1776" s="16" t="s">
        <v>430</v>
      </c>
      <c r="C1776" s="16" t="s">
        <v>315</v>
      </c>
      <c r="D1776" s="16" t="str">
        <f>VLOOKUP(C1776,[1]master_data!$A$2:$E$495,2,FALSE)</f>
        <v>BLACK GHOST</v>
      </c>
      <c r="E1776" s="16">
        <v>30</v>
      </c>
      <c r="F1776" s="16">
        <f>VLOOKUP(C1776,[1]master_data!$A$2:$E$495,3,FALSE)</f>
        <v>4000</v>
      </c>
      <c r="G1776" s="16">
        <f>VLOOKUP(C1776,[1]master_data!$A$2:$E$495,4,FALSE)</f>
        <v>10000</v>
      </c>
      <c r="H1776" s="16">
        <f>E1776*F1776</f>
        <v>120000</v>
      </c>
      <c r="I1776" s="16">
        <f>E1776*G1776</f>
        <v>300000</v>
      </c>
      <c r="J1776" s="16">
        <f>I1776-H1776</f>
        <v>180000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44206</v>
      </c>
      <c r="B1777" s="16" t="s">
        <v>431</v>
      </c>
      <c r="C1777" s="16" t="s">
        <v>235</v>
      </c>
      <c r="D1777" s="16" t="str">
        <f>VLOOKUP(C1777,[1]master_data!$A$2:$E$495,2,FALSE)</f>
        <v>MAGNET M</v>
      </c>
      <c r="E1777" s="16">
        <v>2</v>
      </c>
      <c r="F1777" s="16">
        <f>VLOOKUP(C1777,[1]master_data!$A$2:$E$495,3,FALSE)</f>
        <v>36000</v>
      </c>
      <c r="G1777" s="16">
        <f>VLOOKUP(C1777,[1]master_data!$A$2:$E$495,4,FALSE)</f>
        <v>50000</v>
      </c>
      <c r="H1777" s="16">
        <f>E1777*F1777</f>
        <v>72000</v>
      </c>
      <c r="I1777" s="16">
        <f>E1777*G1777</f>
        <v>100000</v>
      </c>
      <c r="J1777" s="16">
        <f>I1777-H1777</f>
        <v>28000</v>
      </c>
      <c r="K1777" s="16" t="str">
        <f>VLOOKUP(C1777,[1]master_data!$A$2:$E$495,5,FALSE)</f>
        <v>Aksesoris</v>
      </c>
      <c r="L1777" s="1"/>
    </row>
    <row r="1778" spans="1:12" ht="12" customHeight="1" x14ac:dyDescent="0.25">
      <c r="A1778" s="15">
        <v>44205</v>
      </c>
      <c r="B1778" s="16" t="s">
        <v>427</v>
      </c>
      <c r="C1778" s="16" t="s">
        <v>329</v>
      </c>
      <c r="D1778" s="16" t="str">
        <f>VLOOKUP(C1778,[1]master_data!$A$2:$E$495,2,FALSE)</f>
        <v>KOI K</v>
      </c>
      <c r="E1778" s="16">
        <v>25</v>
      </c>
      <c r="F1778" s="16">
        <f>VLOOKUP(C1778,[1]master_data!$A$2:$E$495,3,FALSE)</f>
        <v>2500</v>
      </c>
      <c r="G1778" s="16">
        <f>VLOOKUP(C1778,[1]master_data!$A$2:$E$495,4,FALSE)</f>
        <v>10000</v>
      </c>
      <c r="H1778" s="16">
        <f>E1778*F1778</f>
        <v>62500</v>
      </c>
      <c r="I1778" s="16">
        <f>E1778*G1778</f>
        <v>250000</v>
      </c>
      <c r="J1778" s="16">
        <f>I1778-H1778</f>
        <v>187500</v>
      </c>
      <c r="K1778" s="16" t="str">
        <f>VLOOKUP(C1778,[1]master_data!$A$2:$E$495,5,FALSE)</f>
        <v>Ikan</v>
      </c>
      <c r="L1778" s="1"/>
    </row>
    <row r="1779" spans="1:12" ht="12" customHeight="1" x14ac:dyDescent="0.25">
      <c r="A1779" s="15">
        <v>44205</v>
      </c>
      <c r="B1779" s="16" t="s">
        <v>428</v>
      </c>
      <c r="C1779" s="16" t="s">
        <v>104</v>
      </c>
      <c r="D1779" s="16" t="str">
        <f>VLOOKUP(C1779,[1]master_data!$A$2:$E$495,2,FALSE)</f>
        <v>LAMPU YAMANO UV 7W</v>
      </c>
      <c r="E1779" s="16">
        <v>1</v>
      </c>
      <c r="F1779" s="16">
        <f>VLOOKUP(C1779,[1]master_data!$A$2:$E$495,3,FALSE)</f>
        <v>63000</v>
      </c>
      <c r="G1779" s="16">
        <f>VLOOKUP(C1779,[1]master_data!$A$2:$E$495,4,FALSE)</f>
        <v>80000</v>
      </c>
      <c r="H1779" s="16">
        <f>E1779*F1779</f>
        <v>63000</v>
      </c>
      <c r="I1779" s="16">
        <f>E1779*G1779</f>
        <v>80000</v>
      </c>
      <c r="J1779" s="16">
        <f>I1779-H1779</f>
        <v>17000</v>
      </c>
      <c r="K1779" s="16" t="str">
        <f>VLOOKUP(C1779,[1]master_data!$A$2:$E$495,5,FALSE)</f>
        <v>Aksesoris</v>
      </c>
      <c r="L1779" s="1"/>
    </row>
    <row r="1780" spans="1:12" ht="12" customHeight="1" x14ac:dyDescent="0.25">
      <c r="A1780" s="15">
        <v>44205</v>
      </c>
      <c r="B1780" s="16" t="s">
        <v>429</v>
      </c>
      <c r="C1780" s="16" t="s">
        <v>295</v>
      </c>
      <c r="D1780" s="16" t="str">
        <f>VLOOKUP(C1780,[1]master_data!$A$2:$E$495,2,FALSE)</f>
        <v>PASIR BALI</v>
      </c>
      <c r="E1780" s="16">
        <v>2</v>
      </c>
      <c r="F1780" s="16">
        <f>VLOOKUP(C1780,[1]master_data!$A$2:$E$495,3,FALSE)</f>
        <v>5000</v>
      </c>
      <c r="G1780" s="16">
        <f>VLOOKUP(C1780,[1]master_data!$A$2:$E$495,4,FALSE)</f>
        <v>10000</v>
      </c>
      <c r="H1780" s="16">
        <f>E1780*F1780</f>
        <v>10000</v>
      </c>
      <c r="I1780" s="16">
        <f>E1780*G1780</f>
        <v>20000</v>
      </c>
      <c r="J1780" s="16">
        <f>I1780-H1780</f>
        <v>10000</v>
      </c>
      <c r="K1780" s="16" t="str">
        <f>VLOOKUP(C1780,[1]master_data!$A$2:$E$495,5,FALSE)</f>
        <v>Aksesoris</v>
      </c>
      <c r="L1780" s="1"/>
    </row>
    <row r="1781" spans="1:12" ht="12" customHeight="1" x14ac:dyDescent="0.25">
      <c r="A1781" s="15">
        <v>44204</v>
      </c>
      <c r="B1781" s="16" t="s">
        <v>423</v>
      </c>
      <c r="C1781" s="16" t="s">
        <v>360</v>
      </c>
      <c r="D1781" s="16" t="str">
        <f>VLOOKUP(C1781,[1]master_data!$A$2:$E$495,2,FALSE)</f>
        <v xml:space="preserve"> CHANNA RED BARITO K</v>
      </c>
      <c r="E1781" s="16">
        <v>2</v>
      </c>
      <c r="F1781" s="16">
        <f>VLOOKUP(C1781,[1]master_data!$A$2:$E$495,3,FALSE)</f>
        <v>45000</v>
      </c>
      <c r="G1781" s="16">
        <f>VLOOKUP(C1781,[1]master_data!$A$2:$E$495,4,FALSE)</f>
        <v>100000</v>
      </c>
      <c r="H1781" s="16">
        <f>E1781*F1781</f>
        <v>90000</v>
      </c>
      <c r="I1781" s="16">
        <f>E1781*G1781</f>
        <v>200000</v>
      </c>
      <c r="J1781" s="16">
        <f>I1781-H1781</f>
        <v>110000</v>
      </c>
      <c r="K1781" s="16" t="str">
        <f>VLOOKUP(C1781,[1]master_data!$A$2:$E$495,5,FALSE)</f>
        <v>Ikan</v>
      </c>
      <c r="L1781" s="1"/>
    </row>
    <row r="1782" spans="1:12" ht="12" customHeight="1" x14ac:dyDescent="0.25">
      <c r="A1782" s="15">
        <v>44204</v>
      </c>
      <c r="B1782" s="16" t="s">
        <v>424</v>
      </c>
      <c r="C1782" s="16" t="s">
        <v>372</v>
      </c>
      <c r="D1782" s="16" t="str">
        <f>VLOOKUP(C1782,[1]master_data!$A$2:$E$495,2,FALSE)</f>
        <v>ZEBRA KUNING</v>
      </c>
      <c r="E1782" s="16">
        <v>20</v>
      </c>
      <c r="F1782" s="16">
        <f>VLOOKUP(C1782,[1]master_data!$A$2:$E$495,3,FALSE)</f>
        <v>800</v>
      </c>
      <c r="G1782" s="16">
        <f>VLOOKUP(C1782,[1]master_data!$A$2:$E$495,4,FALSE)</f>
        <v>2000</v>
      </c>
      <c r="H1782" s="16">
        <f>E1782*F1782</f>
        <v>16000</v>
      </c>
      <c r="I1782" s="16">
        <f>E1782*G1782</f>
        <v>40000</v>
      </c>
      <c r="J1782" s="16">
        <f>I1782-H1782</f>
        <v>24000</v>
      </c>
      <c r="K1782" s="16" t="str">
        <f>VLOOKUP(C1782,[1]master_data!$A$2:$E$495,5,FALSE)</f>
        <v>Ikan</v>
      </c>
      <c r="L1782" s="1"/>
    </row>
    <row r="1783" spans="1:12" ht="12" customHeight="1" x14ac:dyDescent="0.25">
      <c r="A1783" s="15">
        <v>44204</v>
      </c>
      <c r="B1783" s="16" t="s">
        <v>425</v>
      </c>
      <c r="C1783" s="16" t="s">
        <v>335</v>
      </c>
      <c r="D1783" s="16" t="str">
        <f>VLOOKUP(C1783,[1]master_data!$A$2:$E$495,2,FALSE)</f>
        <v>KOMET SLAYER</v>
      </c>
      <c r="E1783" s="16">
        <v>17</v>
      </c>
      <c r="F1783" s="16">
        <f>VLOOKUP(C1783,[1]master_data!$A$2:$E$495,3,FALSE)</f>
        <v>2000</v>
      </c>
      <c r="G1783" s="16">
        <f>VLOOKUP(C1783,[1]master_data!$A$2:$E$495,4,FALSE)</f>
        <v>5000</v>
      </c>
      <c r="H1783" s="16">
        <f>E1783*F1783</f>
        <v>34000</v>
      </c>
      <c r="I1783" s="16">
        <f>E1783*G1783</f>
        <v>85000</v>
      </c>
      <c r="J1783" s="16">
        <f>I1783-H1783</f>
        <v>51000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44204</v>
      </c>
      <c r="B1784" s="16" t="s">
        <v>426</v>
      </c>
      <c r="C1784" s="16" t="s">
        <v>362</v>
      </c>
      <c r="D1784" s="16" t="str">
        <f>VLOOKUP(C1784,[1]master_data!$A$2:$E$495,2,FALSE)</f>
        <v>SUMATRA BIASA</v>
      </c>
      <c r="E1784" s="16">
        <v>25</v>
      </c>
      <c r="F1784" s="16">
        <f>VLOOKUP(C1784,[1]master_data!$A$2:$E$495,3,FALSE)</f>
        <v>800</v>
      </c>
      <c r="G1784" s="16">
        <f>VLOOKUP(C1784,[1]master_data!$A$2:$E$495,4,FALSE)</f>
        <v>2000</v>
      </c>
      <c r="H1784" s="16">
        <f>E1784*F1784</f>
        <v>20000</v>
      </c>
      <c r="I1784" s="16">
        <f>E1784*G1784</f>
        <v>50000</v>
      </c>
      <c r="J1784" s="16">
        <f>I1784-H1784</f>
        <v>30000</v>
      </c>
      <c r="K1784" s="16" t="str">
        <f>VLOOKUP(C1784,[1]master_data!$A$2:$E$495,5,FALSE)</f>
        <v>Ikan</v>
      </c>
      <c r="L1784" s="1"/>
    </row>
    <row r="1785" spans="1:12" ht="12" customHeight="1" x14ac:dyDescent="0.25">
      <c r="A1785" s="15">
        <v>44203</v>
      </c>
      <c r="B1785" s="16" t="s">
        <v>416</v>
      </c>
      <c r="C1785" s="16" t="s">
        <v>318</v>
      </c>
      <c r="D1785" s="16" t="str">
        <f>VLOOKUP(C1785,[1]master_data!$A$2:$E$495,2,FALSE)</f>
        <v>KOMET BOKIM</v>
      </c>
      <c r="E1785" s="16">
        <v>45</v>
      </c>
      <c r="F1785" s="16">
        <f>VLOOKUP(C1785,[1]master_data!$A$2:$E$495,3,FALSE)</f>
        <v>1500</v>
      </c>
      <c r="G1785" s="16">
        <f>VLOOKUP(C1785,[1]master_data!$A$2:$E$495,4,FALSE)</f>
        <v>5000</v>
      </c>
      <c r="H1785" s="16">
        <f>E1785*F1785</f>
        <v>67500</v>
      </c>
      <c r="I1785" s="16">
        <f>E1785*G1785</f>
        <v>225000</v>
      </c>
      <c r="J1785" s="16">
        <f>I1785-H1785</f>
        <v>157500</v>
      </c>
      <c r="K1785" s="16" t="str">
        <f>VLOOKUP(C1785,[1]master_data!$A$2:$E$495,5,FALSE)</f>
        <v>Ikan</v>
      </c>
      <c r="L1785" s="1"/>
    </row>
    <row r="1786" spans="1:12" ht="12" customHeight="1" x14ac:dyDescent="0.25">
      <c r="A1786" s="15">
        <v>44203</v>
      </c>
      <c r="B1786" s="16" t="s">
        <v>417</v>
      </c>
      <c r="C1786" s="16" t="s">
        <v>318</v>
      </c>
      <c r="D1786" s="16" t="str">
        <f>VLOOKUP(C1786,[1]master_data!$A$2:$E$495,2,FALSE)</f>
        <v>KOMET BOKIM</v>
      </c>
      <c r="E1786" s="16">
        <v>30</v>
      </c>
      <c r="F1786" s="16">
        <f>VLOOKUP(C1786,[1]master_data!$A$2:$E$495,3,FALSE)</f>
        <v>1500</v>
      </c>
      <c r="G1786" s="16">
        <f>VLOOKUP(C1786,[1]master_data!$A$2:$E$495,4,FALSE)</f>
        <v>5000</v>
      </c>
      <c r="H1786" s="16">
        <f>E1786*F1786</f>
        <v>45000</v>
      </c>
      <c r="I1786" s="16">
        <f>E1786*G1786</f>
        <v>150000</v>
      </c>
      <c r="J1786" s="16">
        <f>I1786-H1786</f>
        <v>105000</v>
      </c>
      <c r="K1786" s="16" t="str">
        <f>VLOOKUP(C1786,[1]master_data!$A$2:$E$495,5,FALSE)</f>
        <v>Ikan</v>
      </c>
      <c r="L1786" s="1"/>
    </row>
    <row r="1787" spans="1:12" ht="12" customHeight="1" x14ac:dyDescent="0.25">
      <c r="A1787" s="15">
        <v>44203</v>
      </c>
      <c r="B1787" s="16" t="s">
        <v>418</v>
      </c>
      <c r="C1787" s="16" t="s">
        <v>370</v>
      </c>
      <c r="D1787" s="16" t="str">
        <f>VLOOKUP(C1787,[1]master_data!$A$2:$E$495,2,FALSE)</f>
        <v>ZEBRA HIJAU</v>
      </c>
      <c r="E1787" s="16">
        <v>10</v>
      </c>
      <c r="F1787" s="16">
        <f>VLOOKUP(C1787,[1]master_data!$A$2:$E$495,3,FALSE)</f>
        <v>800</v>
      </c>
      <c r="G1787" s="16">
        <f>VLOOKUP(C1787,[1]master_data!$A$2:$E$495,4,FALSE)</f>
        <v>2000</v>
      </c>
      <c r="H1787" s="16">
        <f>E1787*F1787</f>
        <v>8000</v>
      </c>
      <c r="I1787" s="16">
        <f>E1787*G1787</f>
        <v>20000</v>
      </c>
      <c r="J1787" s="16">
        <f>I1787-H1787</f>
        <v>12000</v>
      </c>
      <c r="K1787" s="16" t="str">
        <f>VLOOKUP(C1787,[1]master_data!$A$2:$E$495,5,FALSE)</f>
        <v>Ikan</v>
      </c>
      <c r="L1787" s="1"/>
    </row>
    <row r="1788" spans="1:12" ht="12" customHeight="1" x14ac:dyDescent="0.25">
      <c r="A1788" s="15">
        <v>44203</v>
      </c>
      <c r="B1788" s="16" t="s">
        <v>419</v>
      </c>
      <c r="C1788" s="16" t="s">
        <v>9</v>
      </c>
      <c r="D1788" s="16" t="str">
        <f>VLOOKUP(C1788,[1]master_data!$A$2:$E$495,2,FALSE)</f>
        <v>TOP FILTER YANG 910</v>
      </c>
      <c r="E1788" s="16">
        <v>1</v>
      </c>
      <c r="F1788" s="16">
        <f>VLOOKUP(C1788,[1]master_data!$A$2:$E$495,3,FALSE)</f>
        <v>41000</v>
      </c>
      <c r="G1788" s="16">
        <f>VLOOKUP(C1788,[1]master_data!$A$2:$E$495,4,FALSE)</f>
        <v>65000</v>
      </c>
      <c r="H1788" s="16">
        <f>E1788*F1788</f>
        <v>41000</v>
      </c>
      <c r="I1788" s="16">
        <f>E1788*G1788</f>
        <v>65000</v>
      </c>
      <c r="J1788" s="16">
        <f>I1788-H1788</f>
        <v>24000</v>
      </c>
      <c r="K1788" s="16" t="str">
        <f>VLOOKUP(C1788,[1]master_data!$A$2:$E$495,5,FALSE)</f>
        <v>Aksesoris</v>
      </c>
      <c r="L1788" s="1"/>
    </row>
    <row r="1789" spans="1:12" ht="12" customHeight="1" x14ac:dyDescent="0.25">
      <c r="A1789" s="15">
        <v>44203</v>
      </c>
      <c r="B1789" s="16" t="s">
        <v>420</v>
      </c>
      <c r="C1789" s="16" t="s">
        <v>347</v>
      </c>
      <c r="D1789" s="16" t="str">
        <f>VLOOKUP(C1789,[1]master_data!$A$2:$E$495,2,FALSE)</f>
        <v>MOLI BALON</v>
      </c>
      <c r="E1789" s="16">
        <v>25</v>
      </c>
      <c r="F1789" s="16">
        <f>VLOOKUP(C1789,[1]master_data!$A$2:$E$495,3,FALSE)</f>
        <v>800</v>
      </c>
      <c r="G1789" s="16">
        <f>VLOOKUP(C1789,[1]master_data!$A$2:$E$495,4,FALSE)</f>
        <v>2000</v>
      </c>
      <c r="H1789" s="16">
        <f>E1789*F1789</f>
        <v>20000</v>
      </c>
      <c r="I1789" s="16">
        <f>E1789*G1789</f>
        <v>50000</v>
      </c>
      <c r="J1789" s="16">
        <f>I1789-H1789</f>
        <v>30000</v>
      </c>
      <c r="K1789" s="16" t="str">
        <f>VLOOKUP(C1789,[1]master_data!$A$2:$E$495,5,FALSE)</f>
        <v>Ikan</v>
      </c>
      <c r="L1789" s="1"/>
    </row>
    <row r="1790" spans="1:12" ht="12" customHeight="1" x14ac:dyDescent="0.25">
      <c r="A1790" s="15">
        <v>44203</v>
      </c>
      <c r="B1790" s="16" t="s">
        <v>421</v>
      </c>
      <c r="C1790" s="16" t="s">
        <v>283</v>
      </c>
      <c r="D1790" s="16" t="str">
        <f>VLOOKUP(C1790,[1]master_data!$A$2:$E$495,2,FALSE)</f>
        <v>TEMPAT KURA KURA</v>
      </c>
      <c r="E1790" s="16">
        <v>1</v>
      </c>
      <c r="F1790" s="16">
        <f>VLOOKUP(C1790,[1]master_data!$A$2:$E$495,3,FALSE)</f>
        <v>8500</v>
      </c>
      <c r="G1790" s="16">
        <f>VLOOKUP(C1790,[1]master_data!$A$2:$E$495,4,FALSE)</f>
        <v>15000</v>
      </c>
      <c r="H1790" s="16">
        <f>E1790*F1790</f>
        <v>8500</v>
      </c>
      <c r="I1790" s="16">
        <f>E1790*G1790</f>
        <v>15000</v>
      </c>
      <c r="J1790" s="16">
        <f>I1790-H1790</f>
        <v>6500</v>
      </c>
      <c r="K1790" s="16" t="str">
        <f>VLOOKUP(C1790,[1]master_data!$A$2:$E$495,5,FALSE)</f>
        <v>Aksesoris</v>
      </c>
      <c r="L1790" s="1"/>
    </row>
    <row r="1791" spans="1:12" ht="12" customHeight="1" x14ac:dyDescent="0.25">
      <c r="A1791" s="15">
        <v>44203</v>
      </c>
      <c r="B1791" s="16" t="s">
        <v>422</v>
      </c>
      <c r="C1791" s="16" t="s">
        <v>370</v>
      </c>
      <c r="D1791" s="16" t="str">
        <f>VLOOKUP(C1791,[1]master_data!$A$2:$E$495,2,FALSE)</f>
        <v>ZEBRA HIJAU</v>
      </c>
      <c r="E1791" s="16">
        <v>2</v>
      </c>
      <c r="F1791" s="16">
        <f>VLOOKUP(C1791,[1]master_data!$A$2:$E$495,3,FALSE)</f>
        <v>800</v>
      </c>
      <c r="G1791" s="16">
        <f>VLOOKUP(C1791,[1]master_data!$A$2:$E$495,4,FALSE)</f>
        <v>2000</v>
      </c>
      <c r="H1791" s="16">
        <f>E1791*F1791</f>
        <v>1600</v>
      </c>
      <c r="I1791" s="16">
        <f>E1791*G1791</f>
        <v>4000</v>
      </c>
      <c r="J1791" s="16">
        <f>I1791-H1791</f>
        <v>2400</v>
      </c>
      <c r="K1791" s="16" t="str">
        <f>VLOOKUP(C1791,[1]master_data!$A$2:$E$495,5,FALSE)</f>
        <v>Ikan</v>
      </c>
      <c r="L1791" s="1"/>
    </row>
    <row r="1792" spans="1:12" ht="12" customHeight="1" x14ac:dyDescent="0.25">
      <c r="A1792" s="15">
        <v>44202</v>
      </c>
      <c r="B1792" s="16" t="s">
        <v>409</v>
      </c>
      <c r="C1792" s="16" t="s">
        <v>324</v>
      </c>
      <c r="D1792" s="16" t="str">
        <f>VLOOKUP(C1792,[1]master_data!$A$2:$E$495,2,FALSE)</f>
        <v>GOLDEN BLACK</v>
      </c>
      <c r="E1792" s="16">
        <v>15</v>
      </c>
      <c r="F1792" s="16">
        <f>VLOOKUP(C1792,[1]master_data!$A$2:$E$495,3,FALSE)</f>
        <v>800</v>
      </c>
      <c r="G1792" s="16">
        <f>VLOOKUP(C1792,[1]master_data!$A$2:$E$495,4,FALSE)</f>
        <v>2000</v>
      </c>
      <c r="H1792" s="16">
        <f>E1792*F1792</f>
        <v>12000</v>
      </c>
      <c r="I1792" s="16">
        <f>E1792*G1792</f>
        <v>30000</v>
      </c>
      <c r="J1792" s="16">
        <f>I1792-H1792</f>
        <v>18000</v>
      </c>
      <c r="K1792" s="16" t="str">
        <f>VLOOKUP(C1792,[1]master_data!$A$2:$E$495,5,FALSE)</f>
        <v>Ikan</v>
      </c>
      <c r="L1792" s="1"/>
    </row>
    <row r="1793" spans="1:12" ht="12" customHeight="1" x14ac:dyDescent="0.25">
      <c r="A1793" s="15">
        <v>44202</v>
      </c>
      <c r="B1793" s="16" t="s">
        <v>410</v>
      </c>
      <c r="C1793" s="16" t="s">
        <v>363</v>
      </c>
      <c r="D1793" s="16" t="str">
        <f>VLOOKUP(C1793,[1]master_data!$A$2:$E$495,2,FALSE)</f>
        <v>SUMATRA GOLD FISH</v>
      </c>
      <c r="E1793" s="16">
        <v>10</v>
      </c>
      <c r="F1793" s="16">
        <f>VLOOKUP(C1793,[1]master_data!$A$2:$E$495,3,FALSE)</f>
        <v>2500</v>
      </c>
      <c r="G1793" s="16">
        <f>VLOOKUP(C1793,[1]master_data!$A$2:$E$495,4,FALSE)</f>
        <v>4000</v>
      </c>
      <c r="H1793" s="16">
        <f>E1793*F1793</f>
        <v>25000</v>
      </c>
      <c r="I1793" s="16">
        <f>E1793*G1793</f>
        <v>40000</v>
      </c>
      <c r="J1793" s="16">
        <f>I1793-H1793</f>
        <v>15000</v>
      </c>
      <c r="K1793" s="16" t="str">
        <f>VLOOKUP(C1793,[1]master_data!$A$2:$E$495,5,FALSE)</f>
        <v>Ikan</v>
      </c>
      <c r="L1793" s="1"/>
    </row>
    <row r="1794" spans="1:12" ht="12" customHeight="1" x14ac:dyDescent="0.25">
      <c r="A1794" s="15">
        <v>44202</v>
      </c>
      <c r="B1794" s="16" t="s">
        <v>411</v>
      </c>
      <c r="C1794" s="16" t="s">
        <v>346</v>
      </c>
      <c r="D1794" s="16" t="str">
        <f>VLOOKUP(C1794,[1]master_data!$A$2:$E$495,2,FALSE)</f>
        <v>MOLI PAKAN</v>
      </c>
      <c r="E1794" s="16">
        <v>20</v>
      </c>
      <c r="F1794" s="16">
        <f>VLOOKUP(C1794,[1]master_data!$A$2:$E$495,3,FALSE)</f>
        <v>100</v>
      </c>
      <c r="G1794" s="16">
        <f>VLOOKUP(C1794,[1]master_data!$A$2:$E$495,4,FALSE)</f>
        <v>200</v>
      </c>
      <c r="H1794" s="16">
        <f>E1794*F1794</f>
        <v>2000</v>
      </c>
      <c r="I1794" s="16">
        <f>E1794*G1794</f>
        <v>4000</v>
      </c>
      <c r="J1794" s="16">
        <f>I1794-H1794</f>
        <v>2000</v>
      </c>
      <c r="K1794" s="16" t="str">
        <f>VLOOKUP(C1794,[1]master_data!$A$2:$E$495,5,FALSE)</f>
        <v>Ikan</v>
      </c>
      <c r="L1794" s="1"/>
    </row>
    <row r="1795" spans="1:12" ht="12" customHeight="1" x14ac:dyDescent="0.25">
      <c r="A1795" s="15">
        <v>44202</v>
      </c>
      <c r="B1795" s="16" t="s">
        <v>412</v>
      </c>
      <c r="C1795" s="16" t="s">
        <v>332</v>
      </c>
      <c r="D1795" s="16" t="str">
        <f>VLOOKUP(C1795,[1]master_data!$A$2:$E$495,2,FALSE)</f>
        <v>KURA - KURA</v>
      </c>
      <c r="E1795" s="16">
        <v>10</v>
      </c>
      <c r="F1795" s="16">
        <f>VLOOKUP(C1795,[1]master_data!$A$2:$E$495,3,FALSE)</f>
        <v>25000</v>
      </c>
      <c r="G1795" s="16">
        <f>VLOOKUP(C1795,[1]master_data!$A$2:$E$495,4,FALSE)</f>
        <v>35000</v>
      </c>
      <c r="H1795" s="16">
        <f>E1795*F1795</f>
        <v>250000</v>
      </c>
      <c r="I1795" s="16">
        <f>E1795*G1795</f>
        <v>350000</v>
      </c>
      <c r="J1795" s="16">
        <f>I1795-H1795</f>
        <v>100000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44202</v>
      </c>
      <c r="B1796" s="16" t="s">
        <v>413</v>
      </c>
      <c r="C1796" s="16" t="s">
        <v>176</v>
      </c>
      <c r="D1796" s="16" t="str">
        <f>VLOOKUP(C1796,[1]master_data!$A$2:$E$495,2,FALSE)</f>
        <v>HIRO COLOUR</v>
      </c>
      <c r="E1796" s="16">
        <v>7</v>
      </c>
      <c r="F1796" s="16">
        <f>VLOOKUP(C1796,[1]master_data!$A$2:$E$495,3,FALSE)</f>
        <v>72000</v>
      </c>
      <c r="G1796" s="16">
        <f>VLOOKUP(C1796,[1]master_data!$A$2:$E$495,4,FALSE)</f>
        <v>80000</v>
      </c>
      <c r="H1796" s="16">
        <f>E1796*F1796</f>
        <v>504000</v>
      </c>
      <c r="I1796" s="16">
        <f>E1796*G1796</f>
        <v>560000</v>
      </c>
      <c r="J1796" s="16">
        <f>I1796-H1796</f>
        <v>56000</v>
      </c>
      <c r="K1796" s="16" t="str">
        <f>VLOOKUP(C1796,[1]master_data!$A$2:$E$495,5,FALSE)</f>
        <v>Aksesoris</v>
      </c>
      <c r="L1796" s="1"/>
    </row>
    <row r="1797" spans="1:12" ht="12" customHeight="1" x14ac:dyDescent="0.25">
      <c r="A1797" s="15">
        <v>44202</v>
      </c>
      <c r="B1797" s="16" t="s">
        <v>414</v>
      </c>
      <c r="C1797" s="16" t="s">
        <v>142</v>
      </c>
      <c r="D1797" s="16" t="str">
        <f>VLOOKUP(C1797,[1]master_data!$A$2:$E$495,2,FALSE)</f>
        <v>LED KANDILA DnN 80 CM</v>
      </c>
      <c r="E1797" s="16">
        <v>1</v>
      </c>
      <c r="F1797" s="16">
        <f>VLOOKUP(C1797,[1]master_data!$A$2:$E$495,3,FALSE)</f>
        <v>50000</v>
      </c>
      <c r="G1797" s="16">
        <f>VLOOKUP(C1797,[1]master_data!$A$2:$E$495,4,FALSE)</f>
        <v>90000</v>
      </c>
      <c r="H1797" s="16">
        <f>E1797*F1797</f>
        <v>50000</v>
      </c>
      <c r="I1797" s="16">
        <f>E1797*G1797</f>
        <v>90000</v>
      </c>
      <c r="J1797" s="16">
        <f>I1797-H1797</f>
        <v>40000</v>
      </c>
      <c r="K1797" s="16" t="str">
        <f>VLOOKUP(C1797,[1]master_data!$A$2:$E$495,5,FALSE)</f>
        <v>Aksesoris</v>
      </c>
      <c r="L1797" s="1"/>
    </row>
    <row r="1798" spans="1:12" ht="12" customHeight="1" x14ac:dyDescent="0.25">
      <c r="A1798" s="15">
        <v>44202</v>
      </c>
      <c r="B1798" s="16" t="s">
        <v>415</v>
      </c>
      <c r="C1798" s="16" t="s">
        <v>357</v>
      </c>
      <c r="D1798" s="16" t="str">
        <f>VLOOKUP(C1798,[1]master_data!$A$2:$E$495,2,FALSE)</f>
        <v>PESO</v>
      </c>
      <c r="E1798" s="16">
        <v>4</v>
      </c>
      <c r="F1798" s="16">
        <f>VLOOKUP(C1798,[1]master_data!$A$2:$E$495,3,FALSE)</f>
        <v>19000</v>
      </c>
      <c r="G1798" s="16">
        <f>VLOOKUP(C1798,[1]master_data!$A$2:$E$495,4,FALSE)</f>
        <v>40000</v>
      </c>
      <c r="H1798" s="16">
        <f>E1798*F1798</f>
        <v>76000</v>
      </c>
      <c r="I1798" s="16">
        <f>E1798*G1798</f>
        <v>160000</v>
      </c>
      <c r="J1798" s="16">
        <f>I1798-H1798</f>
        <v>84000</v>
      </c>
      <c r="K1798" s="16" t="str">
        <f>VLOOKUP(C1798,[1]master_data!$A$2:$E$495,5,FALSE)</f>
        <v>Ikan</v>
      </c>
      <c r="L1798" s="1"/>
    </row>
    <row r="1799" spans="1:12" ht="12" customHeight="1" x14ac:dyDescent="0.25">
      <c r="A1799" s="15">
        <v>44201</v>
      </c>
      <c r="B1799" s="16" t="s">
        <v>403</v>
      </c>
      <c r="C1799" s="16" t="s">
        <v>205</v>
      </c>
      <c r="D1799" s="16" t="str">
        <f>VLOOKUP(C1799,[1]master_data!$A$2:$E$495,2,FALSE)</f>
        <v>ACRIPLAVIN</v>
      </c>
      <c r="E1799" s="16">
        <v>10</v>
      </c>
      <c r="F1799" s="16">
        <f>VLOOKUP(C1799,[1]master_data!$A$2:$E$495,3,FALSE)</f>
        <v>3000</v>
      </c>
      <c r="G1799" s="16">
        <f>VLOOKUP(C1799,[1]master_data!$A$2:$E$495,4,FALSE)</f>
        <v>8000</v>
      </c>
      <c r="H1799" s="16">
        <f>E1799*F1799</f>
        <v>30000</v>
      </c>
      <c r="I1799" s="16">
        <f>E1799*G1799</f>
        <v>80000</v>
      </c>
      <c r="J1799" s="16">
        <f>I1799-H1799</f>
        <v>50000</v>
      </c>
      <c r="K1799" s="16" t="str">
        <f>VLOOKUP(C1799,[1]master_data!$A$2:$E$495,5,FALSE)</f>
        <v>Aksesoris</v>
      </c>
      <c r="L1799" s="1"/>
    </row>
    <row r="1800" spans="1:12" ht="12" customHeight="1" x14ac:dyDescent="0.25">
      <c r="A1800" s="15">
        <v>44201</v>
      </c>
      <c r="B1800" s="16" t="s">
        <v>404</v>
      </c>
      <c r="C1800" s="16" t="s">
        <v>285</v>
      </c>
      <c r="D1800" s="16" t="str">
        <f>VLOOKUP(C1800,[1]master_data!$A$2:$E$495,2,FALSE)</f>
        <v>AKUARIUM 50 ROBOT</v>
      </c>
      <c r="E1800" s="16">
        <v>1</v>
      </c>
      <c r="F1800" s="16">
        <f>VLOOKUP(C1800,[1]master_data!$A$2:$E$495,3,FALSE)</f>
        <v>115000</v>
      </c>
      <c r="G1800" s="16">
        <f>VLOOKUP(C1800,[1]master_data!$A$2:$E$495,4,FALSE)</f>
        <v>165000</v>
      </c>
      <c r="H1800" s="16">
        <f>E1800*F1800</f>
        <v>115000</v>
      </c>
      <c r="I1800" s="16">
        <f>E1800*G1800</f>
        <v>165000</v>
      </c>
      <c r="J1800" s="16">
        <f>I1800-H1800</f>
        <v>50000</v>
      </c>
      <c r="K1800" s="16" t="str">
        <f>VLOOKUP(C1800,[1]master_data!$A$2:$E$495,5,FALSE)</f>
        <v>Aksesoris</v>
      </c>
      <c r="L1800" s="1"/>
    </row>
    <row r="1801" spans="1:12" ht="12" customHeight="1" x14ac:dyDescent="0.25">
      <c r="A1801" s="15">
        <v>44201</v>
      </c>
      <c r="B1801" s="16" t="s">
        <v>405</v>
      </c>
      <c r="C1801" s="16" t="s">
        <v>330</v>
      </c>
      <c r="D1801" s="16" t="str">
        <f>VLOOKUP(C1801,[1]master_data!$A$2:$E$495,2,FALSE)</f>
        <v>KOI T</v>
      </c>
      <c r="E1801" s="16">
        <v>2</v>
      </c>
      <c r="F1801" s="16">
        <f>VLOOKUP(C1801,[1]master_data!$A$2:$E$495,3,FALSE)</f>
        <v>7000</v>
      </c>
      <c r="G1801" s="16">
        <f>VLOOKUP(C1801,[1]master_data!$A$2:$E$495,4,FALSE)</f>
        <v>20000</v>
      </c>
      <c r="H1801" s="16">
        <f>E1801*F1801</f>
        <v>14000</v>
      </c>
      <c r="I1801" s="16">
        <f>E1801*G1801</f>
        <v>40000</v>
      </c>
      <c r="J1801" s="16">
        <f>I1801-H1801</f>
        <v>26000</v>
      </c>
      <c r="K1801" s="16" t="str">
        <f>VLOOKUP(C1801,[1]master_data!$A$2:$E$495,5,FALSE)</f>
        <v>Ikan</v>
      </c>
      <c r="L1801" s="1"/>
    </row>
    <row r="1802" spans="1:12" ht="12" customHeight="1" x14ac:dyDescent="0.25">
      <c r="A1802" s="15">
        <v>44201</v>
      </c>
      <c r="B1802" s="16" t="s">
        <v>406</v>
      </c>
      <c r="C1802" s="16" t="s">
        <v>319</v>
      </c>
      <c r="D1802" s="16" t="str">
        <f>VLOOKUP(C1802,[1]master_data!$A$2:$E$495,2,FALSE)</f>
        <v>BARBIR</v>
      </c>
      <c r="E1802" s="16">
        <v>30</v>
      </c>
      <c r="F1802" s="16">
        <f>VLOOKUP(C1802,[1]master_data!$A$2:$E$495,3,FALSE)</f>
        <v>800</v>
      </c>
      <c r="G1802" s="16">
        <f>VLOOKUP(C1802,[1]master_data!$A$2:$E$495,4,FALSE)</f>
        <v>2000</v>
      </c>
      <c r="H1802" s="16">
        <f>E1802*F1802</f>
        <v>24000</v>
      </c>
      <c r="I1802" s="16">
        <f>E1802*G1802</f>
        <v>60000</v>
      </c>
      <c r="J1802" s="16">
        <f>I1802-H1802</f>
        <v>36000</v>
      </c>
      <c r="K1802" s="16" t="str">
        <f>VLOOKUP(C1802,[1]master_data!$A$2:$E$495,5,FALSE)</f>
        <v>Ikan</v>
      </c>
      <c r="L1802" s="1"/>
    </row>
    <row r="1803" spans="1:12" ht="12" customHeight="1" x14ac:dyDescent="0.25">
      <c r="A1803" s="15">
        <v>44201</v>
      </c>
      <c r="B1803" s="16" t="s">
        <v>407</v>
      </c>
      <c r="C1803" s="16" t="s">
        <v>364</v>
      </c>
      <c r="D1803" s="16" t="str">
        <f>VLOOKUP(C1803,[1]master_data!$A$2:$E$495,2,FALSE)</f>
        <v>SNOW WHITE</v>
      </c>
      <c r="E1803" s="16">
        <v>30</v>
      </c>
      <c r="F1803" s="16">
        <f>VLOOKUP(C1803,[1]master_data!$A$2:$E$495,3,FALSE)</f>
        <v>1500</v>
      </c>
      <c r="G1803" s="16">
        <f>VLOOKUP(C1803,[1]master_data!$A$2:$E$495,4,FALSE)</f>
        <v>3000</v>
      </c>
      <c r="H1803" s="16">
        <f>E1803*F1803</f>
        <v>45000</v>
      </c>
      <c r="I1803" s="16">
        <f>E1803*G1803</f>
        <v>90000</v>
      </c>
      <c r="J1803" s="16">
        <f>I1803-H1803</f>
        <v>45000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44201</v>
      </c>
      <c r="B1804" s="16" t="s">
        <v>408</v>
      </c>
      <c r="C1804" s="16" t="s">
        <v>366</v>
      </c>
      <c r="D1804" s="16" t="str">
        <f>VLOOKUP(C1804,[1]master_data!$A$2:$E$495,2,FALSE)</f>
        <v>SYNODONTI B</v>
      </c>
      <c r="E1804" s="16">
        <v>4</v>
      </c>
      <c r="F1804" s="16">
        <f>VLOOKUP(C1804,[1]master_data!$A$2:$E$495,3,FALSE)</f>
        <v>4000</v>
      </c>
      <c r="G1804" s="16">
        <f>VLOOKUP(C1804,[1]master_data!$A$2:$E$495,4,FALSE)</f>
        <v>10000</v>
      </c>
      <c r="H1804" s="16">
        <f>E1804*F1804</f>
        <v>16000</v>
      </c>
      <c r="I1804" s="16">
        <f>E1804*G1804</f>
        <v>40000</v>
      </c>
      <c r="J1804" s="16">
        <f>I1804-H1804</f>
        <v>24000</v>
      </c>
      <c r="K1804" s="16" t="str">
        <f>VLOOKUP(C1804,[1]master_data!$A$2:$E$495,5,FALSE)</f>
        <v>Ikan</v>
      </c>
      <c r="L1804" s="1"/>
    </row>
    <row r="1805" spans="1:12" ht="12" customHeight="1" x14ac:dyDescent="0.25">
      <c r="A1805" s="15">
        <v>44200</v>
      </c>
      <c r="B1805" s="16" t="s">
        <v>398</v>
      </c>
      <c r="C1805" s="16" t="s">
        <v>233</v>
      </c>
      <c r="D1805" s="16" t="str">
        <f>VLOOKUP(C1805,[1]master_data!$A$2:$E$495,2,FALSE)</f>
        <v>JARING NELAYAN</v>
      </c>
      <c r="E1805" s="16">
        <v>2</v>
      </c>
      <c r="F1805" s="16">
        <f>VLOOKUP(C1805,[1]master_data!$A$2:$E$495,3,FALSE)</f>
        <v>15000</v>
      </c>
      <c r="G1805" s="16">
        <f>VLOOKUP(C1805,[1]master_data!$A$2:$E$495,4,FALSE)</f>
        <v>25000</v>
      </c>
      <c r="H1805" s="16">
        <f>E1805*F1805</f>
        <v>30000</v>
      </c>
      <c r="I1805" s="16">
        <f>E1805*G1805</f>
        <v>50000</v>
      </c>
      <c r="J1805" s="16">
        <f>I1805-H1805</f>
        <v>20000</v>
      </c>
      <c r="K1805" s="16" t="str">
        <f>VLOOKUP(C1805,[1]master_data!$A$2:$E$495,5,FALSE)</f>
        <v>Aksesoris</v>
      </c>
      <c r="L1805" s="1"/>
    </row>
    <row r="1806" spans="1:12" ht="12" customHeight="1" x14ac:dyDescent="0.25">
      <c r="A1806" s="15">
        <v>44200</v>
      </c>
      <c r="B1806" s="16" t="s">
        <v>399</v>
      </c>
      <c r="C1806" s="16" t="s">
        <v>9</v>
      </c>
      <c r="D1806" s="16" t="str">
        <f>VLOOKUP(C1806,[1]master_data!$A$2:$E$495,2,FALSE)</f>
        <v>TOP FILTER YANG 910</v>
      </c>
      <c r="E1806" s="16">
        <v>2</v>
      </c>
      <c r="F1806" s="16">
        <f>VLOOKUP(C1806,[1]master_data!$A$2:$E$495,3,FALSE)</f>
        <v>41000</v>
      </c>
      <c r="G1806" s="16">
        <f>VLOOKUP(C1806,[1]master_data!$A$2:$E$495,4,FALSE)</f>
        <v>65000</v>
      </c>
      <c r="H1806" s="16">
        <f>E1806*F1806</f>
        <v>82000</v>
      </c>
      <c r="I1806" s="16">
        <f>E1806*G1806</f>
        <v>130000</v>
      </c>
      <c r="J1806" s="16">
        <f>I1806-H1806</f>
        <v>48000</v>
      </c>
      <c r="K1806" s="16" t="str">
        <f>VLOOKUP(C1806,[1]master_data!$A$2:$E$495,5,FALSE)</f>
        <v>Aksesoris</v>
      </c>
      <c r="L1806" s="1"/>
    </row>
    <row r="1807" spans="1:12" ht="12" customHeight="1" x14ac:dyDescent="0.25">
      <c r="A1807" s="15">
        <v>44200</v>
      </c>
      <c r="B1807" s="16" t="s">
        <v>400</v>
      </c>
      <c r="C1807" s="16" t="s">
        <v>13</v>
      </c>
      <c r="D1807" s="16" t="str">
        <f>VLOOKUP(C1807,[1]master_data!$A$2:$E$495,2,FALSE)</f>
        <v>MESIN YANG 105</v>
      </c>
      <c r="E1807" s="16">
        <v>1</v>
      </c>
      <c r="F1807" s="16">
        <f>VLOOKUP(C1807,[1]master_data!$A$2:$E$495,3,FALSE)</f>
        <v>140000</v>
      </c>
      <c r="G1807" s="16">
        <f>VLOOKUP(C1807,[1]master_data!$A$2:$E$495,4,FALSE)</f>
        <v>190000</v>
      </c>
      <c r="H1807" s="16">
        <f>E1807*F1807</f>
        <v>140000</v>
      </c>
      <c r="I1807" s="16">
        <f>E1807*G1807</f>
        <v>190000</v>
      </c>
      <c r="J1807" s="16">
        <f>I1807-H1807</f>
        <v>50000</v>
      </c>
      <c r="K1807" s="16" t="str">
        <f>VLOOKUP(C1807,[1]master_data!$A$2:$E$495,5,FALSE)</f>
        <v>Aksesoris</v>
      </c>
      <c r="L1807" s="1"/>
    </row>
    <row r="1808" spans="1:12" ht="12" customHeight="1" x14ac:dyDescent="0.25">
      <c r="A1808" s="15">
        <v>44200</v>
      </c>
      <c r="B1808" s="16" t="s">
        <v>401</v>
      </c>
      <c r="C1808" s="16" t="s">
        <v>220</v>
      </c>
      <c r="D1808" s="16" t="str">
        <f>VLOOKUP(C1808,[1]master_data!$A$2:$E$495,2,FALSE)</f>
        <v>JARING 10</v>
      </c>
      <c r="E1808" s="16">
        <v>25</v>
      </c>
      <c r="F1808" s="16">
        <f>VLOOKUP(C1808,[1]master_data!$A$2:$E$495,3,FALSE)</f>
        <v>2900</v>
      </c>
      <c r="G1808" s="16">
        <f>VLOOKUP(C1808,[1]master_data!$A$2:$E$495,4,FALSE)</f>
        <v>6000</v>
      </c>
      <c r="H1808" s="16">
        <f>E1808*F1808</f>
        <v>72500</v>
      </c>
      <c r="I1808" s="16">
        <f>E1808*G1808</f>
        <v>150000</v>
      </c>
      <c r="J1808" s="16">
        <f>I1808-H1808</f>
        <v>77500</v>
      </c>
      <c r="K1808" s="16" t="str">
        <f>VLOOKUP(C1808,[1]master_data!$A$2:$E$495,5,FALSE)</f>
        <v>Aksesoris</v>
      </c>
      <c r="L1808" s="1"/>
    </row>
    <row r="1809" spans="1:12" ht="12" customHeight="1" x14ac:dyDescent="0.25">
      <c r="A1809" s="15">
        <v>44200</v>
      </c>
      <c r="B1809" s="16" t="s">
        <v>402</v>
      </c>
      <c r="C1809" s="16" t="s">
        <v>51</v>
      </c>
      <c r="D1809" s="16" t="str">
        <f>VLOOKUP(C1809,[1]master_data!$A$2:$E$495,2,FALSE)</f>
        <v>MESIN RECENT 203</v>
      </c>
      <c r="E1809" s="16">
        <v>1</v>
      </c>
      <c r="F1809" s="16">
        <f>VLOOKUP(C1809,[1]master_data!$A$2:$E$495,3,FALSE)</f>
        <v>43500</v>
      </c>
      <c r="G1809" s="16">
        <f>VLOOKUP(C1809,[1]master_data!$A$2:$E$495,4,FALSE)</f>
        <v>70000</v>
      </c>
      <c r="H1809" s="16">
        <f>E1809*F1809</f>
        <v>43500</v>
      </c>
      <c r="I1809" s="16">
        <f>E1809*G1809</f>
        <v>70000</v>
      </c>
      <c r="J1809" s="16">
        <f>I1809-H1809</f>
        <v>26500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44199</v>
      </c>
      <c r="B1810" s="16" t="s">
        <v>395</v>
      </c>
      <c r="C1810" s="16" t="s">
        <v>82</v>
      </c>
      <c r="D1810" s="16" t="str">
        <f>VLOOKUP(C1810,[1]master_data!$A$2:$E$495,2,FALSE)</f>
        <v>MESIN AMARA 104</v>
      </c>
      <c r="E1810" s="16">
        <v>2</v>
      </c>
      <c r="F1810" s="16">
        <f>VLOOKUP(C1810,[1]master_data!$A$2:$E$495,3,FALSE)</f>
        <v>120000</v>
      </c>
      <c r="G1810" s="16">
        <f>VLOOKUP(C1810,[1]master_data!$A$2:$E$495,4,FALSE)</f>
        <v>160000</v>
      </c>
      <c r="H1810" s="16">
        <f>E1810*F1810</f>
        <v>240000</v>
      </c>
      <c r="I1810" s="16">
        <f>E1810*G1810</f>
        <v>320000</v>
      </c>
      <c r="J1810" s="16">
        <f>I1810-H1810</f>
        <v>80000</v>
      </c>
      <c r="K1810" s="16" t="str">
        <f>VLOOKUP(C1810,[1]master_data!$A$2:$E$495,5,FALSE)</f>
        <v>Aksesoris</v>
      </c>
      <c r="L1810" s="1"/>
    </row>
    <row r="1811" spans="1:12" ht="12" customHeight="1" x14ac:dyDescent="0.25">
      <c r="A1811" s="15">
        <v>44199</v>
      </c>
      <c r="B1811" s="16" t="s">
        <v>396</v>
      </c>
      <c r="C1811" s="16" t="s">
        <v>168</v>
      </c>
      <c r="D1811" s="16" t="str">
        <f>VLOOKUP(C1811,[1]master_data!$A$2:$E$495,2,FALSE)</f>
        <v>HIKARI VIBRA BITES 35 GR</v>
      </c>
      <c r="E1811" s="16">
        <v>5</v>
      </c>
      <c r="F1811" s="16">
        <f>VLOOKUP(C1811,[1]master_data!$A$2:$E$495,3,FALSE)</f>
        <v>28500</v>
      </c>
      <c r="G1811" s="16">
        <f>VLOOKUP(C1811,[1]master_data!$A$2:$E$495,4,FALSE)</f>
        <v>40000</v>
      </c>
      <c r="H1811" s="16">
        <f>E1811*F1811</f>
        <v>142500</v>
      </c>
      <c r="I1811" s="16">
        <f>E1811*G1811</f>
        <v>200000</v>
      </c>
      <c r="J1811" s="16">
        <f>I1811-H1811</f>
        <v>57500</v>
      </c>
      <c r="K1811" s="16" t="str">
        <f>VLOOKUP(C1811,[1]master_data!$A$2:$E$495,5,FALSE)</f>
        <v>Aksesoris</v>
      </c>
      <c r="L1811" s="1"/>
    </row>
    <row r="1812" spans="1:12" ht="12" customHeight="1" x14ac:dyDescent="0.25">
      <c r="A1812" s="15">
        <v>44199</v>
      </c>
      <c r="B1812" s="16" t="s">
        <v>397</v>
      </c>
      <c r="C1812" s="16" t="s">
        <v>292</v>
      </c>
      <c r="D1812" s="16" t="str">
        <f>VLOOKUP(C1812,[1]master_data!$A$2:$E$495,2,FALSE)</f>
        <v>PASIR HITAM B</v>
      </c>
      <c r="E1812" s="16">
        <v>10</v>
      </c>
      <c r="F1812" s="16">
        <f>VLOOKUP(C1812,[1]master_data!$A$2:$E$495,3,FALSE)</f>
        <v>8000</v>
      </c>
      <c r="G1812" s="16">
        <f>VLOOKUP(C1812,[1]master_data!$A$2:$E$495,4,FALSE)</f>
        <v>15000</v>
      </c>
      <c r="H1812" s="16">
        <f>E1812*F1812</f>
        <v>80000</v>
      </c>
      <c r="I1812" s="16">
        <f>E1812*G1812</f>
        <v>150000</v>
      </c>
      <c r="J1812" s="16">
        <f>I1812-H1812</f>
        <v>70000</v>
      </c>
      <c r="K1812" s="16" t="str">
        <f>VLOOKUP(C1812,[1]master_data!$A$2:$E$495,5,FALSE)</f>
        <v>Aksesoris</v>
      </c>
      <c r="L1812" s="1"/>
    </row>
    <row r="1813" spans="1:12" ht="12" customHeight="1" x14ac:dyDescent="0.25">
      <c r="A1813" s="15">
        <v>44198</v>
      </c>
      <c r="B1813" s="16" t="s">
        <v>392</v>
      </c>
      <c r="C1813" s="16" t="s">
        <v>354</v>
      </c>
      <c r="D1813" s="16" t="str">
        <f>VLOOKUP(C1813,[1]master_data!$A$2:$E$495,2,FALSE)</f>
        <v>PEMBERSIH KACA ALBINO</v>
      </c>
      <c r="E1813" s="16">
        <v>20</v>
      </c>
      <c r="F1813" s="16">
        <f>VLOOKUP(C1813,[1]master_data!$A$2:$E$495,3,FALSE)</f>
        <v>2500</v>
      </c>
      <c r="G1813" s="16">
        <f>VLOOKUP(C1813,[1]master_data!$A$2:$E$495,4,FALSE)</f>
        <v>5000</v>
      </c>
      <c r="H1813" s="16">
        <f>E1813*F1813</f>
        <v>50000</v>
      </c>
      <c r="I1813" s="16">
        <f>E1813*G1813</f>
        <v>100000</v>
      </c>
      <c r="J1813" s="16">
        <f>I1813-H1813</f>
        <v>50000</v>
      </c>
      <c r="K1813" s="16" t="str">
        <f>VLOOKUP(C1813,[1]master_data!$A$2:$E$495,5,FALSE)</f>
        <v>Ikan</v>
      </c>
      <c r="L1813" s="1"/>
    </row>
    <row r="1814" spans="1:12" ht="12" customHeight="1" x14ac:dyDescent="0.25">
      <c r="A1814" s="15">
        <v>44198</v>
      </c>
      <c r="B1814" s="16" t="s">
        <v>393</v>
      </c>
      <c r="C1814" s="16" t="s">
        <v>342</v>
      </c>
      <c r="D1814" s="16" t="str">
        <f>VLOOKUP(C1814,[1]master_data!$A$2:$E$495,2,FALSE)</f>
        <v>LOUHAN SUPER</v>
      </c>
      <c r="E1814" s="16">
        <v>1</v>
      </c>
      <c r="F1814" s="16">
        <f>VLOOKUP(C1814,[1]master_data!$A$2:$E$495,3,FALSE)</f>
        <v>300000</v>
      </c>
      <c r="G1814" s="16">
        <f>VLOOKUP(C1814,[1]master_data!$A$2:$E$495,4,FALSE)</f>
        <v>500000</v>
      </c>
      <c r="H1814" s="16">
        <f>E1814*F1814</f>
        <v>300000</v>
      </c>
      <c r="I1814" s="16">
        <f>E1814*G1814</f>
        <v>500000</v>
      </c>
      <c r="J1814" s="16">
        <f>I1814-H1814</f>
        <v>200000</v>
      </c>
      <c r="K1814" s="16" t="str">
        <f>VLOOKUP(C1814,[1]master_data!$A$2:$E$495,5,FALSE)</f>
        <v>Ikan</v>
      </c>
      <c r="L1814" s="1"/>
    </row>
    <row r="1815" spans="1:12" ht="12" customHeight="1" x14ac:dyDescent="0.25">
      <c r="A1815" s="15">
        <v>44198</v>
      </c>
      <c r="B1815" s="16" t="s">
        <v>394</v>
      </c>
      <c r="C1815" s="16" t="s">
        <v>60</v>
      </c>
      <c r="D1815" s="16" t="str">
        <f>VLOOKUP(C1815,[1]master_data!$A$2:$E$495,2,FALSE)</f>
        <v>MESIN SUSUN 3800</v>
      </c>
      <c r="E1815" s="16">
        <v>1</v>
      </c>
      <c r="F1815" s="16">
        <f>VLOOKUP(C1815,[1]master_data!$A$2:$E$495,3,FALSE)</f>
        <v>523000</v>
      </c>
      <c r="G1815" s="16">
        <f>VLOOKUP(C1815,[1]master_data!$A$2:$E$495,4,FALSE)</f>
        <v>600000</v>
      </c>
      <c r="H1815" s="16">
        <f>E1815*F1815</f>
        <v>523000</v>
      </c>
      <c r="I1815" s="16">
        <f>E1815*G1815</f>
        <v>600000</v>
      </c>
      <c r="J1815" s="16">
        <f>I1815-H1815</f>
        <v>77000</v>
      </c>
      <c r="K1815" s="16" t="str">
        <f>VLOOKUP(C1815,[1]master_data!$A$2:$E$495,5,FALSE)</f>
        <v>Aksesoris</v>
      </c>
      <c r="L1815" s="1"/>
    </row>
    <row r="1816" spans="1:12" ht="12" customHeight="1" x14ac:dyDescent="0.25">
      <c r="A1816" s="15">
        <v>44197</v>
      </c>
      <c r="B1816" s="16" t="s">
        <v>387</v>
      </c>
      <c r="C1816" s="16" t="s">
        <v>319</v>
      </c>
      <c r="D1816" s="16" t="str">
        <f>VLOOKUP(C1816,[1]master_data!$A$2:$E$495,2,FALSE)</f>
        <v>BARBIR</v>
      </c>
      <c r="E1816" s="16">
        <v>30</v>
      </c>
      <c r="F1816" s="16">
        <f>VLOOKUP(C1816,[1]master_data!$A$2:$E$495,3,FALSE)</f>
        <v>800</v>
      </c>
      <c r="G1816" s="16">
        <f>VLOOKUP(C1816,[1]master_data!$A$2:$E$495,4,FALSE)</f>
        <v>2000</v>
      </c>
      <c r="H1816" s="16">
        <f>E1816*F1816</f>
        <v>24000</v>
      </c>
      <c r="I1816" s="16">
        <f>E1816*G1816</f>
        <v>60000</v>
      </c>
      <c r="J1816" s="16">
        <f>I1816-H1816</f>
        <v>36000</v>
      </c>
      <c r="K1816" s="16" t="str">
        <f>VLOOKUP(C1816,[1]master_data!$A$2:$E$495,5,FALSE)</f>
        <v>Ikan</v>
      </c>
      <c r="L1816" s="1"/>
    </row>
    <row r="1817" spans="1:12" ht="12" customHeight="1" x14ac:dyDescent="0.25">
      <c r="A1817" s="15">
        <v>44197</v>
      </c>
      <c r="B1817" s="16" t="s">
        <v>388</v>
      </c>
      <c r="C1817" s="16" t="s">
        <v>181</v>
      </c>
      <c r="D1817" s="16" t="str">
        <f>VLOOKUP(C1817,[1]master_data!$A$2:$E$495,2,FALSE)</f>
        <v>HOKKY KOI WHITE</v>
      </c>
      <c r="E1817" s="16">
        <v>2</v>
      </c>
      <c r="F1817" s="16">
        <f>VLOOKUP(C1817,[1]master_data!$A$2:$E$495,3,FALSE)</f>
        <v>48000</v>
      </c>
      <c r="G1817" s="16">
        <f>VLOOKUP(C1817,[1]master_data!$A$2:$E$495,4,FALSE)</f>
        <v>60000</v>
      </c>
      <c r="H1817" s="16">
        <f>E1817*F1817</f>
        <v>96000</v>
      </c>
      <c r="I1817" s="16">
        <f>E1817*G1817</f>
        <v>120000</v>
      </c>
      <c r="J1817" s="16">
        <f>I1817-H1817</f>
        <v>24000</v>
      </c>
      <c r="K1817" s="16" t="str">
        <f>VLOOKUP(C1817,[1]master_data!$A$2:$E$495,5,FALSE)</f>
        <v>Aksesoris</v>
      </c>
      <c r="L1817" s="1"/>
    </row>
    <row r="1818" spans="1:12" ht="12" customHeight="1" x14ac:dyDescent="0.25">
      <c r="A1818" s="15">
        <v>44197</v>
      </c>
      <c r="B1818" s="16" t="s">
        <v>389</v>
      </c>
      <c r="C1818" s="16" t="s">
        <v>322</v>
      </c>
      <c r="D1818" s="16" t="str">
        <f>VLOOKUP(C1818,[1]master_data!$A$2:$E$495,2,FALSE)</f>
        <v>GOLD FISH</v>
      </c>
      <c r="E1818" s="16">
        <v>15</v>
      </c>
      <c r="F1818" s="16">
        <f>VLOOKUP(C1818,[1]master_data!$A$2:$E$495,3,FALSE)</f>
        <v>800</v>
      </c>
      <c r="G1818" s="16">
        <f>VLOOKUP(C1818,[1]master_data!$A$2:$E$495,4,FALSE)</f>
        <v>2000</v>
      </c>
      <c r="H1818" s="16">
        <f>E1818*F1818</f>
        <v>12000</v>
      </c>
      <c r="I1818" s="16">
        <f>E1818*G1818</f>
        <v>30000</v>
      </c>
      <c r="J1818" s="16">
        <f>I1818-H1818</f>
        <v>18000</v>
      </c>
      <c r="K1818" s="16" t="str">
        <f>VLOOKUP(C1818,[1]master_data!$A$2:$E$495,5,FALSE)</f>
        <v>Ikan</v>
      </c>
      <c r="L1818" s="1"/>
    </row>
    <row r="1819" spans="1:12" ht="12" customHeight="1" x14ac:dyDescent="0.25">
      <c r="A1819" s="15">
        <v>44197</v>
      </c>
      <c r="B1819" s="16" t="s">
        <v>390</v>
      </c>
      <c r="C1819" s="16" t="s">
        <v>356</v>
      </c>
      <c r="D1819" s="16" t="str">
        <f>VLOOKUP(C1819,[1]master_data!$A$2:$E$495,2,FALSE)</f>
        <v>PARROT</v>
      </c>
      <c r="E1819" s="16">
        <v>3</v>
      </c>
      <c r="F1819" s="16">
        <f>VLOOKUP(C1819,[1]master_data!$A$2:$E$495,3,FALSE)</f>
        <v>27000</v>
      </c>
      <c r="G1819" s="16">
        <f>VLOOKUP(C1819,[1]master_data!$A$2:$E$495,4,FALSE)</f>
        <v>60000</v>
      </c>
      <c r="H1819" s="16">
        <f>E1819*F1819</f>
        <v>81000</v>
      </c>
      <c r="I1819" s="16">
        <f>E1819*G1819</f>
        <v>180000</v>
      </c>
      <c r="J1819" s="16">
        <f>I1819-H1819</f>
        <v>99000</v>
      </c>
      <c r="K1819" s="16" t="str">
        <f>VLOOKUP(C1819,[1]master_data!$A$2:$E$495,5,FALSE)</f>
        <v>Ikan</v>
      </c>
      <c r="L1819" s="1"/>
    </row>
    <row r="1820" spans="1:12" ht="12" customHeight="1" x14ac:dyDescent="0.25">
      <c r="A1820" s="15">
        <v>44197</v>
      </c>
      <c r="B1820" s="16" t="s">
        <v>391</v>
      </c>
      <c r="C1820" s="16" t="s">
        <v>116</v>
      </c>
      <c r="D1820" s="16" t="str">
        <f>VLOOKUP(C1820,[1]master_data!$A$2:$E$495,2,FALSE)</f>
        <v>LAMPU ARMADA UV 20W</v>
      </c>
      <c r="E1820" s="16">
        <v>1</v>
      </c>
      <c r="F1820" s="16">
        <f>VLOOKUP(C1820,[1]master_data!$A$2:$E$495,3,FALSE)</f>
        <v>99000</v>
      </c>
      <c r="G1820" s="16">
        <f>VLOOKUP(C1820,[1]master_data!$A$2:$E$495,4,FALSE)</f>
        <v>125000</v>
      </c>
      <c r="H1820" s="16">
        <f>E1820*F1820</f>
        <v>99000</v>
      </c>
      <c r="I1820" s="16">
        <f>E1820*G1820</f>
        <v>125000</v>
      </c>
      <c r="J1820" s="16">
        <f>I1820-H1820</f>
        <v>26000</v>
      </c>
      <c r="K1820" s="16" t="str">
        <f>VLOOKUP(C1820,[1]master_data!$A$2:$E$495,5,FALSE)</f>
        <v>Aksesoris</v>
      </c>
      <c r="L1820" s="1"/>
    </row>
    <row r="1821" spans="1:12" ht="12" customHeight="1" x14ac:dyDescent="0.3">
      <c r="A1821" s="11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ht="12" customHeight="1" x14ac:dyDescent="0.25">
      <c r="A7515" s="12"/>
      <c r="B7515" s="1"/>
      <c r="C7515" s="2"/>
      <c r="D7515" s="1"/>
      <c r="E7515" s="2"/>
      <c r="F7515" s="1"/>
      <c r="G7515" s="1"/>
      <c r="H7515" s="1"/>
      <c r="I7515" s="1"/>
      <c r="J7515" s="1"/>
      <c r="K7515" s="1"/>
      <c r="L7515" s="1"/>
    </row>
    <row r="7516" spans="1:12" x14ac:dyDescent="0.25">
      <c r="A7516" s="12"/>
      <c r="B7516" s="1"/>
      <c r="C7516" s="8"/>
      <c r="D7516" s="1"/>
      <c r="E7516" s="9"/>
      <c r="F7516" s="1"/>
      <c r="G7516" s="1"/>
      <c r="H7516" s="1"/>
      <c r="I7516" s="1"/>
      <c r="J7516" s="1"/>
      <c r="K7516" s="1"/>
      <c r="L7516" s="1"/>
    </row>
  </sheetData>
  <autoFilter ref="A1:A7516">
    <sortState ref="A2:K7515">
      <sortCondition descending="1" ref="A1:A7515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2024-10-09T15:02:09Z</dcterms:modified>
</cp:coreProperties>
</file>